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48406A0E-D465-4D01-8821-2094906EB117}" xr6:coauthVersionLast="47" xr6:coauthVersionMax="47" xr10:uidLastSave="{00000000-0000-0000-0000-000000000000}"/>
  <bookViews>
    <workbookView xWindow="-120" yWindow="-120" windowWidth="20730" windowHeight="11040" firstSheet="10" activeTab="12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</sheets>
  <definedNames>
    <definedName name="ExternalData_1" localSheetId="0" hidden="1">'1 Ангар Склад 2 въезд'!$A$1:$L$104</definedName>
    <definedName name="ExternalData_1" localSheetId="9" hidden="1">'10 Сушилка навес'!$A$1:$L$308</definedName>
    <definedName name="ExternalData_1" localSheetId="10" hidden="1">'11 С ангара на базу'!$A$1:$L$122</definedName>
    <definedName name="ExternalData_1" localSheetId="11" hidden="1">'12 Площадка 3 кран'!$A$1:$L$89</definedName>
    <definedName name="ExternalData_1" localSheetId="12" hidden="1">'13 Склад хол'!$A$1:$L$49</definedName>
    <definedName name="ExternalData_1" localSheetId="1" hidden="1">'2 Пилорама поката'!$A$1:$L$132</definedName>
    <definedName name="ExternalData_1" localSheetId="2" hidden="1">'3 Въезд на базу'!$A$1:$L$74</definedName>
    <definedName name="ExternalData_1" localSheetId="3" hidden="1">'4 Крыльцо офиса'!$A$1:$L$66</definedName>
    <definedName name="ExternalData_1" localSheetId="4" hidden="1">'5 Крыльцо общага'!$A$1:$L$98</definedName>
    <definedName name="ExternalData_1" localSheetId="5" hidden="1">'6 Площадка 1 общага'!$A$1:$L$64</definedName>
    <definedName name="ExternalData_1" localSheetId="6" hidden="1">'7 Площадка 2 бетонщики'!$A$1:$L$191</definedName>
    <definedName name="ExternalData_1" localSheetId="7" hidden="1">'8 Рейсмус'!$A$1:$L$117</definedName>
    <definedName name="ExternalData_1" localSheetId="8" hidden="1">'9 Ангар пилорама'!$A$1:$L$309</definedName>
    <definedName name="ExternalData_1" localSheetId="14" hidden="1">Загрузка!$A$1:$L$162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7" l="1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</connections>
</file>

<file path=xl/sharedStrings.xml><?xml version="1.0" encoding="utf-8"?>
<sst xmlns="http://schemas.openxmlformats.org/spreadsheetml/2006/main" count="23013" uniqueCount="5482">
  <si>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</si>
  <si>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</si>
  <si>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</si>
  <si>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</si>
  <si>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</si>
  <si>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</si>
  <si>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</si>
  <si>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</si>
  <si>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</si>
  <si>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</si>
  <si>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</si>
  <si>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</si>
  <si>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</si>
  <si>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</si>
  <si>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</si>
  <si>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</si>
  <si>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</si>
  <si>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</si>
  <si>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</si>
  <si>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</si>
  <si>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</si>
  <si>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</si>
  <si>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</si>
  <si>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</si>
  <si>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</si>
  <si>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</si>
  <si>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</si>
  <si>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</si>
  <si>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</si>
  <si>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</si>
  <si>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</si>
  <si>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</si>
  <si>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</si>
  <si>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</si>
  <si>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</si>
  <si>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</si>
  <si>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</si>
  <si>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</si>
  <si>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</si>
  <si>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</si>
  <si>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</si>
  <si>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</si>
  <si>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</si>
  <si>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</si>
  <si>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</si>
  <si>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</si>
  <si>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</si>
  <si>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</si>
  <si>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</si>
  <si>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</si>
  <si>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</si>
  <si>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</si>
  <si>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</si>
  <si>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</si>
  <si>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</si>
  <si>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</si>
  <si>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</si>
  <si>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</si>
  <si>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</si>
  <si>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</si>
  <si>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</si>
  <si>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</si>
  <si>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</si>
  <si>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</si>
  <si>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</si>
  <si>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</si>
  <si>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</si>
  <si>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</si>
  <si>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</si>
  <si>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</si>
  <si>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</si>
  <si>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</si>
  <si>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</si>
  <si>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</si>
  <si>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</si>
  <si>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</si>
  <si>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</si>
  <si>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</si>
  <si>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</si>
  <si>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</si>
  <si>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</si>
  <si>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</si>
  <si>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</si>
  <si>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</si>
  <si>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</si>
  <si>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</si>
  <si>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</si>
  <si>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</si>
  <si>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</si>
  <si>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</si>
  <si>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</si>
  <si>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</si>
  <si>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</si>
  <si>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</si>
  <si>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</si>
  <si>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</si>
  <si>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</si>
  <si>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</si>
  <si>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</si>
  <si>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</si>
  <si>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</si>
  <si>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</si>
  <si>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</si>
  <si>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</si>
  <si>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</si>
  <si>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</si>
  <si>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</si>
  <si>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</si>
  <si>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</si>
  <si>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</si>
  <si>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</si>
  <si>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</si>
  <si>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</si>
  <si>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</si>
  <si>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</si>
  <si>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</si>
  <si>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</si>
  <si>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</si>
  <si>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</si>
  <si>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</si>
  <si>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</si>
  <si>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</si>
  <si>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</si>
  <si>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</si>
  <si>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</si>
  <si>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</si>
  <si>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</si>
  <si>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</si>
  <si>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</si>
  <si>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</si>
  <si>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</si>
  <si>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</si>
  <si>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</si>
  <si>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</si>
  <si>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</si>
  <si>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</si>
  <si>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</si>
  <si>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</si>
  <si>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</si>
  <si>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</si>
  <si>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</si>
  <si>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</si>
  <si>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</si>
  <si>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</si>
  <si>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</si>
  <si>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</si>
  <si>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</si>
  <si>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</si>
  <si>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</si>
  <si>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</si>
  <si>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</si>
  <si>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</si>
  <si>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</si>
  <si>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</si>
  <si>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</si>
  <si>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</si>
  <si>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</si>
  <si>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</si>
  <si>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</si>
  <si>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</si>
  <si>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</si>
  <si>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</si>
  <si>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</si>
  <si>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</si>
  <si>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</si>
  <si>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</si>
  <si>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</si>
  <si>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</si>
  <si>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</si>
  <si>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</si>
  <si>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</si>
  <si>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</si>
  <si>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</si>
  <si>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</si>
  <si>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</si>
  <si>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</si>
  <si>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</si>
  <si>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</si>
  <si>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</si>
  <si>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</si>
  <si>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</si>
  <si>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</si>
  <si>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</si>
  <si>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</si>
  <si>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</si>
  <si>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</si>
  <si>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</si>
  <si>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</si>
  <si>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</si>
  <si>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</si>
  <si>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</si>
  <si>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</si>
  <si>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</si>
  <si>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</si>
  <si>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</si>
  <si>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</si>
  <si>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</si>
  <si>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</si>
  <si>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</si>
  <si>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</si>
  <si>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</si>
  <si>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</si>
  <si>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</si>
  <si>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</si>
  <si>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</si>
  <si>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</si>
  <si>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</si>
  <si>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</si>
  <si>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</si>
  <si>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</si>
  <si>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</si>
  <si>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</si>
  <si>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</si>
  <si>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</si>
  <si>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</si>
  <si>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</si>
  <si>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</si>
  <si>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</si>
  <si>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</si>
  <si>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</si>
  <si>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</si>
  <si>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</si>
  <si>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</si>
  <si>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</si>
  <si>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</si>
  <si>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</si>
  <si>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</si>
  <si>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</si>
  <si>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</si>
  <si>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</si>
  <si>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</si>
  <si>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</si>
  <si>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</si>
  <si>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</si>
  <si>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</si>
  <si>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</si>
  <si>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</si>
  <si>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</si>
  <si>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</si>
  <si>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</si>
  <si>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</si>
  <si>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</si>
  <si>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</si>
  <si>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</si>
  <si>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</si>
  <si>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</si>
  <si>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</si>
  <si>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</si>
  <si>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</si>
  <si>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</si>
  <si>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</si>
  <si>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</si>
  <si>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</si>
  <si>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</si>
  <si>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</si>
  <si>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</si>
  <si>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</si>
  <si>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</si>
  <si>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</si>
  <si>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</si>
  <si>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</si>
  <si>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</si>
  <si>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</si>
  <si>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</si>
  <si>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</si>
  <si>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</si>
  <si>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</si>
  <si>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</si>
  <si>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</si>
  <si>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</si>
  <si>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</si>
  <si>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</si>
  <si>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</si>
  <si>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</si>
  <si>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</si>
  <si>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</si>
  <si>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</si>
  <si>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</si>
  <si>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</si>
  <si>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</si>
  <si>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</si>
  <si>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</si>
  <si>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</si>
  <si>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</si>
  <si>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</si>
  <si>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</si>
  <si>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</si>
  <si>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</si>
  <si>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</si>
  <si>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</si>
  <si>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</si>
  <si>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</si>
  <si>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</si>
  <si>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</si>
  <si>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</si>
  <si>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</si>
  <si>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</si>
  <si>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</si>
  <si>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</si>
  <si>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</si>
  <si>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</si>
  <si>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</si>
  <si>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</si>
  <si>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</si>
  <si>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</si>
  <si>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</si>
  <si>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</si>
  <si>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</si>
  <si>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</si>
  <si>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</si>
  <si>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</si>
  <si>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</si>
  <si>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</si>
  <si>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</si>
  <si>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</si>
  <si>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</si>
  <si>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</si>
  <si>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</si>
  <si>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</si>
  <si>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</si>
  <si>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</si>
  <si>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</si>
  <si>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</si>
  <si>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</si>
  <si>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</si>
  <si>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</si>
  <si>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</si>
  <si>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</si>
  <si>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</si>
  <si>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</si>
  <si>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</si>
  <si>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</si>
  <si>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</si>
  <si>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</si>
  <si>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</si>
  <si>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</si>
  <si>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</si>
  <si>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</si>
  <si>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</si>
  <si>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</si>
  <si>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</si>
  <si>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</si>
  <si>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</si>
  <si>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</si>
  <si>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</si>
  <si>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</si>
  <si>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</si>
  <si>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</si>
  <si>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</si>
  <si>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</si>
  <si>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</si>
  <si>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</si>
  <si>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</si>
  <si>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</si>
  <si>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</si>
  <si>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</si>
  <si>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</si>
  <si>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</si>
  <si>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</si>
  <si>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</si>
  <si>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</si>
  <si>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</si>
  <si>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</si>
  <si>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</si>
  <si>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</si>
  <si>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</si>
  <si>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</si>
  <si>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</si>
  <si>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</si>
  <si>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</si>
  <si>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</si>
  <si>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</si>
  <si>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</si>
  <si>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</si>
  <si>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</si>
  <si>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</si>
  <si>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</si>
  <si>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</si>
  <si>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</si>
  <si>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</si>
  <si>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</si>
  <si>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</si>
  <si>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</si>
  <si>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</si>
  <si>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</si>
  <si>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</si>
  <si>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</si>
  <si>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</si>
  <si>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</si>
  <si>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</si>
  <si>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</si>
  <si>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</si>
  <si>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</si>
  <si>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</si>
  <si>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</si>
  <si>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</si>
  <si>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</si>
  <si>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</si>
  <si>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</si>
  <si>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</si>
  <si>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</si>
  <si>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</si>
  <si>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</si>
  <si>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</si>
  <si>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</si>
  <si>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</si>
  <si>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</si>
  <si>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</si>
  <si>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</si>
  <si>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</si>
  <si>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</si>
  <si>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</si>
  <si>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</si>
  <si>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</si>
  <si>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</si>
  <si>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</si>
  <si>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</si>
  <si>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</si>
  <si>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</si>
  <si>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</si>
  <si>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</si>
  <si>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</si>
  <si>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</si>
  <si>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</si>
  <si>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</si>
  <si>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</si>
  <si>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</si>
  <si>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</si>
  <si>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</si>
  <si>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</si>
  <si>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</si>
  <si>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</si>
  <si>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</si>
  <si>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</si>
  <si>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</si>
  <si>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</si>
  <si>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</si>
  <si>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</si>
  <si>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</si>
  <si>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</si>
  <si>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</si>
  <si>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</si>
  <si>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</si>
  <si>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</si>
  <si>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</si>
  <si>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</si>
  <si>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</si>
  <si>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</si>
  <si>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</si>
  <si>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</si>
  <si>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</si>
  <si>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</si>
  <si>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</si>
  <si>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</si>
  <si>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</si>
  <si>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</si>
  <si>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</si>
  <si>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</si>
  <si>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</si>
  <si>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</si>
  <si>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</si>
  <si>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</si>
  <si>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</si>
  <si>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</si>
  <si>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</si>
  <si>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</si>
  <si>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</si>
  <si>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</si>
  <si>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</si>
  <si>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</si>
  <si>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</si>
  <si>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</si>
  <si>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</si>
  <si>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</si>
  <si>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</si>
  <si>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</si>
  <si>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</si>
  <si>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</si>
  <si>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</si>
  <si>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</si>
  <si>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</si>
  <si>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</si>
  <si>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</si>
  <si>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</si>
  <si>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</si>
  <si>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</si>
  <si>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</si>
  <si>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</si>
  <si>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</si>
  <si>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</si>
  <si>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</si>
  <si>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</si>
  <si>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</si>
  <si>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</si>
  <si>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</si>
  <si>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</si>
  <si>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</si>
  <si>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</si>
  <si>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</si>
  <si>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</si>
  <si>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</si>
  <si>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</si>
  <si>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</si>
  <si>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</si>
  <si>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</si>
  <si>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</si>
  <si>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</si>
  <si>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</si>
  <si>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</si>
  <si>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</si>
  <si>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</si>
  <si>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</si>
  <si>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</si>
  <si>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</si>
  <si>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</si>
  <si>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</si>
  <si>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</si>
  <si>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</si>
  <si>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</si>
  <si>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</si>
  <si>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</si>
  <si>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</si>
  <si>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</si>
  <si>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</si>
  <si>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</si>
  <si>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</si>
  <si>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</si>
  <si>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</si>
  <si>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</si>
  <si>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</si>
  <si>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</si>
  <si>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</si>
  <si>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</si>
  <si>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</si>
  <si>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</si>
  <si>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</si>
  <si>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</si>
  <si>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</si>
  <si>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</si>
  <si>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</si>
  <si>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</si>
  <si>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</si>
  <si>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</si>
  <si>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</si>
  <si>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</si>
  <si>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</si>
  <si>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</si>
  <si>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</si>
  <si>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</si>
  <si>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</si>
  <si>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</si>
  <si>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</si>
  <si>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</si>
  <si>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</si>
  <si>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</si>
  <si>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</si>
  <si>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</si>
  <si>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</si>
  <si>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</si>
  <si>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</si>
  <si>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</si>
  <si>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</si>
  <si>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</si>
  <si>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</si>
  <si>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</si>
  <si>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</si>
  <si>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</si>
  <si>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</si>
  <si>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</si>
  <si>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</si>
  <si>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</si>
  <si>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</si>
  <si>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</si>
  <si>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</si>
  <si>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</si>
  <si>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</si>
  <si>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</si>
  <si>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</si>
  <si>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</si>
  <si>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</si>
  <si>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</si>
  <si>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</si>
  <si>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</si>
  <si>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</si>
  <si>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</si>
  <si>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</si>
  <si>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</si>
  <si>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</si>
  <si>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</si>
  <si>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</si>
  <si>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</si>
  <si>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</si>
  <si>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</si>
  <si>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</si>
  <si>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</si>
  <si>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</si>
  <si>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</si>
  <si>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</si>
  <si>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</si>
  <si>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</si>
  <si>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</si>
  <si>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</si>
  <si>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</si>
  <si>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</si>
  <si>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</si>
  <si>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</si>
  <si>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</si>
  <si>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</si>
  <si>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</si>
  <si>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</si>
  <si>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</si>
  <si>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</si>
  <si>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</si>
  <si>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</si>
  <si>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</si>
  <si>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</si>
  <si>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</si>
  <si>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</si>
  <si>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</si>
  <si>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</si>
  <si>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</si>
  <si>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</si>
  <si>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</si>
  <si>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</si>
  <si>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</si>
  <si>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</si>
  <si>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</si>
  <si>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</si>
  <si>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</si>
  <si>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</si>
  <si>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</si>
  <si>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</si>
  <si>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</si>
  <si>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</si>
  <si>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</si>
  <si>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</si>
  <si>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</si>
  <si>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</si>
  <si>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</si>
  <si>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</si>
  <si>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</si>
  <si>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</si>
  <si>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</si>
  <si>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</si>
  <si>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</si>
  <si>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</si>
  <si>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</si>
  <si>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</si>
  <si>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</si>
  <si>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</si>
  <si>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</si>
  <si>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</si>
  <si>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</si>
  <si>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</si>
  <si>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</si>
  <si>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</si>
  <si>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</si>
  <si>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</si>
  <si>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</si>
  <si>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</si>
  <si>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</si>
  <si>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</si>
  <si>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</si>
  <si>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</si>
  <si>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</si>
  <si>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</si>
  <si>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</si>
  <si>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</si>
  <si>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</si>
  <si>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</si>
  <si>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</si>
  <si>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</si>
  <si>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</si>
  <si>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</si>
  <si>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</si>
  <si>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</si>
  <si>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</si>
  <si>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</si>
  <si>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</si>
  <si>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</si>
  <si>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</si>
  <si>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</si>
  <si>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</si>
  <si>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</si>
  <si>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</si>
  <si>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</si>
  <si>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</si>
  <si>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</si>
  <si>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</si>
  <si>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</si>
  <si>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</si>
  <si>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</si>
  <si>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</si>
  <si>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</si>
  <si>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</si>
  <si>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</si>
  <si>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</si>
  <si>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</si>
  <si>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</si>
  <si>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</si>
  <si>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</si>
  <si>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</si>
  <si>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</si>
  <si>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</si>
  <si>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</si>
  <si>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</si>
  <si>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</si>
  <si>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</si>
  <si>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</si>
  <si>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</si>
  <si>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</si>
  <si>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</si>
  <si>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</si>
  <si>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</si>
  <si>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</si>
  <si>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</si>
  <si>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</si>
  <si>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</si>
  <si>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</si>
  <si>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</si>
  <si>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</si>
  <si>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</si>
  <si>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</si>
  <si>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</si>
  <si>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</si>
  <si>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</si>
  <si>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</si>
  <si>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</si>
  <si>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</si>
  <si>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</si>
  <si>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</si>
  <si>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</si>
  <si>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</si>
  <si>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</si>
  <si>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</si>
  <si>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</si>
  <si>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</si>
  <si>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</si>
  <si>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</si>
  <si>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</si>
  <si>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</si>
  <si>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</si>
  <si>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</si>
  <si>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</si>
  <si>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</si>
  <si>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</si>
  <si>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</si>
  <si>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</si>
  <si>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</si>
  <si>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</si>
  <si>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</si>
  <si>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</si>
  <si>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</si>
  <si>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</si>
  <si>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</si>
  <si>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</si>
  <si>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</si>
  <si>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</si>
  <si>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</si>
  <si>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</si>
  <si>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</si>
  <si>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</si>
  <si>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</si>
  <si>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</si>
  <si>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</si>
  <si>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</si>
  <si>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</si>
  <si>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</si>
  <si>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</si>
  <si>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</si>
  <si>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</si>
  <si>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</si>
  <si>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</si>
  <si>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</si>
  <si>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</si>
  <si>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</si>
  <si>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</si>
  <si>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</si>
  <si>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</si>
  <si>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</si>
  <si>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</si>
  <si>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</si>
  <si>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</si>
  <si>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</si>
  <si>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</si>
  <si>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</si>
  <si>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</si>
  <si>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</si>
  <si>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</si>
  <si>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</si>
  <si>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</si>
  <si>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</si>
  <si>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</si>
  <si>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</si>
  <si>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</si>
  <si>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</si>
  <si>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</si>
  <si>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</si>
  <si>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</si>
  <si>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</si>
  <si>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</si>
  <si>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</si>
  <si>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</si>
  <si>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</si>
  <si>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</si>
  <si>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</si>
  <si>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</si>
  <si>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</si>
  <si>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</si>
  <si>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</si>
  <si>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</si>
  <si>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</si>
  <si>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</si>
  <si>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</si>
  <si>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</si>
  <si>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</si>
  <si>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</si>
  <si>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</si>
  <si>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</si>
  <si>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</si>
  <si>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</si>
  <si>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</si>
  <si>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</si>
  <si>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</si>
  <si>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</si>
  <si>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</si>
  <si>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</si>
  <si>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</si>
  <si>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</si>
  <si>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</si>
  <si>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</si>
  <si>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</si>
  <si>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</si>
  <si>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</si>
  <si>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</si>
  <si>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</si>
  <si>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</si>
  <si>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</si>
  <si>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</si>
  <si>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</si>
  <si>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</si>
  <si>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</si>
  <si>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</si>
  <si>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</si>
  <si>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</si>
  <si>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</si>
  <si>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</si>
  <si>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</si>
  <si>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</si>
  <si>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</si>
  <si>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</si>
  <si>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</si>
  <si>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</si>
  <si>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</si>
  <si>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</si>
  <si>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</si>
  <si>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</si>
  <si>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</si>
  <si>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</si>
  <si>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</si>
  <si>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</si>
  <si>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</si>
  <si>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</si>
  <si>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</si>
  <si>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</si>
  <si>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</si>
  <si>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</si>
  <si>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</si>
  <si>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</si>
  <si>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</si>
  <si>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</si>
  <si>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</si>
  <si>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</si>
  <si>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</si>
  <si>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</si>
  <si>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</si>
  <si>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</si>
  <si>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</si>
  <si>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</si>
  <si>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</si>
  <si>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</si>
  <si>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</si>
  <si>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</si>
  <si>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</si>
  <si>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</si>
  <si>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</si>
  <si>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</si>
  <si>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</si>
  <si>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</si>
  <si>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</si>
  <si>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</si>
  <si>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</si>
  <si>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</si>
  <si>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</si>
  <si>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</si>
  <si>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</si>
  <si>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</si>
  <si>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</si>
  <si>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</si>
  <si>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</si>
  <si>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</si>
  <si>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</si>
  <si>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</si>
  <si>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</si>
  <si>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</si>
  <si>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</si>
  <si>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</si>
  <si>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</si>
  <si>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</si>
  <si>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</si>
  <si>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</si>
  <si>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</si>
  <si>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</si>
  <si>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</si>
  <si>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</si>
  <si>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</si>
  <si>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</si>
  <si>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</si>
  <si>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</si>
  <si>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</si>
  <si>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</si>
  <si>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</si>
  <si>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</si>
  <si>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</si>
  <si>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</si>
  <si>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</si>
  <si>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</si>
  <si>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</si>
  <si>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</si>
  <si>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</si>
  <si>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</si>
  <si>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</si>
  <si>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</si>
  <si>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</si>
  <si>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</si>
  <si>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</si>
  <si>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</si>
  <si>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</si>
  <si>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</si>
  <si>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</si>
  <si>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</si>
  <si>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</si>
  <si>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</si>
  <si>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</si>
  <si>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</si>
  <si>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</si>
  <si>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</si>
  <si>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</si>
  <si>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</si>
  <si>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</si>
  <si>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</si>
  <si>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</si>
  <si>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</si>
  <si>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</si>
  <si>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</si>
  <si>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</si>
  <si>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</si>
  <si>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</si>
  <si>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</si>
  <si>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</si>
  <si>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</si>
  <si>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</si>
  <si>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</si>
  <si>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</si>
  <si>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</si>
  <si>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</si>
  <si>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</si>
  <si>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</si>
  <si>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</si>
  <si>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</si>
  <si>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</si>
  <si>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</si>
  <si>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</si>
  <si>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</si>
  <si>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</si>
  <si>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</si>
  <si>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</si>
  <si>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</si>
  <si>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</si>
  <si>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</si>
  <si>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</si>
  <si>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</si>
  <si>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</si>
  <si>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</si>
  <si>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</si>
  <si>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</si>
  <si>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</si>
  <si>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</si>
  <si>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</si>
  <si>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</si>
  <si>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</si>
  <si>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</si>
  <si>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</si>
  <si>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</si>
  <si>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</si>
  <si>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</si>
  <si>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</si>
  <si>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</si>
  <si>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</si>
  <si>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</si>
  <si>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</si>
  <si>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</si>
  <si>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</si>
  <si>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</si>
  <si>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</si>
  <si>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</si>
  <si>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</si>
  <si>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</si>
  <si>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</si>
  <si>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</si>
  <si>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</si>
  <si>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</si>
  <si>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</si>
  <si>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</si>
  <si>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</si>
  <si>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</si>
  <si>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</si>
  <si>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</si>
  <si>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</si>
  <si>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</si>
  <si>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</si>
  <si>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</si>
  <si>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</si>
  <si>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</si>
  <si>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</si>
  <si>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</si>
  <si>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</si>
  <si>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</si>
  <si>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</si>
  <si>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</si>
  <si>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</si>
  <si>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</si>
  <si>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</si>
  <si>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</si>
  <si>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</si>
  <si>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</si>
  <si>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</si>
  <si>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</si>
  <si>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</si>
  <si>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</si>
  <si>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</si>
  <si>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</si>
  <si>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</si>
  <si>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</si>
  <si>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</si>
  <si>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</si>
  <si>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</si>
  <si>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</si>
  <si>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</si>
  <si>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</si>
  <si>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</si>
  <si>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</si>
  <si>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</si>
  <si>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</si>
  <si>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</si>
  <si>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</si>
  <si>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</si>
  <si>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</si>
  <si>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</si>
  <si>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</si>
  <si>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</si>
  <si>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</si>
  <si>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</si>
  <si>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</si>
  <si>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</si>
  <si>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</si>
  <si>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</si>
  <si>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</si>
  <si>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</si>
  <si>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</si>
  <si>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</si>
  <si>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</si>
  <si>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</si>
  <si>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</si>
  <si>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</si>
  <si>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</si>
  <si>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</si>
  <si>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</si>
  <si>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</si>
  <si>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</si>
  <si>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</si>
  <si>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</si>
  <si>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</si>
  <si>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</si>
  <si>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</si>
  <si>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</si>
  <si>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</si>
  <si>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</si>
  <si>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</si>
  <si>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</si>
  <si>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</si>
  <si>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</si>
  <si>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</si>
  <si>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</si>
  <si>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</si>
  <si>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</si>
  <si>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</si>
  <si>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</si>
  <si>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</si>
  <si>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</si>
  <si>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</si>
  <si>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</si>
  <si>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</si>
  <si>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</si>
  <si>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</si>
  <si>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</si>
  <si>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</si>
  <si>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</si>
  <si>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</si>
  <si>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</si>
  <si>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</si>
  <si>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</si>
  <si>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</si>
  <si>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</si>
  <si>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</si>
  <si>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</si>
  <si>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</si>
  <si>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</si>
  <si>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</si>
  <si>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</si>
  <si>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</si>
  <si>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</si>
  <si>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</si>
  <si>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</si>
  <si>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</si>
  <si>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</si>
  <si>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</si>
  <si>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</si>
  <si>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</si>
  <si>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</si>
  <si>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</si>
  <si>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</si>
  <si>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</si>
  <si>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</si>
  <si>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</si>
  <si>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</si>
  <si>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</si>
  <si>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</si>
  <si>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</si>
  <si>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</si>
  <si>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</si>
  <si>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</si>
  <si>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</si>
  <si>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</si>
  <si>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</si>
  <si>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</si>
  <si>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</si>
  <si>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</si>
  <si>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</si>
  <si>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</si>
  <si>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</si>
  <si>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</si>
  <si>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</si>
  <si>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</si>
  <si>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</si>
  <si>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</si>
  <si>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</si>
  <si>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</si>
  <si>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</si>
  <si>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</si>
  <si>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</si>
  <si>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</si>
  <si>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</si>
  <si>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</si>
  <si>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</si>
  <si>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</si>
  <si>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</si>
  <si>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</si>
  <si>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</si>
  <si>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</si>
  <si>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</si>
  <si>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</si>
  <si>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</si>
  <si>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</si>
  <si>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</si>
  <si>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</si>
  <si>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</si>
  <si>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</si>
  <si>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</si>
  <si>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</si>
  <si>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</si>
  <si>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</si>
  <si>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</si>
  <si>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</si>
  <si>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</si>
  <si>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</si>
  <si>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</si>
  <si>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</si>
  <si>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</si>
  <si>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</si>
  <si>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</si>
  <si>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</si>
  <si>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</si>
  <si>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</si>
  <si>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</si>
  <si>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</si>
  <si>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</si>
  <si>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</si>
  <si>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</si>
  <si>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</si>
  <si>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</si>
  <si>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</si>
  <si>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</si>
  <si>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</si>
  <si>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</si>
  <si>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</si>
  <si>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</si>
  <si>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</si>
  <si>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</si>
  <si>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</si>
  <si>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</si>
  <si>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</si>
  <si>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</si>
  <si>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</si>
  <si>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</si>
  <si>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</si>
  <si>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</si>
  <si>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</si>
  <si>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</si>
  <si>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</si>
  <si>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</si>
  <si>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</si>
  <si>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</si>
  <si>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</si>
  <si>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</si>
  <si>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</si>
  <si>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</si>
  <si>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</si>
  <si>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</si>
  <si>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</si>
  <si>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</si>
  <si>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</si>
  <si>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</si>
  <si>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</si>
  <si>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</si>
  <si>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</si>
  <si>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</si>
  <si>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</si>
  <si>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</si>
  <si>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</si>
  <si>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</si>
  <si>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</si>
  <si>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</si>
  <si>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</si>
  <si>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</si>
  <si>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</si>
  <si>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</si>
  <si>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</si>
  <si>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</si>
  <si>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</si>
  <si>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</si>
  <si>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</si>
  <si>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</si>
  <si>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</si>
  <si>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</si>
  <si>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</si>
  <si>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</si>
  <si>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</si>
  <si>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</si>
  <si>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</si>
  <si>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</si>
  <si>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</si>
  <si>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</si>
  <si>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</si>
  <si>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</si>
  <si>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</si>
  <si>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</si>
  <si>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</si>
  <si>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</si>
  <si>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</si>
  <si>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</si>
  <si>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</si>
  <si>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</si>
  <si>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</si>
  <si>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</si>
  <si>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</si>
  <si>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</si>
  <si>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</si>
  <si>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</si>
  <si>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</si>
  <si>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</si>
  <si>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</si>
  <si>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</si>
  <si>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</si>
  <si>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</si>
  <si>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</si>
  <si>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</si>
  <si>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</si>
  <si>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</si>
  <si>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</si>
  <si>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</si>
  <si>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</si>
  <si>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</si>
  <si>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</si>
  <si>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</si>
  <si>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</si>
  <si>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</si>
  <si>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</si>
  <si>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</si>
  <si>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</si>
  <si>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</si>
  <si>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</si>
  <si>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</si>
  <si>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</si>
  <si>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</si>
  <si>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</si>
  <si>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</si>
  <si>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</si>
  <si>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</si>
  <si>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</si>
  <si>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</si>
  <si>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</si>
  <si>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</si>
  <si>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</si>
  <si>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</si>
  <si>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</si>
  <si>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</si>
  <si>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</si>
  <si>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</si>
  <si>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</si>
  <si>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</si>
  <si>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</si>
  <si>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</si>
  <si>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</si>
  <si>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</si>
  <si>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</si>
  <si>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</si>
  <si>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</si>
  <si>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</si>
  <si>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</si>
  <si>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</si>
  <si>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</si>
  <si>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</si>
  <si>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</si>
  <si>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</si>
  <si>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</si>
  <si>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</si>
  <si>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</si>
  <si>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</si>
  <si>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</si>
  <si>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</si>
  <si>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</si>
  <si>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</si>
  <si>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</si>
  <si>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</si>
  <si>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</si>
  <si>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</si>
  <si>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</si>
  <si>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</si>
  <si>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</si>
  <si>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</si>
  <si>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</si>
  <si>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</si>
  <si>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</si>
  <si>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</si>
  <si>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</si>
  <si>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</si>
  <si>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</si>
  <si>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</si>
  <si>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</si>
  <si>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</si>
  <si>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</si>
  <si>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</si>
  <si>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</si>
  <si>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</si>
  <si>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</si>
  <si>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</si>
  <si>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</si>
  <si>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</si>
  <si>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</si>
  <si>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</si>
  <si>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</si>
  <si>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</si>
  <si>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</si>
  <si>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</si>
  <si>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</si>
  <si>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</si>
  <si>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</si>
  <si>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</si>
  <si>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</si>
  <si>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</si>
  <si>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</si>
  <si>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</si>
  <si>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</si>
  <si>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</si>
  <si>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</si>
  <si>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</si>
  <si>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</si>
  <si>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</si>
  <si>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</si>
  <si>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</si>
  <si>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</si>
  <si>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</si>
  <si>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</si>
  <si>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</si>
  <si>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</si>
  <si>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</si>
  <si>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</si>
  <si>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</si>
  <si>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</si>
  <si>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</si>
  <si>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</si>
  <si>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</si>
  <si>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</si>
  <si>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</si>
  <si>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</si>
  <si>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</si>
  <si>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</si>
  <si>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</si>
  <si>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</si>
  <si>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</si>
  <si>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</si>
  <si>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</si>
  <si>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</si>
  <si>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</si>
  <si>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</si>
  <si>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</si>
  <si>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</si>
  <si>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</si>
  <si>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</si>
  <si>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</si>
  <si>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</si>
  <si>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</si>
  <si>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</si>
  <si>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</si>
  <si>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</si>
  <si>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</si>
  <si>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</si>
  <si>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</si>
  <si>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</si>
  <si>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</si>
  <si>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</si>
  <si>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</si>
  <si>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</si>
  <si>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</si>
  <si>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</si>
  <si>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</si>
  <si>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</si>
  <si>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</si>
  <si>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</si>
  <si>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</si>
  <si>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</si>
  <si>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</si>
  <si>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</si>
  <si>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</si>
  <si>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</si>
  <si>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</si>
  <si>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</si>
  <si>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</si>
  <si>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</si>
  <si>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</si>
  <si>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</si>
  <si>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</si>
  <si>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</si>
  <si>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</si>
  <si>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</si>
  <si>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</si>
  <si>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</si>
  <si>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</si>
  <si>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</si>
  <si>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</si>
  <si>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</si>
  <si>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</si>
  <si>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</si>
  <si>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</si>
  <si>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</si>
  <si>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</si>
  <si>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</si>
  <si>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</si>
  <si>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</si>
  <si>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</si>
  <si>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</si>
  <si>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</si>
  <si>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</si>
  <si>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</si>
  <si>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</si>
  <si>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</si>
  <si>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</si>
  <si>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</si>
  <si>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</si>
  <si>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</si>
  <si>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</si>
  <si>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</si>
  <si>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</si>
  <si>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</si>
  <si>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</si>
  <si>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</si>
  <si>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</si>
  <si>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</si>
  <si>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</si>
  <si>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</si>
  <si>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</si>
  <si>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</si>
  <si>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</si>
  <si>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</si>
  <si>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</si>
  <si>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</si>
  <si>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</si>
  <si>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</si>
  <si>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</si>
  <si>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</si>
  <si>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</si>
  <si>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</si>
  <si>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</si>
  <si>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</si>
  <si>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</si>
  <si>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</si>
  <si>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</si>
  <si>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</si>
  <si>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</si>
  <si>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</si>
  <si>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</si>
  <si>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</si>
  <si>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</si>
  <si>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</si>
  <si>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</si>
  <si>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</si>
  <si>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</si>
  <si>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</si>
  <si>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</si>
  <si>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</si>
  <si>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</si>
  <si>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</si>
  <si>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</si>
  <si>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</si>
  <si>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</si>
  <si>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</si>
  <si>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</si>
  <si>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</si>
  <si>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</si>
  <si>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</si>
  <si>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</si>
  <si>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</si>
  <si>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</si>
  <si>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</si>
  <si>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</si>
  <si>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</si>
  <si>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</si>
  <si>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</si>
  <si>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</si>
  <si>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</si>
  <si>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</si>
  <si>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</si>
  <si>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</si>
  <si>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</si>
  <si>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</si>
  <si>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</si>
  <si>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</si>
  <si>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</si>
  <si>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</si>
  <si>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</si>
  <si>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</si>
  <si>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</si>
  <si>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</si>
  <si>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</si>
  <si>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</si>
  <si>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</si>
  <si>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</si>
  <si>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</si>
  <si>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</si>
  <si>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</si>
  <si>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</si>
  <si>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</si>
  <si>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</si>
  <si>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</si>
  <si>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</si>
  <si>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</si>
  <si>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</si>
  <si>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</si>
  <si>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</si>
  <si>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</si>
  <si>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</si>
  <si>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</si>
  <si>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</si>
  <si>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</si>
  <si>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</si>
  <si>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</si>
  <si>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</si>
  <si>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</si>
  <si>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</si>
  <si>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</si>
  <si>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</si>
  <si>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</si>
  <si>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</si>
  <si>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</si>
  <si>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</si>
  <si>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</si>
  <si>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</si>
  <si>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</si>
  <si>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</si>
  <si>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</si>
  <si>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</si>
  <si>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</si>
  <si>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</si>
  <si>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</si>
  <si>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</si>
  <si>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</si>
  <si>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</si>
  <si>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</si>
  <si>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</si>
  <si>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</si>
  <si>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</si>
  <si>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</si>
  <si>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</si>
  <si>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</si>
  <si>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</si>
  <si>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</si>
  <si>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</si>
  <si>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</si>
  <si>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</si>
  <si>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</si>
  <si>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</si>
  <si>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</si>
  <si>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</si>
  <si>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</si>
  <si>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</si>
  <si>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</si>
  <si>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</si>
  <si>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</si>
  <si>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</si>
  <si>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</si>
  <si>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</si>
  <si>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</si>
  <si>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</si>
  <si>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</si>
  <si>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</si>
  <si>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</si>
  <si>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</si>
  <si>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</si>
  <si>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</si>
  <si>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</si>
  <si>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</si>
  <si>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</si>
  <si>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</si>
  <si>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</si>
  <si>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</si>
  <si>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</si>
  <si>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</si>
  <si>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</si>
  <si>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</si>
  <si>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</si>
  <si>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</si>
  <si>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</si>
  <si>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</si>
  <si>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</si>
  <si>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</si>
  <si>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</si>
  <si>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</si>
  <si>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</si>
  <si>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</si>
  <si>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</si>
  <si>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</si>
  <si>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</si>
  <si>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</si>
  <si>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</si>
  <si>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</si>
  <si>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</si>
  <si>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</si>
  <si>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</si>
  <si>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</si>
  <si>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</si>
  <si>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</si>
  <si>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</si>
  <si>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</si>
  <si>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</si>
  <si>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</si>
  <si>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</si>
  <si>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</si>
  <si>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</si>
  <si>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</si>
  <si>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</si>
  <si>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</si>
  <si>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</si>
  <si>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</si>
  <si>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</si>
  <si>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</si>
  <si>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</si>
  <si>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</si>
  <si>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</si>
  <si>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</si>
  <si>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</si>
  <si>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</si>
  <si>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</si>
  <si>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</si>
  <si>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</si>
  <si>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</si>
  <si>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</si>
  <si>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</si>
  <si>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</si>
  <si>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</si>
  <si>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</si>
  <si>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</si>
  <si>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</si>
  <si>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</si>
  <si>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</si>
  <si>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</si>
  <si>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</si>
  <si>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</si>
  <si>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</si>
  <si>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</si>
  <si>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</si>
  <si>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</si>
  <si>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</si>
  <si>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</si>
  <si>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</si>
  <si>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</si>
  <si>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</si>
  <si>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</si>
  <si>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</si>
  <si>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</si>
  <si>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</si>
  <si>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</si>
  <si>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</si>
  <si>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</si>
  <si>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</si>
  <si>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</si>
  <si>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</si>
  <si>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</si>
  <si>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</si>
  <si>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</si>
  <si>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</si>
  <si>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</si>
  <si>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</si>
  <si>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</si>
  <si>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</si>
  <si>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</si>
  <si>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</si>
  <si>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</si>
  <si>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</si>
  <si>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</si>
  <si>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</si>
  <si>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</si>
  <si>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</si>
  <si>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</si>
  <si>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</si>
  <si>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</si>
  <si>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</si>
  <si>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</si>
  <si>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</si>
  <si>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</si>
  <si>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</si>
  <si>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</si>
  <si>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</si>
  <si>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</si>
  <si>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</si>
  <si>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</si>
  <si>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</si>
  <si>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</si>
  <si>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</si>
  <si>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</si>
  <si>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</si>
  <si>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</si>
  <si>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</si>
  <si>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</si>
  <si>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</si>
  <si>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</si>
  <si>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</si>
  <si>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</si>
  <si>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</si>
  <si>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</si>
  <si>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</si>
  <si>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</si>
  <si>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</si>
  <si>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</si>
  <si>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</si>
  <si>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</si>
  <si>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</si>
  <si>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</si>
  <si>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</si>
  <si>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</si>
  <si>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</si>
  <si>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</si>
  <si>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</si>
  <si>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</si>
  <si>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</si>
  <si>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</si>
  <si>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</si>
  <si>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</si>
  <si>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</si>
  <si>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</si>
  <si>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</si>
  <si>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</si>
  <si>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</si>
  <si>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</si>
  <si>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</si>
  <si>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</si>
  <si>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</si>
  <si>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</si>
  <si>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</si>
  <si>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</si>
  <si>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</si>
  <si>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</si>
  <si>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</si>
  <si>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</si>
  <si>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</si>
  <si>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</si>
  <si>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</si>
  <si>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</si>
  <si>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</si>
  <si>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</si>
  <si>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</si>
  <si>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</si>
  <si>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</si>
  <si>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</si>
  <si>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</si>
  <si>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</si>
  <si>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</si>
  <si>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</si>
  <si>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</si>
  <si>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</si>
  <si>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</si>
  <si>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</si>
  <si>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</si>
  <si>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</si>
  <si>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</si>
  <si>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</si>
  <si>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</si>
  <si>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</si>
  <si>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</si>
  <si>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</si>
  <si>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</si>
  <si>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</si>
  <si>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</si>
  <si>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</si>
  <si>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</si>
  <si>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</si>
  <si>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</si>
  <si>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</si>
  <si>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</si>
  <si>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</si>
  <si>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</si>
  <si>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</si>
  <si>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</si>
  <si>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</si>
  <si>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</si>
  <si>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</si>
  <si>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</si>
  <si>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</si>
  <si>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</si>
  <si>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</si>
  <si>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</si>
  <si>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</si>
  <si>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</si>
  <si>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</si>
  <si>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</si>
  <si>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</si>
  <si>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</si>
  <si>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</si>
  <si>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</si>
  <si>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</si>
  <si>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</si>
  <si>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</si>
  <si>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</si>
  <si>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</si>
  <si>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</si>
  <si>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</si>
  <si>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</si>
  <si>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</si>
  <si>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</si>
  <si>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</si>
  <si>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</si>
  <si>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</si>
  <si>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</si>
  <si>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</si>
  <si>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</si>
  <si>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</si>
  <si>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</si>
  <si>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</si>
  <si>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</si>
  <si>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</si>
  <si>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</si>
  <si>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</si>
  <si>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</si>
  <si>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</si>
  <si>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</si>
  <si>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</si>
  <si>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</si>
  <si>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</si>
  <si>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</si>
  <si>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</si>
  <si>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</si>
  <si>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</si>
  <si>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</si>
  <si>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</si>
  <si>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</si>
  <si>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</si>
  <si>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</si>
  <si>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</si>
  <si>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</si>
  <si>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</si>
  <si>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</si>
  <si>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</si>
  <si>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</si>
  <si>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</si>
  <si>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</si>
  <si>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</si>
  <si>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</si>
  <si>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</si>
  <si>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</si>
  <si>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</si>
  <si>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</si>
  <si>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</si>
  <si>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</si>
  <si>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</si>
  <si>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</si>
  <si>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</si>
  <si>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</si>
  <si>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</si>
  <si>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</si>
  <si>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</si>
  <si>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</si>
  <si>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</si>
  <si>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</si>
  <si>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</si>
  <si>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</si>
  <si>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</si>
  <si>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</si>
  <si>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</si>
  <si>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</si>
  <si>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</si>
  <si>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</si>
  <si>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</si>
  <si>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</si>
  <si>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</si>
  <si>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</si>
  <si>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</si>
  <si>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</si>
  <si>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</si>
  <si>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</si>
  <si>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</si>
  <si>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</si>
  <si>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</si>
  <si>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</si>
  <si>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</si>
  <si>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</si>
  <si>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</si>
  <si>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</si>
  <si>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</si>
  <si>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</si>
  <si>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</si>
  <si>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</si>
  <si>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</si>
  <si>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</si>
  <si>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</si>
  <si>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</si>
  <si>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</si>
  <si>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</si>
  <si>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</si>
  <si>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</si>
  <si>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</si>
  <si>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</si>
  <si>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</si>
  <si>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</si>
  <si>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</si>
  <si>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</si>
  <si>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</si>
  <si>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</si>
  <si>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</si>
  <si>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</si>
  <si>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</si>
  <si>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</si>
  <si>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</si>
  <si>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</si>
  <si>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</si>
  <si>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</si>
  <si>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</si>
  <si>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</si>
  <si>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</si>
  <si>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</si>
  <si>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</si>
  <si>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</si>
  <si>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</si>
  <si>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</si>
  <si>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</si>
  <si>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</si>
  <si>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</si>
  <si>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</si>
  <si>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</si>
  <si>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</si>
  <si>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</si>
  <si>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</si>
  <si>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</si>
  <si>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</si>
  <si>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</si>
  <si>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</si>
  <si>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</si>
  <si>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</si>
  <si>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</si>
  <si>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</si>
  <si>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</si>
  <si>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</si>
  <si>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</si>
  <si>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</si>
  <si>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</si>
  <si>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</si>
  <si>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</si>
  <si>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</si>
  <si>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</si>
  <si>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</si>
  <si>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</si>
  <si>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</si>
  <si>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</si>
  <si>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</si>
  <si>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</si>
  <si>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</si>
  <si>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</si>
  <si>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</si>
  <si>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</si>
  <si>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</si>
  <si>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</si>
  <si>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</si>
  <si>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</si>
  <si>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</si>
  <si>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</si>
  <si>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</si>
  <si>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</si>
  <si>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</si>
  <si>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</si>
  <si>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</si>
  <si>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</si>
  <si>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</si>
  <si>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</si>
  <si>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</si>
  <si>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</si>
  <si>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</si>
  <si>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</si>
  <si>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</si>
  <si>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</si>
  <si>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</si>
  <si>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</si>
  <si>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</si>
  <si>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</si>
  <si>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</si>
  <si>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</si>
  <si>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</si>
  <si>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</si>
  <si>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</si>
  <si>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</si>
  <si>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</si>
  <si>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</si>
  <si>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</si>
  <si>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</si>
  <si>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</si>
  <si>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</si>
  <si>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</si>
  <si>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</si>
  <si>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</si>
  <si>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</si>
  <si>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</si>
  <si>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</si>
  <si>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</si>
  <si>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</si>
  <si>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</si>
  <si>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</si>
  <si>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</si>
  <si>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</si>
  <si>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</si>
  <si>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</si>
  <si>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</si>
  <si>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</si>
  <si>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</si>
  <si>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</si>
  <si>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</si>
  <si>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</si>
  <si>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</si>
  <si>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</si>
  <si>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</si>
  <si>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</si>
  <si>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</si>
  <si>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</si>
  <si>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</si>
  <si>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</si>
  <si>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</si>
  <si>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</si>
  <si>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</si>
  <si>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</si>
  <si>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</si>
  <si>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</si>
  <si>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</si>
  <si>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</si>
  <si>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</si>
  <si>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</si>
  <si>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</si>
  <si>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</si>
  <si>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</si>
  <si>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</si>
  <si>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</si>
  <si>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</si>
  <si>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</si>
  <si>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</si>
  <si>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</si>
  <si>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</si>
  <si>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</si>
  <si>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</si>
  <si>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</si>
  <si>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</si>
  <si>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</si>
  <si>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</si>
  <si>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</si>
  <si>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</si>
  <si>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</si>
  <si>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</si>
  <si>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</si>
  <si>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</si>
  <si>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</si>
  <si>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</si>
  <si>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</si>
  <si>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</si>
  <si>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</si>
  <si>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</si>
  <si>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</si>
  <si>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</si>
  <si>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</si>
  <si>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</si>
  <si>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</si>
  <si>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</si>
  <si>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</si>
  <si>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</si>
  <si>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</si>
  <si>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</si>
  <si>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</si>
  <si>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</si>
  <si>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</si>
  <si>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</si>
  <si>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</si>
  <si>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</si>
  <si>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</si>
  <si>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</si>
  <si>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</si>
  <si>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</si>
  <si>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</si>
  <si>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</si>
  <si>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</si>
  <si>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</si>
  <si>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</si>
  <si>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</si>
  <si>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</si>
  <si>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</si>
  <si>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</si>
  <si>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</si>
  <si>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</si>
  <si>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</si>
  <si>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</si>
  <si>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</si>
  <si>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</si>
  <si>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</si>
  <si>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</si>
  <si>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</si>
  <si>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</si>
  <si>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</si>
  <si>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</si>
  <si>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</si>
  <si>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</si>
  <si>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</si>
  <si>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</si>
  <si>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</si>
  <si>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</si>
  <si>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</si>
  <si>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</si>
  <si>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</si>
  <si>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</si>
  <si>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</si>
  <si>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</si>
  <si>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</si>
  <si>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</si>
  <si>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</si>
  <si>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</si>
  <si>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</si>
  <si>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</si>
  <si>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</si>
  <si>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</si>
  <si>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</si>
  <si>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</si>
  <si>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</si>
  <si>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</si>
  <si>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</si>
  <si>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</si>
  <si>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</si>
  <si>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</si>
  <si>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</si>
  <si>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</si>
  <si>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</si>
  <si>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</si>
  <si>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</si>
  <si>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</si>
  <si>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</si>
  <si>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</si>
  <si>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</si>
  <si>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</si>
  <si>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</si>
  <si>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</si>
  <si>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</si>
  <si>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</si>
  <si>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</si>
  <si>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</si>
  <si>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</si>
  <si>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</si>
  <si>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</si>
  <si>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</si>
  <si>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</si>
  <si>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</si>
  <si>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</si>
  <si>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</si>
  <si>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</si>
  <si>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</si>
  <si>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</si>
  <si>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</si>
  <si>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</si>
  <si>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</si>
  <si>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</si>
  <si>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</si>
  <si>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</si>
  <si>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</si>
  <si>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</si>
  <si>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</si>
  <si>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</si>
  <si>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</si>
  <si>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</si>
  <si>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</si>
  <si>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</si>
  <si>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</si>
  <si>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</si>
  <si>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</si>
  <si>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</si>
  <si>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</si>
  <si>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</si>
  <si>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</si>
  <si>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</si>
  <si>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</si>
  <si>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</si>
  <si>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</si>
  <si>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</si>
  <si>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</si>
  <si>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</si>
  <si>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</si>
  <si>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</si>
  <si>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</si>
  <si>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</si>
  <si>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</si>
  <si>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</si>
  <si>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</si>
  <si>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</si>
  <si>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</si>
  <si>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</si>
  <si>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</si>
  <si>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</si>
  <si>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</si>
  <si>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</si>
  <si>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</si>
  <si>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</si>
  <si>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</si>
  <si>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</si>
  <si>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</si>
  <si>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</si>
  <si>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</si>
  <si>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</si>
  <si>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</si>
  <si>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</si>
  <si>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</si>
  <si>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</si>
  <si>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</si>
  <si>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</si>
  <si>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</si>
  <si>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</si>
  <si>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</si>
  <si>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</si>
  <si>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</si>
  <si>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</si>
  <si>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</si>
  <si>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</si>
  <si>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</si>
  <si>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</si>
  <si>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</si>
  <si>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</si>
  <si>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</si>
  <si>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</si>
  <si>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</si>
  <si>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</si>
  <si>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</si>
  <si>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</si>
  <si>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</si>
  <si>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</si>
  <si>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</si>
  <si>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</si>
  <si>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</si>
  <si>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</si>
  <si>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</si>
  <si>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</si>
  <si>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</si>
  <si>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</si>
  <si>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</si>
  <si>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</si>
  <si>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</si>
  <si>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</si>
  <si>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</si>
  <si>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</si>
  <si>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</si>
  <si>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</si>
  <si>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</si>
  <si>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</si>
  <si>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</si>
  <si>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</si>
  <si>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</si>
  <si>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</si>
  <si>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</si>
  <si>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</si>
  <si>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</si>
  <si>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</si>
  <si>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</si>
  <si>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</si>
  <si>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</si>
  <si>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</si>
  <si>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</si>
  <si>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</si>
  <si>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</si>
  <si>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</si>
  <si>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</si>
  <si>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</si>
  <si>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</si>
  <si>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</si>
  <si>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</si>
  <si>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</si>
  <si>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</si>
  <si>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</si>
  <si>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</si>
  <si>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</si>
  <si>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</si>
  <si>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</si>
  <si>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</si>
  <si>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</si>
  <si>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</si>
  <si>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</si>
  <si>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</si>
  <si>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</si>
  <si>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</si>
  <si>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</si>
  <si>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</si>
  <si>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</si>
  <si>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</si>
  <si>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</si>
  <si>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</si>
  <si>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</si>
  <si>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</si>
  <si>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</si>
  <si>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</si>
  <si>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</si>
  <si>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</si>
  <si>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</si>
  <si>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</si>
  <si>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</si>
  <si>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</si>
  <si>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</si>
  <si>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</si>
  <si>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</si>
  <si>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</si>
  <si>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</si>
  <si>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</si>
  <si>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</si>
  <si>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</si>
  <si>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</si>
  <si>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</si>
  <si>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</si>
  <si>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</si>
  <si>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</si>
  <si>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</si>
  <si>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</si>
  <si>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</si>
  <si>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</si>
  <si>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</si>
  <si>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</si>
  <si>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</si>
  <si>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</si>
  <si>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</si>
  <si>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</si>
  <si>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</si>
  <si>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</si>
  <si>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</si>
  <si>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</si>
  <si>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</si>
  <si>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</si>
  <si>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</si>
  <si>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</si>
  <si>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</si>
  <si>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</si>
  <si>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</si>
  <si>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</si>
  <si>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</si>
  <si>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</si>
  <si>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</si>
  <si>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</si>
  <si>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</si>
  <si>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</si>
  <si>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</si>
  <si>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</si>
  <si>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</si>
  <si>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</si>
  <si>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</si>
  <si>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</si>
  <si>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</si>
  <si>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</si>
  <si>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</si>
  <si>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</si>
  <si>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</si>
  <si>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</si>
  <si>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</si>
  <si>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</si>
  <si>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</si>
  <si>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</si>
  <si>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</si>
  <si>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</si>
  <si>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</si>
  <si>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</si>
  <si>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</si>
  <si>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</si>
  <si>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</si>
  <si>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</si>
  <si>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</si>
  <si>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</si>
  <si>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</si>
  <si>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</si>
  <si>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</si>
  <si>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</si>
  <si>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</si>
  <si>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</si>
  <si>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</si>
  <si>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</si>
  <si>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</si>
  <si>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</si>
  <si>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</si>
  <si>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</si>
  <si>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</si>
  <si>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</si>
  <si>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</si>
  <si>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</si>
  <si>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</si>
  <si>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</si>
  <si>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</si>
  <si>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</si>
  <si>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</si>
  <si>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</si>
  <si>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</si>
  <si>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</si>
  <si>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</si>
  <si>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</si>
  <si>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</si>
  <si>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</si>
  <si>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</si>
  <si>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</si>
  <si>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</si>
  <si>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</si>
  <si>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</si>
  <si>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</si>
  <si>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</si>
  <si>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</si>
  <si>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</si>
  <si>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</si>
  <si>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</si>
  <si>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</si>
  <si>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</si>
  <si>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</si>
  <si>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</si>
  <si>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</si>
  <si>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</si>
  <si>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</si>
  <si>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</si>
  <si>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</si>
  <si>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</si>
  <si>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</si>
  <si>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</si>
  <si>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</si>
  <si>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</si>
  <si>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</si>
  <si>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</si>
  <si>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</si>
  <si>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</si>
  <si>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</si>
  <si>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</si>
  <si>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</si>
  <si>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</si>
  <si>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</si>
  <si>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</si>
  <si>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</si>
  <si>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</si>
  <si>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</si>
  <si>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</si>
  <si>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</si>
  <si>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</si>
  <si>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</si>
  <si>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</si>
  <si>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</si>
  <si>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</si>
  <si>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</si>
  <si>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</si>
  <si>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</si>
  <si>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</si>
  <si>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</si>
  <si>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</si>
  <si>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</si>
  <si>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</si>
  <si>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</si>
  <si>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</si>
  <si>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</si>
  <si>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</si>
  <si>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</si>
  <si>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</si>
  <si>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</si>
  <si>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</si>
  <si>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</si>
  <si>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</si>
  <si>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</si>
  <si>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</si>
  <si>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</si>
  <si>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</si>
  <si>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</si>
  <si>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</si>
  <si>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</si>
  <si>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</si>
  <si>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</si>
  <si>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</si>
  <si>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</si>
  <si>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</si>
  <si>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</si>
  <si>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</si>
  <si>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</si>
  <si>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</si>
  <si>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</si>
  <si>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</si>
  <si>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</si>
  <si>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</si>
  <si>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</si>
  <si>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</si>
  <si>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</si>
  <si>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</si>
  <si>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</si>
  <si>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</si>
  <si>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</si>
  <si>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</si>
  <si>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</si>
  <si>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</si>
  <si>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</si>
  <si>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</si>
  <si>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</si>
  <si>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</si>
  <si>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</si>
  <si>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</si>
  <si>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</si>
  <si>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</si>
  <si>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</si>
  <si>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</si>
  <si>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</si>
  <si>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</si>
  <si>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</si>
  <si>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</si>
  <si>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</si>
  <si>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</si>
  <si>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</si>
  <si>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</si>
  <si>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</si>
  <si>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</si>
  <si>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</si>
  <si>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</si>
  <si>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</si>
  <si>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</si>
  <si>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</si>
  <si>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</si>
  <si>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</si>
  <si>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</si>
  <si>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</si>
  <si>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</si>
  <si>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</si>
  <si>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</si>
  <si>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</si>
  <si>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</si>
  <si>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</si>
  <si>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</si>
  <si>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</si>
  <si>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</si>
  <si>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</si>
  <si>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</si>
  <si>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</si>
  <si>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</si>
  <si>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</si>
  <si>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</si>
  <si>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</si>
  <si>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</si>
  <si>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</si>
  <si>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</si>
  <si>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</si>
  <si>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</si>
  <si>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</si>
  <si>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</si>
  <si>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</si>
  <si>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</si>
  <si>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</si>
  <si>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</si>
  <si>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</si>
  <si>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</si>
  <si>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</si>
  <si>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</si>
  <si>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</si>
  <si>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</si>
  <si>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</si>
  <si>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</si>
  <si>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</si>
  <si>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</si>
  <si>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</si>
  <si>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</si>
  <si>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</si>
  <si>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</si>
  <si>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</si>
  <si>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</si>
  <si>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</si>
  <si>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</si>
  <si>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</si>
  <si>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</si>
  <si>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</si>
  <si>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</si>
  <si>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</si>
  <si>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</si>
  <si>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</si>
  <si>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</si>
  <si>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</si>
  <si>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</si>
  <si>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</si>
  <si>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</si>
  <si>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</si>
  <si>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</si>
  <si>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</si>
  <si>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</si>
  <si>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</si>
  <si>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</si>
  <si>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</si>
  <si>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</si>
  <si>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</si>
  <si>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</si>
  <si>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</si>
  <si>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</si>
  <si>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</si>
  <si>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</si>
  <si>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</si>
  <si>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</si>
  <si>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</si>
  <si>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</si>
  <si>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</si>
  <si>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</si>
  <si>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</si>
  <si>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</si>
  <si>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</si>
  <si>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</si>
  <si>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</si>
  <si>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</si>
  <si>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</si>
  <si>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</si>
  <si>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</si>
  <si>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</si>
  <si>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</si>
  <si>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</si>
  <si>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</si>
  <si>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</si>
  <si>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</si>
  <si>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</si>
  <si>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</si>
  <si>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</si>
  <si>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</si>
  <si>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</si>
  <si>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</si>
  <si>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</si>
  <si>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</si>
  <si>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</si>
  <si>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</si>
  <si>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</si>
  <si>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</si>
  <si>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</si>
  <si>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</si>
  <si>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</si>
  <si>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</si>
  <si>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</si>
  <si>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</si>
  <si>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</si>
  <si>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</si>
  <si>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</si>
  <si>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</si>
  <si>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</si>
  <si>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</si>
  <si>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</si>
  <si>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</si>
  <si>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</si>
  <si>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</si>
  <si>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</si>
  <si>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</si>
  <si>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</si>
  <si>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</si>
  <si>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</si>
  <si>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</si>
  <si>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</si>
  <si>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</si>
  <si>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</si>
  <si>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</si>
  <si>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</si>
  <si>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</si>
  <si>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</si>
  <si>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</si>
  <si>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</si>
  <si>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</si>
  <si>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</si>
  <si>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</si>
  <si>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</si>
  <si>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</si>
  <si>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</si>
  <si>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</si>
  <si>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</si>
  <si>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</si>
  <si>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</si>
  <si>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</si>
  <si>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</si>
  <si>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</si>
  <si>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</si>
  <si>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</si>
  <si>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</si>
  <si>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</si>
  <si>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</si>
  <si>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</si>
  <si>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</si>
  <si>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</si>
  <si>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</si>
  <si>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</si>
  <si>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</si>
  <si>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</si>
  <si>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</si>
  <si>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</si>
  <si>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</si>
  <si>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</si>
  <si>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</si>
  <si>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</si>
  <si>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</si>
  <si>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</si>
  <si>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</si>
  <si>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</si>
  <si>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</si>
  <si>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</si>
  <si>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</si>
  <si>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</si>
  <si>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</si>
  <si>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</si>
  <si>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</si>
  <si>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</si>
  <si>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</si>
  <si>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</si>
  <si>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</si>
  <si>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</si>
  <si>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</si>
  <si>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</si>
  <si>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</si>
  <si>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</si>
  <si>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</si>
  <si>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</si>
  <si>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</si>
  <si>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</si>
  <si>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</si>
  <si>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</si>
  <si>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</si>
  <si>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</si>
  <si>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</si>
  <si>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</si>
  <si>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</si>
  <si>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</si>
  <si>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</si>
  <si>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</si>
  <si>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</si>
  <si>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</si>
  <si>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</si>
  <si>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</si>
  <si>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</si>
  <si>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</si>
  <si>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</si>
  <si>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</si>
  <si>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</si>
  <si>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</si>
  <si>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</si>
  <si>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</si>
  <si>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</si>
  <si>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</si>
  <si>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</si>
  <si>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</si>
  <si>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</si>
  <si>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</si>
  <si>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</si>
  <si>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</si>
  <si>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</si>
  <si>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</si>
  <si>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</si>
  <si>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</si>
  <si>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</si>
  <si>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</si>
  <si>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</si>
  <si>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</si>
  <si>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</si>
  <si>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</si>
  <si>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</si>
  <si>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</si>
  <si>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</si>
  <si>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</si>
  <si>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</si>
  <si>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</si>
  <si>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</si>
  <si>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</si>
  <si>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</si>
  <si>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</si>
  <si>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</si>
  <si>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</si>
  <si>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</si>
  <si>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</si>
  <si>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</si>
  <si>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</si>
  <si>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</si>
  <si>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</si>
  <si>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</si>
  <si>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</si>
  <si>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</si>
  <si>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</si>
  <si>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</si>
  <si>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</si>
  <si>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</si>
  <si>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</si>
  <si>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</si>
  <si>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</si>
  <si>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</si>
  <si>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</si>
  <si>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</si>
  <si>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</si>
  <si>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</si>
  <si>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</si>
  <si>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</si>
  <si>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</si>
  <si>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</si>
  <si>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</si>
  <si>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</si>
  <si>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</si>
  <si>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</si>
  <si>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</si>
  <si>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</si>
  <si>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</si>
  <si>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</si>
  <si>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</si>
  <si>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</si>
  <si>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</si>
  <si>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</si>
  <si>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</si>
  <si>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</si>
  <si>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</si>
  <si>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</si>
  <si>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</si>
  <si>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</si>
  <si>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</si>
  <si>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</si>
  <si>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</si>
  <si>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</si>
  <si>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</si>
  <si>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</si>
  <si>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</si>
  <si>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</si>
  <si>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</si>
  <si>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</si>
  <si>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</si>
  <si>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</si>
  <si>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</si>
  <si>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</si>
  <si>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</si>
  <si>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</si>
  <si>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</si>
  <si>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</si>
  <si>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</si>
  <si>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</si>
  <si>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</si>
  <si>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</si>
  <si>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</si>
  <si>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</si>
  <si>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</si>
  <si>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</si>
  <si>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</si>
  <si>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</si>
  <si>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</si>
  <si>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</si>
  <si>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</si>
  <si>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</si>
  <si>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</si>
  <si>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</si>
  <si>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</si>
  <si>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</si>
  <si>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</si>
  <si>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</si>
  <si>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</si>
  <si>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</si>
  <si>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</si>
  <si>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</si>
  <si>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</si>
  <si>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</si>
  <si>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</si>
  <si>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</si>
  <si>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</si>
  <si>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</si>
  <si>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</si>
  <si>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</si>
  <si>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</si>
  <si>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</si>
  <si>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</si>
  <si>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</si>
  <si>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</si>
  <si>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</si>
  <si>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</si>
  <si>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</si>
  <si>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</si>
  <si>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</si>
  <si>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</si>
  <si>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</si>
  <si>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</si>
  <si>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</si>
  <si>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</si>
  <si>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</si>
  <si>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</si>
  <si>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</si>
  <si>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</si>
  <si>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</si>
  <si>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</si>
  <si>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</si>
  <si>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</si>
  <si>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</si>
  <si>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</si>
  <si>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</si>
  <si>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</si>
  <si>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</si>
  <si>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</si>
  <si>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</si>
  <si>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</si>
  <si>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</si>
  <si>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</si>
  <si>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</si>
  <si>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</si>
  <si>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</si>
  <si>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</si>
  <si>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</si>
  <si>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</si>
  <si>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</si>
  <si>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</si>
  <si>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</si>
  <si>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</si>
  <si>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</si>
  <si>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</si>
  <si>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</si>
  <si>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</si>
  <si>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</si>
  <si>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</si>
  <si>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</si>
  <si>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</si>
  <si>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</si>
  <si>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</si>
  <si>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</si>
  <si>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</si>
  <si>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</si>
  <si>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</si>
  <si>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</si>
  <si>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</si>
  <si>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</si>
  <si>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</si>
  <si>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</si>
  <si>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</si>
  <si>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</si>
  <si>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</si>
  <si>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</si>
  <si>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</si>
  <si>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</si>
  <si>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</si>
  <si>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</si>
  <si>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</si>
  <si>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</si>
  <si>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</si>
  <si>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</si>
  <si>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</si>
  <si>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</si>
  <si>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</si>
  <si>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</si>
  <si>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</si>
  <si>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</si>
  <si>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</si>
  <si>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</si>
  <si>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</si>
  <si>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</si>
  <si>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</si>
  <si>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</si>
  <si>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</si>
  <si>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</si>
  <si>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</si>
  <si>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</si>
  <si>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</si>
  <si>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</si>
  <si>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</si>
  <si>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</si>
  <si>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</si>
  <si>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</si>
  <si>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</si>
  <si>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</si>
  <si>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</si>
  <si>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</si>
  <si>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</si>
  <si>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</si>
  <si>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</si>
  <si>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</si>
  <si>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</si>
  <si>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</si>
  <si>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</si>
  <si>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</si>
  <si>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</si>
  <si>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</si>
  <si>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</si>
  <si>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</si>
  <si>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</si>
  <si>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</si>
  <si>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</si>
  <si>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</si>
  <si>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</si>
  <si>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</si>
  <si>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</si>
  <si>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</si>
  <si>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</si>
  <si>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</si>
  <si>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</si>
  <si>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</si>
  <si>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</si>
  <si>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</si>
  <si>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</si>
  <si>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</si>
  <si>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</si>
  <si>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</si>
  <si>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</si>
  <si>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</si>
  <si>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</si>
  <si>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</si>
  <si>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</si>
  <si>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</si>
  <si>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</si>
  <si>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</si>
  <si>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</si>
  <si>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</si>
  <si>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</si>
  <si>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</si>
  <si>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</si>
  <si>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</si>
  <si>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</si>
  <si>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</si>
  <si>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</si>
  <si>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</si>
  <si>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</si>
  <si>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</si>
  <si>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</si>
  <si>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</si>
  <si>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</si>
  <si>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</si>
  <si>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</si>
  <si>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</si>
  <si>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</si>
  <si>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</si>
  <si>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</si>
  <si>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</si>
  <si>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</si>
  <si>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</si>
  <si>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</si>
  <si>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</si>
  <si>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</si>
  <si>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</si>
  <si>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</si>
  <si>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</si>
  <si>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</si>
  <si>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</si>
  <si>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</si>
  <si>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</si>
  <si>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</si>
  <si>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</si>
  <si>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</si>
  <si>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</si>
  <si>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</si>
  <si>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</si>
  <si>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</si>
  <si>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</si>
  <si>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</si>
  <si>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</si>
  <si>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</si>
  <si>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</si>
  <si>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</si>
  <si>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</si>
  <si>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</si>
  <si>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</si>
  <si>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</si>
  <si>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</si>
  <si>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</si>
  <si>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</si>
  <si>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</si>
  <si>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</si>
  <si>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</si>
  <si>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</si>
  <si>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</si>
  <si>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</si>
  <si>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</si>
  <si>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</si>
  <si>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</si>
  <si>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</si>
  <si>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</si>
  <si>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</si>
  <si>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</si>
  <si>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</si>
  <si>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</si>
  <si>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</si>
  <si>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</si>
  <si>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</si>
  <si>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</si>
  <si>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</si>
  <si>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</si>
  <si>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</si>
  <si>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</si>
  <si>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</si>
  <si>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</si>
  <si>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</si>
  <si>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</si>
  <si>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</si>
  <si>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</si>
  <si>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</si>
  <si>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</si>
  <si>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</si>
  <si>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</si>
  <si>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</si>
  <si>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</si>
  <si>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</si>
  <si>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</si>
  <si>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</si>
  <si>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</si>
  <si>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</si>
  <si>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</si>
  <si>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</si>
  <si>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</si>
  <si>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</si>
  <si>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</si>
  <si>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</si>
  <si>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</si>
  <si>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</si>
  <si>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</si>
  <si>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</si>
  <si>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</si>
  <si>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</si>
  <si>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</si>
  <si>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</si>
  <si>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</si>
  <si>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</si>
  <si>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</si>
  <si>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</si>
  <si>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</si>
  <si>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</si>
  <si>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</si>
  <si>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</si>
  <si>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</si>
  <si>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</si>
  <si>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</si>
  <si>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</si>
  <si>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</si>
  <si>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</si>
  <si>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</si>
  <si>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</si>
  <si>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</si>
  <si>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</si>
  <si>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</si>
  <si>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</si>
  <si>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</si>
  <si>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</si>
  <si>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</si>
  <si>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</si>
  <si>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</si>
  <si>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</si>
  <si>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</si>
  <si>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</si>
  <si>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</si>
  <si>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</si>
  <si>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</si>
  <si>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</si>
  <si>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</si>
  <si>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</si>
  <si>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</si>
  <si>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</si>
  <si>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</si>
  <si>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</si>
  <si>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</si>
  <si>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</si>
  <si>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</si>
  <si>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</si>
  <si>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</si>
  <si>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</si>
  <si>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</si>
  <si>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</si>
  <si>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</si>
  <si>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</si>
  <si>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</si>
  <si>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</si>
  <si>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</si>
  <si>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</si>
  <si>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</si>
  <si>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</si>
  <si>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</si>
  <si>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</si>
  <si>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</si>
  <si>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</si>
  <si>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</si>
  <si>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</si>
  <si>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</si>
  <si>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</si>
  <si>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</si>
  <si>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</si>
  <si>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</si>
  <si>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</si>
  <si>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</si>
  <si>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</si>
  <si>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</si>
  <si>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</si>
  <si>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</si>
  <si>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</si>
  <si>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</si>
  <si>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</si>
  <si>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</si>
  <si>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</si>
  <si>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</si>
  <si>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</si>
  <si>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</si>
  <si>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</si>
  <si>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</si>
  <si>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</si>
  <si>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</si>
  <si>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</si>
  <si>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</si>
  <si>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</si>
  <si>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</si>
  <si>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</si>
  <si>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</si>
  <si>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</si>
  <si>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</si>
  <si>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</si>
  <si>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</si>
  <si>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</si>
  <si>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</si>
  <si>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</si>
  <si>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</si>
  <si>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</si>
  <si>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</si>
  <si>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</si>
  <si>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</si>
  <si>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</si>
  <si>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</si>
  <si>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</si>
  <si>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</si>
  <si>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</si>
  <si>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</si>
  <si>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</si>
  <si>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</si>
  <si>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</si>
  <si>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</si>
  <si>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</si>
  <si>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</si>
  <si>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</si>
  <si>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</si>
  <si>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</si>
  <si>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</si>
  <si>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</si>
  <si>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</si>
  <si>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</si>
  <si>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</si>
  <si>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</si>
  <si>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</si>
  <si>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</si>
  <si>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</si>
  <si>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</si>
  <si>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</si>
  <si>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</si>
  <si>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</si>
  <si>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</si>
  <si>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</si>
  <si>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</si>
  <si>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</si>
  <si>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</si>
  <si>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</si>
  <si>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</si>
  <si>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</si>
  <si>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</si>
  <si>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</si>
  <si>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</si>
  <si>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</si>
  <si>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</si>
  <si>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</si>
  <si>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</si>
  <si>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</si>
  <si>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</si>
  <si>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</si>
  <si>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</si>
  <si>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</si>
  <si>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</si>
  <si>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</si>
  <si>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</si>
  <si>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</si>
  <si>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</si>
  <si>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</si>
  <si>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</si>
  <si>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</si>
  <si>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</si>
  <si>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</si>
  <si>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</si>
  <si>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</si>
  <si>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</si>
  <si>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</si>
  <si>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</si>
  <si>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</si>
  <si>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</si>
  <si>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</si>
  <si>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</si>
  <si>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</si>
  <si>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</si>
  <si>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</si>
  <si>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</si>
  <si>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</si>
  <si>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</si>
  <si>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</si>
  <si>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</si>
  <si>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</si>
  <si>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</si>
  <si>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</si>
  <si>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</si>
  <si>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</si>
  <si>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</si>
  <si>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</si>
  <si>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</si>
  <si>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</si>
  <si>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</si>
  <si>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</si>
  <si>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</si>
  <si>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</si>
  <si>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</si>
  <si>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</si>
  <si>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</si>
  <si>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</si>
  <si>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</si>
  <si>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</si>
  <si>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</si>
  <si>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</si>
  <si>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</si>
  <si>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</si>
  <si>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</si>
  <si>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</si>
  <si>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</si>
  <si>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</si>
  <si>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</si>
  <si>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</si>
  <si>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</si>
  <si>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</si>
  <si>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</si>
  <si>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</si>
  <si>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</si>
  <si>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</si>
  <si>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</si>
  <si>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</si>
  <si>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</si>
  <si>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</si>
  <si>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</si>
  <si>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</si>
  <si>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</si>
  <si>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</si>
  <si>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</si>
  <si>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</si>
  <si>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</si>
  <si>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</si>
  <si>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</si>
  <si>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</si>
  <si>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</si>
  <si>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</si>
  <si>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</si>
  <si>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</si>
  <si>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</si>
  <si>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</si>
  <si>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</si>
  <si>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</si>
  <si>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</si>
  <si>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</si>
  <si>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</si>
  <si>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</si>
  <si>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</si>
  <si>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</si>
  <si>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</si>
  <si>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</si>
  <si>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</si>
  <si>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</si>
  <si>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</si>
  <si>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</si>
  <si>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</si>
  <si>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</si>
  <si>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</si>
  <si>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</si>
  <si>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</si>
  <si>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</si>
  <si>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</si>
  <si>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</si>
  <si>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</si>
  <si>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</si>
  <si>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</si>
  <si>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</si>
  <si>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</si>
  <si>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</si>
  <si>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</si>
  <si>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</si>
  <si>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</si>
  <si>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</si>
  <si>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</si>
  <si>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</si>
  <si>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</si>
  <si>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</si>
  <si>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</si>
  <si>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</si>
  <si>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</si>
  <si>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</si>
  <si>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</si>
  <si>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</si>
  <si>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</si>
  <si>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</si>
  <si>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</si>
  <si>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</si>
  <si>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</si>
  <si>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</si>
  <si>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</si>
  <si>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</si>
  <si>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</si>
  <si>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</si>
  <si>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</si>
  <si>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</si>
  <si>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</si>
  <si>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</si>
  <si>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</si>
  <si>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</si>
  <si>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</si>
  <si>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</si>
  <si>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</si>
  <si>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</si>
  <si>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</si>
  <si>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</si>
  <si>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</si>
  <si>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</si>
  <si>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</si>
  <si>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</si>
  <si>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</si>
  <si>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</si>
  <si>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</si>
  <si>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</si>
  <si>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</si>
  <si>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</si>
  <si>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</si>
  <si>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</si>
  <si>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</si>
  <si>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</si>
  <si>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</si>
  <si>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</si>
  <si>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</si>
  <si>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</si>
  <si>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</si>
  <si>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</si>
  <si>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</si>
  <si>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</si>
  <si>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</si>
  <si>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</si>
  <si>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</si>
  <si>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</si>
  <si>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</si>
  <si>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</si>
  <si>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</si>
  <si>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</si>
  <si>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</si>
  <si>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</si>
  <si>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</si>
  <si>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</si>
  <si>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</si>
  <si>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</si>
  <si>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</si>
  <si>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</si>
  <si>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</si>
  <si>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</si>
  <si>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</si>
  <si>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</si>
  <si>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</si>
  <si>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</si>
  <si>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</si>
  <si>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</si>
  <si>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</si>
  <si>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</si>
  <si>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</si>
  <si>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</si>
  <si>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</si>
  <si>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</si>
  <si>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</si>
  <si>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</si>
  <si>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</si>
  <si>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</si>
  <si>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</si>
  <si>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</si>
  <si>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</si>
  <si>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</si>
  <si>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</si>
  <si>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</si>
  <si>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</si>
  <si>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</si>
  <si>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</si>
  <si>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</si>
  <si>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</si>
  <si>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</si>
  <si>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</si>
  <si>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</si>
  <si>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</si>
  <si>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</si>
  <si>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</si>
  <si>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</si>
  <si>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</si>
  <si>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</si>
  <si>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</si>
  <si>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</si>
  <si>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</si>
  <si>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</si>
  <si>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</si>
  <si>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</si>
  <si>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</si>
  <si>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</si>
  <si>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</si>
  <si>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</si>
  <si>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</si>
  <si>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</si>
  <si>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</si>
  <si>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</si>
  <si>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</si>
  <si>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</si>
  <si>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</si>
  <si>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</si>
  <si>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</si>
  <si>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</si>
  <si>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</si>
  <si>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</si>
  <si>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</si>
  <si>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</si>
  <si>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</si>
  <si>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</si>
  <si>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</si>
  <si>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</si>
  <si>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</si>
  <si>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</si>
  <si>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</si>
  <si>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</si>
  <si>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</si>
  <si>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</si>
  <si>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</si>
  <si>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</si>
  <si>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</si>
  <si>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</si>
  <si>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</si>
  <si>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</si>
  <si>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</si>
  <si>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</si>
  <si>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</si>
  <si>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</si>
  <si>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</si>
  <si>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</si>
  <si>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</si>
  <si>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</si>
  <si>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</si>
  <si>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</si>
  <si>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</si>
  <si>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</si>
  <si>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</si>
  <si>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</si>
  <si>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</si>
  <si>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</si>
  <si>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</si>
  <si>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</si>
  <si>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</si>
  <si>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</si>
  <si>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</si>
  <si>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</si>
  <si>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</si>
  <si>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</si>
  <si>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</si>
  <si>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</si>
  <si>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</si>
  <si>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</si>
  <si>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</si>
  <si>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</si>
  <si>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</si>
  <si>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</si>
  <si>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</si>
  <si>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</si>
  <si>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</si>
  <si>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</si>
  <si>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</si>
  <si>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</si>
  <si>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</si>
  <si>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</si>
  <si>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</si>
  <si>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</si>
  <si>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</si>
  <si>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</si>
  <si>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</si>
  <si>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</si>
  <si>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</si>
  <si>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</si>
  <si>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</si>
  <si>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</si>
  <si>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</si>
  <si>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</si>
  <si>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</si>
  <si>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</si>
  <si>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</si>
  <si>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</si>
  <si>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</si>
  <si>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</si>
  <si>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</si>
  <si>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</si>
  <si>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</si>
  <si>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</si>
  <si>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</si>
  <si>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</si>
  <si>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</si>
  <si>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</si>
  <si>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</si>
  <si>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</si>
  <si>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</si>
  <si>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</si>
  <si>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</si>
  <si>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</si>
  <si>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</si>
  <si>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</si>
  <si>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</si>
  <si>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</si>
  <si>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</si>
  <si>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</si>
  <si>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</si>
  <si>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</si>
  <si>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</si>
  <si>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</si>
  <si>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</si>
  <si>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</si>
  <si>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</si>
  <si>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</si>
  <si>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</si>
  <si>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</si>
  <si>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</si>
  <si>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</si>
  <si>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</si>
  <si>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</si>
  <si>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</si>
  <si>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</si>
  <si>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</si>
  <si>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</si>
  <si>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</si>
  <si>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</si>
  <si>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</si>
  <si>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</si>
  <si>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</si>
  <si>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</si>
  <si>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</si>
  <si>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</si>
  <si>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</si>
  <si>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</si>
  <si>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</si>
  <si>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</si>
  <si>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</si>
  <si>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</si>
  <si>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</si>
  <si>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</si>
  <si>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</si>
  <si>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</si>
  <si>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</si>
  <si>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</si>
  <si>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</si>
  <si>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</si>
  <si>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</si>
  <si>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</si>
  <si>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</si>
  <si>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</si>
  <si>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</si>
  <si>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</si>
  <si>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</si>
  <si>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</si>
  <si>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</si>
  <si>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</si>
  <si>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</si>
  <si>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</si>
  <si>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</si>
  <si>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</si>
  <si>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</si>
  <si>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</si>
  <si>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</si>
  <si>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</si>
  <si>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</si>
  <si>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</si>
  <si>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</si>
  <si>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</si>
  <si>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</si>
  <si>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</si>
  <si>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</si>
  <si>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</si>
  <si>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</si>
  <si>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</si>
  <si>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</si>
  <si>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</si>
  <si>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</si>
  <si>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</si>
  <si>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</si>
  <si>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</si>
  <si>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</si>
  <si>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</si>
  <si>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</si>
  <si>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</si>
  <si>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</si>
  <si>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</si>
  <si>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</si>
  <si>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</si>
  <si>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</si>
  <si>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</si>
  <si>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</si>
  <si>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</si>
  <si>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</si>
  <si>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</si>
  <si>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</si>
  <si>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</si>
  <si>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</si>
  <si>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</si>
  <si>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</si>
  <si>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</si>
  <si>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</si>
  <si>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</si>
  <si>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</si>
  <si>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</si>
  <si>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</si>
  <si>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</si>
  <si>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</si>
  <si>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</si>
  <si>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</si>
  <si>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</si>
  <si>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</si>
  <si>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</si>
  <si>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</si>
  <si>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</si>
  <si>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</si>
  <si>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</si>
  <si>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</si>
  <si>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</si>
  <si>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</si>
  <si>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</si>
  <si>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</si>
  <si>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</si>
  <si>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</si>
  <si>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</si>
  <si>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</si>
  <si>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</si>
  <si>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</si>
  <si>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</si>
  <si>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</si>
  <si>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</si>
  <si>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</si>
  <si>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</si>
  <si>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</si>
  <si>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</si>
  <si>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</si>
  <si>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</si>
  <si>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</si>
  <si>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</si>
  <si>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</si>
  <si>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</si>
  <si>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</si>
  <si>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</si>
  <si>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</si>
  <si>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</si>
  <si>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</si>
  <si>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</si>
  <si>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</si>
  <si>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</si>
  <si>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</si>
  <si>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</si>
  <si>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</si>
  <si>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</si>
  <si>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</si>
  <si>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</si>
  <si>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</si>
  <si>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</si>
  <si>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</si>
  <si>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</si>
  <si>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</si>
  <si>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</si>
  <si>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</si>
  <si>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</si>
  <si>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</si>
  <si>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</si>
  <si>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</si>
  <si>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</si>
  <si>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</si>
  <si>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</si>
  <si>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</si>
  <si>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</si>
  <si>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</si>
  <si>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</si>
  <si>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</si>
  <si>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</si>
  <si>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</si>
  <si>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</si>
  <si>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</si>
  <si>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</si>
  <si>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</si>
  <si>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</si>
  <si>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</si>
  <si>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</si>
  <si>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</si>
  <si>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</si>
  <si>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</si>
  <si>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</si>
  <si>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</si>
  <si>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</si>
  <si>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</si>
  <si>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</si>
  <si>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</si>
  <si>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</si>
  <si>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</si>
  <si>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</si>
  <si>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</si>
  <si>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</si>
  <si>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</si>
  <si>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</si>
  <si>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</si>
  <si>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</si>
  <si>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</si>
  <si>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</si>
  <si>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</si>
  <si>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</si>
  <si>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</si>
  <si>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</si>
  <si>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</si>
  <si>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</si>
  <si>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</si>
  <si>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</si>
  <si>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</si>
  <si>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</si>
  <si>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</si>
  <si>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</si>
  <si>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</si>
  <si>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</si>
  <si>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</si>
  <si>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</si>
  <si>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</si>
  <si>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</si>
  <si>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</si>
  <si>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</si>
  <si>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</si>
  <si>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</si>
  <si>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</si>
  <si>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</si>
  <si>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</si>
  <si>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</si>
  <si>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</si>
  <si>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</si>
  <si>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</si>
  <si>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</si>
  <si>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</si>
  <si>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</si>
  <si>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</si>
  <si>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</si>
  <si>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</si>
  <si>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</si>
  <si>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</si>
  <si>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</si>
  <si>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</si>
  <si>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</si>
  <si>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</si>
  <si>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</si>
  <si>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</si>
  <si>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</si>
  <si>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</si>
  <si>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</si>
  <si>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</si>
  <si>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</si>
  <si>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</si>
  <si>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</si>
  <si>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</si>
  <si>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</si>
  <si>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</si>
  <si>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</si>
  <si>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</si>
  <si>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</si>
  <si>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</si>
  <si>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</si>
  <si>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</si>
  <si>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</si>
  <si>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</si>
  <si>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</si>
  <si>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</si>
  <si>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</si>
  <si>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</si>
  <si>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</si>
  <si>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</si>
  <si>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</si>
  <si>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</si>
  <si>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</si>
  <si>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</si>
  <si>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</si>
  <si>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</si>
  <si>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</si>
  <si>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</si>
  <si>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</si>
  <si>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</si>
  <si>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</si>
  <si>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</si>
  <si>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</si>
  <si>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</si>
  <si>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</si>
  <si>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</si>
  <si>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</si>
  <si>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</si>
  <si>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</si>
  <si>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</si>
  <si>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</si>
  <si>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</si>
  <si>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</si>
  <si>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</si>
  <si>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</si>
  <si>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</si>
  <si>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</si>
  <si>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</si>
  <si>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</si>
  <si>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</si>
  <si>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</si>
  <si>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</si>
  <si>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</si>
  <si>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</si>
  <si>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</si>
  <si>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</si>
  <si>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</si>
  <si>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</si>
  <si>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</si>
  <si>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</si>
  <si>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</si>
  <si>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</si>
  <si>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</si>
  <si>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</si>
  <si>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</si>
  <si>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</si>
  <si>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</si>
  <si>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</si>
  <si>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</si>
  <si>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</si>
  <si>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</si>
  <si>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</si>
  <si>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</si>
  <si>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</si>
  <si>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</si>
  <si>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</si>
  <si>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</si>
  <si>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</si>
  <si>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</si>
  <si>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</si>
  <si>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</si>
  <si>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</si>
  <si>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</si>
  <si>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</si>
  <si>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</si>
  <si>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</si>
  <si>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</si>
  <si>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</si>
  <si>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</si>
  <si>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</si>
  <si>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</si>
  <si>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</si>
  <si>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</si>
  <si>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</si>
  <si>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</si>
  <si>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</si>
  <si>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</si>
  <si>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</si>
  <si>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</si>
  <si>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</si>
  <si>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</si>
  <si>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</si>
  <si>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</si>
  <si>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</si>
  <si>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</si>
  <si>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</si>
  <si>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</si>
  <si>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</si>
  <si>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</si>
  <si>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</si>
  <si>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</si>
  <si>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</si>
  <si>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</si>
  <si>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</si>
  <si>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</si>
  <si>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</si>
  <si>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</si>
  <si>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</si>
  <si>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</si>
  <si>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</si>
  <si>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</si>
  <si>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</si>
  <si>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</si>
  <si>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</si>
  <si>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</si>
  <si>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</si>
  <si>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</si>
  <si>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</si>
  <si>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</si>
  <si>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</si>
  <si>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</si>
  <si>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</si>
  <si>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</si>
  <si>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</si>
  <si>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</si>
  <si>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</si>
  <si>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</si>
  <si>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</si>
  <si>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</si>
  <si>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</si>
  <si>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</si>
  <si>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</si>
  <si>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</si>
  <si>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</si>
  <si>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</si>
  <si>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</si>
  <si>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</si>
  <si>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</si>
  <si>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</si>
  <si>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</si>
  <si>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</si>
  <si>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</si>
  <si>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</si>
  <si>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</si>
  <si>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</si>
  <si>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</si>
  <si>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</si>
  <si>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</si>
  <si>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</si>
  <si>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</si>
  <si>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</si>
  <si>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</si>
  <si>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</si>
  <si>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</si>
  <si>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</si>
  <si>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</si>
  <si>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</si>
  <si>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</si>
  <si>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</si>
  <si>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</si>
  <si>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</si>
  <si>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</si>
  <si>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</si>
  <si>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</si>
  <si>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</si>
  <si>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</si>
  <si>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</si>
  <si>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</si>
  <si>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</si>
  <si>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</si>
  <si>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</si>
  <si>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</si>
  <si>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</si>
  <si>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</si>
  <si>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</si>
  <si>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</si>
  <si>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</si>
  <si>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</si>
  <si>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</si>
  <si>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</si>
  <si>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</si>
  <si>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</si>
  <si>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</si>
  <si>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</si>
  <si>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</si>
  <si>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</si>
  <si>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</si>
  <si>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</si>
  <si>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</si>
  <si>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</si>
  <si>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</si>
  <si>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</si>
  <si>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</si>
  <si>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</si>
  <si>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</si>
  <si>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</si>
  <si>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</si>
  <si>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</si>
  <si>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</si>
  <si>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</si>
  <si>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</si>
  <si>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</si>
  <si>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</si>
  <si>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</si>
  <si>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</si>
  <si>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</si>
  <si>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</si>
  <si>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</si>
  <si>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</si>
  <si>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</si>
  <si>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</si>
  <si>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</si>
  <si>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</si>
  <si>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</si>
  <si>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</si>
  <si>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</si>
  <si>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</si>
  <si>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</si>
  <si>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</si>
  <si>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</si>
  <si>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</si>
  <si>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</si>
  <si>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</si>
  <si>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</si>
  <si>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</si>
  <si>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</si>
  <si>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</si>
  <si>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</si>
  <si>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</si>
  <si>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</si>
  <si>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</si>
  <si>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</si>
  <si>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</si>
  <si>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</si>
  <si>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</si>
  <si>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</si>
  <si>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</si>
  <si>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</si>
  <si>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</si>
  <si>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</si>
  <si>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</si>
  <si>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</si>
  <si>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</si>
  <si>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</si>
  <si>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</si>
  <si>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</si>
  <si>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</si>
  <si>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</si>
  <si>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</si>
  <si>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</si>
  <si>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</si>
  <si>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</si>
  <si>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</si>
  <si>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</si>
  <si>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</si>
  <si>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</si>
  <si>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</si>
  <si>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</si>
  <si>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</si>
  <si>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</si>
  <si>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</si>
  <si>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</si>
  <si>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</si>
  <si>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</si>
  <si>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</si>
  <si>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</si>
  <si>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</si>
  <si>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</si>
  <si>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</si>
  <si>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</si>
  <si>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</si>
  <si>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</si>
  <si>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</si>
  <si>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</si>
  <si>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</si>
  <si>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</si>
  <si>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</si>
  <si>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</si>
  <si>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</si>
  <si>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</si>
  <si>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</si>
  <si>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</si>
  <si>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</si>
  <si>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</si>
  <si>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</si>
  <si>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</si>
  <si>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</si>
  <si>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</si>
  <si>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</si>
  <si>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</si>
  <si>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</si>
  <si>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</si>
  <si>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</si>
  <si>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</si>
  <si>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</si>
  <si>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</si>
  <si>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</si>
  <si>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</si>
  <si>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</si>
  <si>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</si>
  <si>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</si>
  <si>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</si>
  <si>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</si>
  <si>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</si>
  <si>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</si>
  <si>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</si>
  <si>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</si>
  <si>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</si>
  <si>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</si>
  <si>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</si>
  <si>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</si>
  <si>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</si>
  <si>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</si>
  <si>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</si>
  <si>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</si>
  <si>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</si>
  <si>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</si>
  <si>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</si>
  <si>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</si>
  <si>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</si>
  <si>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</si>
  <si>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</si>
  <si>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</si>
  <si>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</si>
  <si>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</si>
  <si>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</si>
  <si>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</si>
  <si>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</si>
  <si>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</si>
  <si>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</si>
  <si>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</si>
  <si>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</si>
  <si>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</si>
  <si>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</si>
  <si>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</si>
  <si>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</si>
  <si>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</si>
  <si>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</si>
  <si>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</si>
  <si>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</si>
  <si>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</si>
  <si>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</si>
  <si>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</si>
  <si>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</si>
  <si>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</si>
  <si>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</si>
  <si>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</si>
  <si>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</si>
  <si>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</si>
  <si>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</si>
  <si>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</si>
  <si>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</si>
  <si>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</si>
  <si>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</si>
  <si>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</si>
  <si>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</si>
  <si>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</si>
  <si>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</si>
  <si>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</si>
  <si>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</si>
  <si>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</si>
  <si>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</si>
  <si>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</si>
  <si>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</si>
  <si>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</si>
  <si>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</si>
  <si>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</si>
  <si>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</si>
  <si>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</si>
  <si>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</si>
  <si>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</si>
  <si>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</si>
  <si>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</si>
  <si>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</si>
  <si>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</si>
  <si>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</si>
  <si>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</si>
  <si>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</si>
  <si>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</si>
  <si>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</si>
  <si>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</si>
  <si>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</si>
  <si>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</si>
  <si>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</si>
  <si>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</si>
  <si>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</si>
  <si>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</si>
  <si>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</si>
  <si>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</si>
  <si>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</si>
  <si>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</si>
  <si>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</si>
  <si>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</si>
  <si>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</si>
  <si>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</si>
  <si>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</si>
  <si>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</si>
  <si>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</si>
  <si>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</si>
  <si>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</si>
  <si>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</si>
  <si>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</si>
  <si>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</si>
  <si>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</si>
  <si>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</si>
  <si>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</si>
  <si>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</si>
  <si>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</si>
  <si>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</si>
  <si>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</si>
  <si>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</si>
  <si>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</si>
  <si>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</si>
  <si>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</si>
  <si>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</si>
  <si>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</si>
  <si>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</si>
  <si>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</si>
  <si>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</si>
  <si>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</si>
  <si>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</si>
  <si>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</si>
  <si>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</si>
  <si>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</si>
  <si>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</si>
  <si>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</si>
  <si>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</si>
  <si>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</si>
  <si>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</si>
  <si>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</si>
  <si>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</si>
  <si>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</si>
  <si>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</si>
  <si>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</si>
  <si>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</si>
  <si>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</si>
  <si>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</si>
  <si>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</si>
  <si>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</si>
  <si>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</si>
  <si>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</si>
  <si>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</si>
  <si>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</si>
  <si>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</si>
  <si>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</si>
  <si>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</si>
  <si>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</si>
  <si>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</si>
  <si>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</si>
  <si>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</si>
  <si>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</si>
  <si>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</si>
  <si>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</si>
  <si>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</si>
  <si>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</si>
  <si>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</si>
  <si>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</si>
  <si>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</si>
  <si>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</si>
  <si>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</si>
  <si>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</si>
  <si>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</si>
  <si>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</si>
  <si>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</si>
  <si>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</si>
  <si>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</si>
  <si>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</si>
  <si>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</si>
  <si>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</si>
  <si>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</si>
  <si>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</si>
  <si>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</si>
  <si>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</si>
  <si>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</si>
  <si>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</si>
  <si>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</si>
  <si>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</si>
  <si>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</si>
  <si>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</si>
  <si>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</si>
  <si>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</si>
  <si>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</si>
  <si>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</si>
  <si>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</si>
  <si>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</si>
  <si>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</si>
  <si>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</si>
  <si>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</si>
  <si>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</si>
  <si>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</si>
  <si>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</si>
  <si>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</si>
  <si>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</si>
  <si>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</si>
  <si>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</si>
  <si>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</si>
  <si>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</si>
  <si>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</si>
  <si>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</si>
  <si>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</si>
  <si>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</si>
  <si>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</si>
  <si>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</si>
  <si>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</si>
  <si>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</si>
  <si>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</si>
  <si>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</si>
  <si>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</si>
  <si>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</si>
  <si>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</si>
  <si>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</si>
  <si>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</si>
  <si>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</si>
  <si>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</si>
  <si>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</si>
  <si>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</si>
  <si>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</si>
  <si>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</si>
  <si>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</si>
  <si>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</si>
  <si>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</si>
  <si>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</si>
  <si>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</si>
  <si>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</si>
  <si>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</si>
  <si>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</si>
  <si>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</si>
  <si>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</si>
  <si>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</si>
  <si>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</si>
  <si>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</si>
  <si>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</si>
  <si>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</si>
  <si>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</si>
  <si>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</si>
  <si>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</si>
  <si>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</si>
  <si>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</si>
  <si>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</si>
  <si>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</si>
  <si>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</si>
  <si>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</si>
  <si>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</si>
  <si>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</si>
  <si>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</si>
  <si>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</si>
  <si>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</si>
  <si>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</si>
  <si>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</si>
  <si>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</si>
  <si>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</si>
  <si>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</si>
  <si>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</si>
  <si>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</si>
  <si>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</si>
  <si>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</si>
  <si>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</si>
  <si>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</si>
  <si>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</si>
  <si>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</si>
  <si>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</si>
  <si>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</si>
  <si>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</si>
  <si>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</si>
  <si>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</si>
  <si>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</si>
  <si>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</si>
  <si>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</si>
  <si>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</si>
  <si>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</si>
  <si>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</si>
  <si>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</si>
  <si>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</si>
  <si>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</si>
  <si>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</si>
  <si>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</si>
  <si>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</si>
  <si>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</si>
  <si>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</si>
  <si>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</si>
  <si>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</si>
  <si>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</si>
  <si>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</si>
  <si>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</si>
  <si>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</si>
  <si>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</si>
  <si>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</si>
  <si>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</si>
  <si>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</si>
  <si>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</si>
  <si>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</si>
  <si>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</si>
  <si>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</si>
  <si>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</si>
  <si>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</si>
  <si>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</si>
  <si>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</si>
  <si>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</si>
  <si>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</si>
  <si>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</si>
  <si>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</si>
  <si>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</si>
  <si>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</si>
  <si>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</si>
  <si>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</si>
  <si>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</si>
  <si>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</si>
  <si>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</si>
  <si>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</si>
  <si>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</si>
  <si>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</si>
  <si>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</si>
  <si>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</si>
  <si>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</si>
  <si>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</si>
  <si>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</si>
  <si>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</si>
  <si>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</si>
  <si>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</si>
  <si>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</si>
  <si>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</si>
  <si>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</si>
  <si>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</si>
  <si>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</si>
  <si>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</si>
  <si>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</si>
  <si>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</si>
  <si>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</si>
  <si>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</si>
  <si>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</si>
  <si>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</si>
  <si>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</si>
  <si>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</si>
  <si>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</si>
  <si>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</si>
  <si>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</si>
  <si>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</si>
  <si>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</si>
  <si>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</si>
  <si>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</si>
  <si>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</si>
  <si>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</si>
  <si>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</si>
  <si>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</si>
  <si>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</si>
  <si>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</si>
  <si>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</si>
  <si>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</si>
  <si>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</si>
  <si>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</si>
  <si>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</si>
  <si>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</si>
  <si>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</si>
  <si>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</si>
  <si>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</si>
  <si>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</si>
  <si>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</si>
  <si>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</si>
  <si>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</si>
  <si>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</si>
  <si>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</si>
  <si>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</si>
  <si>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</si>
  <si>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</si>
  <si>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</si>
  <si>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</si>
  <si>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</si>
  <si>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</si>
  <si>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</si>
  <si>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</si>
  <si>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</si>
  <si>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</si>
  <si>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</si>
  <si>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</si>
  <si>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</si>
  <si>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</si>
  <si>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</si>
  <si>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</si>
  <si>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</si>
  <si>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</si>
  <si>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</si>
  <si>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</si>
  <si>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</si>
  <si>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</si>
  <si>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</si>
  <si>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</si>
  <si>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</si>
  <si>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</si>
  <si>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</si>
  <si>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</si>
  <si>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</si>
  <si>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</si>
  <si>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</si>
  <si>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</si>
  <si>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</si>
  <si>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</si>
  <si>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</si>
  <si>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</si>
  <si>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</si>
  <si>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</si>
  <si>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</si>
  <si>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</si>
  <si>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</si>
  <si>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</si>
  <si>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</si>
  <si>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</si>
  <si>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</si>
  <si>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</si>
  <si>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</si>
  <si>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</si>
  <si>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</si>
  <si>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</si>
  <si>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</si>
  <si>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</si>
  <si>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</si>
  <si>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</si>
  <si>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</si>
  <si>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</si>
  <si>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</si>
  <si>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</si>
  <si>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</si>
  <si>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</si>
  <si>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</si>
  <si>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</si>
  <si>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</si>
  <si>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</si>
  <si>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</si>
  <si>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</si>
  <si>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</si>
  <si>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</si>
  <si>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</si>
  <si>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</si>
  <si>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</si>
  <si>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</si>
  <si>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</si>
  <si>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</si>
  <si>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</si>
  <si>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</si>
  <si>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</si>
  <si>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</si>
  <si>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</si>
  <si>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</si>
  <si>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</si>
  <si>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</si>
  <si>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</si>
  <si>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</si>
  <si>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</si>
  <si>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</si>
  <si>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</si>
  <si>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</si>
  <si>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</si>
  <si>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</si>
  <si>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</si>
  <si>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</si>
  <si>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</si>
  <si>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</si>
  <si>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</si>
  <si>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</si>
  <si>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</si>
  <si>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</si>
  <si>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</si>
  <si>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</si>
  <si>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</si>
  <si>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</si>
  <si>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</si>
  <si>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</si>
  <si>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</si>
  <si>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</si>
  <si>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</si>
  <si>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</si>
  <si>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</si>
  <si>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</si>
  <si>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</si>
  <si>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</si>
  <si>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</si>
  <si>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</si>
  <si>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</si>
  <si>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</si>
  <si>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</si>
  <si>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</si>
  <si>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</si>
  <si>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</si>
  <si>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</si>
  <si>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</si>
  <si>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</si>
  <si>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</si>
  <si>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</si>
  <si>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</si>
  <si>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</si>
  <si>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</si>
  <si>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</si>
  <si>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</si>
  <si>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</si>
  <si>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</si>
  <si>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</si>
  <si>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</si>
  <si>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</si>
  <si>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</si>
  <si>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</si>
  <si>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</si>
  <si>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</si>
  <si>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</si>
  <si>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</si>
  <si>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</si>
  <si>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</si>
  <si>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</si>
  <si>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</si>
  <si>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</si>
  <si>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</si>
  <si>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</si>
  <si>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</si>
  <si>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</si>
  <si>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</si>
  <si>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</si>
  <si>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</si>
  <si>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</si>
  <si>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</si>
  <si>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</si>
  <si>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</si>
  <si>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</si>
  <si>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</si>
  <si>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</si>
  <si>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</si>
  <si>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</si>
  <si>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</si>
  <si>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</si>
  <si>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</si>
  <si>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</si>
  <si>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</si>
  <si>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</si>
  <si>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</si>
  <si>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</si>
  <si>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</si>
  <si>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</si>
  <si>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</si>
  <si>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</si>
  <si>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</si>
  <si>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</si>
  <si>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</si>
  <si>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</si>
  <si>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</si>
  <si>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</si>
  <si>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</si>
  <si>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</si>
  <si>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</si>
  <si>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</si>
  <si>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</si>
  <si>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</si>
  <si>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</si>
  <si>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</si>
  <si>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</si>
  <si>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</si>
  <si>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</si>
  <si>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</si>
  <si>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</si>
  <si>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</si>
  <si>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</si>
  <si>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</si>
  <si>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</si>
  <si>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</si>
  <si>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</si>
  <si>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</si>
  <si>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</si>
  <si>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</si>
  <si>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</si>
  <si>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</si>
  <si>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</si>
  <si>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</si>
  <si>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</si>
  <si>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</si>
  <si>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</si>
  <si>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</si>
  <si>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</si>
  <si>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</si>
  <si>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</si>
  <si>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</si>
  <si>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</si>
  <si>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</si>
  <si>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</si>
  <si>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</si>
  <si>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</si>
  <si>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</si>
  <si>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</si>
  <si>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</si>
  <si>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</si>
  <si>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</si>
  <si>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</si>
  <si>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</si>
  <si>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</si>
  <si>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</si>
  <si>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</si>
  <si>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</si>
  <si>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</si>
  <si>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</si>
  <si>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</si>
  <si>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</si>
  <si>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</si>
  <si>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</si>
  <si>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</si>
  <si>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</si>
  <si>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</si>
  <si>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</si>
  <si>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</si>
  <si>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</si>
  <si>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</si>
  <si>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</si>
  <si>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</si>
  <si>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</si>
  <si>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</si>
  <si>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</si>
  <si>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</si>
  <si>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</si>
  <si>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</si>
  <si>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</si>
  <si>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</si>
  <si>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</si>
  <si>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</si>
  <si>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</si>
  <si>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</si>
  <si>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</si>
  <si>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</si>
  <si>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</si>
  <si>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</si>
  <si>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</si>
  <si>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</si>
  <si>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</si>
  <si>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</si>
  <si>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</si>
  <si>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</si>
  <si>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</si>
  <si>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</si>
  <si>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</si>
  <si>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</si>
  <si>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</si>
  <si>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</si>
  <si>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</si>
  <si>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</si>
  <si>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</si>
  <si>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</si>
  <si>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</si>
  <si>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</si>
  <si>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</si>
  <si>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</si>
  <si>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</si>
  <si>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</si>
  <si>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</si>
  <si>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</si>
  <si>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</si>
  <si>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</si>
  <si>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</si>
  <si>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</si>
  <si>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</si>
  <si>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</si>
  <si>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</si>
  <si>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</si>
  <si>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</si>
  <si>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</si>
  <si>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</si>
  <si>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</si>
  <si>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</si>
  <si>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</si>
  <si>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</si>
  <si>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</si>
  <si>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</si>
  <si>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</si>
  <si>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</si>
  <si>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</si>
  <si>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</si>
  <si>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</si>
  <si>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</si>
  <si>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</si>
  <si>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</si>
  <si>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</si>
  <si>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</si>
  <si>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</si>
  <si>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</si>
  <si>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</si>
  <si>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</si>
  <si>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</si>
  <si>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</si>
  <si>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</si>
  <si>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</si>
  <si>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</si>
  <si>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</si>
  <si>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</si>
  <si>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</si>
  <si>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</si>
  <si>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</si>
  <si>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</si>
  <si>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</si>
  <si>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</si>
  <si>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</si>
  <si>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</si>
  <si>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</si>
  <si>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</si>
  <si>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</si>
  <si>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</si>
  <si>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</si>
  <si>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</si>
  <si>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</si>
  <si>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</si>
  <si>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</si>
  <si>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</si>
  <si>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</si>
  <si>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</si>
  <si>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</si>
  <si>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</si>
  <si>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</si>
  <si>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</si>
  <si>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</si>
  <si>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</si>
  <si>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</si>
  <si>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</si>
  <si>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</si>
  <si>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</si>
  <si>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</si>
  <si>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</si>
  <si>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</si>
  <si>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</si>
  <si>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</si>
  <si>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</si>
  <si>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</si>
  <si>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</si>
  <si>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</si>
  <si>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</si>
  <si>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</si>
  <si>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</si>
  <si>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</si>
  <si>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</si>
  <si>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</si>
  <si>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</si>
  <si>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</si>
  <si>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</si>
  <si>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</si>
  <si>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</si>
  <si>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</si>
  <si>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</si>
  <si>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</si>
  <si>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</si>
  <si>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</si>
  <si>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</si>
  <si>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</si>
  <si>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</si>
  <si>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</si>
  <si>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</si>
  <si>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</si>
  <si>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</si>
  <si>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</si>
  <si>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</si>
  <si>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</si>
  <si>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</si>
  <si>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</si>
  <si>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</si>
  <si>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</si>
  <si>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</si>
  <si>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</si>
  <si>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</si>
  <si>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</si>
  <si>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</si>
  <si>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</si>
  <si>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</si>
  <si>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</si>
  <si>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</si>
  <si>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</si>
  <si>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</si>
  <si>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</si>
  <si>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</si>
  <si>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</si>
  <si>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</si>
  <si>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</si>
  <si>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</si>
  <si>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</si>
  <si>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</si>
  <si>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</si>
  <si>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</si>
  <si>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</si>
  <si>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</si>
  <si>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</si>
  <si>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</si>
  <si>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</si>
  <si>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</si>
  <si>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</si>
  <si>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</si>
  <si>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</si>
  <si>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</si>
  <si>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</si>
  <si>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</si>
  <si>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</si>
  <si>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</si>
  <si>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</si>
  <si>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</si>
  <si>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</si>
  <si>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</si>
  <si>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</si>
  <si>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</si>
  <si>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</si>
  <si>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</si>
  <si>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</si>
  <si>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</si>
  <si>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</si>
  <si>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</si>
  <si>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</si>
  <si>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</si>
  <si>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</si>
  <si>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</si>
  <si>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</si>
  <si>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</si>
  <si>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</si>
  <si>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</si>
  <si>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</si>
  <si>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</si>
  <si>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</si>
  <si>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</si>
  <si>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</si>
  <si>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</si>
  <si>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</si>
  <si>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</si>
  <si>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</si>
  <si>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</si>
  <si>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</si>
  <si>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</si>
  <si>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</si>
  <si>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</si>
  <si>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</si>
  <si>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</si>
  <si>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</si>
  <si>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</si>
  <si>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</si>
  <si>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</si>
  <si>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</si>
  <si>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</si>
  <si>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</si>
  <si>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</si>
  <si>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</si>
  <si>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</si>
  <si>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</si>
  <si>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</si>
  <si>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</si>
  <si>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</si>
  <si>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</si>
  <si>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</si>
  <si>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</si>
  <si>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</si>
  <si>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</si>
  <si>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</si>
  <si>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</si>
  <si>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</si>
  <si>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</si>
  <si>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</si>
  <si>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</si>
  <si>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</si>
  <si>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</si>
  <si>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</si>
  <si>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</si>
  <si>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</si>
  <si>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</si>
  <si>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</si>
  <si>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</si>
  <si>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</si>
  <si>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</si>
  <si>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</si>
  <si>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</si>
  <si>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</si>
  <si>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</si>
  <si>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</si>
  <si>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</si>
  <si>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</si>
  <si>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</si>
  <si>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</si>
  <si>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</si>
  <si>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</si>
  <si>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</si>
  <si>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</si>
  <si>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</si>
  <si>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</si>
  <si>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</si>
  <si>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</si>
  <si>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</si>
  <si>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</si>
  <si>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</si>
  <si>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</si>
  <si>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</si>
  <si>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</si>
  <si>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</si>
  <si>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</si>
  <si>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</si>
  <si>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</si>
  <si>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</si>
  <si>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</si>
  <si>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</si>
  <si>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</si>
  <si>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</si>
  <si>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</si>
  <si>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</si>
  <si>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</si>
  <si>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</si>
  <si>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</si>
  <si>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</si>
  <si>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</si>
  <si>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</si>
  <si>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</si>
  <si>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</si>
  <si>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</si>
  <si>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</si>
  <si>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</si>
  <si>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</si>
  <si>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</si>
  <si>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</si>
  <si>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</si>
  <si>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</si>
  <si>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</si>
  <si>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</si>
  <si>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</si>
  <si>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</si>
  <si>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</si>
  <si>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</si>
  <si>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</si>
  <si>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</si>
  <si>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</si>
  <si>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</si>
  <si>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</si>
  <si>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</si>
  <si>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</si>
  <si>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</si>
  <si>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</si>
  <si>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</si>
  <si>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</si>
  <si>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</si>
  <si>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</si>
  <si>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</si>
  <si>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</si>
  <si>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</si>
  <si>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</si>
  <si>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</si>
  <si>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</si>
  <si>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</si>
  <si>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</si>
  <si>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</si>
  <si>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</si>
  <si>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</si>
  <si>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</si>
  <si>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</si>
  <si>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</si>
  <si>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</si>
  <si>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</si>
  <si>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</si>
  <si>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</si>
  <si>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</si>
  <si>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</si>
  <si>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</si>
  <si>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</si>
  <si>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</si>
  <si>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</si>
  <si>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</si>
  <si>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</si>
  <si>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</si>
  <si>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</si>
  <si>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</si>
  <si>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</si>
  <si>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</si>
  <si>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</si>
  <si>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</si>
  <si>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</si>
  <si>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</si>
  <si>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</si>
  <si>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</si>
  <si>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</si>
  <si>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</si>
  <si>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</si>
  <si>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</si>
  <si>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</si>
  <si>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</si>
  <si>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</si>
  <si>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</si>
  <si>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</si>
  <si>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</si>
  <si>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</si>
  <si>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</si>
  <si>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</si>
  <si>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</si>
  <si>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</si>
  <si>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</si>
  <si>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</si>
  <si>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</si>
  <si>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</si>
  <si>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</si>
  <si>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</si>
  <si>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</si>
  <si>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</si>
  <si>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</si>
  <si>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</si>
  <si>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</si>
  <si>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</si>
  <si>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</si>
  <si>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</si>
  <si>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</si>
  <si>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</si>
  <si>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</si>
  <si>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</si>
  <si>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</si>
  <si>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</si>
  <si>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</si>
  <si>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</si>
  <si>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</si>
  <si>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</si>
  <si>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</si>
  <si>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</si>
  <si>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</si>
  <si>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</si>
  <si>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</si>
  <si>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</si>
  <si>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</si>
  <si>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</si>
  <si>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</si>
  <si>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</si>
  <si>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</si>
  <si>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</si>
  <si>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</si>
  <si>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</si>
  <si>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</si>
  <si>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</si>
  <si>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</si>
  <si>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</si>
  <si>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</si>
  <si>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</si>
  <si>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</si>
  <si>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</si>
  <si>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</si>
  <si>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</si>
  <si>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</si>
  <si>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</si>
  <si>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</si>
  <si>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</si>
  <si>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</si>
  <si>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</si>
  <si>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</si>
  <si>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</si>
  <si>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</si>
  <si>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</si>
  <si>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</si>
  <si>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</si>
  <si>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</si>
  <si>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</si>
  <si>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</si>
  <si>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</si>
  <si>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</si>
  <si>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</si>
  <si>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</si>
  <si>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</si>
  <si>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</si>
  <si>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</si>
  <si>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</si>
  <si>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</si>
  <si>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</si>
  <si>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</si>
  <si>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</si>
  <si>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</si>
  <si>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</si>
  <si>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</si>
  <si>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</si>
  <si>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</si>
  <si>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</si>
  <si>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</si>
  <si>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</si>
  <si>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</si>
  <si>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</si>
  <si>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</si>
  <si>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</si>
  <si>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</si>
  <si>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</si>
  <si>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</si>
  <si>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</si>
  <si>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</si>
  <si>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</si>
  <si>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</si>
  <si>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</si>
  <si>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</si>
  <si>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</si>
  <si>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</si>
  <si>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</si>
  <si>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</si>
  <si>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</si>
  <si>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</si>
  <si>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</si>
  <si>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</si>
  <si>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</si>
  <si>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</si>
  <si>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</si>
  <si>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</si>
  <si>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</si>
  <si>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</si>
  <si>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стояла в слепой зоне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</si>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</sst>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508"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04" tableType="queryTable" totalsRowShown="0">
  <tableColumns count="14">
    <tableColumn id="11" xr3:uid="{6F8E650D-029B-40AD-86B4-92C160128A4F}" uniqueName="11" name="День нед" queryTableFieldId="39" dataDxfId="55"/>
    <tableColumn id="8" xr3:uid="{7C2AA400-8F21-45B7-B47D-9CF2CFB5DD00}" uniqueName="8" name="Дата" queryTableFieldId="19" dataDxfId="54"/>
    <tableColumn id="9" xr3:uid="{7CB7ABF0-C98D-49E4-A494-985A43D5F40F}" uniqueName="9" name="Время" queryTableFieldId="20" dataDxfId="53"/>
    <tableColumn id="5" xr3:uid="{613A944B-9245-4C6D-9CCE-5037AD552DED}" uniqueName="5" name="Событие" queryTableFieldId="27" dataDxfId="507"/>
    <tableColumn id="7" xr3:uid="{FFEA85A5-3527-4483-91CE-57F760AB9F33}" uniqueName="7" name="Объект" queryTableFieldId="29" dataDxfId="506"/>
    <tableColumn id="10" xr3:uid="{A2E2C27E-C1B2-4B74-A427-E1854B0E2C76}" uniqueName="10" name="Груз" queryTableFieldId="30" dataDxfId="50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504"/>
    <tableColumn id="4" xr3:uid="{B2B57637-8A7D-4C5F-A6F8-E38F3EA43620}" uniqueName="4" name="Name" queryTableFieldId="14" dataDxfId="503"/>
    <tableColumn id="1" xr3:uid="{79275791-6385-434B-9F1B-8BDC003824A7}" uniqueName="1" name="Folder Path" queryTableFieldId="11" dataDxfId="50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5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50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32" tableType="queryTable" totalsRowShown="0">
  <autoFilter ref="A1:M132" xr:uid="{B468AF39-21AE-47BD-BA18-EADB2FC1D520}"/>
  <tableColumns count="13">
    <tableColumn id="11" xr3:uid="{6804E693-7D64-41A5-9B58-B7D348C4DC92}" uniqueName="11" name="День нед" queryTableFieldId="39" dataDxfId="51"/>
    <tableColumn id="8" xr3:uid="{40827FD9-94EC-4CF6-B212-59CF3E913897}" uniqueName="8" name="Дата" queryTableFieldId="19" dataDxfId="50"/>
    <tableColumn id="9" xr3:uid="{1F8E8ADE-5BFB-4171-9A0A-859E22042D3B}" uniqueName="9" name="Время" queryTableFieldId="20" dataDxfId="49"/>
    <tableColumn id="5" xr3:uid="{9D19F2E1-3C70-4F2F-8ED7-6D41C17A9366}" uniqueName="5" name="Событие" queryTableFieldId="27" dataDxfId="500"/>
    <tableColumn id="7" xr3:uid="{8C8CC69A-BA0A-4417-AE7D-B89E26F69F9B}" uniqueName="7" name="Объект" queryTableFieldId="29" dataDxfId="499"/>
    <tableColumn id="10" xr3:uid="{375C36FB-077D-4AA3-B6F7-74ACE46C2638}" uniqueName="10" name="Груз" queryTableFieldId="30" dataDxfId="498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497"/>
    <tableColumn id="4" xr3:uid="{4A5BB282-D54C-4C68-A1D9-B3A819F9FCF6}" uniqueName="4" name="Name" queryTableFieldId="14" dataDxfId="496"/>
    <tableColumn id="1" xr3:uid="{7BD19058-41FF-4EFE-8283-68501A5B1623}" uniqueName="1" name="Folder Path" queryTableFieldId="11" dataDxfId="495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4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74" tableType="queryTable" totalsRowShown="0">
  <autoFilter ref="A1:M74" xr:uid="{B468AF39-21AE-47BD-BA18-EADB2FC1D520}"/>
  <tableColumns count="13">
    <tableColumn id="11" xr3:uid="{8C7989A8-AE95-4BFB-859E-9F3F94DCD873}" uniqueName="11" name="День нед" queryTableFieldId="39" dataDxfId="47"/>
    <tableColumn id="8" xr3:uid="{B651DAE5-1AB7-4761-9820-CB58DA0D9C46}" uniqueName="8" name="Дата" queryTableFieldId="19" dataDxfId="46"/>
    <tableColumn id="9" xr3:uid="{22B6AE73-6E8B-4F81-B85C-3D141AD4D773}" uniqueName="9" name="Время" queryTableFieldId="20" dataDxfId="45"/>
    <tableColumn id="5" xr3:uid="{CB5AF0FF-A861-4F29-BFD9-751A47066C68}" uniqueName="5" name="Событие" queryTableFieldId="27" dataDxfId="494"/>
    <tableColumn id="7" xr3:uid="{63916370-0910-4B95-ABB4-D88865AA9E43}" uniqueName="7" name="Объект" queryTableFieldId="29" dataDxfId="493"/>
    <tableColumn id="10" xr3:uid="{DDC7656E-7390-4778-A2CE-EEC7AC518263}" uniqueName="10" name="Груз" queryTableFieldId="30" dataDxfId="49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491"/>
    <tableColumn id="4" xr3:uid="{96665EED-E1B8-437C-869A-35CB5BA419D3}" uniqueName="4" name="Name" queryTableFieldId="14" dataDxfId="490"/>
    <tableColumn id="1" xr3:uid="{1F225BD8-B59D-4058-9D99-17124C1F38FB}" uniqueName="1" name="Folder Path" queryTableFieldId="11" dataDxfId="48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4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66" tableType="queryTable" totalsRowShown="0">
  <tableColumns count="13">
    <tableColumn id="11" xr3:uid="{F25D1388-C4DF-49FB-9BF5-0132CEDCCAEA}" uniqueName="11" name="День нед" queryTableFieldId="39" dataDxfId="43"/>
    <tableColumn id="8" xr3:uid="{9EDCCA26-9FD6-4F66-9134-186F89CA663B}" uniqueName="8" name="Дата" queryTableFieldId="19" dataDxfId="42"/>
    <tableColumn id="9" xr3:uid="{FB005DB9-8D3C-48A5-94F1-246606C665DD}" uniqueName="9" name="Время" queryTableFieldId="20" dataDxfId="41"/>
    <tableColumn id="5" xr3:uid="{6D19407C-64CF-4FC5-95E7-163AA12EB226}" uniqueName="5" name="Событие" queryTableFieldId="27" dataDxfId="488"/>
    <tableColumn id="7" xr3:uid="{007BF834-0BCB-4416-8941-11DA4EDFCE5B}" uniqueName="7" name="Объект" queryTableFieldId="29" dataDxfId="487"/>
    <tableColumn id="10" xr3:uid="{E896F002-4451-441D-B0CB-52AD69A6E5C3}" uniqueName="10" name="Груз" queryTableFieldId="30" dataDxfId="48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85"/>
    <tableColumn id="4" xr3:uid="{9F6560FA-27F8-4BE9-BA58-3B0E40F582E5}" uniqueName="4" name="Name" queryTableFieldId="14" dataDxfId="484"/>
    <tableColumn id="1" xr3:uid="{44892CD0-9118-4535-9434-E49462140346}" uniqueName="1" name="Folder Path" queryTableFieldId="11" dataDxfId="48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98" tableType="queryTable" totalsRowShown="0">
  <tableColumns count="13">
    <tableColumn id="11" xr3:uid="{390CB009-E9E0-4C0F-93C3-AF6B408B816B}" uniqueName="11" name="День нед" queryTableFieldId="39" dataDxfId="39"/>
    <tableColumn id="8" xr3:uid="{E0A1C296-A368-479C-9A74-85306B3C03D4}" uniqueName="8" name="Дата" queryTableFieldId="19" dataDxfId="38"/>
    <tableColumn id="9" xr3:uid="{86401298-83EB-49D3-ACBA-E743586F5CCB}" uniqueName="9" name="Время" queryTableFieldId="20" dataDxfId="37"/>
    <tableColumn id="5" xr3:uid="{FFB4F03A-A400-4544-A729-2375A1F7D5E8}" uniqueName="5" name="Событие" queryTableFieldId="27" dataDxfId="482"/>
    <tableColumn id="7" xr3:uid="{D96DCF3C-D325-4D0C-94A1-DBE97CC5C9DC}" uniqueName="7" name="Объект" queryTableFieldId="29" dataDxfId="481"/>
    <tableColumn id="10" xr3:uid="{76D99262-42F5-447E-95AC-9C2A84BF344C}" uniqueName="10" name="Груз" queryTableFieldId="30" dataDxfId="48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479"/>
    <tableColumn id="4" xr3:uid="{D16AEB37-7A8A-406F-8ED7-B8D53BAA9BD9}" uniqueName="4" name="Name" queryTableFieldId="14" dataDxfId="478"/>
    <tableColumn id="1" xr3:uid="{1746BE5F-089A-476F-AE8D-5F2B27E9AEEA}" uniqueName="1" name="Folder Path" queryTableFieldId="11" dataDxfId="47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36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4" tableType="queryTable" totalsRowShown="0">
  <tableColumns count="13">
    <tableColumn id="11" xr3:uid="{45D23538-AB74-404E-8577-E2B7A36436AF}" uniqueName="11" name="День нед" queryTableFieldId="39" dataDxfId="35"/>
    <tableColumn id="8" xr3:uid="{40B01B94-168F-4547-A2BC-AA7F91350AB3}" uniqueName="8" name="Дата" queryTableFieldId="19" dataDxfId="34"/>
    <tableColumn id="9" xr3:uid="{A2C94EFB-3081-4BA9-85C2-DFF0455AFA43}" uniqueName="9" name="Время" queryTableFieldId="20" dataDxfId="33"/>
    <tableColumn id="5" xr3:uid="{244D3D34-C9EC-4B9C-BE81-12A0C0BB4342}" uniqueName="5" name="Событие" queryTableFieldId="27" dataDxfId="476"/>
    <tableColumn id="7" xr3:uid="{C449A112-E8A8-4956-B85C-2BA12316F170}" uniqueName="7" name="Объект" queryTableFieldId="29" dataDxfId="475"/>
    <tableColumn id="10" xr3:uid="{C8411557-C312-4542-93DA-DF5949399E11}" uniqueName="10" name="Груз" queryTableFieldId="30" dataDxfId="47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473"/>
    <tableColumn id="4" xr3:uid="{6A396D44-0898-4737-A4C1-8D6D40981793}" uniqueName="4" name="Name" queryTableFieldId="14" dataDxfId="472"/>
    <tableColumn id="1" xr3:uid="{328F21C9-48B9-4081-9B8C-BBD168BD38D1}" uniqueName="1" name="Folder Path" queryTableFieldId="11" dataDxfId="47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91" tableType="queryTable" totalsRowShown="0">
  <tableColumns count="13">
    <tableColumn id="11" xr3:uid="{2311EAC9-4673-4BE2-ADB0-E8CEB0BD9945}" uniqueName="11" name="День нед" queryTableFieldId="39" dataDxfId="31"/>
    <tableColumn id="8" xr3:uid="{F1C9804A-F8E7-4755-B717-859265C587A2}" uniqueName="8" name="Дата" queryTableFieldId="19" dataDxfId="30"/>
    <tableColumn id="9" xr3:uid="{1C2BA522-8D4F-4713-849C-1F60357B476E}" uniqueName="9" name="Время" queryTableFieldId="20" dataDxfId="29"/>
    <tableColumn id="5" xr3:uid="{6E084A00-DC62-4E93-8ABC-4651FD4D2408}" uniqueName="5" name="Событие" queryTableFieldId="27" dataDxfId="470"/>
    <tableColumn id="7" xr3:uid="{C9F6EF14-DBE7-4655-9D20-5B253923C11E}" uniqueName="7" name="Объект" queryTableFieldId="29" dataDxfId="469"/>
    <tableColumn id="10" xr3:uid="{0ADEC0F9-9FE9-4E92-BD38-0B8CDDE1BDBD}" uniqueName="10" name="Груз" queryTableFieldId="30" dataDxfId="468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467"/>
    <tableColumn id="4" xr3:uid="{FE606B6B-0A78-44A2-B44F-54FBA553BAD6}" uniqueName="4" name="Name" queryTableFieldId="14" dataDxfId="466"/>
    <tableColumn id="1" xr3:uid="{34274AB2-665A-4EF1-8C79-4944C9C122A7}" uniqueName="1" name="Folder Path" queryTableFieldId="11" dataDxfId="465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28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17" tableType="queryTable" totalsRowShown="0">
  <tableColumns count="13">
    <tableColumn id="11" xr3:uid="{72CE202A-C56C-4D63-9F9F-0DFF72BB5190}" uniqueName="11" name="День нед" queryTableFieldId="39" dataDxfId="27"/>
    <tableColumn id="8" xr3:uid="{0D9F5C4C-70B0-46E2-9E29-649E206B6616}" uniqueName="8" name="Дата" queryTableFieldId="19" dataDxfId="26"/>
    <tableColumn id="9" xr3:uid="{7C8561D4-BD7D-493F-BC95-213F2D55F3FD}" uniqueName="9" name="Время" queryTableFieldId="20" dataDxfId="25"/>
    <tableColumn id="5" xr3:uid="{E48795B2-2732-4E4A-81E8-B1585581420B}" uniqueName="5" name="Событие" queryTableFieldId="27" dataDxfId="464"/>
    <tableColumn id="7" xr3:uid="{F684EE24-0636-4EC2-AB94-A65EA5355534}" uniqueName="7" name="Объект" queryTableFieldId="29" dataDxfId="463"/>
    <tableColumn id="10" xr3:uid="{0C1B5273-277F-4438-B52D-9F868AD13DEE}" uniqueName="10" name="Груз" queryTableFieldId="30" dataDxfId="46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461"/>
    <tableColumn id="4" xr3:uid="{729433F6-F4FD-435B-851D-D34CC9060068}" uniqueName="4" name="Name" queryTableFieldId="14" dataDxfId="460"/>
    <tableColumn id="1" xr3:uid="{7A9B9B80-B872-4A82-9D9D-98A75E20F89B}" uniqueName="1" name="Folder Path" queryTableFieldId="11" dataDxfId="45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24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09" tableType="queryTable" totalsRowShown="0">
  <tableColumns count="13">
    <tableColumn id="11" xr3:uid="{2CE691F0-1D02-41BD-8E81-7716875609CD}" uniqueName="11" name="День нед" queryTableFieldId="39" dataDxfId="23"/>
    <tableColumn id="8" xr3:uid="{1A2A3B97-F602-468E-8AD3-5DD492638A71}" uniqueName="8" name="Дата" queryTableFieldId="19" dataDxfId="22"/>
    <tableColumn id="9" xr3:uid="{E8725BDD-FF6C-47C3-9100-825160B93721}" uniqueName="9" name="Время" queryTableFieldId="20" dataDxfId="21"/>
    <tableColumn id="5" xr3:uid="{F68EB906-7F6F-4765-A5C8-9B40064179BE}" uniqueName="5" name="Событие" queryTableFieldId="27" dataDxfId="458"/>
    <tableColumn id="7" xr3:uid="{812FE0F9-0D7E-497C-893A-B104BA069155}" uniqueName="7" name="Объект" queryTableFieldId="29" dataDxfId="457"/>
    <tableColumn id="10" xr3:uid="{1679E688-A047-4936-9EBC-9BDCFEA4CD95}" uniqueName="10" name="Груз" queryTableFieldId="30" dataDxfId="45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455"/>
    <tableColumn id="4" xr3:uid="{F9F7F55E-2CCF-4A6B-892F-1C76C0668832}" uniqueName="4" name="Name" queryTableFieldId="14" dataDxfId="454"/>
    <tableColumn id="1" xr3:uid="{0AF9B05B-8D0E-4B8A-81D0-358A18429CE8}" uniqueName="1" name="Folder Path" queryTableFieldId="11" dataDxfId="45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20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308" tableType="queryTable" totalsRowShown="0">
  <tableColumns count="13">
    <tableColumn id="11" xr3:uid="{96A6BDDB-7ED5-4607-80F3-3FD842EAEE0A}" uniqueName="11" name="День нед" queryTableFieldId="39" dataDxfId="19"/>
    <tableColumn id="8" xr3:uid="{FBEC9ECA-BD5C-442E-BB86-7CCAEF9464D2}" uniqueName="8" name="Дата" queryTableFieldId="19" dataDxfId="18"/>
    <tableColumn id="9" xr3:uid="{68242AF7-BC60-4380-843B-35A6CC4A66E6}" uniqueName="9" name="Время" queryTableFieldId="20" dataDxfId="17"/>
    <tableColumn id="5" xr3:uid="{C98BCFD6-9DE9-4A28-B769-F5737933429D}" uniqueName="5" name="Событие" queryTableFieldId="27" dataDxfId="452"/>
    <tableColumn id="7" xr3:uid="{4D44F8D4-93A4-4851-894E-AC8CDD93BD71}" uniqueName="7" name="Объект" queryTableFieldId="29" dataDxfId="451"/>
    <tableColumn id="10" xr3:uid="{0A838B00-A88A-40EE-A542-7E8E08968D89}" uniqueName="10" name="Груз" queryTableFieldId="30" dataDxfId="450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449"/>
    <tableColumn id="4" xr3:uid="{4FA2E248-D5A3-4824-875F-C328FA9AC2F9}" uniqueName="4" name="Name" queryTableFieldId="14" dataDxfId="448"/>
    <tableColumn id="1" xr3:uid="{B01A6B83-82C4-4172-AD5B-D2AF410DBE1B}" uniqueName="1" name="Folder Path" queryTableFieldId="11" dataDxfId="447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6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22" tableType="queryTable" totalsRowShown="0">
  <tableColumns count="13">
    <tableColumn id="11" xr3:uid="{2AD64508-44AB-4871-8C82-4C5A1E5A5DD2}" uniqueName="11" name="День нед" queryTableFieldId="39" dataDxfId="7"/>
    <tableColumn id="8" xr3:uid="{C788117B-4896-492B-97B3-B2502F0537D8}" uniqueName="8" name="Дата" queryTableFieldId="19" dataDxfId="6"/>
    <tableColumn id="9" xr3:uid="{E3EF5757-6705-492A-BD76-A47D414757C0}" uniqueName="9" name="Время" queryTableFieldId="20" dataDxfId="5"/>
    <tableColumn id="5" xr3:uid="{EF049B28-F832-4F3D-AB4F-3C396920BF5B}" uniqueName="5" name="Событие" queryTableFieldId="27" dataDxfId="446"/>
    <tableColumn id="7" xr3:uid="{DDB63E42-2809-4377-A568-A326109989E9}" uniqueName="7" name="Объект" queryTableFieldId="29" dataDxfId="445"/>
    <tableColumn id="10" xr3:uid="{A4FCF3D3-582A-4DEF-8FB8-9D050C82517D}" uniqueName="10" name="Груз" queryTableFieldId="30" dataDxfId="444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443"/>
    <tableColumn id="4" xr3:uid="{DA63B8EC-3587-40B4-A86A-92B91C78723D}" uniqueName="4" name="Name" queryTableFieldId="14" dataDxfId="442"/>
    <tableColumn id="1" xr3:uid="{360C7476-DEC6-4377-8E95-D472C6673B12}" uniqueName="1" name="Folder Path" queryTableFieldId="11" dataDxfId="441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4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89" tableType="queryTable" totalsRowShown="0">
  <tableColumns count="13">
    <tableColumn id="11" xr3:uid="{C40005DE-8CA6-428A-9DF2-E715CC943F02}" uniqueName="11" name="День нед" queryTableFieldId="39" dataDxfId="15"/>
    <tableColumn id="8" xr3:uid="{55C75F47-F14F-483C-9C7A-95288D9463D6}" uniqueName="8" name="Дата" queryTableFieldId="19" dataDxfId="14"/>
    <tableColumn id="9" xr3:uid="{79D3981C-638A-4D64-BACB-D64D85DAC855}" uniqueName="9" name="Время" queryTableFieldId="20" dataDxfId="13"/>
    <tableColumn id="5" xr3:uid="{B0B848B5-29B2-4292-89A5-7DE5A2F72D15}" uniqueName="5" name="Событие" queryTableFieldId="27" dataDxfId="440"/>
    <tableColumn id="7" xr3:uid="{A9E0C8AC-2336-4969-BC3E-110E6C33529C}" uniqueName="7" name="Объект" queryTableFieldId="29" dataDxfId="439"/>
    <tableColumn id="10" xr3:uid="{F8691CA5-2689-452F-9550-C52E06B35BD6}" uniqueName="10" name="Груз" queryTableFieldId="30" dataDxfId="438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437"/>
    <tableColumn id="4" xr3:uid="{E9716AC2-8439-4E67-8698-BA6CD84F7B9C}" uniqueName="4" name="Name" queryTableFieldId="14" dataDxfId="436"/>
    <tableColumn id="1" xr3:uid="{9AB30DEC-91E3-4633-A156-B937B586CECB}" uniqueName="1" name="Folder Path" queryTableFieldId="11" dataDxfId="435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49" tableType="queryTable" totalsRowShown="0">
  <tableColumns count="13">
    <tableColumn id="11" xr3:uid="{B21CFC33-55C8-4073-BBD2-E0A5154A10D6}" uniqueName="11" name="День нед" queryTableFieldId="39" dataDxfId="11"/>
    <tableColumn id="8" xr3:uid="{004370C0-0D3C-4162-A392-32C741C3A58B}" uniqueName="8" name="Дата" queryTableFieldId="19" dataDxfId="10"/>
    <tableColumn id="9" xr3:uid="{6537DA5E-247D-44FB-ACE3-933B3C9B9408}" uniqueName="9" name="Время" queryTableFieldId="20" dataDxfId="9"/>
    <tableColumn id="5" xr3:uid="{4FA9309D-407E-48C1-B1F9-C33DEA7645B1}" uniqueName="5" name="Событие" queryTableFieldId="27" dataDxfId="434"/>
    <tableColumn id="7" xr3:uid="{76E54E9E-D730-4C99-9BF5-96E9384FF63C}" uniqueName="7" name="Объект" queryTableFieldId="29" dataDxfId="433"/>
    <tableColumn id="10" xr3:uid="{B9F78DE2-7938-486B-9BE2-F824D0E7A6C4}" uniqueName="10" name="Груз" queryTableFieldId="30" dataDxfId="43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431"/>
    <tableColumn id="4" xr3:uid="{921D28C1-5761-48A7-B447-6A4446F87545}" uniqueName="4" name="Name" queryTableFieldId="14" dataDxfId="430"/>
    <tableColumn id="1" xr3:uid="{F1A648C1-8DB5-4DEF-B011-BD85E17FCAA3}" uniqueName="1" name="Folder Path" queryTableFieldId="11" dataDxfId="42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713" totalsRowShown="0">
  <autoFilter ref="A1:G1713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62" tableType="queryTable" totalsRowShown="0">
  <autoFilter ref="A1:M162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3"/>
    <tableColumn id="3" xr3:uid="{8C3702C1-E43C-496C-A204-7587B7ED5C05}" uniqueName="3" name="Время" queryTableFieldId="3" dataDxfId="2"/>
    <tableColumn id="4" xr3:uid="{C16264D0-558B-425C-8205-E671C6E3EB9E}" uniqueName="4" name="Событие" queryTableFieldId="4" dataDxfId="1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428"/>
    <tableColumn id="10" xr3:uid="{37082223-0A57-495F-97B8-0BCE1F173A2E}" uniqueName="10" name="Folder Path" queryTableFieldId="10" dataDxfId="42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0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04"/>
  <sheetViews>
    <sheetView zoomScale="90" zoomScaleNormal="90" workbookViewId="0">
      <pane ySplit="1" topLeftCell="A92" activePane="bottomLeft" state="frozen"/>
      <selection pane="bottomLeft" activeCell="K2" sqref="K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7.28515625" bestFit="1" customWidth="1"/>
    <col min="8" max="8" width="81.140625" bestFit="1" customWidth="1"/>
    <col min="9" max="9" width="35.42578125" bestFit="1" customWidth="1"/>
    <col min="10" max="10" width="51.85546875" hidden="1" customWidth="1"/>
    <col min="11" max="11" width="56.85546875" bestFit="1" customWidth="1"/>
    <col min="12" max="12" width="25.85546875" hidden="1" customWidth="1"/>
    <col min="13" max="13" width="56.85546875" bestFit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5301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5302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5303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H104" t="s">
        <v>5282</v>
      </c>
      <c r="I104" t="s">
        <v>5274</v>
      </c>
      <c r="J104" t="s">
        <v>2981</v>
      </c>
      <c r="K104" t="s">
        <v>5304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05:E118 D105:D115 G2:H104 D2:E104">
    <cfRule type="containsText" dxfId="426" priority="23" operator="containsText" text="Выезд с территории">
      <formula>NOT(ISERROR(SEARCH("Выезд с территории",D2)))</formula>
    </cfRule>
  </conditionalFormatting>
  <conditionalFormatting sqref="F2:F592">
    <cfRule type="notContainsText" dxfId="425" priority="21" operator="notContains" text="порожний">
      <formula>ISERROR(SEARCH("порожний",F2))</formula>
    </cfRule>
  </conditionalFormatting>
  <conditionalFormatting sqref="E2:E118">
    <cfRule type="containsText" dxfId="424" priority="12" operator="containsText" text="Газель базы">
      <formula>NOT(ISERROR(SEARCH("Газель базы",E2)))</formula>
    </cfRule>
    <cfRule type="containsText" dxfId="423" priority="13" operator="containsText" text="Погрузчик базы">
      <formula>NOT(ISERROR(SEARCH("Погрузчик базы",E2)))</formula>
    </cfRule>
  </conditionalFormatting>
  <conditionalFormatting sqref="E2:E118">
    <cfRule type="containsText" dxfId="422" priority="11" operator="containsText" text="Трактор базы">
      <formula>NOT(ISERROR(SEARCH("Трактор базы",E2)))</formula>
    </cfRule>
  </conditionalFormatting>
  <conditionalFormatting sqref="A2:C104">
    <cfRule type="expression" dxfId="421" priority="9">
      <formula>$A2="пн"</formula>
    </cfRule>
  </conditionalFormatting>
  <conditionalFormatting sqref="A2:C106">
    <cfRule type="expression" dxfId="420" priority="3">
      <formula>$A2="вс"</formula>
    </cfRule>
    <cfRule type="expression" dxfId="419" priority="4">
      <formula>$A2="сб"</formula>
    </cfRule>
    <cfRule type="expression" dxfId="418" priority="5">
      <formula>$A2="пт"</formula>
    </cfRule>
    <cfRule type="expression" dxfId="417" priority="6">
      <formula>$A2="чт"</formula>
    </cfRule>
    <cfRule type="expression" dxfId="416" priority="7">
      <formula>$A2="ср"</formula>
    </cfRule>
    <cfRule type="expression" dxfId="415" priority="8">
      <formula>$A2="вт"</formula>
    </cfRule>
  </conditionalFormatting>
  <conditionalFormatting sqref="D2:D115">
    <cfRule type="containsText" dxfId="4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5">
    <cfRule type="containsText" dxfId="4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32"/>
  <sheetViews>
    <sheetView zoomScale="90" zoomScaleNormal="90" workbookViewId="0">
      <pane ySplit="1" topLeftCell="A117" activePane="bottomLeft" state="frozen"/>
      <selection pane="bottomLeft" activeCell="I127" sqref="I127:I132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4.425781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bestFit="1" customWidth="1"/>
    <col min="11" max="11" width="54.42578125" customWidth="1"/>
    <col min="12" max="12" width="24.5703125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5283</v>
      </c>
      <c r="J127" t="s">
        <v>2989</v>
      </c>
      <c r="K127" t="s">
        <v>5284</v>
      </c>
      <c r="L127" t="s">
        <v>5285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5475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5286</v>
      </c>
      <c r="J129" t="s">
        <v>2989</v>
      </c>
      <c r="K129" t="s">
        <v>5287</v>
      </c>
      <c r="L129" t="s">
        <v>5288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5289</v>
      </c>
      <c r="J130" t="s">
        <v>2989</v>
      </c>
      <c r="K130" t="s">
        <v>5290</v>
      </c>
      <c r="L130" t="s">
        <v>5291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5476</v>
      </c>
      <c r="F131" t="s">
        <v>5076</v>
      </c>
      <c r="H131" t="s">
        <v>5475</v>
      </c>
      <c r="I131" t="s">
        <v>5292</v>
      </c>
      <c r="J131" t="s">
        <v>2989</v>
      </c>
      <c r="K131" t="s">
        <v>5293</v>
      </c>
      <c r="L131" t="s">
        <v>5294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5295</v>
      </c>
      <c r="J132" t="s">
        <v>2989</v>
      </c>
      <c r="K132" t="s">
        <v>5296</v>
      </c>
      <c r="L132" t="s">
        <v>5297</v>
      </c>
      <c r="M132" s="3" t="str">
        <f>HYPERLINK(склад2въезд14[[#This Row],[RelativePath]])</f>
        <v>2 Пилорама поката\E33149364_7_20251208T172555Z.jpg</v>
      </c>
    </row>
  </sheetData>
  <conditionalFormatting sqref="D133:D143 E133:E146 G2:H132 D2:E132">
    <cfRule type="containsText" dxfId="412" priority="14" operator="containsText" text="Выезд с территории">
      <formula>NOT(ISERROR(SEARCH("Выезд с территории",D2)))</formula>
    </cfRule>
  </conditionalFormatting>
  <conditionalFormatting sqref="F2:F132">
    <cfRule type="notContainsText" dxfId="411" priority="13" operator="notContains" text="порожний">
      <formula>ISERROR(SEARCH("порожний",F2))</formula>
    </cfRule>
  </conditionalFormatting>
  <conditionalFormatting sqref="E2:E146">
    <cfRule type="containsText" dxfId="410" priority="11" operator="containsText" text="Газель базы">
      <formula>NOT(ISERROR(SEARCH("Газель базы",E2)))</formula>
    </cfRule>
    <cfRule type="containsText" dxfId="409" priority="12" operator="containsText" text="Погрузчик базы">
      <formula>NOT(ISERROR(SEARCH("Погрузчик базы",E2)))</formula>
    </cfRule>
  </conditionalFormatting>
  <conditionalFormatting sqref="E2:E146">
    <cfRule type="containsText" dxfId="408" priority="10" operator="containsText" text="Трактор базы">
      <formula>NOT(ISERROR(SEARCH("Трактор базы",E2)))</formula>
    </cfRule>
  </conditionalFormatting>
  <conditionalFormatting sqref="A2:C132">
    <cfRule type="expression" dxfId="407" priority="9">
      <formula>$A2="пн"</formula>
    </cfRule>
  </conditionalFormatting>
  <conditionalFormatting sqref="A2:C134">
    <cfRule type="expression" dxfId="406" priority="3">
      <formula>$A2="вс"</formula>
    </cfRule>
    <cfRule type="expression" dxfId="405" priority="4">
      <formula>$A2="сб"</formula>
    </cfRule>
    <cfRule type="expression" dxfId="404" priority="5">
      <formula>$A2="пт"</formula>
    </cfRule>
    <cfRule type="expression" dxfId="403" priority="6">
      <formula>$A2="чт"</formula>
    </cfRule>
    <cfRule type="expression" dxfId="402" priority="7">
      <formula>$A2="ср"</formula>
    </cfRule>
    <cfRule type="expression" dxfId="401" priority="8">
      <formula>$A2="вт"</formula>
    </cfRule>
  </conditionalFormatting>
  <conditionalFormatting sqref="D2:D143">
    <cfRule type="containsText" dxfId="40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3">
    <cfRule type="containsText" dxfId="39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74"/>
  <sheetViews>
    <sheetView zoomScale="90" zoomScaleNormal="90" workbookViewId="0">
      <pane ySplit="1" topLeftCell="A59" activePane="bottomLeft" state="frozen"/>
      <selection pane="bottomLeft" activeCell="I73" sqref="I73:I74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customWidth="1"/>
    <col min="11" max="11" width="50.7109375" customWidth="1"/>
    <col min="12" max="12" width="24.5703125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</sheetData>
  <conditionalFormatting sqref="D75:D85 E75:E88 G2:H74 D2:E74">
    <cfRule type="containsText" dxfId="398" priority="14" operator="containsText" text="Выезд с территории">
      <formula>NOT(ISERROR(SEARCH("Выезд с территории",D2)))</formula>
    </cfRule>
  </conditionalFormatting>
  <conditionalFormatting sqref="F2:F74">
    <cfRule type="notContainsText" dxfId="397" priority="13" operator="notContains" text="порожний">
      <formula>ISERROR(SEARCH("порожний",F2))</formula>
    </cfRule>
  </conditionalFormatting>
  <conditionalFormatting sqref="E2:E88">
    <cfRule type="containsText" dxfId="396" priority="11" operator="containsText" text="Газель базы">
      <formula>NOT(ISERROR(SEARCH("Газель базы",E2)))</formula>
    </cfRule>
    <cfRule type="containsText" dxfId="395" priority="12" operator="containsText" text="Погрузчик базы">
      <formula>NOT(ISERROR(SEARCH("Погрузчик базы",E2)))</formula>
    </cfRule>
  </conditionalFormatting>
  <conditionalFormatting sqref="E2:E88">
    <cfRule type="containsText" dxfId="394" priority="10" operator="containsText" text="Трактор базы">
      <formula>NOT(ISERROR(SEARCH("Трактор базы",E2)))</formula>
    </cfRule>
  </conditionalFormatting>
  <conditionalFormatting sqref="A2:C74">
    <cfRule type="expression" dxfId="393" priority="9">
      <formula>$A2="пн"</formula>
    </cfRule>
  </conditionalFormatting>
  <conditionalFormatting sqref="A2:C76">
    <cfRule type="expression" dxfId="392" priority="3">
      <formula>$A2="вс"</formula>
    </cfRule>
    <cfRule type="expression" dxfId="391" priority="4">
      <formula>$A2="сб"</formula>
    </cfRule>
    <cfRule type="expression" dxfId="390" priority="5">
      <formula>$A2="пт"</formula>
    </cfRule>
    <cfRule type="expression" dxfId="389" priority="6">
      <formula>$A2="чт"</formula>
    </cfRule>
    <cfRule type="expression" dxfId="388" priority="7">
      <formula>$A2="ср"</formula>
    </cfRule>
    <cfRule type="expression" dxfId="387" priority="8">
      <formula>$A2="вт"</formula>
    </cfRule>
  </conditionalFormatting>
  <conditionalFormatting sqref="D2:D85">
    <cfRule type="containsText" dxfId="38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">
    <cfRule type="containsText" dxfId="38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66"/>
  <sheetViews>
    <sheetView zoomScale="90" zoomScaleNormal="90" workbookViewId="0">
      <pane ySplit="1" topLeftCell="A47" activePane="bottomLeft" state="frozen"/>
      <selection pane="bottomLeft" activeCell="I66" sqref="I6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26.140625" bestFit="1" customWidth="1"/>
    <col min="9" max="9" width="36.7109375" customWidth="1"/>
    <col min="10" max="10" width="41.140625" customWidth="1"/>
    <col min="11" max="11" width="53.5703125" customWidth="1"/>
    <col min="12" max="12" width="24.5703125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3381</v>
      </c>
      <c r="J41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3384</v>
      </c>
      <c r="J42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3387</v>
      </c>
      <c r="J43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3390</v>
      </c>
      <c r="J44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3393</v>
      </c>
      <c r="J45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3396</v>
      </c>
      <c r="J46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3399</v>
      </c>
      <c r="J47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4194</v>
      </c>
      <c r="F48" t="s">
        <v>4196</v>
      </c>
      <c r="H48" t="s">
        <v>4205</v>
      </c>
      <c r="I48" t="s">
        <v>3402</v>
      </c>
      <c r="J4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4264</v>
      </c>
      <c r="J49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4267</v>
      </c>
      <c r="J50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4194</v>
      </c>
      <c r="F51" t="s">
        <v>5093</v>
      </c>
      <c r="I51" t="s">
        <v>4450</v>
      </c>
      <c r="J51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4194</v>
      </c>
      <c r="F52" t="s">
        <v>5093</v>
      </c>
      <c r="I52" t="s">
        <v>4453</v>
      </c>
      <c r="J52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4194</v>
      </c>
      <c r="I53" t="s">
        <v>4456</v>
      </c>
      <c r="J53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5093</v>
      </c>
      <c r="H54" t="s">
        <v>5094</v>
      </c>
      <c r="I54" t="s">
        <v>4459</v>
      </c>
      <c r="J54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5093</v>
      </c>
      <c r="H55" t="s">
        <v>5094</v>
      </c>
      <c r="I55" t="s">
        <v>5090</v>
      </c>
      <c r="J55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4462</v>
      </c>
      <c r="J56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E57" t="s">
        <v>8</v>
      </c>
      <c r="I57" t="s">
        <v>4465</v>
      </c>
      <c r="J57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5093</v>
      </c>
      <c r="H58" t="s">
        <v>5095</v>
      </c>
      <c r="I58" t="s">
        <v>4468</v>
      </c>
      <c r="J5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5093</v>
      </c>
      <c r="H59" t="s">
        <v>2936</v>
      </c>
      <c r="I59" t="s">
        <v>4471</v>
      </c>
      <c r="J59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5093</v>
      </c>
      <c r="H60" t="s">
        <v>2936</v>
      </c>
      <c r="I60" t="s">
        <v>4474</v>
      </c>
      <c r="J60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5093</v>
      </c>
      <c r="H61" t="s">
        <v>5096</v>
      </c>
      <c r="I61" t="s">
        <v>4477</v>
      </c>
      <c r="J61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4480</v>
      </c>
      <c r="J62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4483</v>
      </c>
      <c r="J63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E64" t="s">
        <v>8</v>
      </c>
      <c r="I64" t="s">
        <v>4486</v>
      </c>
      <c r="J64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5226</v>
      </c>
      <c r="J65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t="s">
        <v>2004</v>
      </c>
      <c r="E66" t="s">
        <v>8</v>
      </c>
      <c r="I66" t="s">
        <v>5298</v>
      </c>
      <c r="J66" t="s">
        <v>2991</v>
      </c>
      <c r="K66" t="s">
        <v>5299</v>
      </c>
      <c r="L66" t="s">
        <v>5300</v>
      </c>
      <c r="M66" s="3" t="str">
        <f>HYPERLINK(склад2въезд13[[#This Row],[RelativePath]])</f>
        <v>4 Крыльцо офиса\K07156189_21_20251208T165401Z.jpg</v>
      </c>
    </row>
  </sheetData>
  <conditionalFormatting sqref="D67:D77 E67:E80 G2:H66 D2:E66">
    <cfRule type="containsText" dxfId="384" priority="14" operator="containsText" text="Выезд с территории">
      <formula>NOT(ISERROR(SEARCH("Выезд с территории",D2)))</formula>
    </cfRule>
  </conditionalFormatting>
  <conditionalFormatting sqref="F2:F66">
    <cfRule type="notContainsText" dxfId="383" priority="13" operator="notContains" text="порожний">
      <formula>ISERROR(SEARCH("порожний",F2))</formula>
    </cfRule>
  </conditionalFormatting>
  <conditionalFormatting sqref="E2:E80">
    <cfRule type="containsText" dxfId="382" priority="11" operator="containsText" text="Газель базы">
      <formula>NOT(ISERROR(SEARCH("Газель базы",E2)))</formula>
    </cfRule>
    <cfRule type="containsText" dxfId="381" priority="12" operator="containsText" text="Погрузчик базы">
      <formula>NOT(ISERROR(SEARCH("Погрузчик базы",E2)))</formula>
    </cfRule>
  </conditionalFormatting>
  <conditionalFormatting sqref="E2:E80">
    <cfRule type="containsText" dxfId="380" priority="10" operator="containsText" text="Трактор базы">
      <formula>NOT(ISERROR(SEARCH("Трактор базы",E2)))</formula>
    </cfRule>
  </conditionalFormatting>
  <conditionalFormatting sqref="A2:C66">
    <cfRule type="expression" dxfId="379" priority="9">
      <formula>$A2="пн"</formula>
    </cfRule>
  </conditionalFormatting>
  <conditionalFormatting sqref="A2:C68">
    <cfRule type="expression" dxfId="378" priority="3">
      <formula>$A2="вс"</formula>
    </cfRule>
    <cfRule type="expression" dxfId="377" priority="4">
      <formula>$A2="сб"</formula>
    </cfRule>
    <cfRule type="expression" dxfId="376" priority="5">
      <formula>$A2="пт"</formula>
    </cfRule>
    <cfRule type="expression" dxfId="375" priority="6">
      <formula>$A2="чт"</formula>
    </cfRule>
    <cfRule type="expression" dxfId="374" priority="7">
      <formula>$A2="ср"</formula>
    </cfRule>
    <cfRule type="expression" dxfId="373" priority="8">
      <formula>$A2="вт"</formula>
    </cfRule>
  </conditionalFormatting>
  <conditionalFormatting sqref="D2:D77">
    <cfRule type="containsText" dxfId="37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7">
    <cfRule type="containsText" dxfId="37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98"/>
  <sheetViews>
    <sheetView zoomScale="90" zoomScaleNormal="90" workbookViewId="0">
      <pane ySplit="1" topLeftCell="A85" activePane="bottomLeft" state="frozen"/>
      <selection pane="bottomLeft" activeCell="I97" sqref="I97:I9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24.28515625" bestFit="1" customWidth="1"/>
    <col min="9" max="9" width="36.7109375" customWidth="1"/>
    <col min="10" max="10" width="42.42578125" customWidth="1"/>
    <col min="11" max="11" width="54.85546875" customWidth="1"/>
    <col min="12" max="12" width="24.5703125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3079</v>
      </c>
      <c r="J54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3082</v>
      </c>
      <c r="J55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3085</v>
      </c>
      <c r="J56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3088</v>
      </c>
      <c r="J57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3091</v>
      </c>
      <c r="J5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3094</v>
      </c>
      <c r="J59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3097</v>
      </c>
      <c r="J6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3100</v>
      </c>
      <c r="J61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4270</v>
      </c>
      <c r="J62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4247</v>
      </c>
      <c r="F63" t="s">
        <v>58</v>
      </c>
      <c r="H63" t="s">
        <v>5102</v>
      </c>
      <c r="I63" t="s">
        <v>5097</v>
      </c>
      <c r="J63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4489</v>
      </c>
      <c r="J64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4492</v>
      </c>
      <c r="J65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4495</v>
      </c>
      <c r="J66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4498</v>
      </c>
      <c r="J67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5103</v>
      </c>
      <c r="H68" t="s">
        <v>5104</v>
      </c>
      <c r="I68" t="s">
        <v>4501</v>
      </c>
      <c r="J6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4504</v>
      </c>
      <c r="J69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4247</v>
      </c>
      <c r="F70" t="s">
        <v>60</v>
      </c>
      <c r="H70" t="s">
        <v>5102</v>
      </c>
      <c r="I70" t="s">
        <v>4507</v>
      </c>
      <c r="J7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4247</v>
      </c>
      <c r="F71" t="s">
        <v>60</v>
      </c>
      <c r="H71" t="s">
        <v>2936</v>
      </c>
      <c r="I71" t="s">
        <v>4510</v>
      </c>
      <c r="J71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4513</v>
      </c>
      <c r="J72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4516</v>
      </c>
      <c r="J73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4519</v>
      </c>
      <c r="J74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4522</v>
      </c>
      <c r="J75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5093</v>
      </c>
      <c r="I76" t="s">
        <v>4525</v>
      </c>
      <c r="J76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5093</v>
      </c>
      <c r="I77" t="s">
        <v>4528</v>
      </c>
      <c r="J77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5093</v>
      </c>
      <c r="I78" t="s">
        <v>4531</v>
      </c>
      <c r="J7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5093</v>
      </c>
      <c r="I79" t="s">
        <v>5099</v>
      </c>
      <c r="J79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5105</v>
      </c>
      <c r="I80" t="s">
        <v>4534</v>
      </c>
      <c r="J8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5093</v>
      </c>
      <c r="I81" t="s">
        <v>4537</v>
      </c>
      <c r="J81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4540</v>
      </c>
      <c r="J82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4543</v>
      </c>
      <c r="J83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4546</v>
      </c>
      <c r="J84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5093</v>
      </c>
      <c r="I85" t="s">
        <v>4549</v>
      </c>
      <c r="J85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4552</v>
      </c>
      <c r="J86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4555</v>
      </c>
      <c r="J87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5263</v>
      </c>
      <c r="F88" t="s">
        <v>4233</v>
      </c>
      <c r="I88" t="s">
        <v>5148</v>
      </c>
      <c r="J8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5263</v>
      </c>
      <c r="F90" t="s">
        <v>5093</v>
      </c>
      <c r="H90" t="s">
        <v>2936</v>
      </c>
      <c r="I90" t="s">
        <v>5154</v>
      </c>
      <c r="J9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5263</v>
      </c>
      <c r="F92" t="s">
        <v>5093</v>
      </c>
      <c r="H92" t="s">
        <v>2936</v>
      </c>
      <c r="I92" t="s">
        <v>5160</v>
      </c>
      <c r="J92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5263</v>
      </c>
      <c r="F93" t="s">
        <v>5093</v>
      </c>
      <c r="H93" t="s">
        <v>2936</v>
      </c>
      <c r="I93" t="s">
        <v>5163</v>
      </c>
      <c r="J93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5263</v>
      </c>
      <c r="F94" t="s">
        <v>5093</v>
      </c>
      <c r="H94" t="s">
        <v>2936</v>
      </c>
      <c r="I94" t="s">
        <v>5166</v>
      </c>
      <c r="J94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4232</v>
      </c>
      <c r="E95" t="s">
        <v>5263</v>
      </c>
      <c r="F95" t="s">
        <v>1609</v>
      </c>
      <c r="I95" t="s">
        <v>5169</v>
      </c>
      <c r="J95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5263</v>
      </c>
      <c r="F96" t="s">
        <v>1609</v>
      </c>
      <c r="I96" t="s">
        <v>5172</v>
      </c>
      <c r="J96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t="s">
        <v>4</v>
      </c>
      <c r="E97" t="s">
        <v>8</v>
      </c>
      <c r="I97" t="s">
        <v>5305</v>
      </c>
      <c r="J97" t="s">
        <v>2982</v>
      </c>
      <c r="K97" t="s">
        <v>5306</v>
      </c>
      <c r="L97" t="s">
        <v>5307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t="s">
        <v>2004</v>
      </c>
      <c r="E98" t="s">
        <v>8</v>
      </c>
      <c r="I98" t="s">
        <v>5308</v>
      </c>
      <c r="J98" t="s">
        <v>2982</v>
      </c>
      <c r="K98" t="s">
        <v>5309</v>
      </c>
      <c r="L98" t="s">
        <v>5310</v>
      </c>
      <c r="M98" s="3" t="str">
        <f>HYPERLINK(склад2въезд1319[[#This Row],[RelativePath]])</f>
        <v>5 Крыльцо общага\K07156189_22_20251208T173524Z.jpg</v>
      </c>
    </row>
  </sheetData>
  <conditionalFormatting sqref="E99:E112 D99:D109 D2:E98 G2:H98">
    <cfRule type="containsText" dxfId="370" priority="17" operator="containsText" text="Выезд с территории">
      <formula>NOT(ISERROR(SEARCH("Выезд с территории",D2)))</formula>
    </cfRule>
  </conditionalFormatting>
  <conditionalFormatting sqref="F2:F98">
    <cfRule type="notContainsText" dxfId="369" priority="16" operator="notContains" text="порожний">
      <formula>ISERROR(SEARCH("порожний",F2))</formula>
    </cfRule>
  </conditionalFormatting>
  <conditionalFormatting sqref="E2:E112">
    <cfRule type="containsText" dxfId="368" priority="14" operator="containsText" text="Газель базы">
      <formula>NOT(ISERROR(SEARCH("Газель базы",E2)))</formula>
    </cfRule>
    <cfRule type="containsText" dxfId="367" priority="15" operator="containsText" text="Погрузчик базы">
      <formula>NOT(ISERROR(SEARCH("Погрузчик базы",E2)))</formula>
    </cfRule>
  </conditionalFormatting>
  <conditionalFormatting sqref="E2:E112">
    <cfRule type="containsText" dxfId="366" priority="13" operator="containsText" text="Трактор базы">
      <formula>NOT(ISERROR(SEARCH("Трактор базы",E2)))</formula>
    </cfRule>
  </conditionalFormatting>
  <conditionalFormatting sqref="A2:C98">
    <cfRule type="expression" dxfId="365" priority="12">
      <formula>$A2="пн"</formula>
    </cfRule>
  </conditionalFormatting>
  <conditionalFormatting sqref="A2:C100">
    <cfRule type="expression" dxfId="364" priority="6">
      <formula>$A2="вс"</formula>
    </cfRule>
    <cfRule type="expression" dxfId="363" priority="7">
      <formula>$A2="сб"</formula>
    </cfRule>
    <cfRule type="expression" dxfId="362" priority="8">
      <formula>$A2="пт"</formula>
    </cfRule>
    <cfRule type="expression" dxfId="361" priority="9">
      <formula>$A2="чт"</formula>
    </cfRule>
    <cfRule type="expression" dxfId="360" priority="10">
      <formula>$A2="ср"</formula>
    </cfRule>
    <cfRule type="expression" dxfId="359" priority="11">
      <formula>$A2="вт"</formula>
    </cfRule>
  </conditionalFormatting>
  <conditionalFormatting sqref="D2:D109">
    <cfRule type="containsText" dxfId="35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9">
    <cfRule type="containsText" dxfId="357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4"/>
  <sheetViews>
    <sheetView zoomScale="90" zoomScaleNormal="90" workbookViewId="0">
      <pane ySplit="1" topLeftCell="A46" activePane="bottomLeft" state="frozen"/>
      <selection pane="bottomLeft" activeCell="I63" sqref="I63:I6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bestFit="1" customWidth="1"/>
    <col min="11" max="11" width="57" customWidth="1"/>
    <col min="12" max="12" width="24.5703125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3405</v>
      </c>
      <c r="J2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4206</v>
      </c>
      <c r="J29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3408</v>
      </c>
      <c r="J3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4209</v>
      </c>
      <c r="E31" t="s">
        <v>4210</v>
      </c>
      <c r="I31" t="s">
        <v>3411</v>
      </c>
      <c r="J31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4209</v>
      </c>
      <c r="E32" t="s">
        <v>4210</v>
      </c>
      <c r="H32" t="s">
        <v>2936</v>
      </c>
      <c r="I32" t="s">
        <v>3414</v>
      </c>
      <c r="J32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4209</v>
      </c>
      <c r="E33" t="s">
        <v>4210</v>
      </c>
      <c r="H33" t="s">
        <v>2936</v>
      </c>
      <c r="I33" t="s">
        <v>3417</v>
      </c>
      <c r="J33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4209</v>
      </c>
      <c r="E34" t="s">
        <v>4210</v>
      </c>
      <c r="H34" t="s">
        <v>2936</v>
      </c>
      <c r="I34" t="s">
        <v>3420</v>
      </c>
      <c r="J34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4209</v>
      </c>
      <c r="E35" t="s">
        <v>4210</v>
      </c>
      <c r="H35" t="s">
        <v>2936</v>
      </c>
      <c r="I35" t="s">
        <v>3423</v>
      </c>
      <c r="J35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4209</v>
      </c>
      <c r="E36" t="s">
        <v>4210</v>
      </c>
      <c r="H36" t="s">
        <v>2936</v>
      </c>
      <c r="I36" t="s">
        <v>3426</v>
      </c>
      <c r="J36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4209</v>
      </c>
      <c r="E37" t="s">
        <v>4210</v>
      </c>
      <c r="H37" t="s">
        <v>2936</v>
      </c>
      <c r="I37" t="s">
        <v>3429</v>
      </c>
      <c r="J37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4209</v>
      </c>
      <c r="E38" t="s">
        <v>4210</v>
      </c>
      <c r="H38" t="s">
        <v>2936</v>
      </c>
      <c r="I38" t="s">
        <v>3432</v>
      </c>
      <c r="J3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4209</v>
      </c>
      <c r="E39" t="s">
        <v>4210</v>
      </c>
      <c r="H39" t="s">
        <v>2936</v>
      </c>
      <c r="I39" t="s">
        <v>3435</v>
      </c>
      <c r="J39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4209</v>
      </c>
      <c r="E40" t="s">
        <v>4210</v>
      </c>
      <c r="H40" t="s">
        <v>2936</v>
      </c>
      <c r="I40" t="s">
        <v>3438</v>
      </c>
      <c r="J4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4209</v>
      </c>
      <c r="E41" t="s">
        <v>4210</v>
      </c>
      <c r="H41" t="s">
        <v>2936</v>
      </c>
      <c r="I41" t="s">
        <v>3441</v>
      </c>
      <c r="J41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4209</v>
      </c>
      <c r="E42" t="s">
        <v>4210</v>
      </c>
      <c r="H42" t="s">
        <v>2936</v>
      </c>
      <c r="I42" t="s">
        <v>3444</v>
      </c>
      <c r="J42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3447</v>
      </c>
      <c r="J43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4211</v>
      </c>
      <c r="I44" t="s">
        <v>3450</v>
      </c>
      <c r="J44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4211</v>
      </c>
      <c r="H45" t="s">
        <v>2936</v>
      </c>
      <c r="I45" t="s">
        <v>3453</v>
      </c>
      <c r="J45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4211</v>
      </c>
      <c r="H46" t="s">
        <v>2936</v>
      </c>
      <c r="I46" t="s">
        <v>3456</v>
      </c>
      <c r="J46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4211</v>
      </c>
      <c r="H47" t="s">
        <v>2936</v>
      </c>
      <c r="I47" t="s">
        <v>3459</v>
      </c>
      <c r="J47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4211</v>
      </c>
      <c r="H48" t="s">
        <v>2936</v>
      </c>
      <c r="I48" t="s">
        <v>3462</v>
      </c>
      <c r="J4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3465</v>
      </c>
      <c r="J49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4273</v>
      </c>
      <c r="J5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5110</v>
      </c>
      <c r="J51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4247</v>
      </c>
      <c r="F52" t="s">
        <v>60</v>
      </c>
      <c r="I52" t="s">
        <v>5112</v>
      </c>
      <c r="J52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5114</v>
      </c>
      <c r="J53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4576</v>
      </c>
      <c r="J54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4247</v>
      </c>
      <c r="F55" t="s">
        <v>200</v>
      </c>
      <c r="I55" t="s">
        <v>4579</v>
      </c>
      <c r="J55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4247</v>
      </c>
      <c r="F56" t="s">
        <v>200</v>
      </c>
      <c r="I56" t="s">
        <v>4582</v>
      </c>
      <c r="J56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5109</v>
      </c>
      <c r="E57" t="s">
        <v>86</v>
      </c>
      <c r="I57" t="s">
        <v>4585</v>
      </c>
      <c r="J57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4588</v>
      </c>
      <c r="J5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5109</v>
      </c>
      <c r="E59" t="s">
        <v>86</v>
      </c>
      <c r="I59" t="s">
        <v>4591</v>
      </c>
      <c r="J59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5109</v>
      </c>
      <c r="E60" t="s">
        <v>86</v>
      </c>
      <c r="I60" t="s">
        <v>4594</v>
      </c>
      <c r="J6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E61" t="s">
        <v>8</v>
      </c>
      <c r="I61" t="s">
        <v>4597</v>
      </c>
      <c r="J61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E62" t="s">
        <v>8</v>
      </c>
      <c r="I62" t="s">
        <v>5175</v>
      </c>
      <c r="J62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t="s">
        <v>4</v>
      </c>
      <c r="E63" t="s">
        <v>8</v>
      </c>
      <c r="I63" t="s">
        <v>5311</v>
      </c>
      <c r="J63" t="s">
        <v>2983</v>
      </c>
      <c r="K63" t="s">
        <v>5312</v>
      </c>
      <c r="L63" t="s">
        <v>5313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t="s">
        <v>2004</v>
      </c>
      <c r="E64" t="s">
        <v>8</v>
      </c>
      <c r="I64" t="s">
        <v>5314</v>
      </c>
      <c r="J64" t="s">
        <v>2983</v>
      </c>
      <c r="K64" t="s">
        <v>5315</v>
      </c>
      <c r="L64" t="s">
        <v>5316</v>
      </c>
      <c r="M64" s="3" t="str">
        <f>HYPERLINK(склад2въезд131920[[#This Row],[RelativePath]])</f>
        <v>6 Площадка 1 общага\826398429_1_20251208T155027Z.jpg</v>
      </c>
    </row>
  </sheetData>
  <conditionalFormatting sqref="D65:D75 E65:E78 G2:H64 D2:E64">
    <cfRule type="containsText" dxfId="356" priority="14" operator="containsText" text="Выезд с территории">
      <formula>NOT(ISERROR(SEARCH("Выезд с территории",D2)))</formula>
    </cfRule>
  </conditionalFormatting>
  <conditionalFormatting sqref="F2:F64">
    <cfRule type="notContainsText" dxfId="355" priority="13" operator="notContains" text="порожний">
      <formula>ISERROR(SEARCH("порожний",F2))</formula>
    </cfRule>
  </conditionalFormatting>
  <conditionalFormatting sqref="E2:E78">
    <cfRule type="containsText" dxfId="354" priority="11" operator="containsText" text="Газель базы">
      <formula>NOT(ISERROR(SEARCH("Газель базы",E2)))</formula>
    </cfRule>
    <cfRule type="containsText" dxfId="353" priority="12" operator="containsText" text="Погрузчик базы">
      <formula>NOT(ISERROR(SEARCH("Погрузчик базы",E2)))</formula>
    </cfRule>
  </conditionalFormatting>
  <conditionalFormatting sqref="E2:E78">
    <cfRule type="containsText" dxfId="352" priority="10" operator="containsText" text="Трактор базы">
      <formula>NOT(ISERROR(SEARCH("Трактор базы",E2)))</formula>
    </cfRule>
  </conditionalFormatting>
  <conditionalFormatting sqref="A2:C64">
    <cfRule type="expression" dxfId="351" priority="9">
      <formula>$A2="пн"</formula>
    </cfRule>
  </conditionalFormatting>
  <conditionalFormatting sqref="A2:C66">
    <cfRule type="expression" dxfId="350" priority="3">
      <formula>$A2="вс"</formula>
    </cfRule>
    <cfRule type="expression" dxfId="349" priority="4">
      <formula>$A2="сб"</formula>
    </cfRule>
    <cfRule type="expression" dxfId="348" priority="5">
      <formula>$A2="пт"</formula>
    </cfRule>
    <cfRule type="expression" dxfId="347" priority="6">
      <formula>$A2="чт"</formula>
    </cfRule>
    <cfRule type="expression" dxfId="346" priority="7">
      <formula>$A2="ср"</formula>
    </cfRule>
    <cfRule type="expression" dxfId="345" priority="8">
      <formula>$A2="вт"</formula>
    </cfRule>
  </conditionalFormatting>
  <conditionalFormatting sqref="D2:D75">
    <cfRule type="containsText" dxfId="3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5">
    <cfRule type="containsText" dxfId="3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91"/>
  <sheetViews>
    <sheetView zoomScale="90" zoomScaleNormal="90" workbookViewId="0">
      <pane ySplit="1" topLeftCell="A175" activePane="bottomLeft" state="frozen"/>
      <selection pane="bottomLeft" activeCell="I189" sqref="I189:I19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customWidth="1"/>
    <col min="10" max="10" width="48.85546875" customWidth="1"/>
    <col min="11" max="11" width="61.28515625" customWidth="1"/>
    <col min="12" max="12" width="24.5703125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3468</v>
      </c>
      <c r="J71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3471</v>
      </c>
      <c r="J72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3474</v>
      </c>
      <c r="J73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4212</v>
      </c>
      <c r="I74" t="s">
        <v>4213</v>
      </c>
      <c r="J74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3477</v>
      </c>
      <c r="J75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4209</v>
      </c>
      <c r="E76" t="s">
        <v>4210</v>
      </c>
      <c r="I76" t="s">
        <v>3480</v>
      </c>
      <c r="J76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4209</v>
      </c>
      <c r="E77" t="s">
        <v>4210</v>
      </c>
      <c r="H77" t="s">
        <v>2936</v>
      </c>
      <c r="I77" t="s">
        <v>3483</v>
      </c>
      <c r="J77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4209</v>
      </c>
      <c r="E78" t="s">
        <v>4210</v>
      </c>
      <c r="H78" t="s">
        <v>2936</v>
      </c>
      <c r="I78" t="s">
        <v>3486</v>
      </c>
      <c r="J7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4209</v>
      </c>
      <c r="E79" t="s">
        <v>4210</v>
      </c>
      <c r="H79" t="s">
        <v>2936</v>
      </c>
      <c r="I79" t="s">
        <v>3489</v>
      </c>
      <c r="J79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4209</v>
      </c>
      <c r="E80" t="s">
        <v>4210</v>
      </c>
      <c r="H80" t="s">
        <v>2936</v>
      </c>
      <c r="I80" t="s">
        <v>3492</v>
      </c>
      <c r="J8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4209</v>
      </c>
      <c r="E81" t="s">
        <v>4210</v>
      </c>
      <c r="H81" t="s">
        <v>2936</v>
      </c>
      <c r="I81" t="s">
        <v>3495</v>
      </c>
      <c r="J81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4209</v>
      </c>
      <c r="E82" t="s">
        <v>4210</v>
      </c>
      <c r="H82" t="s">
        <v>2936</v>
      </c>
      <c r="I82" t="s">
        <v>3498</v>
      </c>
      <c r="J82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4209</v>
      </c>
      <c r="E83" t="s">
        <v>4210</v>
      </c>
      <c r="H83" t="s">
        <v>2936</v>
      </c>
      <c r="I83" t="s">
        <v>3501</v>
      </c>
      <c r="J83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4209</v>
      </c>
      <c r="E84" t="s">
        <v>4210</v>
      </c>
      <c r="H84" t="s">
        <v>2936</v>
      </c>
      <c r="I84" t="s">
        <v>3504</v>
      </c>
      <c r="J84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4209</v>
      </c>
      <c r="E85" t="s">
        <v>4210</v>
      </c>
      <c r="H85" t="s">
        <v>2936</v>
      </c>
      <c r="I85" t="s">
        <v>3507</v>
      </c>
      <c r="J85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4209</v>
      </c>
      <c r="E86" t="s">
        <v>4210</v>
      </c>
      <c r="H86" t="s">
        <v>2936</v>
      </c>
      <c r="I86" t="s">
        <v>3510</v>
      </c>
      <c r="J86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4209</v>
      </c>
      <c r="E87" t="s">
        <v>4210</v>
      </c>
      <c r="H87" t="s">
        <v>2936</v>
      </c>
      <c r="I87" t="s">
        <v>3513</v>
      </c>
      <c r="J87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4209</v>
      </c>
      <c r="E88" t="s">
        <v>4210</v>
      </c>
      <c r="H88" t="s">
        <v>2936</v>
      </c>
      <c r="I88" t="s">
        <v>3516</v>
      </c>
      <c r="J8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4209</v>
      </c>
      <c r="E89" t="s">
        <v>4210</v>
      </c>
      <c r="H89" t="s">
        <v>2936</v>
      </c>
      <c r="I89" t="s">
        <v>3519</v>
      </c>
      <c r="J89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4209</v>
      </c>
      <c r="E90" t="s">
        <v>4210</v>
      </c>
      <c r="H90" t="s">
        <v>2936</v>
      </c>
      <c r="I90" t="s">
        <v>3522</v>
      </c>
      <c r="J9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4209</v>
      </c>
      <c r="E91" t="s">
        <v>4210</v>
      </c>
      <c r="H91" t="s">
        <v>2936</v>
      </c>
      <c r="I91" t="s">
        <v>3525</v>
      </c>
      <c r="J91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4209</v>
      </c>
      <c r="E92" t="s">
        <v>4210</v>
      </c>
      <c r="H92" t="s">
        <v>2936</v>
      </c>
      <c r="I92" t="s">
        <v>3528</v>
      </c>
      <c r="J92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4209</v>
      </c>
      <c r="E93" t="s">
        <v>4210</v>
      </c>
      <c r="H93" t="s">
        <v>2936</v>
      </c>
      <c r="I93" t="s">
        <v>3531</v>
      </c>
      <c r="J93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4209</v>
      </c>
      <c r="E94" t="s">
        <v>4210</v>
      </c>
      <c r="H94" t="s">
        <v>2936</v>
      </c>
      <c r="I94" t="s">
        <v>3534</v>
      </c>
      <c r="J94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4209</v>
      </c>
      <c r="E95" t="s">
        <v>4210</v>
      </c>
      <c r="H95" t="s">
        <v>2936</v>
      </c>
      <c r="I95" t="s">
        <v>3537</v>
      </c>
      <c r="J95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4216</v>
      </c>
      <c r="E96" t="s">
        <v>4211</v>
      </c>
      <c r="I96" t="s">
        <v>3540</v>
      </c>
      <c r="J96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4216</v>
      </c>
      <c r="E97" t="s">
        <v>4211</v>
      </c>
      <c r="H97" t="s">
        <v>2936</v>
      </c>
      <c r="I97" t="s">
        <v>3543</v>
      </c>
      <c r="J97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4216</v>
      </c>
      <c r="E98" t="s">
        <v>4211</v>
      </c>
      <c r="H98" t="s">
        <v>2936</v>
      </c>
      <c r="I98" t="s">
        <v>3546</v>
      </c>
      <c r="J9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4216</v>
      </c>
      <c r="E99" t="s">
        <v>4211</v>
      </c>
      <c r="H99" t="s">
        <v>2936</v>
      </c>
      <c r="I99" t="s">
        <v>3549</v>
      </c>
      <c r="J99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4216</v>
      </c>
      <c r="E100" t="s">
        <v>4211</v>
      </c>
      <c r="H100" t="s">
        <v>2936</v>
      </c>
      <c r="I100" t="s">
        <v>3552</v>
      </c>
      <c r="J10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4216</v>
      </c>
      <c r="E101" t="s">
        <v>4211</v>
      </c>
      <c r="H101" t="s">
        <v>2936</v>
      </c>
      <c r="I101" t="s">
        <v>3555</v>
      </c>
      <c r="J101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3558</v>
      </c>
      <c r="J102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4194</v>
      </c>
      <c r="I103" t="s">
        <v>3561</v>
      </c>
      <c r="J103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4217</v>
      </c>
      <c r="I104" t="s">
        <v>3564</v>
      </c>
      <c r="J104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4217</v>
      </c>
      <c r="F105" t="s">
        <v>4211</v>
      </c>
      <c r="I105" t="s">
        <v>3567</v>
      </c>
      <c r="J105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4217</v>
      </c>
      <c r="F106" t="s">
        <v>4211</v>
      </c>
      <c r="H106" t="s">
        <v>2936</v>
      </c>
      <c r="I106" t="s">
        <v>3570</v>
      </c>
      <c r="J106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4217</v>
      </c>
      <c r="F107" t="s">
        <v>4211</v>
      </c>
      <c r="H107" t="s">
        <v>2936</v>
      </c>
      <c r="I107" t="s">
        <v>3573</v>
      </c>
      <c r="J107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4217</v>
      </c>
      <c r="F108" t="s">
        <v>4211</v>
      </c>
      <c r="H108" t="s">
        <v>2936</v>
      </c>
      <c r="I108" t="s">
        <v>3576</v>
      </c>
      <c r="J10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4217</v>
      </c>
      <c r="F109" t="s">
        <v>4211</v>
      </c>
      <c r="H109" t="s">
        <v>2936</v>
      </c>
      <c r="I109" t="s">
        <v>3579</v>
      </c>
      <c r="J109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4217</v>
      </c>
      <c r="F110" t="s">
        <v>4211</v>
      </c>
      <c r="H110" t="s">
        <v>2936</v>
      </c>
      <c r="I110" t="s">
        <v>3582</v>
      </c>
      <c r="J1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4217</v>
      </c>
      <c r="F111" t="s">
        <v>4211</v>
      </c>
      <c r="H111" t="s">
        <v>2936</v>
      </c>
      <c r="I111" t="s">
        <v>3585</v>
      </c>
      <c r="J111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4217</v>
      </c>
      <c r="F112" t="s">
        <v>4211</v>
      </c>
      <c r="H112" t="s">
        <v>2936</v>
      </c>
      <c r="I112" t="s">
        <v>3588</v>
      </c>
      <c r="J112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4217</v>
      </c>
      <c r="F113" t="s">
        <v>4211</v>
      </c>
      <c r="H113" t="s">
        <v>2936</v>
      </c>
      <c r="I113" t="s">
        <v>3591</v>
      </c>
      <c r="J113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4217</v>
      </c>
      <c r="F114" t="s">
        <v>4211</v>
      </c>
      <c r="H114" t="s">
        <v>2936</v>
      </c>
      <c r="I114" t="s">
        <v>3594</v>
      </c>
      <c r="J114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4217</v>
      </c>
      <c r="F115" t="s">
        <v>4211</v>
      </c>
      <c r="H115" t="s">
        <v>2936</v>
      </c>
      <c r="I115" t="s">
        <v>3597</v>
      </c>
      <c r="J115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4217</v>
      </c>
      <c r="F116" t="s">
        <v>4211</v>
      </c>
      <c r="H116" t="s">
        <v>2936</v>
      </c>
      <c r="I116" t="s">
        <v>3600</v>
      </c>
      <c r="J116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4217</v>
      </c>
      <c r="F117" t="s">
        <v>4211</v>
      </c>
      <c r="H117" t="s">
        <v>2936</v>
      </c>
      <c r="I117" t="s">
        <v>3603</v>
      </c>
      <c r="J117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4217</v>
      </c>
      <c r="F118" t="s">
        <v>4211</v>
      </c>
      <c r="H118" t="s">
        <v>2936</v>
      </c>
      <c r="I118" t="s">
        <v>3606</v>
      </c>
      <c r="J11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4217</v>
      </c>
      <c r="F119" t="s">
        <v>4211</v>
      </c>
      <c r="H119" t="s">
        <v>4218</v>
      </c>
      <c r="I119" t="s">
        <v>3609</v>
      </c>
      <c r="J119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4194</v>
      </c>
      <c r="F120" t="s">
        <v>4211</v>
      </c>
      <c r="I120" t="s">
        <v>3612</v>
      </c>
      <c r="J12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4194</v>
      </c>
      <c r="F121" t="s">
        <v>4211</v>
      </c>
      <c r="H121" t="s">
        <v>2936</v>
      </c>
      <c r="I121" t="s">
        <v>3615</v>
      </c>
      <c r="J121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4194</v>
      </c>
      <c r="F122" t="s">
        <v>4211</v>
      </c>
      <c r="H122" t="s">
        <v>2936</v>
      </c>
      <c r="I122" t="s">
        <v>3618</v>
      </c>
      <c r="J122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4194</v>
      </c>
      <c r="F123" t="s">
        <v>4211</v>
      </c>
      <c r="H123" t="s">
        <v>2936</v>
      </c>
      <c r="I123" t="s">
        <v>3621</v>
      </c>
      <c r="J123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4194</v>
      </c>
      <c r="F124" t="s">
        <v>4211</v>
      </c>
      <c r="H124" t="s">
        <v>2936</v>
      </c>
      <c r="I124" t="s">
        <v>3624</v>
      </c>
      <c r="J124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4194</v>
      </c>
      <c r="F125" t="s">
        <v>4211</v>
      </c>
      <c r="H125" t="s">
        <v>2936</v>
      </c>
      <c r="I125" t="s">
        <v>3627</v>
      </c>
      <c r="J125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4194</v>
      </c>
      <c r="F126" t="s">
        <v>4211</v>
      </c>
      <c r="H126" t="s">
        <v>2936</v>
      </c>
      <c r="I126" t="s">
        <v>3630</v>
      </c>
      <c r="J126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4194</v>
      </c>
      <c r="F128" t="s">
        <v>4211</v>
      </c>
      <c r="H128" t="s">
        <v>2936</v>
      </c>
      <c r="I128" t="s">
        <v>3636</v>
      </c>
      <c r="J12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4194</v>
      </c>
      <c r="F129" t="s">
        <v>4211</v>
      </c>
      <c r="H129" t="s">
        <v>2936</v>
      </c>
      <c r="I129" t="s">
        <v>3639</v>
      </c>
      <c r="J129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4194</v>
      </c>
      <c r="F130" t="s">
        <v>4211</v>
      </c>
      <c r="H130" t="s">
        <v>2936</v>
      </c>
      <c r="I130" t="s">
        <v>3642</v>
      </c>
      <c r="J13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4194</v>
      </c>
      <c r="F131" t="s">
        <v>87</v>
      </c>
      <c r="I131" t="s">
        <v>3645</v>
      </c>
      <c r="J131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4195</v>
      </c>
      <c r="I132" t="s">
        <v>3648</v>
      </c>
      <c r="J132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4195</v>
      </c>
      <c r="H133" t="s">
        <v>2936</v>
      </c>
      <c r="I133" t="s">
        <v>3650</v>
      </c>
      <c r="J133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4195</v>
      </c>
      <c r="F134" t="s">
        <v>4211</v>
      </c>
      <c r="I134" t="s">
        <v>3653</v>
      </c>
      <c r="J134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4195</v>
      </c>
      <c r="F135" t="s">
        <v>4211</v>
      </c>
      <c r="H135" t="s">
        <v>2936</v>
      </c>
      <c r="I135" t="s">
        <v>3656</v>
      </c>
      <c r="J135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4195</v>
      </c>
      <c r="F136" t="s">
        <v>4211</v>
      </c>
      <c r="H136" t="s">
        <v>2936</v>
      </c>
      <c r="I136" t="s">
        <v>3659</v>
      </c>
      <c r="J136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4195</v>
      </c>
      <c r="F137" t="s">
        <v>4211</v>
      </c>
      <c r="H137" t="s">
        <v>2936</v>
      </c>
      <c r="I137" t="s">
        <v>3662</v>
      </c>
      <c r="J137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4195</v>
      </c>
      <c r="F138" t="s">
        <v>4211</v>
      </c>
      <c r="H138" t="s">
        <v>2936</v>
      </c>
      <c r="I138" t="s">
        <v>3665</v>
      </c>
      <c r="J13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4195</v>
      </c>
      <c r="F139" t="s">
        <v>4211</v>
      </c>
      <c r="H139" t="s">
        <v>2936</v>
      </c>
      <c r="I139" t="s">
        <v>3668</v>
      </c>
      <c r="J139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4195</v>
      </c>
      <c r="F140" t="s">
        <v>4211</v>
      </c>
      <c r="H140" t="s">
        <v>2936</v>
      </c>
      <c r="I140" t="s">
        <v>3671</v>
      </c>
      <c r="J14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4195</v>
      </c>
      <c r="F141" t="s">
        <v>4211</v>
      </c>
      <c r="H141" t="s">
        <v>2936</v>
      </c>
      <c r="I141" t="s">
        <v>3674</v>
      </c>
      <c r="J141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4195</v>
      </c>
      <c r="F142" t="s">
        <v>4211</v>
      </c>
      <c r="H142" t="s">
        <v>2936</v>
      </c>
      <c r="I142" t="s">
        <v>3677</v>
      </c>
      <c r="J142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4195</v>
      </c>
      <c r="F143" t="s">
        <v>4211</v>
      </c>
      <c r="H143" t="s">
        <v>2936</v>
      </c>
      <c r="I143" t="s">
        <v>3680</v>
      </c>
      <c r="J143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4195</v>
      </c>
      <c r="F144" t="s">
        <v>4211</v>
      </c>
      <c r="H144" t="s">
        <v>2936</v>
      </c>
      <c r="I144" t="s">
        <v>3683</v>
      </c>
      <c r="J144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4195</v>
      </c>
      <c r="F145" t="s">
        <v>4211</v>
      </c>
      <c r="H145" t="s">
        <v>2936</v>
      </c>
      <c r="I145" t="s">
        <v>3686</v>
      </c>
      <c r="J145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4195</v>
      </c>
      <c r="F146" t="s">
        <v>4211</v>
      </c>
      <c r="H146" t="s">
        <v>2936</v>
      </c>
      <c r="I146" t="s">
        <v>3689</v>
      </c>
      <c r="J146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4195</v>
      </c>
      <c r="F147" t="s">
        <v>4211</v>
      </c>
      <c r="H147" t="s">
        <v>2936</v>
      </c>
      <c r="I147" t="s">
        <v>3692</v>
      </c>
      <c r="J147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4195</v>
      </c>
      <c r="F148" t="s">
        <v>4211</v>
      </c>
      <c r="H148" t="s">
        <v>2936</v>
      </c>
      <c r="I148" t="s">
        <v>3695</v>
      </c>
      <c r="J14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4195</v>
      </c>
      <c r="F149" t="s">
        <v>4211</v>
      </c>
      <c r="H149" t="s">
        <v>2936</v>
      </c>
      <c r="I149" t="s">
        <v>3698</v>
      </c>
      <c r="J149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4195</v>
      </c>
      <c r="F150" t="s">
        <v>4211</v>
      </c>
      <c r="H150" t="s">
        <v>2936</v>
      </c>
      <c r="I150" t="s">
        <v>3701</v>
      </c>
      <c r="J15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4195</v>
      </c>
      <c r="F151" t="s">
        <v>4211</v>
      </c>
      <c r="H151" t="s">
        <v>2936</v>
      </c>
      <c r="I151" t="s">
        <v>3704</v>
      </c>
      <c r="J151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4195</v>
      </c>
      <c r="F152" t="s">
        <v>4211</v>
      </c>
      <c r="H152" t="s">
        <v>2936</v>
      </c>
      <c r="I152" t="s">
        <v>3707</v>
      </c>
      <c r="J152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4195</v>
      </c>
      <c r="F153" t="s">
        <v>4211</v>
      </c>
      <c r="H153" t="s">
        <v>2936</v>
      </c>
      <c r="I153" t="s">
        <v>3710</v>
      </c>
      <c r="J153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4195</v>
      </c>
      <c r="I154" t="s">
        <v>3713</v>
      </c>
      <c r="J154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4195</v>
      </c>
      <c r="F155" t="s">
        <v>4211</v>
      </c>
      <c r="H155" t="s">
        <v>4219</v>
      </c>
      <c r="I155" t="s">
        <v>3716</v>
      </c>
      <c r="J155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4297</v>
      </c>
      <c r="E156" t="s">
        <v>55</v>
      </c>
      <c r="I156" t="s">
        <v>4276</v>
      </c>
      <c r="J156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4999</v>
      </c>
      <c r="J157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5002</v>
      </c>
      <c r="J15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5005</v>
      </c>
      <c r="J159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4247</v>
      </c>
      <c r="F160" t="s">
        <v>58</v>
      </c>
      <c r="I160" t="s">
        <v>5008</v>
      </c>
      <c r="J16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5011</v>
      </c>
      <c r="J161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4247</v>
      </c>
      <c r="F162" t="s">
        <v>58</v>
      </c>
      <c r="I162" t="s">
        <v>5014</v>
      </c>
      <c r="J162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5017</v>
      </c>
      <c r="J163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5020</v>
      </c>
      <c r="J164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5023</v>
      </c>
      <c r="J165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5026</v>
      </c>
      <c r="J166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5029</v>
      </c>
      <c r="J167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5032</v>
      </c>
      <c r="J16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5035</v>
      </c>
      <c r="J169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5038</v>
      </c>
      <c r="J17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5041</v>
      </c>
      <c r="J171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4247</v>
      </c>
      <c r="F172" t="s">
        <v>60</v>
      </c>
      <c r="I172" t="s">
        <v>5116</v>
      </c>
      <c r="J172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4247</v>
      </c>
      <c r="F173" t="s">
        <v>200</v>
      </c>
      <c r="I173" t="s">
        <v>5119</v>
      </c>
      <c r="J173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4247</v>
      </c>
      <c r="F174" t="s">
        <v>200</v>
      </c>
      <c r="I174" t="s">
        <v>5122</v>
      </c>
      <c r="J174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5125</v>
      </c>
      <c r="J175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5128</v>
      </c>
      <c r="J176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5131</v>
      </c>
      <c r="J177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5044</v>
      </c>
      <c r="J17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5047</v>
      </c>
      <c r="J179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5050</v>
      </c>
      <c r="J18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5053</v>
      </c>
      <c r="J181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5056</v>
      </c>
      <c r="J182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5059</v>
      </c>
      <c r="J183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5062</v>
      </c>
      <c r="J184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5065</v>
      </c>
      <c r="J185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5134</v>
      </c>
      <c r="I186" t="s">
        <v>5068</v>
      </c>
      <c r="J186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5071</v>
      </c>
      <c r="J187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5229</v>
      </c>
      <c r="J18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t="s">
        <v>4</v>
      </c>
      <c r="E189" t="s">
        <v>8</v>
      </c>
      <c r="I189" t="s">
        <v>5317</v>
      </c>
      <c r="J189" t="s">
        <v>2984</v>
      </c>
      <c r="K189" t="s">
        <v>5318</v>
      </c>
      <c r="L189" t="s">
        <v>5319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t="s">
        <v>289</v>
      </c>
      <c r="E190" t="s">
        <v>86</v>
      </c>
      <c r="F190" t="s">
        <v>200</v>
      </c>
      <c r="I190" t="s">
        <v>5320</v>
      </c>
      <c r="J190" t="s">
        <v>2984</v>
      </c>
      <c r="K190" t="s">
        <v>5321</v>
      </c>
      <c r="L190" t="s">
        <v>5322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t="s">
        <v>289</v>
      </c>
      <c r="E191" t="s">
        <v>86</v>
      </c>
      <c r="F191" t="s">
        <v>200</v>
      </c>
      <c r="I191" t="s">
        <v>5323</v>
      </c>
      <c r="J191" t="s">
        <v>2984</v>
      </c>
      <c r="K191" t="s">
        <v>5324</v>
      </c>
      <c r="L191" t="s">
        <v>5325</v>
      </c>
      <c r="M191" s="3" t="str">
        <f>HYPERLINK(склад2въезд13192021[[#This Row],[RelativePath]])</f>
        <v>7 Площадка 2 бетонщики\K07156189_18_20251208T150952Z.jpg</v>
      </c>
    </row>
  </sheetData>
  <conditionalFormatting sqref="E192:E205 D192:D202 D2:E191 G2:H191">
    <cfRule type="containsText" dxfId="342" priority="18" operator="containsText" text="Выезд с территории">
      <formula>NOT(ISERROR(SEARCH("Выезд с территории",D2)))</formula>
    </cfRule>
  </conditionalFormatting>
  <conditionalFormatting sqref="F2:F191">
    <cfRule type="notContainsText" dxfId="341" priority="17" operator="notContains" text="порожний">
      <formula>ISERROR(SEARCH("порожний",F2))</formula>
    </cfRule>
  </conditionalFormatting>
  <conditionalFormatting sqref="E2:E205">
    <cfRule type="containsText" dxfId="340" priority="15" operator="containsText" text="Газель базы">
      <formula>NOT(ISERROR(SEARCH("Газель базы",E2)))</formula>
    </cfRule>
    <cfRule type="containsText" dxfId="339" priority="16" operator="containsText" text="Погрузчик базы">
      <formula>NOT(ISERROR(SEARCH("Погрузчик базы",E2)))</formula>
    </cfRule>
  </conditionalFormatting>
  <conditionalFormatting sqref="E2:E205">
    <cfRule type="containsText" dxfId="338" priority="14" operator="containsText" text="Трактор базы">
      <formula>NOT(ISERROR(SEARCH("Трактор базы",E2)))</formula>
    </cfRule>
  </conditionalFormatting>
  <conditionalFormatting sqref="A2:C191">
    <cfRule type="expression" dxfId="337" priority="13">
      <formula>$A2="пн"</formula>
    </cfRule>
  </conditionalFormatting>
  <conditionalFormatting sqref="A2:C193">
    <cfRule type="expression" dxfId="336" priority="7">
      <formula>$A2="вс"</formula>
    </cfRule>
    <cfRule type="expression" dxfId="335" priority="8">
      <formula>$A2="сб"</formula>
    </cfRule>
    <cfRule type="expression" dxfId="334" priority="9">
      <formula>$A2="пт"</formula>
    </cfRule>
    <cfRule type="expression" dxfId="333" priority="10">
      <formula>$A2="чт"</formula>
    </cfRule>
    <cfRule type="expression" dxfId="332" priority="11">
      <formula>$A2="ср"</formula>
    </cfRule>
    <cfRule type="expression" dxfId="331" priority="12">
      <formula>$A2="вт"</formula>
    </cfRule>
  </conditionalFormatting>
  <conditionalFormatting sqref="D2:D202">
    <cfRule type="containsText" dxfId="33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2">
    <cfRule type="containsText" dxfId="32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D74">
    <cfRule type="containsText" dxfId="328" priority="1" operator="containsText" text="Камера не работала">
      <formula>NOT(ISERROR(SEARCH("Камера не работала",D74)))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17"/>
  <sheetViews>
    <sheetView zoomScale="90" zoomScaleNormal="90" workbookViewId="0">
      <pane ySplit="1" topLeftCell="A101" activePane="bottomLeft" state="frozen"/>
      <selection pane="bottomLeft" activeCell="I117" sqref="I11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customWidth="1"/>
    <col min="11" max="11" width="45.5703125" customWidth="1"/>
    <col min="12" max="12" width="24.5703125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5136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I117" t="s">
        <v>5326</v>
      </c>
      <c r="J117" t="s">
        <v>2992</v>
      </c>
      <c r="K117" t="s">
        <v>5327</v>
      </c>
      <c r="L117" t="s">
        <v>5328</v>
      </c>
      <c r="M117" s="3" t="str">
        <f>HYPERLINK(склад2въезд1319202122[[#This Row],[RelativePath]])</f>
        <v>8 Рейсмус\E33149364_2_20251208T080617Z.jpg</v>
      </c>
    </row>
  </sheetData>
  <conditionalFormatting sqref="D118:D128 E118:E131 G2:H117 D2:E117">
    <cfRule type="containsText" dxfId="327" priority="14" operator="containsText" text="Выезд с территории">
      <formula>NOT(ISERROR(SEARCH("Выезд с территории",D2)))</formula>
    </cfRule>
  </conditionalFormatting>
  <conditionalFormatting sqref="F2:F117">
    <cfRule type="notContainsText" dxfId="326" priority="13" operator="notContains" text="порожний">
      <formula>ISERROR(SEARCH("порожний",F2))</formula>
    </cfRule>
  </conditionalFormatting>
  <conditionalFormatting sqref="E2:E131">
    <cfRule type="containsText" dxfId="325" priority="11" operator="containsText" text="Газель базы">
      <formula>NOT(ISERROR(SEARCH("Газель базы",E2)))</formula>
    </cfRule>
    <cfRule type="containsText" dxfId="324" priority="12" operator="containsText" text="Погрузчик базы">
      <formula>NOT(ISERROR(SEARCH("Погрузчик базы",E2)))</formula>
    </cfRule>
  </conditionalFormatting>
  <conditionalFormatting sqref="E2:E131">
    <cfRule type="containsText" dxfId="323" priority="10" operator="containsText" text="Трактор базы">
      <formula>NOT(ISERROR(SEARCH("Трактор базы",E2)))</formula>
    </cfRule>
  </conditionalFormatting>
  <conditionalFormatting sqref="A2:C117">
    <cfRule type="expression" dxfId="322" priority="9">
      <formula>$A2="пн"</formula>
    </cfRule>
  </conditionalFormatting>
  <conditionalFormatting sqref="A2:C119">
    <cfRule type="expression" dxfId="321" priority="3">
      <formula>$A2="вс"</formula>
    </cfRule>
    <cfRule type="expression" dxfId="320" priority="4">
      <formula>$A2="сб"</formula>
    </cfRule>
    <cfRule type="expression" dxfId="319" priority="5">
      <formula>$A2="пт"</formula>
    </cfRule>
    <cfRule type="expression" dxfId="318" priority="6">
      <formula>$A2="чт"</formula>
    </cfRule>
    <cfRule type="expression" dxfId="317" priority="7">
      <formula>$A2="ср"</formula>
    </cfRule>
    <cfRule type="expression" dxfId="316" priority="8">
      <formula>$A2="вт"</formula>
    </cfRule>
  </conditionalFormatting>
  <conditionalFormatting sqref="D2:D128">
    <cfRule type="containsText" dxfId="3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8">
    <cfRule type="containsText" dxfId="3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309"/>
  <sheetViews>
    <sheetView zoomScale="90" zoomScaleNormal="90" workbookViewId="0">
      <pane ySplit="1" topLeftCell="A289" activePane="bottomLeft" state="frozen"/>
      <selection pane="bottomLeft" activeCell="I291" sqref="I291:I30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28.140625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customWidth="1"/>
    <col min="11" max="11" width="53.28515625" customWidth="1"/>
    <col min="12" max="12" width="24.5703125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5329</v>
      </c>
      <c r="J291" t="s">
        <v>2993</v>
      </c>
      <c r="K291" t="s">
        <v>5330</v>
      </c>
      <c r="L291" t="s">
        <v>5331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5332</v>
      </c>
      <c r="J292" t="s">
        <v>2993</v>
      </c>
      <c r="K292" t="s">
        <v>5333</v>
      </c>
      <c r="L292" t="s">
        <v>5334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5335</v>
      </c>
      <c r="J293" t="s">
        <v>2993</v>
      </c>
      <c r="K293" t="s">
        <v>5336</v>
      </c>
      <c r="L293" t="s">
        <v>5337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5338</v>
      </c>
      <c r="J294" t="s">
        <v>2993</v>
      </c>
      <c r="K294" t="s">
        <v>5339</v>
      </c>
      <c r="L294" t="s">
        <v>5340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5341</v>
      </c>
      <c r="J295" t="s">
        <v>2993</v>
      </c>
      <c r="K295" t="s">
        <v>5342</v>
      </c>
      <c r="L295" t="s">
        <v>5343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5344</v>
      </c>
      <c r="J296" t="s">
        <v>2993</v>
      </c>
      <c r="K296" t="s">
        <v>5345</v>
      </c>
      <c r="L296" t="s">
        <v>5346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5347</v>
      </c>
      <c r="J297" t="s">
        <v>2993</v>
      </c>
      <c r="K297" t="s">
        <v>5348</v>
      </c>
      <c r="L297" t="s">
        <v>5349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5350</v>
      </c>
      <c r="J298" t="s">
        <v>2993</v>
      </c>
      <c r="K298" t="s">
        <v>5351</v>
      </c>
      <c r="L298" t="s">
        <v>5352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5353</v>
      </c>
      <c r="J299" t="s">
        <v>2993</v>
      </c>
      <c r="K299" t="s">
        <v>5354</v>
      </c>
      <c r="L299" t="s">
        <v>5355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5356</v>
      </c>
      <c r="J300" t="s">
        <v>2993</v>
      </c>
      <c r="K300" t="s">
        <v>5357</v>
      </c>
      <c r="L300" t="s">
        <v>5358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5477</v>
      </c>
      <c r="E301" t="s">
        <v>86</v>
      </c>
      <c r="F301" t="s">
        <v>58</v>
      </c>
      <c r="I301" t="s">
        <v>5359</v>
      </c>
      <c r="J301" t="s">
        <v>2993</v>
      </c>
      <c r="K301" t="s">
        <v>5360</v>
      </c>
      <c r="L301" t="s">
        <v>5361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5477</v>
      </c>
      <c r="E302" t="s">
        <v>86</v>
      </c>
      <c r="F302" t="s">
        <v>58</v>
      </c>
      <c r="I302" t="s">
        <v>5362</v>
      </c>
      <c r="J302" t="s">
        <v>2993</v>
      </c>
      <c r="K302" t="s">
        <v>5363</v>
      </c>
      <c r="L302" t="s">
        <v>5364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5478</v>
      </c>
      <c r="I303" t="s">
        <v>5365</v>
      </c>
      <c r="J303" t="s">
        <v>2993</v>
      </c>
      <c r="K303" t="s">
        <v>5366</v>
      </c>
      <c r="L303" t="s">
        <v>5367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5368</v>
      </c>
      <c r="J304" t="s">
        <v>2993</v>
      </c>
      <c r="K304" t="s">
        <v>5369</v>
      </c>
      <c r="L304" t="s">
        <v>5370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5371</v>
      </c>
      <c r="J305" t="s">
        <v>2993</v>
      </c>
      <c r="K305" t="s">
        <v>5372</v>
      </c>
      <c r="L305" t="s">
        <v>5373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5374</v>
      </c>
      <c r="J306" t="s">
        <v>2993</v>
      </c>
      <c r="K306" t="s">
        <v>5375</v>
      </c>
      <c r="L306" t="s">
        <v>5376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5477</v>
      </c>
      <c r="E307" t="s">
        <v>86</v>
      </c>
      <c r="F307" t="s">
        <v>58</v>
      </c>
      <c r="I307" t="s">
        <v>5377</v>
      </c>
      <c r="J307" t="s">
        <v>2993</v>
      </c>
      <c r="K307" t="s">
        <v>5378</v>
      </c>
      <c r="L307" t="s">
        <v>5379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5380</v>
      </c>
      <c r="J308" t="s">
        <v>2993</v>
      </c>
      <c r="K308" t="s">
        <v>5381</v>
      </c>
      <c r="L308" t="s">
        <v>5382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5383</v>
      </c>
      <c r="J309" t="s">
        <v>2993</v>
      </c>
      <c r="K309" t="s">
        <v>5384</v>
      </c>
      <c r="L309" t="s">
        <v>5385</v>
      </c>
      <c r="M309" s="3" t="str">
        <f>HYPERLINK(склад2въезд13192021222[[#This Row],[RelativePath]])</f>
        <v>9 Ангар пилорама\E33149364_1_20251208T221822Z.jpg</v>
      </c>
    </row>
  </sheetData>
  <conditionalFormatting sqref="D310:D320 E310:E323 G2:H309 D2:E309">
    <cfRule type="containsText" dxfId="313" priority="14" operator="containsText" text="Выезд с территории">
      <formula>NOT(ISERROR(SEARCH("Выезд с территории",D2)))</formula>
    </cfRule>
  </conditionalFormatting>
  <conditionalFormatting sqref="F2:F309">
    <cfRule type="notContainsText" dxfId="312" priority="13" operator="notContains" text="порожний">
      <formula>ISERROR(SEARCH("порожний",F2))</formula>
    </cfRule>
  </conditionalFormatting>
  <conditionalFormatting sqref="E2:E323">
    <cfRule type="containsText" dxfId="311" priority="11" operator="containsText" text="Газель базы">
      <formula>NOT(ISERROR(SEARCH("Газель базы",E2)))</formula>
    </cfRule>
    <cfRule type="containsText" dxfId="310" priority="12" operator="containsText" text="Погрузчик базы">
      <formula>NOT(ISERROR(SEARCH("Погрузчик базы",E2)))</formula>
    </cfRule>
  </conditionalFormatting>
  <conditionalFormatting sqref="E2:E323">
    <cfRule type="containsText" dxfId="309" priority="10" operator="containsText" text="Трактор базы">
      <formula>NOT(ISERROR(SEARCH("Трактор базы",E2)))</formula>
    </cfRule>
  </conditionalFormatting>
  <conditionalFormatting sqref="A2:C309">
    <cfRule type="expression" dxfId="308" priority="9">
      <formula>$A2="пн"</formula>
    </cfRule>
  </conditionalFormatting>
  <conditionalFormatting sqref="A2:C311">
    <cfRule type="expression" dxfId="307" priority="3">
      <formula>$A2="вс"</formula>
    </cfRule>
    <cfRule type="expression" dxfId="306" priority="4">
      <formula>$A2="сб"</formula>
    </cfRule>
    <cfRule type="expression" dxfId="305" priority="5">
      <formula>$A2="пт"</formula>
    </cfRule>
    <cfRule type="expression" dxfId="304" priority="6">
      <formula>$A2="чт"</formula>
    </cfRule>
    <cfRule type="expression" dxfId="303" priority="7">
      <formula>$A2="ср"</formula>
    </cfRule>
    <cfRule type="expression" dxfId="302" priority="8">
      <formula>$A2="вт"</formula>
    </cfRule>
  </conditionalFormatting>
  <conditionalFormatting sqref="D2:D320">
    <cfRule type="containsText" dxfId="3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0">
    <cfRule type="containsText" dxfId="3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308"/>
  <sheetViews>
    <sheetView zoomScale="90" zoomScaleNormal="90" workbookViewId="0">
      <pane ySplit="1" topLeftCell="A287" activePane="bottomLeft" state="frozen"/>
      <selection pane="bottomLeft" activeCell="I286" sqref="I286:I30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2.14062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customWidth="1"/>
    <col min="11" max="11" width="52.85546875" customWidth="1"/>
    <col min="12" max="12" width="24.5703125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7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7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5386</v>
      </c>
      <c r="J286" t="s">
        <v>2985</v>
      </c>
      <c r="K286" t="s">
        <v>5387</v>
      </c>
      <c r="L286" t="s">
        <v>5388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5389</v>
      </c>
      <c r="J287" t="s">
        <v>2985</v>
      </c>
      <c r="K287" t="s">
        <v>5390</v>
      </c>
      <c r="L287" t="s">
        <v>5391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5392</v>
      </c>
      <c r="J288" t="s">
        <v>2985</v>
      </c>
      <c r="K288" t="s">
        <v>5393</v>
      </c>
      <c r="L288" t="s">
        <v>5394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5395</v>
      </c>
      <c r="J289" t="s">
        <v>2985</v>
      </c>
      <c r="K289" t="s">
        <v>5396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5397</v>
      </c>
      <c r="J290" t="s">
        <v>2985</v>
      </c>
      <c r="K290" t="s">
        <v>5398</v>
      </c>
      <c r="L290" t="s">
        <v>5399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5400</v>
      </c>
      <c r="J291" t="s">
        <v>2985</v>
      </c>
      <c r="K291" t="s">
        <v>5401</v>
      </c>
      <c r="L291" t="s">
        <v>5402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5403</v>
      </c>
      <c r="J292" t="s">
        <v>2985</v>
      </c>
      <c r="K292" t="s">
        <v>5404</v>
      </c>
      <c r="L292" t="s">
        <v>5405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5406</v>
      </c>
      <c r="J293" t="s">
        <v>2985</v>
      </c>
      <c r="K293" t="s">
        <v>5407</v>
      </c>
      <c r="L293" t="s">
        <v>5408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5409</v>
      </c>
      <c r="J294" t="s">
        <v>2985</v>
      </c>
      <c r="K294" t="s">
        <v>5410</v>
      </c>
      <c r="L294" t="s">
        <v>5411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5412</v>
      </c>
      <c r="J295" t="s">
        <v>2985</v>
      </c>
      <c r="K295" t="s">
        <v>5413</v>
      </c>
      <c r="L295" t="s">
        <v>5414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5415</v>
      </c>
      <c r="J296" t="s">
        <v>2985</v>
      </c>
      <c r="K296" t="s">
        <v>5416</v>
      </c>
      <c r="L296" t="s">
        <v>5417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5418</v>
      </c>
      <c r="J297" t="s">
        <v>2985</v>
      </c>
      <c r="K297" t="s">
        <v>5419</v>
      </c>
      <c r="L297" t="s">
        <v>5420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5421</v>
      </c>
      <c r="J298" t="s">
        <v>2985</v>
      </c>
      <c r="K298" t="s">
        <v>5422</v>
      </c>
      <c r="L298" t="s">
        <v>5423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5424</v>
      </c>
      <c r="J299" t="s">
        <v>2985</v>
      </c>
      <c r="K299" t="s">
        <v>5425</v>
      </c>
      <c r="L299" t="s">
        <v>5426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5427</v>
      </c>
      <c r="J300" t="s">
        <v>2985</v>
      </c>
      <c r="K300" t="s">
        <v>5428</v>
      </c>
      <c r="L300" t="s">
        <v>5429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5430</v>
      </c>
      <c r="J301" t="s">
        <v>2985</v>
      </c>
      <c r="K301" t="s">
        <v>5431</v>
      </c>
      <c r="L301" t="s">
        <v>5432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5433</v>
      </c>
      <c r="J302" t="s">
        <v>2985</v>
      </c>
      <c r="K302" t="s">
        <v>5434</v>
      </c>
      <c r="L302" t="s">
        <v>5435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5436</v>
      </c>
      <c r="J303" t="s">
        <v>2985</v>
      </c>
      <c r="K303" t="s">
        <v>5437</v>
      </c>
      <c r="L303" t="s">
        <v>5438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5439</v>
      </c>
      <c r="J304" t="s">
        <v>2985</v>
      </c>
      <c r="K304" t="s">
        <v>5440</v>
      </c>
      <c r="L304" t="s">
        <v>5441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5442</v>
      </c>
      <c r="J305" t="s">
        <v>2985</v>
      </c>
      <c r="K305" t="s">
        <v>5443</v>
      </c>
      <c r="L305" t="s">
        <v>5444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5445</v>
      </c>
      <c r="J306" t="s">
        <v>2985</v>
      </c>
      <c r="K306" t="s">
        <v>5446</v>
      </c>
      <c r="L306" t="s">
        <v>5447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5448</v>
      </c>
      <c r="J307" t="s">
        <v>2985</v>
      </c>
      <c r="K307" t="s">
        <v>5449</v>
      </c>
      <c r="L307" t="s">
        <v>5450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5451</v>
      </c>
      <c r="J308" t="s">
        <v>2985</v>
      </c>
      <c r="K308" t="s">
        <v>5452</v>
      </c>
      <c r="L308" t="s">
        <v>5453</v>
      </c>
      <c r="M308" s="3" t="str">
        <f>HYPERLINK(склад2въезд131920212223[[#This Row],[RelativePath]])</f>
        <v>10 Сушилка навес\E33149364_3_20251208T172344Z.jpg</v>
      </c>
    </row>
  </sheetData>
  <conditionalFormatting sqref="D309:D319 E309:E322 G2:H308 D2:E308">
    <cfRule type="containsText" dxfId="299" priority="14" operator="containsText" text="Выезд с территории">
      <formula>NOT(ISERROR(SEARCH("Выезд с территории",D2)))</formula>
    </cfRule>
  </conditionalFormatting>
  <conditionalFormatting sqref="F2:F308">
    <cfRule type="notContainsText" dxfId="298" priority="13" operator="notContains" text="порожний">
      <formula>ISERROR(SEARCH("порожний",F2))</formula>
    </cfRule>
  </conditionalFormatting>
  <conditionalFormatting sqref="E2:E322">
    <cfRule type="containsText" dxfId="297" priority="11" operator="containsText" text="Газель базы">
      <formula>NOT(ISERROR(SEARCH("Газель базы",E2)))</formula>
    </cfRule>
    <cfRule type="containsText" dxfId="296" priority="12" operator="containsText" text="Погрузчик базы">
      <formula>NOT(ISERROR(SEARCH("Погрузчик базы",E2)))</formula>
    </cfRule>
  </conditionalFormatting>
  <conditionalFormatting sqref="E2:E322">
    <cfRule type="containsText" dxfId="295" priority="10" operator="containsText" text="Трактор базы">
      <formula>NOT(ISERROR(SEARCH("Трактор базы",E2)))</formula>
    </cfRule>
  </conditionalFormatting>
  <conditionalFormatting sqref="A2:C308">
    <cfRule type="expression" dxfId="294" priority="9">
      <formula>$A2="пн"</formula>
    </cfRule>
  </conditionalFormatting>
  <conditionalFormatting sqref="A2:C310">
    <cfRule type="expression" dxfId="293" priority="3">
      <formula>$A2="вс"</formula>
    </cfRule>
    <cfRule type="expression" dxfId="292" priority="4">
      <formula>$A2="сб"</formula>
    </cfRule>
    <cfRule type="expression" dxfId="291" priority="5">
      <formula>$A2="пт"</formula>
    </cfRule>
    <cfRule type="expression" dxfId="290" priority="6">
      <formula>$A2="чт"</formula>
    </cfRule>
    <cfRule type="expression" dxfId="289" priority="7">
      <formula>$A2="ср"</formula>
    </cfRule>
    <cfRule type="expression" dxfId="288" priority="8">
      <formula>$A2="вт"</formula>
    </cfRule>
  </conditionalFormatting>
  <conditionalFormatting sqref="D2:D319">
    <cfRule type="containsText" dxfId="28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9">
    <cfRule type="containsText" dxfId="28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22"/>
  <sheetViews>
    <sheetView zoomScale="90" zoomScaleNormal="90" workbookViewId="0">
      <pane ySplit="1" topLeftCell="A104" activePane="bottomLeft" state="frozen"/>
      <selection pane="bottomLeft" activeCell="I121" sqref="I121:I12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19.28515625" bestFit="1" customWidth="1"/>
    <col min="7" max="7" width="7.28515625" bestFit="1" customWidth="1"/>
    <col min="8" max="8" width="29.140625" bestFit="1" customWidth="1"/>
    <col min="9" max="9" width="35.42578125" customWidth="1"/>
    <col min="10" max="10" width="42.85546875" customWidth="1"/>
    <col min="11" max="11" width="54.7109375" customWidth="1"/>
    <col min="12" max="12" width="24.5703125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8</v>
      </c>
      <c r="F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5454</v>
      </c>
      <c r="J121" t="s">
        <v>2986</v>
      </c>
      <c r="K121" t="s">
        <v>5455</v>
      </c>
      <c r="L121" t="s">
        <v>5456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5457</v>
      </c>
      <c r="J122" t="s">
        <v>2986</v>
      </c>
      <c r="K122" t="s">
        <v>5458</v>
      </c>
      <c r="L122" t="s">
        <v>5459</v>
      </c>
      <c r="M122" s="3" t="str">
        <f>HYPERLINK(склад2въезд1319202122237[[#This Row],[RelativePath]])</f>
        <v>11 С ангара на базу\E33149364_4_20251208T110553Z.jpg</v>
      </c>
    </row>
  </sheetData>
  <conditionalFormatting sqref="D123:D133 E123:E136 G2:H122 D2:E122">
    <cfRule type="containsText" dxfId="285" priority="14" operator="containsText" text="Выезд с территории">
      <formula>NOT(ISERROR(SEARCH("Выезд с территории",D2)))</formula>
    </cfRule>
  </conditionalFormatting>
  <conditionalFormatting sqref="F2:F122">
    <cfRule type="notContainsText" dxfId="284" priority="13" operator="notContains" text="порожний">
      <formula>ISERROR(SEARCH("порожний",F2))</formula>
    </cfRule>
  </conditionalFormatting>
  <conditionalFormatting sqref="E2:E136">
    <cfRule type="containsText" dxfId="283" priority="11" operator="containsText" text="Газель базы">
      <formula>NOT(ISERROR(SEARCH("Газель базы",E2)))</formula>
    </cfRule>
    <cfRule type="containsText" dxfId="282" priority="12" operator="containsText" text="Погрузчик базы">
      <formula>NOT(ISERROR(SEARCH("Погрузчик базы",E2)))</formula>
    </cfRule>
  </conditionalFormatting>
  <conditionalFormatting sqref="E2:E136">
    <cfRule type="containsText" dxfId="281" priority="10" operator="containsText" text="Трактор базы">
      <formula>NOT(ISERROR(SEARCH("Трактор базы",E2)))</formula>
    </cfRule>
  </conditionalFormatting>
  <conditionalFormatting sqref="A2:C122">
    <cfRule type="expression" dxfId="280" priority="9">
      <formula>$A2="пн"</formula>
    </cfRule>
  </conditionalFormatting>
  <conditionalFormatting sqref="A2:C124">
    <cfRule type="expression" dxfId="279" priority="3">
      <formula>$A2="вс"</formula>
    </cfRule>
    <cfRule type="expression" dxfId="278" priority="4">
      <formula>$A2="сб"</formula>
    </cfRule>
    <cfRule type="expression" dxfId="277" priority="5">
      <formula>$A2="пт"</formula>
    </cfRule>
    <cfRule type="expression" dxfId="276" priority="6">
      <formula>$A2="чт"</formula>
    </cfRule>
    <cfRule type="expression" dxfId="275" priority="7">
      <formula>$A2="ср"</formula>
    </cfRule>
    <cfRule type="expression" dxfId="274" priority="8">
      <formula>$A2="вт"</formula>
    </cfRule>
  </conditionalFormatting>
  <conditionalFormatting sqref="D2:D133">
    <cfRule type="containsText" dxfId="27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3">
    <cfRule type="containsText" dxfId="27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89"/>
  <sheetViews>
    <sheetView zoomScale="90" zoomScaleNormal="90" workbookViewId="0">
      <pane ySplit="1" topLeftCell="A74" activePane="bottomLeft" state="frozen"/>
      <selection pane="bottomLeft" activeCell="I87" sqref="I87:I8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customWidth="1"/>
    <col min="10" max="10" width="43.7109375" customWidth="1"/>
    <col min="11" max="11" width="56.7109375" customWidth="1"/>
    <col min="12" max="12" width="24.5703125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4127</v>
      </c>
      <c r="J52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4246</v>
      </c>
      <c r="E53" t="s">
        <v>4247</v>
      </c>
      <c r="I53" t="s">
        <v>4130</v>
      </c>
      <c r="J53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4246</v>
      </c>
      <c r="E54" t="s">
        <v>4247</v>
      </c>
      <c r="I54" t="s">
        <v>4133</v>
      </c>
      <c r="J54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4246</v>
      </c>
      <c r="E55" t="s">
        <v>4247</v>
      </c>
      <c r="I55" t="s">
        <v>4136</v>
      </c>
      <c r="J55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4246</v>
      </c>
      <c r="E56" t="s">
        <v>4247</v>
      </c>
      <c r="I56" t="s">
        <v>4139</v>
      </c>
      <c r="J56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4246</v>
      </c>
      <c r="E57" t="s">
        <v>4247</v>
      </c>
      <c r="I57" t="s">
        <v>4142</v>
      </c>
      <c r="J57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4248</v>
      </c>
      <c r="I58" t="s">
        <v>4145</v>
      </c>
      <c r="J5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4248</v>
      </c>
      <c r="I59" t="s">
        <v>4148</v>
      </c>
      <c r="J59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4248</v>
      </c>
      <c r="I60" t="s">
        <v>4151</v>
      </c>
      <c r="J60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4248</v>
      </c>
      <c r="I61" t="s">
        <v>4154</v>
      </c>
      <c r="J61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4248</v>
      </c>
      <c r="I62" t="s">
        <v>4157</v>
      </c>
      <c r="J62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4248</v>
      </c>
      <c r="I63" t="s">
        <v>4160</v>
      </c>
      <c r="J63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4163</v>
      </c>
      <c r="J64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4291</v>
      </c>
      <c r="J65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4921</v>
      </c>
      <c r="J66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4924</v>
      </c>
      <c r="J67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4927</v>
      </c>
      <c r="J6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4930</v>
      </c>
      <c r="J69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4933</v>
      </c>
      <c r="J70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4936</v>
      </c>
      <c r="J71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4939</v>
      </c>
      <c r="J72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4942</v>
      </c>
      <c r="J73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4945</v>
      </c>
      <c r="J74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4948</v>
      </c>
      <c r="J75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4951</v>
      </c>
      <c r="J76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4954</v>
      </c>
      <c r="J77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4957</v>
      </c>
      <c r="J7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4960</v>
      </c>
      <c r="J79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4963</v>
      </c>
      <c r="J80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4966</v>
      </c>
      <c r="J81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4969</v>
      </c>
      <c r="J82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4972</v>
      </c>
      <c r="J83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4975</v>
      </c>
      <c r="J84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E85" t="s">
        <v>8</v>
      </c>
      <c r="I85" t="s">
        <v>4978</v>
      </c>
      <c r="J85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E86" t="s">
        <v>8</v>
      </c>
      <c r="I86" t="s">
        <v>5217</v>
      </c>
      <c r="J86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t="s">
        <v>4</v>
      </c>
      <c r="E87" t="s">
        <v>5479</v>
      </c>
      <c r="I87" t="s">
        <v>5460</v>
      </c>
      <c r="J87" t="s">
        <v>2987</v>
      </c>
      <c r="K87" t="s">
        <v>5461</v>
      </c>
      <c r="L87" t="s">
        <v>5462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t="s">
        <v>4</v>
      </c>
      <c r="E88" t="s">
        <v>8</v>
      </c>
      <c r="I88" t="s">
        <v>5463</v>
      </c>
      <c r="J88" t="s">
        <v>2987</v>
      </c>
      <c r="K88" t="s">
        <v>5464</v>
      </c>
      <c r="L88" t="s">
        <v>5465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t="s">
        <v>4</v>
      </c>
      <c r="E89" t="s">
        <v>5479</v>
      </c>
      <c r="H89" t="s">
        <v>5480</v>
      </c>
      <c r="I89" t="s">
        <v>5466</v>
      </c>
      <c r="J89" t="s">
        <v>2987</v>
      </c>
      <c r="K89" t="s">
        <v>5467</v>
      </c>
      <c r="L89" t="s">
        <v>5468</v>
      </c>
      <c r="M89" s="3" t="str">
        <f>HYPERLINK(склад2въезд13192021222378[[#This Row],[RelativePath]])</f>
        <v>12 Площадка 3 кран\K07156189_20_20251208T171258Z.jpg</v>
      </c>
    </row>
  </sheetData>
  <conditionalFormatting sqref="D90:D100 E90:E103 G2:H89 D2:E89">
    <cfRule type="containsText" dxfId="271" priority="14" operator="containsText" text="Выезд с территории">
      <formula>NOT(ISERROR(SEARCH("Выезд с территории",D2)))</formula>
    </cfRule>
  </conditionalFormatting>
  <conditionalFormatting sqref="F2:F89">
    <cfRule type="notContainsText" dxfId="270" priority="13" operator="notContains" text="порожний">
      <formula>ISERROR(SEARCH("порожний",F2))</formula>
    </cfRule>
  </conditionalFormatting>
  <conditionalFormatting sqref="E2:E103">
    <cfRule type="containsText" dxfId="269" priority="11" operator="containsText" text="Газель базы">
      <formula>NOT(ISERROR(SEARCH("Газель базы",E2)))</formula>
    </cfRule>
    <cfRule type="containsText" dxfId="268" priority="12" operator="containsText" text="Погрузчик базы">
      <formula>NOT(ISERROR(SEARCH("Погрузчик базы",E2)))</formula>
    </cfRule>
  </conditionalFormatting>
  <conditionalFormatting sqref="E2:E103">
    <cfRule type="containsText" dxfId="267" priority="10" operator="containsText" text="Трактор базы">
      <formula>NOT(ISERROR(SEARCH("Трактор базы",E2)))</formula>
    </cfRule>
  </conditionalFormatting>
  <conditionalFormatting sqref="A2:C89">
    <cfRule type="expression" dxfId="266" priority="9">
      <formula>$A2="пн"</formula>
    </cfRule>
  </conditionalFormatting>
  <conditionalFormatting sqref="A2:C91">
    <cfRule type="expression" dxfId="265" priority="3">
      <formula>$A2="вс"</formula>
    </cfRule>
    <cfRule type="expression" dxfId="264" priority="4">
      <formula>$A2="сб"</formula>
    </cfRule>
    <cfRule type="expression" dxfId="263" priority="5">
      <formula>$A2="пт"</formula>
    </cfRule>
    <cfRule type="expression" dxfId="262" priority="6">
      <formula>$A2="чт"</formula>
    </cfRule>
    <cfRule type="expression" dxfId="261" priority="7">
      <formula>$A2="ср"</formula>
    </cfRule>
    <cfRule type="expression" dxfId="260" priority="8">
      <formula>$A2="вт"</formula>
    </cfRule>
  </conditionalFormatting>
  <conditionalFormatting sqref="D2:D100">
    <cfRule type="containsText" dxfId="2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0">
    <cfRule type="containsText" dxfId="2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49"/>
  <sheetViews>
    <sheetView tabSelected="1" zoomScale="90" zoomScaleNormal="90" workbookViewId="0">
      <pane ySplit="1" topLeftCell="A35" activePane="bottomLeft" state="frozen"/>
      <selection pane="bottomLeft" activeCell="I48" sqref="I48:I4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21.1406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customWidth="1"/>
    <col min="10" max="10" width="37.140625" customWidth="1"/>
    <col min="11" max="11" width="49.7109375" customWidth="1"/>
    <col min="12" max="12" width="24.5703125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2976</v>
      </c>
      <c r="J22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2979</v>
      </c>
      <c r="I23" t="s">
        <v>2896</v>
      </c>
      <c r="J23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2979</v>
      </c>
      <c r="I24" t="s">
        <v>2899</v>
      </c>
      <c r="J24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2979</v>
      </c>
      <c r="I25" t="s">
        <v>2902</v>
      </c>
      <c r="J25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4166</v>
      </c>
      <c r="J31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4249</v>
      </c>
      <c r="I32" t="s">
        <v>4169</v>
      </c>
      <c r="J32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4250</v>
      </c>
      <c r="I33" t="s">
        <v>4172</v>
      </c>
      <c r="J33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4251</v>
      </c>
      <c r="I34" t="s">
        <v>4175</v>
      </c>
      <c r="J34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4178</v>
      </c>
      <c r="J35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4181</v>
      </c>
      <c r="J36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4212</v>
      </c>
      <c r="I37" t="s">
        <v>4187</v>
      </c>
      <c r="J37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4184</v>
      </c>
      <c r="J3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4298</v>
      </c>
      <c r="I39" t="s">
        <v>4294</v>
      </c>
      <c r="J39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4981</v>
      </c>
      <c r="J40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4984</v>
      </c>
      <c r="J41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4987</v>
      </c>
      <c r="J42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4990</v>
      </c>
      <c r="J43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4993</v>
      </c>
      <c r="J44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4996</v>
      </c>
      <c r="J45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5266</v>
      </c>
      <c r="I46" t="s">
        <v>5220</v>
      </c>
      <c r="J46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5267</v>
      </c>
      <c r="I47" t="s">
        <v>5223</v>
      </c>
      <c r="J47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t="s">
        <v>159</v>
      </c>
      <c r="E48" t="s">
        <v>5481</v>
      </c>
      <c r="F48" t="s">
        <v>4240</v>
      </c>
      <c r="I48" t="s">
        <v>5469</v>
      </c>
      <c r="J48" t="s">
        <v>2988</v>
      </c>
      <c r="K48" t="s">
        <v>5470</v>
      </c>
      <c r="L48" t="s">
        <v>5471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t="s">
        <v>4</v>
      </c>
      <c r="E49" t="s">
        <v>8</v>
      </c>
      <c r="I49" t="s">
        <v>5472</v>
      </c>
      <c r="J49" t="s">
        <v>2988</v>
      </c>
      <c r="K49" t="s">
        <v>5473</v>
      </c>
      <c r="L49" t="s">
        <v>5474</v>
      </c>
      <c r="M49" s="3" t="str">
        <f>HYPERLINK(склад2въезд131920212223789[[#This Row],[RelativePath]])</f>
        <v>13 Склад хол\K07156189_23_20251208T170359Z.jpg</v>
      </c>
    </row>
  </sheetData>
  <conditionalFormatting sqref="D50:D60 E50:E63 G2:H49 D2:E49">
    <cfRule type="containsText" dxfId="257" priority="14" operator="containsText" text="Выезд с территории">
      <formula>NOT(ISERROR(SEARCH("Выезд с территории",D2)))</formula>
    </cfRule>
  </conditionalFormatting>
  <conditionalFormatting sqref="F2:F49">
    <cfRule type="notContainsText" dxfId="256" priority="13" operator="notContains" text="порожний">
      <formula>ISERROR(SEARCH("порожний",F2))</formula>
    </cfRule>
  </conditionalFormatting>
  <conditionalFormatting sqref="E2:E63">
    <cfRule type="containsText" dxfId="255" priority="11" operator="containsText" text="Газель базы">
      <formula>NOT(ISERROR(SEARCH("Газель базы",E2)))</formula>
    </cfRule>
    <cfRule type="containsText" dxfId="254" priority="12" operator="containsText" text="Погрузчик базы">
      <formula>NOT(ISERROR(SEARCH("Погрузчик базы",E2)))</formula>
    </cfRule>
  </conditionalFormatting>
  <conditionalFormatting sqref="E2:E63">
    <cfRule type="containsText" dxfId="253" priority="10" operator="containsText" text="Трактор базы">
      <formula>NOT(ISERROR(SEARCH("Трактор базы",E2)))</formula>
    </cfRule>
  </conditionalFormatting>
  <conditionalFormatting sqref="A2:C49">
    <cfRule type="expression" dxfId="252" priority="9">
      <formula>$A2="пн"</formula>
    </cfRule>
  </conditionalFormatting>
  <conditionalFormatting sqref="A2:C51">
    <cfRule type="expression" dxfId="251" priority="3">
      <formula>$A2="вс"</formula>
    </cfRule>
    <cfRule type="expression" dxfId="250" priority="4">
      <formula>$A2="сб"</formula>
    </cfRule>
    <cfRule type="expression" dxfId="249" priority="5">
      <formula>$A2="пт"</formula>
    </cfRule>
    <cfRule type="expression" dxfId="248" priority="6">
      <formula>$A2="чт"</formula>
    </cfRule>
    <cfRule type="expression" dxfId="247" priority="7">
      <formula>$A2="ср"</formula>
    </cfRule>
    <cfRule type="expression" dxfId="246" priority="8">
      <formula>$A2="вт"</formula>
    </cfRule>
  </conditionalFormatting>
  <conditionalFormatting sqref="D2:D60">
    <cfRule type="containsText" dxfId="24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0">
    <cfRule type="containsText" dxfId="24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713"/>
  <sheetViews>
    <sheetView topLeftCell="A1313" zoomScale="90" zoomScaleNormal="90" workbookViewId="0">
      <selection activeCell="C1716" sqref="C1716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F1162" t="s">
        <v>3718</v>
      </c>
      <c r="G1162" t="s">
        <v>796</v>
      </c>
    </row>
    <row r="1163" spans="1:7" hidden="1" x14ac:dyDescent="0.25">
      <c r="A1163" t="s">
        <v>2004</v>
      </c>
      <c r="F1163" t="s">
        <v>3721</v>
      </c>
      <c r="G1163" t="s">
        <v>796</v>
      </c>
    </row>
    <row r="1164" spans="1:7" hidden="1" x14ac:dyDescent="0.25">
      <c r="A1164" t="s">
        <v>2004</v>
      </c>
      <c r="F1164" t="s">
        <v>3724</v>
      </c>
      <c r="G1164" t="s">
        <v>796</v>
      </c>
    </row>
    <row r="1165" spans="1:7" hidden="1" x14ac:dyDescent="0.25">
      <c r="A1165" t="s">
        <v>2004</v>
      </c>
      <c r="F1165" t="s">
        <v>3727</v>
      </c>
      <c r="G1165" t="s">
        <v>796</v>
      </c>
    </row>
    <row r="1166" spans="1:7" hidden="1" x14ac:dyDescent="0.25">
      <c r="A1166" t="s">
        <v>2004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5136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F1476" t="s">
        <v>4609</v>
      </c>
      <c r="G1476" t="s">
        <v>796</v>
      </c>
    </row>
    <row r="1477" spans="1:7" hidden="1" x14ac:dyDescent="0.25">
      <c r="A1477" t="s">
        <v>2004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F1480" t="s">
        <v>4621</v>
      </c>
      <c r="G1480" t="s">
        <v>796</v>
      </c>
    </row>
    <row r="1481" spans="1:7" hidden="1" x14ac:dyDescent="0.25">
      <c r="A1481" t="s">
        <v>2004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8</v>
      </c>
      <c r="C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E1647" t="s">
        <v>5282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5386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5389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5392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5395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5397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5400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5403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5406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5409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5412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5415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5418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5421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5424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5427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5430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5433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5436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5439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5442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5445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5448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5451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5283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5475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5286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5289</v>
      </c>
      <c r="G1674" t="s">
        <v>1103</v>
      </c>
    </row>
    <row r="1675" spans="1:7" hidden="1" x14ac:dyDescent="0.25">
      <c r="A1675" t="s">
        <v>4</v>
      </c>
      <c r="B1675" t="s">
        <v>5476</v>
      </c>
      <c r="C1675" t="s">
        <v>5076</v>
      </c>
      <c r="E1675" t="s">
        <v>5475</v>
      </c>
      <c r="F1675" t="s">
        <v>5292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5295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5298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5305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5308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5311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5314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5317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5320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5323</v>
      </c>
      <c r="G1686" t="s">
        <v>1107</v>
      </c>
    </row>
    <row r="1687" spans="1:7" hidden="1" x14ac:dyDescent="0.25">
      <c r="A1687" t="s">
        <v>2004</v>
      </c>
      <c r="F1687" t="s">
        <v>5326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5329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5332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5335</v>
      </c>
      <c r="G1690" t="s">
        <v>1100</v>
      </c>
    </row>
    <row r="1691" spans="1:7" hidden="1" x14ac:dyDescent="0.25">
      <c r="A1691" t="s">
        <v>5136</v>
      </c>
      <c r="F1691" t="s">
        <v>5338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5341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5344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5347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5350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5353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5356</v>
      </c>
      <c r="G1697" t="s">
        <v>1100</v>
      </c>
    </row>
    <row r="1698" spans="1:7" hidden="1" x14ac:dyDescent="0.25">
      <c r="A1698" t="s">
        <v>5477</v>
      </c>
      <c r="B1698" t="s">
        <v>86</v>
      </c>
      <c r="C1698" t="s">
        <v>58</v>
      </c>
      <c r="F1698" t="s">
        <v>5359</v>
      </c>
      <c r="G1698" t="s">
        <v>1100</v>
      </c>
    </row>
    <row r="1699" spans="1:7" hidden="1" x14ac:dyDescent="0.25">
      <c r="A1699" t="s">
        <v>5477</v>
      </c>
      <c r="B1699" t="s">
        <v>86</v>
      </c>
      <c r="C1699" t="s">
        <v>58</v>
      </c>
      <c r="F1699" t="s">
        <v>5362</v>
      </c>
      <c r="G1699" t="s">
        <v>1100</v>
      </c>
    </row>
    <row r="1700" spans="1:7" hidden="1" x14ac:dyDescent="0.25">
      <c r="A1700" t="s">
        <v>4</v>
      </c>
      <c r="B1700" t="s">
        <v>5478</v>
      </c>
      <c r="F1700" t="s">
        <v>5365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5368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5371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5374</v>
      </c>
      <c r="G1703" t="s">
        <v>1100</v>
      </c>
    </row>
    <row r="1704" spans="1:7" hidden="1" x14ac:dyDescent="0.25">
      <c r="A1704" t="s">
        <v>5477</v>
      </c>
      <c r="B1704" t="s">
        <v>86</v>
      </c>
      <c r="C1704" t="s">
        <v>58</v>
      </c>
      <c r="F1704" t="s">
        <v>5377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5380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5383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5454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5457</v>
      </c>
      <c r="G1708" t="s">
        <v>1817</v>
      </c>
    </row>
    <row r="1709" spans="1:7" hidden="1" x14ac:dyDescent="0.25">
      <c r="A1709" t="s">
        <v>4</v>
      </c>
      <c r="B1709" t="s">
        <v>5479</v>
      </c>
      <c r="F1709" t="s">
        <v>5460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5463</v>
      </c>
      <c r="G1710" t="s">
        <v>1934</v>
      </c>
    </row>
    <row r="1711" spans="1:7" hidden="1" x14ac:dyDescent="0.25">
      <c r="A1711" t="s">
        <v>4</v>
      </c>
      <c r="B1711" t="s">
        <v>5479</v>
      </c>
      <c r="E1711" t="s">
        <v>5480</v>
      </c>
      <c r="F1711" t="s">
        <v>5466</v>
      </c>
      <c r="G1711" t="s">
        <v>1934</v>
      </c>
    </row>
    <row r="1712" spans="1:7" x14ac:dyDescent="0.25">
      <c r="A1712" t="s">
        <v>159</v>
      </c>
      <c r="B1712" t="s">
        <v>5481</v>
      </c>
      <c r="C1712" t="s">
        <v>4240</v>
      </c>
      <c r="F1712" t="s">
        <v>5469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5472</v>
      </c>
      <c r="G1713" t="s">
        <v>1997</v>
      </c>
    </row>
  </sheetData>
  <phoneticPr fontId="2" type="noConversion"/>
  <conditionalFormatting sqref="C2:C11 C14 C16:C18 C23:C24">
    <cfRule type="notContainsText" dxfId="243" priority="195" operator="notContains" text="порожний">
      <formula>ISERROR(SEARCH("порожний",C2))</formula>
    </cfRule>
  </conditionalFormatting>
  <conditionalFormatting sqref="B11 A695 A697:A701 A825 B932">
    <cfRule type="containsText" dxfId="242" priority="19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241" priority="193" operator="notContains" text="порожний">
      <formula>ISERROR(SEARCH("порожний",C12))</formula>
    </cfRule>
  </conditionalFormatting>
  <conditionalFormatting sqref="B12:B14">
    <cfRule type="containsText" dxfId="240" priority="192" operator="containsText" text="Выезд с территории">
      <formula>NOT(ISERROR(SEARCH("Выезд с территории",B12)))</formula>
    </cfRule>
  </conditionalFormatting>
  <conditionalFormatting sqref="C15">
    <cfRule type="notContainsText" dxfId="239" priority="191" operator="notContains" text="порожний">
      <formula>ISERROR(SEARCH("порожний",C15))</formula>
    </cfRule>
  </conditionalFormatting>
  <conditionalFormatting sqref="C19:C22">
    <cfRule type="notContainsText" dxfId="238" priority="190" operator="notContains" text="порожний">
      <formula>ISERROR(SEARCH("порожний",C19))</formula>
    </cfRule>
  </conditionalFormatting>
  <conditionalFormatting sqref="C25">
    <cfRule type="notContainsText" dxfId="237" priority="189" operator="notContains" text="порожний">
      <formula>ISERROR(SEARCH("порожний",C25))</formula>
    </cfRule>
  </conditionalFormatting>
  <conditionalFormatting sqref="C26:C27">
    <cfRule type="notContainsText" dxfId="236" priority="188" operator="notContains" text="порожний">
      <formula>ISERROR(SEARCH("порожний",C26))</formula>
    </cfRule>
  </conditionalFormatting>
  <conditionalFormatting sqref="C29">
    <cfRule type="notContainsText" dxfId="235" priority="187" operator="notContains" text="порожний">
      <formula>ISERROR(SEARCH("порожний",C29))</formula>
    </cfRule>
  </conditionalFormatting>
  <conditionalFormatting sqref="C39">
    <cfRule type="notContainsText" dxfId="234" priority="182" operator="notContains" text="порожний">
      <formula>ISERROR(SEARCH("порожний",C39))</formula>
    </cfRule>
  </conditionalFormatting>
  <conditionalFormatting sqref="C32">
    <cfRule type="notContainsText" dxfId="233" priority="186" operator="notContains" text="порожний">
      <formula>ISERROR(SEARCH("порожний",C32))</formula>
    </cfRule>
  </conditionalFormatting>
  <conditionalFormatting sqref="C34">
    <cfRule type="notContainsText" dxfId="232" priority="185" operator="notContains" text="порожний">
      <formula>ISERROR(SEARCH("порожний",C34))</formula>
    </cfRule>
  </conditionalFormatting>
  <conditionalFormatting sqref="C36">
    <cfRule type="notContainsText" dxfId="231" priority="184" operator="notContains" text="порожний">
      <formula>ISERROR(SEARCH("порожний",C36))</formula>
    </cfRule>
  </conditionalFormatting>
  <conditionalFormatting sqref="C38">
    <cfRule type="notContainsText" dxfId="230" priority="183" operator="notContains" text="порожний">
      <formula>ISERROR(SEARCH("порожний",C38))</formula>
    </cfRule>
  </conditionalFormatting>
  <conditionalFormatting sqref="E147">
    <cfRule type="containsText" dxfId="229" priority="18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228" priority="180" operator="notContains" text="порожний">
      <formula>ISERROR(SEARCH("порожний",C581))</formula>
    </cfRule>
  </conditionalFormatting>
  <conditionalFormatting sqref="C586">
    <cfRule type="notContainsText" dxfId="227" priority="179" operator="notContains" text="порожний">
      <formula>ISERROR(SEARCH("порожний",C586))</formula>
    </cfRule>
  </conditionalFormatting>
  <conditionalFormatting sqref="B609">
    <cfRule type="containsText" dxfId="226" priority="178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225" priority="176" operator="containsText" text="Газель базы">
      <formula>NOT(ISERROR(SEARCH("Газель базы",B609)))</formula>
    </cfRule>
    <cfRule type="containsText" dxfId="224" priority="177" operator="containsText" text="Погрузчик базы">
      <formula>NOT(ISERROR(SEARCH("Погрузчик базы",B609)))</formula>
    </cfRule>
  </conditionalFormatting>
  <conditionalFormatting sqref="B609 B932">
    <cfRule type="containsText" dxfId="223" priority="175" operator="containsText" text="Трактор базы">
      <formula>NOT(ISERROR(SEARCH("Трактор базы",B609)))</formula>
    </cfRule>
  </conditionalFormatting>
  <conditionalFormatting sqref="B614">
    <cfRule type="containsText" dxfId="222" priority="171" operator="containsText" text="Трактор базы">
      <formula>NOT(ISERROR(SEARCH("Трактор базы",B614)))</formula>
    </cfRule>
  </conditionalFormatting>
  <conditionalFormatting sqref="B614">
    <cfRule type="containsText" dxfId="221" priority="174" operator="containsText" text="Выезд с территории">
      <formula>NOT(ISERROR(SEARCH("Выезд с территории",B614)))</formula>
    </cfRule>
  </conditionalFormatting>
  <conditionalFormatting sqref="B614">
    <cfRule type="containsText" dxfId="220" priority="172" operator="containsText" text="Газель базы">
      <formula>NOT(ISERROR(SEARCH("Газель базы",B614)))</formula>
    </cfRule>
    <cfRule type="containsText" dxfId="219" priority="173" operator="containsText" text="Погрузчик базы">
      <formula>NOT(ISERROR(SEARCH("Погрузчик базы",B614)))</formula>
    </cfRule>
  </conditionalFormatting>
  <conditionalFormatting sqref="C649">
    <cfRule type="notContainsText" dxfId="218" priority="170" operator="notContains" text="порожний">
      <formula>ISERROR(SEARCH("порожний",C649))</formula>
    </cfRule>
  </conditionalFormatting>
  <conditionalFormatting sqref="C655">
    <cfRule type="notContainsText" dxfId="217" priority="167" operator="notContains" text="порожний">
      <formula>ISERROR(SEARCH("порожний",C655))</formula>
    </cfRule>
  </conditionalFormatting>
  <conditionalFormatting sqref="C650">
    <cfRule type="notContainsText" dxfId="216" priority="169" operator="notContains" text="порожний">
      <formula>ISERROR(SEARCH("порожний",C650))</formula>
    </cfRule>
  </conditionalFormatting>
  <conditionalFormatting sqref="C654">
    <cfRule type="notContainsText" dxfId="215" priority="168" operator="notContains" text="порожний">
      <formula>ISERROR(SEARCH("порожний",C654))</formula>
    </cfRule>
  </conditionalFormatting>
  <conditionalFormatting sqref="A663:A666 A668:A670 A695 A697:A701 A825">
    <cfRule type="containsText" dxfId="214" priority="16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213" priority="166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212" priority="16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211" priority="16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210" priority="16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209" priority="16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208" priority="15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207" priority="160" operator="containsText" text="Выезд с территории">
      <formula>NOT(ISERROR(SEARCH("Выезд с территории",A681)))</formula>
    </cfRule>
  </conditionalFormatting>
  <conditionalFormatting sqref="A681">
    <cfRule type="containsText" dxfId="206" priority="15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205" priority="15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204" priority="154" operator="containsText" text="Трактор базы">
      <formula>NOT(ISERROR(SEARCH("Трактор базы",B682)))</formula>
    </cfRule>
  </conditionalFormatting>
  <conditionalFormatting sqref="B682">
    <cfRule type="containsText" dxfId="203" priority="157" operator="containsText" text="Выезд с территории">
      <formula>NOT(ISERROR(SEARCH("Выезд с территории",B682)))</formula>
    </cfRule>
  </conditionalFormatting>
  <conditionalFormatting sqref="B682">
    <cfRule type="containsText" dxfId="202" priority="155" operator="containsText" text="Газель базы">
      <formula>NOT(ISERROR(SEARCH("Газель базы",B682)))</formula>
    </cfRule>
    <cfRule type="containsText" dxfId="201" priority="156" operator="containsText" text="Погрузчик базы">
      <formula>NOT(ISERROR(SEARCH("Погрузчик базы",B682)))</formula>
    </cfRule>
  </conditionalFormatting>
  <conditionalFormatting sqref="A684:A687">
    <cfRule type="containsText" dxfId="200" priority="15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99" priority="15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98" priority="14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97" priority="14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96" priority="14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95" priority="13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94" priority="141" operator="containsText" text="Выезд с территории">
      <formula>NOT(ISERROR(SEARCH("Выезд с территории",A824)))</formula>
    </cfRule>
  </conditionalFormatting>
  <conditionalFormatting sqref="A824">
    <cfRule type="containsText" dxfId="193" priority="14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92" priority="13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91" priority="133" operator="containsText" text="Газель базы">
      <formula>NOT(ISERROR(SEARCH("Газель базы",B846)))</formula>
    </cfRule>
    <cfRule type="containsText" dxfId="190" priority="134" operator="containsText" text="Погрузчик базы">
      <formula>NOT(ISERROR(SEARCH("Погрузчик базы",B846)))</formula>
    </cfRule>
  </conditionalFormatting>
  <conditionalFormatting sqref="B846:B850">
    <cfRule type="containsText" dxfId="189" priority="132" operator="containsText" text="Трактор базы">
      <formula>NOT(ISERROR(SEARCH("Трактор базы",B846)))</formula>
    </cfRule>
  </conditionalFormatting>
  <conditionalFormatting sqref="A916:A917">
    <cfRule type="containsText" dxfId="188" priority="12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87" priority="13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86" priority="129" operator="containsText" text="Газель базы">
      <formula>NOT(ISERROR(SEARCH("Газель базы",B916)))</formula>
    </cfRule>
    <cfRule type="containsText" dxfId="185" priority="130" operator="containsText" text="Погрузчик базы">
      <formula>NOT(ISERROR(SEARCH("Погрузчик базы",B916)))</formula>
    </cfRule>
  </conditionalFormatting>
  <conditionalFormatting sqref="B916:B917">
    <cfRule type="containsText" dxfId="184" priority="128" operator="containsText" text="Трактор базы">
      <formula>NOT(ISERROR(SEARCH("Трактор базы",B916)))</formula>
    </cfRule>
  </conditionalFormatting>
  <conditionalFormatting sqref="A916:A917">
    <cfRule type="containsText" dxfId="183" priority="12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82" priority="125" operator="containsText" text="Выезд с территории">
      <formula>NOT(ISERROR(SEARCH("Выезд с территории",E916)))</formula>
    </cfRule>
  </conditionalFormatting>
  <conditionalFormatting sqref="A932">
    <cfRule type="containsText" dxfId="181" priority="10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80" priority="12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79" priority="122" operator="containsText" text="Газель базы">
      <formula>NOT(ISERROR(SEARCH("Газель базы",B918)))</formula>
    </cfRule>
    <cfRule type="containsText" dxfId="178" priority="123" operator="containsText" text="Погрузчик базы">
      <formula>NOT(ISERROR(SEARCH("Погрузчик базы",B918)))</formula>
    </cfRule>
  </conditionalFormatting>
  <conditionalFormatting sqref="B918:B924">
    <cfRule type="containsText" dxfId="177" priority="121" operator="containsText" text="Трактор базы">
      <formula>NOT(ISERROR(SEARCH("Трактор базы",B918)))</formula>
    </cfRule>
  </conditionalFormatting>
  <conditionalFormatting sqref="A918">
    <cfRule type="containsText" dxfId="176" priority="12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75" priority="11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74" priority="11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73" priority="11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172" priority="116" operator="containsText" text="Газель базы">
      <formula>NOT(ISERROR(SEARCH("Газель базы",B926)))</formula>
    </cfRule>
    <cfRule type="containsText" dxfId="171" priority="117" operator="containsText" text="Погрузчик базы">
      <formula>NOT(ISERROR(SEARCH("Погрузчик базы",B926)))</formula>
    </cfRule>
  </conditionalFormatting>
  <conditionalFormatting sqref="B926:B928">
    <cfRule type="containsText" dxfId="170" priority="115" operator="containsText" text="Трактор базы">
      <formula>NOT(ISERROR(SEARCH("Трактор базы",B926)))</formula>
    </cfRule>
  </conditionalFormatting>
  <conditionalFormatting sqref="A926:A928">
    <cfRule type="containsText" dxfId="169" priority="11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168" priority="112" operator="containsText" text="Выезд с территории">
      <formula>NOT(ISERROR(SEARCH("Выезд с территории",E926)))</formula>
    </cfRule>
  </conditionalFormatting>
  <conditionalFormatting sqref="A930">
    <cfRule type="containsText" dxfId="167" priority="10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166" priority="111" operator="containsText" text="Выезд с территории">
      <formula>NOT(ISERROR(SEARCH("Выезд с территории",A930)))</formula>
    </cfRule>
  </conditionalFormatting>
  <conditionalFormatting sqref="B930">
    <cfRule type="containsText" dxfId="165" priority="109" operator="containsText" text="Газель базы">
      <formula>NOT(ISERROR(SEARCH("Газель базы",B930)))</formula>
    </cfRule>
    <cfRule type="containsText" dxfId="164" priority="110" operator="containsText" text="Погрузчик базы">
      <formula>NOT(ISERROR(SEARCH("Погрузчик базы",B930)))</formula>
    </cfRule>
  </conditionalFormatting>
  <conditionalFormatting sqref="B930">
    <cfRule type="containsText" dxfId="163" priority="108" operator="containsText" text="Трактор базы">
      <formula>NOT(ISERROR(SEARCH("Трактор базы",B930)))</formula>
    </cfRule>
  </conditionalFormatting>
  <conditionalFormatting sqref="A930">
    <cfRule type="containsText" dxfId="162" priority="10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161" priority="105" operator="containsText" text="Выезд с территории">
      <formula>NOT(ISERROR(SEARCH("Выезд с территории",E930)))</formula>
    </cfRule>
  </conditionalFormatting>
  <conditionalFormatting sqref="A932">
    <cfRule type="containsText" dxfId="160" priority="104" operator="containsText" text="Выезд с территории">
      <formula>NOT(ISERROR(SEARCH("Выезд с территории",A932)))</formula>
    </cfRule>
  </conditionalFormatting>
  <conditionalFormatting sqref="A932">
    <cfRule type="containsText" dxfId="159" priority="10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158" priority="9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157" priority="10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156" priority="10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155" priority="9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154" priority="97" operator="notContains" text="порожний">
      <formula>ISERROR(SEARCH("порожний",C954))</formula>
    </cfRule>
  </conditionalFormatting>
  <conditionalFormatting sqref="B954:B956">
    <cfRule type="containsText" dxfId="153" priority="95" operator="containsText" text="Газель базы">
      <formula>NOT(ISERROR(SEARCH("Газель базы",B954)))</formula>
    </cfRule>
    <cfRule type="containsText" dxfId="152" priority="96" operator="containsText" text="Погрузчик базы">
      <formula>NOT(ISERROR(SEARCH("Погрузчик базы",B954)))</formula>
    </cfRule>
  </conditionalFormatting>
  <conditionalFormatting sqref="B954:B956">
    <cfRule type="containsText" dxfId="151" priority="94" operator="containsText" text="Трактор базы">
      <formula>NOT(ISERROR(SEARCH("Трактор базы",B954)))</formula>
    </cfRule>
  </conditionalFormatting>
  <conditionalFormatting sqref="A954:A956">
    <cfRule type="containsText" dxfId="150" priority="9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149" priority="9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148" priority="90" operator="notContains" text="порожний">
      <formula>ISERROR(SEARCH("порожний",C995))</formula>
    </cfRule>
  </conditionalFormatting>
  <conditionalFormatting sqref="C987">
    <cfRule type="notContainsText" dxfId="147" priority="91" operator="notContains" text="порожний">
      <formula>ISERROR(SEARCH("порожний",C987))</formula>
    </cfRule>
  </conditionalFormatting>
  <conditionalFormatting sqref="B999">
    <cfRule type="containsText" dxfId="146" priority="89" operator="containsText" text="Выезд с территории">
      <formula>NOT(ISERROR(SEARCH("Выезд с территории",B999)))</formula>
    </cfRule>
  </conditionalFormatting>
  <conditionalFormatting sqref="B999">
    <cfRule type="containsText" dxfId="145" priority="87" operator="containsText" text="Газель базы">
      <formula>NOT(ISERROR(SEARCH("Газель базы",B999)))</formula>
    </cfRule>
    <cfRule type="containsText" dxfId="144" priority="88" operator="containsText" text="Погрузчик базы">
      <formula>NOT(ISERROR(SEARCH("Погрузчик базы",B999)))</formula>
    </cfRule>
  </conditionalFormatting>
  <conditionalFormatting sqref="B999">
    <cfRule type="containsText" dxfId="143" priority="86" operator="containsText" text="Трактор базы">
      <formula>NOT(ISERROR(SEARCH("Трактор базы",B999)))</formula>
    </cfRule>
  </conditionalFormatting>
  <conditionalFormatting sqref="B1019:B1022">
    <cfRule type="containsText" dxfId="142" priority="82" operator="containsText" text="Трактор базы">
      <formula>NOT(ISERROR(SEARCH("Трактор базы",B1019)))</formula>
    </cfRule>
  </conditionalFormatting>
  <conditionalFormatting sqref="B1019:B1022">
    <cfRule type="containsText" dxfId="141" priority="8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140" priority="83" operator="containsText" text="Газель базы">
      <formula>NOT(ISERROR(SEARCH("Газель базы",B1019)))</formula>
    </cfRule>
    <cfRule type="containsText" dxfId="139" priority="84" operator="containsText" text="Погрузчик базы">
      <formula>NOT(ISERROR(SEARCH("Погрузчик базы",B1019)))</formula>
    </cfRule>
  </conditionalFormatting>
  <conditionalFormatting sqref="C966">
    <cfRule type="notContainsText" dxfId="138" priority="81" operator="notContains" text="порожний">
      <formula>ISERROR(SEARCH("порожний",C966))</formula>
    </cfRule>
  </conditionalFormatting>
  <conditionalFormatting sqref="A1029">
    <cfRule type="containsText" dxfId="137" priority="7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136" priority="8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135" priority="7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134" priority="7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133" priority="75" operator="containsText" text="Газель базы">
      <formula>NOT(ISERROR(SEARCH("Газель базы",B1030)))</formula>
    </cfRule>
    <cfRule type="containsText" dxfId="132" priority="76" operator="containsText" text="Погрузчик базы">
      <formula>NOT(ISERROR(SEARCH("Погрузчик базы",B1030)))</formula>
    </cfRule>
  </conditionalFormatting>
  <conditionalFormatting sqref="B1030">
    <cfRule type="containsText" dxfId="131" priority="74" operator="containsText" text="Трактор базы">
      <formula>NOT(ISERROR(SEARCH("Трактор базы",B1030)))</formula>
    </cfRule>
  </conditionalFormatting>
  <conditionalFormatting sqref="A1035">
    <cfRule type="containsText" dxfId="130" priority="6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129" priority="7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128" priority="7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127" priority="7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126" priority="7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125" priority="6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124" priority="6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123" priority="65" operator="containsText" text="Газель базы">
      <formula>NOT(ISERROR(SEARCH("Газель базы",B1138)))</formula>
    </cfRule>
    <cfRule type="containsText" dxfId="122" priority="66" operator="containsText" text="Погрузчик базы">
      <formula>NOT(ISERROR(SEARCH("Погрузчик базы",B1138)))</formula>
    </cfRule>
  </conditionalFormatting>
  <conditionalFormatting sqref="B1138:B1161">
    <cfRule type="containsText" dxfId="121" priority="64" operator="containsText" text="Трактор базы">
      <formula>NOT(ISERROR(SEARCH("Трактор базы",B1138)))</formula>
    </cfRule>
  </conditionalFormatting>
  <conditionalFormatting sqref="B1258:B1262">
    <cfRule type="containsText" dxfId="120" priority="48" operator="containsText" text="Трактор базы">
      <formula>NOT(ISERROR(SEARCH("Трактор базы",B1258)))</formula>
    </cfRule>
  </conditionalFormatting>
  <conditionalFormatting sqref="B1244:B1252">
    <cfRule type="containsText" dxfId="119" priority="6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118" priority="61" operator="containsText" text="Газель базы">
      <formula>NOT(ISERROR(SEARCH("Газель базы",B1244)))</formula>
    </cfRule>
    <cfRule type="containsText" dxfId="117" priority="62" operator="containsText" text="Погрузчик базы">
      <formula>NOT(ISERROR(SEARCH("Погрузчик базы",B1244)))</formula>
    </cfRule>
  </conditionalFormatting>
  <conditionalFormatting sqref="B1244:B1252">
    <cfRule type="containsText" dxfId="116" priority="60" operator="containsText" text="Трактор базы">
      <formula>NOT(ISERROR(SEARCH("Трактор базы",B1244)))</formula>
    </cfRule>
  </conditionalFormatting>
  <conditionalFormatting sqref="B1253:B1256">
    <cfRule type="containsText" dxfId="115" priority="5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114" priority="57" operator="containsText" text="Газель базы">
      <formula>NOT(ISERROR(SEARCH("Газель базы",B1253)))</formula>
    </cfRule>
    <cfRule type="containsText" dxfId="113" priority="58" operator="containsText" text="Погрузчик базы">
      <formula>NOT(ISERROR(SEARCH("Погрузчик базы",B1253)))</formula>
    </cfRule>
  </conditionalFormatting>
  <conditionalFormatting sqref="B1253:B1256">
    <cfRule type="containsText" dxfId="112" priority="56" operator="containsText" text="Трактор базы">
      <formula>NOT(ISERROR(SEARCH("Трактор базы",B1253)))</formula>
    </cfRule>
  </conditionalFormatting>
  <conditionalFormatting sqref="B1257">
    <cfRule type="containsText" dxfId="111" priority="5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110" priority="53" operator="containsText" text="Газель базы">
      <formula>NOT(ISERROR(SEARCH("Газель базы",B1257)))</formula>
    </cfRule>
    <cfRule type="containsText" dxfId="109" priority="54" operator="containsText" text="Погрузчик базы">
      <formula>NOT(ISERROR(SEARCH("Погрузчик базы",B1257)))</formula>
    </cfRule>
  </conditionalFormatting>
  <conditionalFormatting sqref="B1257">
    <cfRule type="containsText" dxfId="108" priority="52" operator="containsText" text="Трактор базы">
      <formula>NOT(ISERROR(SEARCH("Трактор базы",B1257)))</formula>
    </cfRule>
  </conditionalFormatting>
  <conditionalFormatting sqref="B1258:B1262">
    <cfRule type="containsText" dxfId="107" priority="5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106" priority="49" operator="containsText" text="Газель базы">
      <formula>NOT(ISERROR(SEARCH("Газель базы",B1258)))</formula>
    </cfRule>
    <cfRule type="containsText" dxfId="105" priority="50" operator="containsText" text="Погрузчик базы">
      <formula>NOT(ISERROR(SEARCH("Погрузчик базы",B1258)))</formula>
    </cfRule>
  </conditionalFormatting>
  <conditionalFormatting sqref="B1281:B1287">
    <cfRule type="containsText" dxfId="104" priority="4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103" priority="45" operator="containsText" text="Газель базы">
      <formula>NOT(ISERROR(SEARCH("Газель базы",B1281)))</formula>
    </cfRule>
    <cfRule type="containsText" dxfId="102" priority="46" operator="containsText" text="Погрузчик базы">
      <formula>NOT(ISERROR(SEARCH("Погрузчик базы",B1281)))</formula>
    </cfRule>
  </conditionalFormatting>
  <conditionalFormatting sqref="B1281:B1287">
    <cfRule type="containsText" dxfId="101" priority="44" operator="containsText" text="Трактор базы">
      <formula>NOT(ISERROR(SEARCH("Трактор базы",B1281)))</formula>
    </cfRule>
  </conditionalFormatting>
  <conditionalFormatting sqref="B1296">
    <cfRule type="containsText" dxfId="100" priority="40" operator="containsText" text="Трактор базы">
      <formula>NOT(ISERROR(SEARCH("Трактор базы",B1296)))</formula>
    </cfRule>
  </conditionalFormatting>
  <conditionalFormatting sqref="B1296">
    <cfRule type="containsText" dxfId="99" priority="4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98" priority="41" operator="containsText" text="Газель базы">
      <formula>NOT(ISERROR(SEARCH("Газель базы",B1296)))</formula>
    </cfRule>
    <cfRule type="containsText" dxfId="97" priority="42" operator="containsText" text="Погрузчик базы">
      <formula>NOT(ISERROR(SEARCH("Погрузчик базы",B1296)))</formula>
    </cfRule>
  </conditionalFormatting>
  <conditionalFormatting sqref="C1320:C1321">
    <cfRule type="notContainsText" dxfId="96" priority="38" operator="notContains" text="порожний">
      <formula>ISERROR(SEARCH("порожний",C1320))</formula>
    </cfRule>
  </conditionalFormatting>
  <conditionalFormatting sqref="A1323">
    <cfRule type="containsText" dxfId="95" priority="3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94" priority="3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93" priority="3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92" priority="3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91" priority="3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90" priority="3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89" priority="31" operator="notContains" text="порожний">
      <formula>ISERROR(SEARCH("порожний",C1336))</formula>
    </cfRule>
  </conditionalFormatting>
  <conditionalFormatting sqref="C1346">
    <cfRule type="notContainsText" dxfId="88" priority="30" operator="notContains" text="порожний">
      <formula>ISERROR(SEARCH("порожний",C1346))</formula>
    </cfRule>
  </conditionalFormatting>
  <conditionalFormatting sqref="A1391">
    <cfRule type="containsText" dxfId="87" priority="2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86" priority="2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85" priority="2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84" priority="2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83" priority="2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82" priority="2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1" priority="20" operator="notContains" text="порожний">
      <formula>ISERROR(SEARCH("порожний",C1606))</formula>
    </cfRule>
  </conditionalFormatting>
  <conditionalFormatting sqref="B1633:B1636">
    <cfRule type="containsText" dxfId="80" priority="1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79" priority="17" operator="containsText" text="Газель базы">
      <formula>NOT(ISERROR(SEARCH("Газель базы",B1633)))</formula>
    </cfRule>
    <cfRule type="containsText" dxfId="78" priority="18" operator="containsText" text="Погрузчик базы">
      <formula>NOT(ISERROR(SEARCH("Погрузчик базы",B1633)))</formula>
    </cfRule>
  </conditionalFormatting>
  <conditionalFormatting sqref="B1633:B1636">
    <cfRule type="containsText" dxfId="77" priority="16" operator="containsText" text="Трактор базы">
      <formula>NOT(ISERROR(SEARCH("Трактор базы",B1633)))</formula>
    </cfRule>
  </conditionalFormatting>
  <conditionalFormatting sqref="B1637:B1642">
    <cfRule type="containsText" dxfId="76" priority="1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75" priority="13" operator="containsText" text="Газель базы">
      <formula>NOT(ISERROR(SEARCH("Газель базы",B1637)))</formula>
    </cfRule>
    <cfRule type="containsText" dxfId="74" priority="14" operator="containsText" text="Погрузчик базы">
      <formula>NOT(ISERROR(SEARCH("Погрузчик базы",B1637)))</formula>
    </cfRule>
  </conditionalFormatting>
  <conditionalFormatting sqref="B1637:B1642">
    <cfRule type="containsText" dxfId="73" priority="12" operator="containsText" text="Трактор базы">
      <formula>NOT(ISERROR(SEARCH("Трактор базы",B1637)))</formula>
    </cfRule>
  </conditionalFormatting>
  <conditionalFormatting sqref="B1671:B1672">
    <cfRule type="containsText" dxfId="72" priority="8" operator="containsText" text="Трактор базы">
      <formula>NOT(ISERROR(SEARCH("Трактор базы",B1671)))</formula>
    </cfRule>
  </conditionalFormatting>
  <conditionalFormatting sqref="B1671:B1672">
    <cfRule type="containsText" dxfId="71" priority="1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70" priority="9" operator="containsText" text="Газель базы">
      <formula>NOT(ISERROR(SEARCH("Газель базы",B1671)))</formula>
    </cfRule>
    <cfRule type="containsText" dxfId="69" priority="10" operator="containsText" text="Погрузчик базы">
      <formula>NOT(ISERROR(SEARCH("Погрузчик базы",B1671)))</formula>
    </cfRule>
  </conditionalFormatting>
  <conditionalFormatting sqref="B1675">
    <cfRule type="containsText" dxfId="68" priority="4" operator="containsText" text="Трактор базы">
      <formula>NOT(ISERROR(SEARCH("Трактор базы",B1675)))</formula>
    </cfRule>
  </conditionalFormatting>
  <conditionalFormatting sqref="B1675">
    <cfRule type="containsText" dxfId="67" priority="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6" priority="5" operator="containsText" text="Газель базы">
      <formula>NOT(ISERROR(SEARCH("Газель базы",B1675)))</formula>
    </cfRule>
    <cfRule type="containsText" dxfId="65" priority="6" operator="containsText" text="Погрузчик базы">
      <formula>NOT(ISERROR(SEARCH("Погрузчик базы",B1675)))</formula>
    </cfRule>
  </conditionalFormatting>
  <conditionalFormatting sqref="A1678">
    <cfRule type="containsText" dxfId="64" priority="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3" priority="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2" priority="2" operator="containsText" text="Въезд на второстепенную дорогу">
      <formula>NOT(ISERROR(SEARCH("Въезд на второстепенную дорогу",A1678)))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62"/>
  <sheetViews>
    <sheetView topLeftCell="A136" zoomScale="80" zoomScaleNormal="80" workbookViewId="0">
      <selection activeCell="D149" sqref="D149:D162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3946</v>
      </c>
      <c r="J69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3943</v>
      </c>
      <c r="J70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t="s">
        <v>3955</v>
      </c>
      <c r="J71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3949</v>
      </c>
      <c r="J72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3931</v>
      </c>
      <c r="J74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3940</v>
      </c>
      <c r="J75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3937</v>
      </c>
      <c r="J76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3928</v>
      </c>
      <c r="J77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t="s">
        <v>4010</v>
      </c>
      <c r="J78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t="s">
        <v>3989</v>
      </c>
      <c r="J79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t="s">
        <v>3992</v>
      </c>
      <c r="J80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t="s">
        <v>3995</v>
      </c>
      <c r="J81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t="s">
        <v>4007</v>
      </c>
      <c r="J82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t="s">
        <v>3971</v>
      </c>
      <c r="J83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t="s">
        <v>4004</v>
      </c>
      <c r="J84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t="s">
        <v>3977</v>
      </c>
      <c r="J85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t="s">
        <v>3974</v>
      </c>
      <c r="J86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t="s">
        <v>3968</v>
      </c>
      <c r="J87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t="s">
        <v>3983</v>
      </c>
      <c r="J88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t="s">
        <v>3980</v>
      </c>
      <c r="J89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t="s">
        <v>3965</v>
      </c>
      <c r="J90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t="s">
        <v>4013</v>
      </c>
      <c r="J91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t="s">
        <v>4103</v>
      </c>
      <c r="J92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t="s">
        <v>4094</v>
      </c>
      <c r="J93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t="s">
        <v>4097</v>
      </c>
      <c r="J94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t="s">
        <v>4100</v>
      </c>
      <c r="J95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t="s">
        <v>3603</v>
      </c>
      <c r="J96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t="s">
        <v>3585</v>
      </c>
      <c r="J97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t="s">
        <v>3597</v>
      </c>
      <c r="J98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t="s">
        <v>3570</v>
      </c>
      <c r="J99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t="s">
        <v>3588</v>
      </c>
      <c r="J100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t="s">
        <v>3591</v>
      </c>
      <c r="J101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t="s">
        <v>3600</v>
      </c>
      <c r="J102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t="s">
        <v>3450</v>
      </c>
      <c r="J103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t="s">
        <v>3606</v>
      </c>
      <c r="J104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t="s">
        <v>3707</v>
      </c>
      <c r="J105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t="s">
        <v>3594</v>
      </c>
      <c r="J106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t="s">
        <v>3612</v>
      </c>
      <c r="J107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3710</v>
      </c>
      <c r="J108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3375</v>
      </c>
      <c r="J109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t="s">
        <v>3453</v>
      </c>
      <c r="J110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t="s">
        <v>3459</v>
      </c>
      <c r="J111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t="s">
        <v>3447</v>
      </c>
      <c r="J112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t="s">
        <v>3576</v>
      </c>
      <c r="J113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t="s">
        <v>3579</v>
      </c>
      <c r="J114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t="s">
        <v>3456</v>
      </c>
      <c r="J115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t="s">
        <v>3573</v>
      </c>
      <c r="J116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t="s">
        <v>3582</v>
      </c>
      <c r="J117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t="s">
        <v>3567</v>
      </c>
      <c r="J118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t="s">
        <v>3642</v>
      </c>
      <c r="J119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t="s">
        <v>3639</v>
      </c>
      <c r="J120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t="s">
        <v>3636</v>
      </c>
      <c r="J121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t="s">
        <v>3618</v>
      </c>
      <c r="J123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t="s">
        <v>3656</v>
      </c>
      <c r="J124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t="s">
        <v>3653</v>
      </c>
      <c r="J125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3677</v>
      </c>
      <c r="J126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t="s">
        <v>3621</v>
      </c>
      <c r="J128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t="s">
        <v>3645</v>
      </c>
      <c r="J129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t="s">
        <v>3689</v>
      </c>
      <c r="J130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t="s">
        <v>3627</v>
      </c>
      <c r="J131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t="s">
        <v>3630</v>
      </c>
      <c r="J132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t="s">
        <v>3615</v>
      </c>
      <c r="J133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t="s">
        <v>3624</v>
      </c>
      <c r="J134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t="s">
        <v>3659</v>
      </c>
      <c r="J135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t="s">
        <v>3680</v>
      </c>
      <c r="J136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t="s">
        <v>3686</v>
      </c>
      <c r="J137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t="s">
        <v>3683</v>
      </c>
      <c r="J138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t="s">
        <v>3701</v>
      </c>
      <c r="J139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t="s">
        <v>3695</v>
      </c>
      <c r="J140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t="s">
        <v>3692</v>
      </c>
      <c r="J141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t="s">
        <v>3698</v>
      </c>
      <c r="J142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t="s">
        <v>3462</v>
      </c>
      <c r="J143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t="s">
        <v>3665</v>
      </c>
      <c r="J144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t="s">
        <v>3662</v>
      </c>
      <c r="J145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t="s">
        <v>3668</v>
      </c>
      <c r="J146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t="s">
        <v>3674</v>
      </c>
      <c r="J147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t="s">
        <v>3671</v>
      </c>
      <c r="J148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t="s">
        <v>4474</v>
      </c>
      <c r="J150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t="s">
        <v>4477</v>
      </c>
      <c r="J151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5086</v>
      </c>
      <c r="J153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t="s">
        <v>4468</v>
      </c>
      <c r="J154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t="s">
        <v>5151</v>
      </c>
      <c r="J155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5154</v>
      </c>
      <c r="J156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t="s">
        <v>5157</v>
      </c>
      <c r="J157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t="s">
        <v>5160</v>
      </c>
      <c r="J158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5163</v>
      </c>
      <c r="J159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t="s">
        <v>5166</v>
      </c>
      <c r="J160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t="s">
        <v>5187</v>
      </c>
      <c r="J161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t="s">
        <v>5190</v>
      </c>
      <c r="J162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</sheetData>
  <phoneticPr fontId="2" type="noConversion"/>
  <conditionalFormatting sqref="E163:E184 D2:E162">
    <cfRule type="containsText" dxfId="61" priority="7" operator="containsText" text="Выезд с территории">
      <formula>NOT(ISERROR(SEARCH("Выезд с территории",D2)))</formula>
    </cfRule>
  </conditionalFormatting>
  <conditionalFormatting sqref="D2:D162">
    <cfRule type="containsText" dxfId="6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2">
    <cfRule type="containsText" dxfId="5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84">
    <cfRule type="containsText" dxfId="58" priority="2" operator="containsText" text="Газель базы">
      <formula>NOT(ISERROR(SEARCH("Газель базы",E2)))</formula>
    </cfRule>
    <cfRule type="containsText" dxfId="57" priority="3" operator="containsText" text="Погрузчик базы">
      <formula>NOT(ISERROR(SEARCH("Погрузчик базы",E2)))</formula>
    </cfRule>
  </conditionalFormatting>
  <conditionalFormatting sqref="E2:E184">
    <cfRule type="containsText" dxfId="5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2025-12-11T07:40:11Z</dcterms:modified>
</cp:coreProperties>
</file>