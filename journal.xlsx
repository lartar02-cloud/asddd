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tables/table15.xml" ContentType="application/vnd.openxmlformats-officedocument.spreadsheetml.table+xml"/>
  <Override PartName="/xl/queryTables/queryTable14.xml" ContentType="application/vnd.openxmlformats-officedocument.spreadsheetml.queryTable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7.xml" ContentType="application/vnd.openxmlformats-officedocument.spreadsheetml.table+xml"/>
  <Override PartName="/xl/queryTables/queryTable16.xml" ContentType="application/vnd.openxmlformats-officedocument.spreadsheetml.queryTable+xml"/>
  <Override PartName="/xl/tables/table18.xml" ContentType="application/vnd.openxmlformats-officedocument.spreadsheetml.table+xml"/>
  <Override PartName="/xl/queryTables/queryTable17.xml" ContentType="application/vnd.openxmlformats-officedocument.spreadsheetml.queryTable+xml"/>
  <Override PartName="/xl/tables/table19.xml" ContentType="application/vnd.openxmlformats-officedocument.spreadsheetml.table+xml"/>
  <Override PartName="/xl/queryTables/queryTable18.xml" ContentType="application/vnd.openxmlformats-officedocument.spreadsheetml.queryTable+xml"/>
  <Override PartName="/xl/tables/table20.xml" ContentType="application/vnd.openxmlformats-officedocument.spreadsheetml.table+xml"/>
  <Override PartName="/xl/queryTables/queryTable19.xml" ContentType="application/vnd.openxmlformats-officedocument.spreadsheetml.queryTable+xml"/>
  <Override PartName="/xl/tables/table21.xml" ContentType="application/vnd.openxmlformats-officedocument.spreadsheetml.table+xml"/>
  <Override PartName="/xl/queryTables/queryTable2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ВИДЕОНАБЛЮДЕНИЕ\"/>
    </mc:Choice>
  </mc:AlternateContent>
  <xr:revisionPtr revIDLastSave="0" documentId="13_ncr:1_{E219993E-4F4A-4F22-9EE1-7DD565FDA94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1 Ангар Склад 2 въезд" sheetId="19" r:id="rId1"/>
    <sheet name="2 Пилорама поката" sheetId="23" r:id="rId2"/>
    <sheet name="3 Парковка офиса" sheetId="24" r:id="rId3"/>
    <sheet name="СпрСобытий" sheetId="20" r:id="rId4"/>
    <sheet name="4 Крыльцо офиса" sheetId="26" r:id="rId5"/>
    <sheet name="5 Крыльцо общага" sheetId="27" r:id="rId6"/>
    <sheet name="6 Площадка 1 общага" sheetId="28" r:id="rId7"/>
    <sheet name="7 Площадка 2 бетонщики" sheetId="29" r:id="rId8"/>
    <sheet name="8 Рейсмус" sheetId="30" r:id="rId9"/>
    <sheet name="9 Ангар пилорама" sheetId="31" r:id="rId10"/>
    <sheet name="10 Сушилка навес" sheetId="32" r:id="rId11"/>
    <sheet name="11 С ангара на базу" sheetId="33" r:id="rId12"/>
    <sheet name="12 Площадка 3 кран" sheetId="34" r:id="rId13"/>
    <sheet name="13 Склад хол" sheetId="35" r:id="rId14"/>
    <sheet name="14 На гаражи" sheetId="41" r:id="rId15"/>
    <sheet name="15 Вход столярка" sheetId="42" r:id="rId16"/>
    <sheet name="16 Столярка" sheetId="43" r:id="rId17"/>
    <sheet name="17 Площадка с навесом" sheetId="44" r:id="rId18"/>
    <sheet name="19 Хронометраж" sheetId="40" r:id="rId19"/>
    <sheet name="Загрузка" sheetId="37" r:id="rId20"/>
    <sheet name="Стороний транспорт" sheetId="38" r:id="rId21"/>
  </sheets>
  <definedNames>
    <definedName name="ExternalData_1" localSheetId="0" hidden="1">'1 Ангар Склад 2 въезд'!$A$1:$L$259</definedName>
    <definedName name="ExternalData_1" localSheetId="10" hidden="1">'10 Сушилка навес'!$A$1:$L$633</definedName>
    <definedName name="ExternalData_1" localSheetId="11" hidden="1">'11 С ангара на базу'!$A$1:$L$314</definedName>
    <definedName name="ExternalData_1" localSheetId="12" hidden="1">'12 Площадка 3 кран'!$A$1:$L$248</definedName>
    <definedName name="ExternalData_1" localSheetId="13" hidden="1">'13 Склад хол'!$A$1:$L$209</definedName>
    <definedName name="ExternalData_1" localSheetId="14" hidden="1">'14 На гаражи'!$A$1:$L$37</definedName>
    <definedName name="ExternalData_1" localSheetId="15" hidden="1">'15 Вход столярка'!$A$1:$L$10</definedName>
    <definedName name="ExternalData_1" localSheetId="16" hidden="1">'16 Столярка'!$A$1:$L$6</definedName>
    <definedName name="ExternalData_1" localSheetId="17" hidden="1">'17 Площадка с навесом'!$A$1:$L$10</definedName>
    <definedName name="ExternalData_1" localSheetId="18" hidden="1">'19 Хронометраж'!$A$1:$L$39</definedName>
    <definedName name="ExternalData_1" localSheetId="1" hidden="1">'2 Пилорама поката'!$A$1:$L$281</definedName>
    <definedName name="ExternalData_1" localSheetId="2" hidden="1">'3 Парковка офиса'!$A$1:$L$163</definedName>
    <definedName name="ExternalData_1" localSheetId="4" hidden="1">'4 Крыльцо офиса'!$A$1:$L$262</definedName>
    <definedName name="ExternalData_1" localSheetId="5" hidden="1">'5 Крыльцо общага'!$A$1:$L$360</definedName>
    <definedName name="ExternalData_1" localSheetId="6" hidden="1">'6 Площадка 1 общага'!$A$1:$L$204</definedName>
    <definedName name="ExternalData_1" localSheetId="7" hidden="1">'7 Площадка 2 бетонщики'!$A$1:$L$328</definedName>
    <definedName name="ExternalData_1" localSheetId="8" hidden="1">'8 Рейсмус'!$A$1:$L$299</definedName>
    <definedName name="ExternalData_1" localSheetId="9" hidden="1">'9 Ангар пилорама'!$A$1:$L$615</definedName>
    <definedName name="ExternalData_1" localSheetId="19" hidden="1">Загрузка!$A$1:$L$255</definedName>
    <definedName name="ExternalData_1" localSheetId="20" hidden="1">'Стороний транспорт'!$A$1:$L$165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38" l="1"/>
  <c r="M3" i="38"/>
  <c r="M4" i="38"/>
  <c r="M5" i="38"/>
  <c r="M6" i="38"/>
  <c r="M7" i="38"/>
  <c r="M8" i="38"/>
  <c r="M9" i="38"/>
  <c r="M10" i="38"/>
  <c r="M11" i="38"/>
  <c r="M12" i="38"/>
  <c r="M13" i="38"/>
  <c r="M14" i="38"/>
  <c r="M15" i="38"/>
  <c r="M16" i="38"/>
  <c r="M17" i="38"/>
  <c r="M18" i="38"/>
  <c r="M19" i="38"/>
  <c r="M20" i="38"/>
  <c r="M21" i="38"/>
  <c r="M22" i="38"/>
  <c r="M23" i="38"/>
  <c r="M24" i="38"/>
  <c r="M25" i="38"/>
  <c r="M26" i="38"/>
  <c r="M27" i="38"/>
  <c r="M28" i="38"/>
  <c r="M29" i="38"/>
  <c r="M30" i="38"/>
  <c r="M31" i="38"/>
  <c r="M32" i="38"/>
  <c r="M33" i="38"/>
  <c r="M34" i="38"/>
  <c r="M35" i="38"/>
  <c r="M36" i="38"/>
  <c r="M37" i="38"/>
  <c r="M38" i="38"/>
  <c r="M39" i="38"/>
  <c r="M40" i="38"/>
  <c r="M41" i="38"/>
  <c r="M42" i="38"/>
  <c r="M43" i="38"/>
  <c r="M44" i="38"/>
  <c r="M45" i="38"/>
  <c r="M46" i="38"/>
  <c r="M47" i="38"/>
  <c r="M48" i="38"/>
  <c r="M49" i="38"/>
  <c r="M50" i="38"/>
  <c r="M51" i="38"/>
  <c r="M52" i="38"/>
  <c r="M53" i="38"/>
  <c r="M54" i="38"/>
  <c r="M55" i="38"/>
  <c r="M56" i="38"/>
  <c r="M57" i="38"/>
  <c r="M58" i="38"/>
  <c r="M59" i="38"/>
  <c r="M60" i="38"/>
  <c r="M61" i="38"/>
  <c r="M62" i="38"/>
  <c r="M63" i="38"/>
  <c r="M64" i="38"/>
  <c r="M65" i="38"/>
  <c r="M66" i="38"/>
  <c r="M67" i="38"/>
  <c r="M68" i="38"/>
  <c r="M69" i="38"/>
  <c r="M70" i="38"/>
  <c r="M71" i="38"/>
  <c r="M72" i="38"/>
  <c r="M73" i="38"/>
  <c r="M74" i="38"/>
  <c r="M75" i="38"/>
  <c r="M76" i="38"/>
  <c r="M77" i="38"/>
  <c r="M78" i="38"/>
  <c r="M79" i="38"/>
  <c r="M80" i="38"/>
  <c r="M81" i="38"/>
  <c r="M82" i="38"/>
  <c r="M83" i="38"/>
  <c r="M84" i="38"/>
  <c r="M85" i="38"/>
  <c r="M86" i="38"/>
  <c r="M87" i="38"/>
  <c r="M88" i="38"/>
  <c r="M89" i="38"/>
  <c r="M90" i="38"/>
  <c r="M91" i="38"/>
  <c r="M92" i="38"/>
  <c r="M93" i="38"/>
  <c r="M94" i="38"/>
  <c r="M95" i="38"/>
  <c r="M96" i="38"/>
  <c r="M97" i="38"/>
  <c r="M98" i="38"/>
  <c r="M99" i="38"/>
  <c r="M100" i="38"/>
  <c r="M101" i="38"/>
  <c r="M102" i="38"/>
  <c r="M103" i="38"/>
  <c r="M104" i="38"/>
  <c r="M105" i="38"/>
  <c r="M106" i="38"/>
  <c r="M107" i="38"/>
  <c r="M108" i="38"/>
  <c r="M109" i="38"/>
  <c r="M110" i="38"/>
  <c r="M111" i="38"/>
  <c r="M112" i="38"/>
  <c r="M113" i="38"/>
  <c r="M114" i="38"/>
  <c r="M115" i="38"/>
  <c r="M116" i="38"/>
  <c r="M117" i="38"/>
  <c r="M118" i="38"/>
  <c r="M119" i="38"/>
  <c r="M120" i="38"/>
  <c r="M121" i="38"/>
  <c r="M122" i="38"/>
  <c r="M123" i="38"/>
  <c r="M124" i="38"/>
  <c r="M125" i="38"/>
  <c r="M126" i="38"/>
  <c r="M127" i="38"/>
  <c r="M128" i="38"/>
  <c r="M129" i="38"/>
  <c r="M130" i="38"/>
  <c r="M131" i="38"/>
  <c r="M132" i="38"/>
  <c r="M133" i="38"/>
  <c r="M134" i="38"/>
  <c r="M135" i="38"/>
  <c r="M136" i="38"/>
  <c r="M137" i="38"/>
  <c r="M138" i="38"/>
  <c r="M139" i="38"/>
  <c r="M140" i="38"/>
  <c r="M141" i="38"/>
  <c r="M142" i="38"/>
  <c r="M143" i="38"/>
  <c r="M144" i="38"/>
  <c r="M145" i="38"/>
  <c r="M146" i="38"/>
  <c r="M147" i="38"/>
  <c r="M148" i="38"/>
  <c r="M149" i="38"/>
  <c r="M150" i="38"/>
  <c r="M151" i="38"/>
  <c r="M152" i="38"/>
  <c r="M153" i="38"/>
  <c r="M154" i="38"/>
  <c r="M155" i="38"/>
  <c r="M156" i="38"/>
  <c r="M157" i="38"/>
  <c r="M158" i="38"/>
  <c r="M159" i="38"/>
  <c r="M160" i="38"/>
  <c r="M161" i="38"/>
  <c r="M162" i="38"/>
  <c r="M163" i="38"/>
  <c r="M164" i="38"/>
  <c r="M165" i="38"/>
  <c r="M2" i="37"/>
  <c r="M3" i="37"/>
  <c r="M4" i="37"/>
  <c r="M5" i="37"/>
  <c r="M6" i="37"/>
  <c r="M7" i="37"/>
  <c r="M8" i="37"/>
  <c r="M9" i="37"/>
  <c r="M10" i="37"/>
  <c r="M11" i="37"/>
  <c r="M12" i="37"/>
  <c r="M13" i="37"/>
  <c r="M14" i="37"/>
  <c r="M15" i="37"/>
  <c r="M16" i="37"/>
  <c r="M17" i="37"/>
  <c r="M18" i="37"/>
  <c r="M19" i="37"/>
  <c r="M20" i="37"/>
  <c r="M21" i="37"/>
  <c r="M22" i="37"/>
  <c r="M23" i="37"/>
  <c r="M24" i="37"/>
  <c r="M25" i="37"/>
  <c r="M26" i="37"/>
  <c r="M27" i="37"/>
  <c r="M28" i="37"/>
  <c r="M29" i="37"/>
  <c r="M30" i="37"/>
  <c r="M31" i="37"/>
  <c r="M32" i="37"/>
  <c r="M33" i="37"/>
  <c r="M34" i="37"/>
  <c r="M35" i="37"/>
  <c r="M36" i="37"/>
  <c r="M37" i="37"/>
  <c r="M38" i="37"/>
  <c r="M39" i="37"/>
  <c r="M40" i="37"/>
  <c r="M41" i="37"/>
  <c r="M42" i="37"/>
  <c r="M43" i="37"/>
  <c r="M44" i="37"/>
  <c r="M45" i="37"/>
  <c r="M46" i="37"/>
  <c r="M47" i="37"/>
  <c r="M48" i="37"/>
  <c r="M49" i="37"/>
  <c r="M50" i="37"/>
  <c r="M51" i="37"/>
  <c r="M52" i="37"/>
  <c r="M53" i="37"/>
  <c r="M54" i="37"/>
  <c r="M55" i="37"/>
  <c r="M56" i="37"/>
  <c r="M57" i="37"/>
  <c r="M58" i="37"/>
  <c r="M59" i="37"/>
  <c r="M60" i="37"/>
  <c r="M61" i="37"/>
  <c r="M62" i="37"/>
  <c r="M63" i="37"/>
  <c r="M64" i="37"/>
  <c r="M65" i="37"/>
  <c r="M66" i="37"/>
  <c r="M67" i="37"/>
  <c r="M68" i="37"/>
  <c r="M69" i="37"/>
  <c r="M70" i="37"/>
  <c r="M71" i="37"/>
  <c r="M72" i="37"/>
  <c r="M73" i="37"/>
  <c r="M74" i="37"/>
  <c r="M75" i="37"/>
  <c r="M76" i="37"/>
  <c r="M77" i="37"/>
  <c r="M78" i="37"/>
  <c r="M79" i="37"/>
  <c r="M80" i="37"/>
  <c r="M81" i="37"/>
  <c r="M82" i="37"/>
  <c r="M83" i="37"/>
  <c r="M84" i="37"/>
  <c r="M85" i="37"/>
  <c r="M86" i="37"/>
  <c r="M87" i="37"/>
  <c r="M88" i="37"/>
  <c r="M89" i="37"/>
  <c r="M90" i="37"/>
  <c r="M91" i="37"/>
  <c r="M92" i="37"/>
  <c r="M93" i="37"/>
  <c r="M94" i="37"/>
  <c r="M95" i="37"/>
  <c r="M96" i="37"/>
  <c r="M97" i="37"/>
  <c r="M98" i="37"/>
  <c r="M99" i="37"/>
  <c r="M100" i="37"/>
  <c r="M101" i="37"/>
  <c r="M102" i="37"/>
  <c r="M103" i="37"/>
  <c r="M104" i="37"/>
  <c r="M105" i="37"/>
  <c r="M106" i="37"/>
  <c r="M107" i="37"/>
  <c r="M108" i="37"/>
  <c r="M109" i="37"/>
  <c r="M110" i="37"/>
  <c r="M111" i="37"/>
  <c r="M112" i="37"/>
  <c r="M113" i="37"/>
  <c r="M114" i="37"/>
  <c r="M115" i="37"/>
  <c r="M116" i="37"/>
  <c r="M117" i="37"/>
  <c r="M118" i="37"/>
  <c r="M119" i="37"/>
  <c r="M120" i="37"/>
  <c r="M121" i="37"/>
  <c r="M122" i="37"/>
  <c r="M123" i="37"/>
  <c r="M124" i="37"/>
  <c r="M125" i="37"/>
  <c r="M126" i="37"/>
  <c r="M127" i="37"/>
  <c r="M128" i="37"/>
  <c r="M129" i="37"/>
  <c r="M130" i="37"/>
  <c r="M131" i="37"/>
  <c r="M132" i="37"/>
  <c r="M133" i="37"/>
  <c r="M134" i="37"/>
  <c r="M135" i="37"/>
  <c r="M136" i="37"/>
  <c r="M137" i="37"/>
  <c r="M138" i="37"/>
  <c r="M139" i="37"/>
  <c r="M140" i="37"/>
  <c r="M141" i="37"/>
  <c r="M142" i="37"/>
  <c r="M143" i="37"/>
  <c r="M144" i="37"/>
  <c r="M145" i="37"/>
  <c r="M146" i="37"/>
  <c r="M147" i="37"/>
  <c r="M148" i="37"/>
  <c r="M149" i="37"/>
  <c r="M150" i="37"/>
  <c r="M151" i="37"/>
  <c r="M152" i="37"/>
  <c r="M153" i="37"/>
  <c r="M154" i="37"/>
  <c r="M155" i="37"/>
  <c r="M156" i="37"/>
  <c r="M157" i="37"/>
  <c r="M158" i="37"/>
  <c r="M159" i="37"/>
  <c r="M160" i="37"/>
  <c r="M161" i="37"/>
  <c r="M162" i="37"/>
  <c r="M163" i="37"/>
  <c r="M164" i="37"/>
  <c r="M165" i="37"/>
  <c r="M166" i="37"/>
  <c r="M167" i="37"/>
  <c r="M168" i="37"/>
  <c r="M169" i="37"/>
  <c r="M170" i="37"/>
  <c r="M171" i="37"/>
  <c r="M172" i="37"/>
  <c r="M173" i="37"/>
  <c r="M174" i="37"/>
  <c r="M175" i="37"/>
  <c r="M176" i="37"/>
  <c r="M177" i="37"/>
  <c r="M178" i="37"/>
  <c r="M179" i="37"/>
  <c r="M180" i="37"/>
  <c r="M181" i="37"/>
  <c r="M182" i="37"/>
  <c r="M183" i="37"/>
  <c r="M184" i="37"/>
  <c r="M185" i="37"/>
  <c r="M186" i="37"/>
  <c r="M187" i="37"/>
  <c r="M188" i="37"/>
  <c r="M189" i="37"/>
  <c r="M190" i="37"/>
  <c r="M191" i="37"/>
  <c r="M192" i="37"/>
  <c r="M193" i="37"/>
  <c r="M194" i="37"/>
  <c r="M195" i="37"/>
  <c r="M196" i="37"/>
  <c r="M197" i="37"/>
  <c r="M198" i="37"/>
  <c r="M199" i="37"/>
  <c r="M200" i="37"/>
  <c r="M201" i="37"/>
  <c r="M202" i="37"/>
  <c r="M203" i="37"/>
  <c r="M204" i="37"/>
  <c r="M205" i="37"/>
  <c r="M206" i="37"/>
  <c r="M207" i="37"/>
  <c r="M208" i="37"/>
  <c r="M209" i="37"/>
  <c r="M210" i="37"/>
  <c r="M211" i="37"/>
  <c r="M212" i="37"/>
  <c r="M213" i="37"/>
  <c r="M214" i="37"/>
  <c r="M215" i="37"/>
  <c r="M216" i="37"/>
  <c r="M217" i="37"/>
  <c r="M218" i="37"/>
  <c r="M219" i="37"/>
  <c r="M220" i="37"/>
  <c r="M221" i="37"/>
  <c r="M222" i="37"/>
  <c r="M223" i="37"/>
  <c r="M224" i="37"/>
  <c r="M225" i="37"/>
  <c r="M226" i="37"/>
  <c r="M227" i="37"/>
  <c r="M228" i="37"/>
  <c r="M229" i="37"/>
  <c r="M230" i="37"/>
  <c r="M231" i="37"/>
  <c r="M232" i="37"/>
  <c r="M233" i="37"/>
  <c r="M234" i="37"/>
  <c r="M235" i="37"/>
  <c r="M236" i="37"/>
  <c r="M237" i="37"/>
  <c r="M238" i="37"/>
  <c r="M239" i="37"/>
  <c r="M240" i="37"/>
  <c r="M241" i="37"/>
  <c r="M242" i="37"/>
  <c r="M243" i="37"/>
  <c r="M244" i="37"/>
  <c r="M245" i="37"/>
  <c r="M246" i="37"/>
  <c r="M247" i="37"/>
  <c r="M248" i="37"/>
  <c r="M249" i="37"/>
  <c r="M250" i="37"/>
  <c r="M251" i="37"/>
  <c r="M252" i="37"/>
  <c r="M253" i="37"/>
  <c r="M254" i="37"/>
  <c r="M255" i="37"/>
  <c r="M2" i="40"/>
  <c r="M3" i="40"/>
  <c r="M4" i="40"/>
  <c r="M5" i="40"/>
  <c r="M6" i="40"/>
  <c r="M7" i="40"/>
  <c r="M8" i="40"/>
  <c r="M9" i="40"/>
  <c r="M10" i="40"/>
  <c r="M11" i="40"/>
  <c r="M12" i="40"/>
  <c r="M13" i="40"/>
  <c r="M14" i="40"/>
  <c r="M15" i="40"/>
  <c r="M16" i="40"/>
  <c r="M17" i="40"/>
  <c r="M18" i="40"/>
  <c r="M19" i="40"/>
  <c r="M20" i="40"/>
  <c r="M21" i="40"/>
  <c r="M22" i="40"/>
  <c r="M23" i="40"/>
  <c r="M24" i="40"/>
  <c r="M25" i="40"/>
  <c r="M26" i="40"/>
  <c r="M27" i="40"/>
  <c r="M28" i="40"/>
  <c r="M29" i="40"/>
  <c r="M30" i="40"/>
  <c r="M31" i="40"/>
  <c r="M32" i="40"/>
  <c r="M33" i="40"/>
  <c r="M34" i="40"/>
  <c r="M35" i="40"/>
  <c r="M36" i="40"/>
  <c r="M37" i="40"/>
  <c r="M38" i="40"/>
  <c r="M39" i="40"/>
  <c r="M2" i="44"/>
  <c r="M3" i="44"/>
  <c r="M4" i="44"/>
  <c r="M5" i="44"/>
  <c r="M6" i="44"/>
  <c r="M7" i="44"/>
  <c r="M8" i="44"/>
  <c r="M9" i="44"/>
  <c r="M10" i="44"/>
  <c r="M2" i="43"/>
  <c r="M3" i="43"/>
  <c r="M4" i="43"/>
  <c r="M5" i="43"/>
  <c r="M6" i="43"/>
  <c r="M2" i="35"/>
  <c r="M3" i="35"/>
  <c r="M4" i="35"/>
  <c r="M5" i="35"/>
  <c r="M6" i="35"/>
  <c r="M7" i="35"/>
  <c r="M8" i="35"/>
  <c r="M9" i="35"/>
  <c r="M10" i="35"/>
  <c r="M11" i="35"/>
  <c r="M12" i="35"/>
  <c r="M13" i="35"/>
  <c r="M14" i="35"/>
  <c r="M15" i="35"/>
  <c r="M16" i="35"/>
  <c r="M17" i="35"/>
  <c r="M18" i="35"/>
  <c r="M19" i="35"/>
  <c r="M20" i="35"/>
  <c r="M21" i="35"/>
  <c r="M22" i="35"/>
  <c r="M23" i="35"/>
  <c r="M24" i="35"/>
  <c r="M25" i="35"/>
  <c r="M26" i="35"/>
  <c r="M27" i="35"/>
  <c r="M28" i="35"/>
  <c r="M29" i="35"/>
  <c r="M30" i="35"/>
  <c r="M31" i="35"/>
  <c r="M32" i="35"/>
  <c r="M33" i="35"/>
  <c r="M34" i="35"/>
  <c r="M35" i="35"/>
  <c r="M36" i="35"/>
  <c r="M37" i="35"/>
  <c r="M38" i="35"/>
  <c r="M39" i="35"/>
  <c r="M40" i="35"/>
  <c r="M41" i="35"/>
  <c r="M42" i="35"/>
  <c r="M43" i="35"/>
  <c r="M44" i="35"/>
  <c r="M45" i="35"/>
  <c r="M46" i="35"/>
  <c r="M47" i="35"/>
  <c r="M48" i="35"/>
  <c r="M49" i="35"/>
  <c r="M50" i="35"/>
  <c r="M51" i="35"/>
  <c r="M52" i="35"/>
  <c r="M53" i="35"/>
  <c r="M54" i="35"/>
  <c r="M55" i="35"/>
  <c r="M56" i="35"/>
  <c r="M57" i="35"/>
  <c r="M58" i="35"/>
  <c r="M59" i="35"/>
  <c r="M60" i="35"/>
  <c r="M61" i="35"/>
  <c r="M62" i="35"/>
  <c r="M63" i="35"/>
  <c r="M64" i="35"/>
  <c r="M65" i="35"/>
  <c r="M66" i="35"/>
  <c r="M67" i="35"/>
  <c r="M68" i="35"/>
  <c r="M69" i="35"/>
  <c r="M70" i="35"/>
  <c r="M71" i="35"/>
  <c r="M72" i="35"/>
  <c r="M73" i="35"/>
  <c r="M74" i="35"/>
  <c r="M75" i="35"/>
  <c r="M76" i="35"/>
  <c r="M77" i="35"/>
  <c r="M78" i="35"/>
  <c r="M79" i="35"/>
  <c r="M80" i="35"/>
  <c r="M81" i="35"/>
  <c r="M82" i="35"/>
  <c r="M83" i="35"/>
  <c r="M84" i="35"/>
  <c r="M85" i="35"/>
  <c r="M86" i="35"/>
  <c r="M87" i="35"/>
  <c r="M88" i="35"/>
  <c r="M89" i="35"/>
  <c r="M90" i="35"/>
  <c r="M91" i="35"/>
  <c r="M92" i="35"/>
  <c r="M93" i="35"/>
  <c r="M94" i="35"/>
  <c r="M95" i="35"/>
  <c r="M96" i="35"/>
  <c r="M97" i="35"/>
  <c r="M98" i="35"/>
  <c r="M99" i="35"/>
  <c r="M100" i="35"/>
  <c r="M101" i="35"/>
  <c r="M102" i="35"/>
  <c r="M103" i="35"/>
  <c r="M104" i="35"/>
  <c r="M105" i="35"/>
  <c r="M106" i="35"/>
  <c r="M107" i="35"/>
  <c r="M108" i="35"/>
  <c r="M109" i="35"/>
  <c r="M110" i="35"/>
  <c r="M111" i="35"/>
  <c r="M112" i="35"/>
  <c r="M113" i="35"/>
  <c r="M114" i="35"/>
  <c r="M115" i="35"/>
  <c r="M116" i="35"/>
  <c r="M117" i="35"/>
  <c r="M118" i="35"/>
  <c r="M119" i="35"/>
  <c r="M120" i="35"/>
  <c r="M121" i="35"/>
  <c r="M122" i="35"/>
  <c r="M123" i="35"/>
  <c r="M124" i="35"/>
  <c r="M125" i="35"/>
  <c r="M126" i="35"/>
  <c r="M127" i="35"/>
  <c r="M128" i="35"/>
  <c r="M129" i="35"/>
  <c r="M130" i="35"/>
  <c r="M131" i="35"/>
  <c r="M132" i="35"/>
  <c r="M133" i="35"/>
  <c r="M134" i="35"/>
  <c r="M135" i="35"/>
  <c r="M136" i="35"/>
  <c r="M137" i="35"/>
  <c r="M138" i="35"/>
  <c r="M139" i="35"/>
  <c r="M140" i="35"/>
  <c r="M141" i="35"/>
  <c r="M142" i="35"/>
  <c r="M143" i="35"/>
  <c r="M144" i="35"/>
  <c r="M145" i="35"/>
  <c r="M146" i="35"/>
  <c r="M147" i="35"/>
  <c r="M148" i="35"/>
  <c r="M149" i="35"/>
  <c r="M150" i="35"/>
  <c r="M151" i="35"/>
  <c r="M152" i="35"/>
  <c r="M153" i="35"/>
  <c r="M154" i="35"/>
  <c r="M155" i="35"/>
  <c r="M156" i="35"/>
  <c r="M157" i="35"/>
  <c r="M158" i="35"/>
  <c r="M159" i="35"/>
  <c r="M160" i="35"/>
  <c r="M161" i="35"/>
  <c r="M162" i="35"/>
  <c r="M163" i="35"/>
  <c r="M164" i="35"/>
  <c r="M165" i="35"/>
  <c r="M166" i="35"/>
  <c r="M167" i="35"/>
  <c r="M168" i="35"/>
  <c r="M169" i="35"/>
  <c r="M170" i="35"/>
  <c r="M171" i="35"/>
  <c r="M172" i="35"/>
  <c r="M173" i="35"/>
  <c r="M174" i="35"/>
  <c r="M175" i="35"/>
  <c r="M176" i="35"/>
  <c r="M177" i="35"/>
  <c r="M178" i="35"/>
  <c r="M179" i="35"/>
  <c r="M180" i="35"/>
  <c r="M181" i="35"/>
  <c r="M182" i="35"/>
  <c r="M183" i="35"/>
  <c r="M184" i="35"/>
  <c r="M185" i="35"/>
  <c r="M186" i="35"/>
  <c r="M187" i="35"/>
  <c r="M188" i="35"/>
  <c r="M189" i="35"/>
  <c r="M190" i="35"/>
  <c r="M191" i="35"/>
  <c r="M192" i="35"/>
  <c r="M193" i="35"/>
  <c r="M194" i="35"/>
  <c r="M195" i="35"/>
  <c r="M196" i="35"/>
  <c r="M197" i="35"/>
  <c r="M198" i="35"/>
  <c r="M199" i="35"/>
  <c r="M200" i="35"/>
  <c r="M201" i="35"/>
  <c r="M202" i="35"/>
  <c r="M203" i="35"/>
  <c r="M204" i="35"/>
  <c r="M205" i="35"/>
  <c r="M206" i="35"/>
  <c r="M207" i="35"/>
  <c r="M208" i="35"/>
  <c r="M209" i="35"/>
  <c r="M2" i="42"/>
  <c r="M3" i="42"/>
  <c r="M4" i="42"/>
  <c r="M5" i="42"/>
  <c r="M6" i="42"/>
  <c r="M7" i="42"/>
  <c r="M8" i="42"/>
  <c r="M9" i="42"/>
  <c r="M10" i="42"/>
  <c r="M2" i="41"/>
  <c r="M3" i="41"/>
  <c r="M4" i="41"/>
  <c r="M5" i="41"/>
  <c r="M6" i="41"/>
  <c r="M7" i="41"/>
  <c r="M8" i="41"/>
  <c r="M9" i="41"/>
  <c r="M10" i="41"/>
  <c r="M11" i="41"/>
  <c r="M12" i="41"/>
  <c r="M13" i="41"/>
  <c r="M14" i="41"/>
  <c r="M15" i="41"/>
  <c r="M16" i="41"/>
  <c r="M17" i="41"/>
  <c r="M18" i="41"/>
  <c r="M19" i="41"/>
  <c r="M20" i="41"/>
  <c r="M21" i="41"/>
  <c r="M22" i="41"/>
  <c r="M23" i="41"/>
  <c r="M24" i="41"/>
  <c r="M25" i="41"/>
  <c r="M26" i="41"/>
  <c r="M27" i="41"/>
  <c r="M28" i="41"/>
  <c r="M29" i="41"/>
  <c r="M30" i="41"/>
  <c r="M31" i="41"/>
  <c r="M32" i="41"/>
  <c r="M33" i="41"/>
  <c r="M34" i="41"/>
  <c r="M35" i="41"/>
  <c r="M36" i="41"/>
  <c r="M37" i="41"/>
  <c r="M2" i="34"/>
  <c r="M3" i="34"/>
  <c r="M4" i="34"/>
  <c r="M5" i="34"/>
  <c r="M6" i="34"/>
  <c r="M7" i="34"/>
  <c r="M8" i="34"/>
  <c r="M9" i="34"/>
  <c r="M10" i="34"/>
  <c r="M11" i="34"/>
  <c r="M12" i="34"/>
  <c r="M13" i="34"/>
  <c r="M14" i="34"/>
  <c r="M15" i="34"/>
  <c r="M16" i="34"/>
  <c r="M17" i="34"/>
  <c r="M18" i="34"/>
  <c r="M19" i="34"/>
  <c r="M20" i="34"/>
  <c r="M21" i="34"/>
  <c r="M22" i="34"/>
  <c r="M23" i="34"/>
  <c r="M24" i="34"/>
  <c r="M25" i="34"/>
  <c r="M26" i="34"/>
  <c r="M27" i="34"/>
  <c r="M28" i="34"/>
  <c r="M29" i="34"/>
  <c r="M30" i="34"/>
  <c r="M31" i="34"/>
  <c r="M32" i="34"/>
  <c r="M33" i="34"/>
  <c r="M34" i="34"/>
  <c r="M35" i="34"/>
  <c r="M36" i="34"/>
  <c r="M37" i="34"/>
  <c r="M38" i="34"/>
  <c r="M39" i="34"/>
  <c r="M40" i="34"/>
  <c r="M41" i="34"/>
  <c r="M42" i="34"/>
  <c r="M43" i="34"/>
  <c r="M44" i="34"/>
  <c r="M45" i="34"/>
  <c r="M46" i="34"/>
  <c r="M47" i="34"/>
  <c r="M48" i="34"/>
  <c r="M49" i="34"/>
  <c r="M50" i="34"/>
  <c r="M51" i="34"/>
  <c r="M52" i="34"/>
  <c r="M53" i="34"/>
  <c r="M54" i="34"/>
  <c r="M55" i="34"/>
  <c r="M56" i="34"/>
  <c r="M57" i="34"/>
  <c r="M58" i="34"/>
  <c r="M59" i="34"/>
  <c r="M60" i="34"/>
  <c r="M61" i="34"/>
  <c r="M62" i="34"/>
  <c r="M63" i="34"/>
  <c r="M64" i="34"/>
  <c r="M65" i="34"/>
  <c r="M66" i="34"/>
  <c r="M67" i="34"/>
  <c r="M68" i="34"/>
  <c r="M69" i="34"/>
  <c r="M70" i="34"/>
  <c r="M71" i="34"/>
  <c r="M72" i="34"/>
  <c r="M73" i="34"/>
  <c r="M74" i="34"/>
  <c r="M75" i="34"/>
  <c r="M76" i="34"/>
  <c r="M77" i="34"/>
  <c r="M78" i="34"/>
  <c r="M79" i="34"/>
  <c r="M80" i="34"/>
  <c r="M81" i="34"/>
  <c r="M82" i="34"/>
  <c r="M83" i="34"/>
  <c r="M84" i="34"/>
  <c r="M85" i="34"/>
  <c r="M86" i="34"/>
  <c r="M87" i="34"/>
  <c r="M88" i="34"/>
  <c r="M89" i="34"/>
  <c r="M90" i="34"/>
  <c r="M91" i="34"/>
  <c r="M92" i="34"/>
  <c r="M93" i="34"/>
  <c r="M94" i="34"/>
  <c r="M95" i="34"/>
  <c r="M96" i="34"/>
  <c r="M97" i="34"/>
  <c r="M98" i="34"/>
  <c r="M99" i="34"/>
  <c r="M100" i="34"/>
  <c r="M101" i="34"/>
  <c r="M102" i="34"/>
  <c r="M103" i="34"/>
  <c r="M104" i="34"/>
  <c r="M105" i="34"/>
  <c r="M106" i="34"/>
  <c r="M107" i="34"/>
  <c r="M108" i="34"/>
  <c r="M109" i="34"/>
  <c r="M110" i="34"/>
  <c r="M111" i="34"/>
  <c r="M112" i="34"/>
  <c r="M113" i="34"/>
  <c r="M114" i="34"/>
  <c r="M115" i="34"/>
  <c r="M116" i="34"/>
  <c r="M117" i="34"/>
  <c r="M118" i="34"/>
  <c r="M119" i="34"/>
  <c r="M120" i="34"/>
  <c r="M121" i="34"/>
  <c r="M122" i="34"/>
  <c r="M123" i="34"/>
  <c r="M124" i="34"/>
  <c r="M125" i="34"/>
  <c r="M126" i="34"/>
  <c r="M127" i="34"/>
  <c r="M128" i="34"/>
  <c r="M129" i="34"/>
  <c r="M130" i="34"/>
  <c r="M131" i="34"/>
  <c r="M132" i="34"/>
  <c r="M133" i="34"/>
  <c r="M134" i="34"/>
  <c r="M135" i="34"/>
  <c r="M136" i="34"/>
  <c r="M137" i="34"/>
  <c r="M138" i="34"/>
  <c r="M139" i="34"/>
  <c r="M140" i="34"/>
  <c r="M141" i="34"/>
  <c r="M142" i="34"/>
  <c r="M143" i="34"/>
  <c r="M144" i="34"/>
  <c r="M145" i="34"/>
  <c r="M146" i="34"/>
  <c r="M147" i="34"/>
  <c r="M148" i="34"/>
  <c r="M149" i="34"/>
  <c r="M150" i="34"/>
  <c r="M151" i="34"/>
  <c r="M152" i="34"/>
  <c r="M153" i="34"/>
  <c r="M154" i="34"/>
  <c r="M155" i="34"/>
  <c r="M156" i="34"/>
  <c r="M157" i="34"/>
  <c r="M158" i="34"/>
  <c r="M159" i="34"/>
  <c r="M160" i="34"/>
  <c r="M161" i="34"/>
  <c r="M162" i="34"/>
  <c r="M163" i="34"/>
  <c r="M164" i="34"/>
  <c r="M165" i="34"/>
  <c r="M166" i="34"/>
  <c r="M167" i="34"/>
  <c r="M168" i="34"/>
  <c r="M169" i="34"/>
  <c r="M170" i="34"/>
  <c r="M171" i="34"/>
  <c r="M172" i="34"/>
  <c r="M173" i="34"/>
  <c r="M174" i="34"/>
  <c r="M175" i="34"/>
  <c r="M176" i="34"/>
  <c r="M177" i="34"/>
  <c r="M178" i="34"/>
  <c r="M179" i="34"/>
  <c r="M180" i="34"/>
  <c r="M181" i="34"/>
  <c r="M182" i="34"/>
  <c r="M183" i="34"/>
  <c r="M184" i="34"/>
  <c r="M185" i="34"/>
  <c r="M186" i="34"/>
  <c r="M187" i="34"/>
  <c r="M188" i="34"/>
  <c r="M189" i="34"/>
  <c r="M190" i="34"/>
  <c r="M191" i="34"/>
  <c r="M192" i="34"/>
  <c r="M193" i="34"/>
  <c r="M194" i="34"/>
  <c r="M195" i="34"/>
  <c r="M196" i="34"/>
  <c r="M197" i="34"/>
  <c r="M198" i="34"/>
  <c r="M199" i="34"/>
  <c r="M200" i="34"/>
  <c r="M201" i="34"/>
  <c r="M202" i="34"/>
  <c r="M203" i="34"/>
  <c r="M204" i="34"/>
  <c r="M205" i="34"/>
  <c r="M206" i="34"/>
  <c r="M207" i="34"/>
  <c r="M208" i="34"/>
  <c r="M209" i="34"/>
  <c r="M210" i="34"/>
  <c r="M211" i="34"/>
  <c r="M212" i="34"/>
  <c r="M213" i="34"/>
  <c r="M214" i="34"/>
  <c r="M215" i="34"/>
  <c r="M216" i="34"/>
  <c r="M217" i="34"/>
  <c r="M218" i="34"/>
  <c r="M219" i="34"/>
  <c r="M220" i="34"/>
  <c r="M221" i="34"/>
  <c r="M222" i="34"/>
  <c r="M223" i="34"/>
  <c r="M224" i="34"/>
  <c r="M225" i="34"/>
  <c r="M226" i="34"/>
  <c r="M227" i="34"/>
  <c r="M228" i="34"/>
  <c r="M229" i="34"/>
  <c r="M230" i="34"/>
  <c r="M231" i="34"/>
  <c r="M232" i="34"/>
  <c r="M233" i="34"/>
  <c r="M234" i="34"/>
  <c r="M235" i="34"/>
  <c r="M236" i="34"/>
  <c r="M237" i="34"/>
  <c r="M238" i="34"/>
  <c r="M239" i="34"/>
  <c r="M240" i="34"/>
  <c r="M241" i="34"/>
  <c r="M242" i="34"/>
  <c r="M243" i="34"/>
  <c r="M244" i="34"/>
  <c r="M245" i="34"/>
  <c r="M246" i="34"/>
  <c r="M247" i="34"/>
  <c r="M248" i="34"/>
  <c r="M2" i="33"/>
  <c r="M3" i="33"/>
  <c r="M4" i="33"/>
  <c r="M5" i="33"/>
  <c r="M6" i="33"/>
  <c r="M7" i="33"/>
  <c r="M8" i="33"/>
  <c r="M9" i="33"/>
  <c r="M10" i="33"/>
  <c r="M11" i="33"/>
  <c r="M12" i="33"/>
  <c r="M13" i="33"/>
  <c r="M14" i="33"/>
  <c r="M15" i="33"/>
  <c r="M16" i="33"/>
  <c r="M17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1" i="33"/>
  <c r="M32" i="33"/>
  <c r="M33" i="33"/>
  <c r="M34" i="33"/>
  <c r="M35" i="33"/>
  <c r="M36" i="33"/>
  <c r="M37" i="33"/>
  <c r="M38" i="33"/>
  <c r="M39" i="33"/>
  <c r="M40" i="33"/>
  <c r="M41" i="33"/>
  <c r="M42" i="33"/>
  <c r="M43" i="33"/>
  <c r="M44" i="33"/>
  <c r="M45" i="33"/>
  <c r="M46" i="33"/>
  <c r="M47" i="33"/>
  <c r="M48" i="33"/>
  <c r="M49" i="33"/>
  <c r="M50" i="33"/>
  <c r="M51" i="33"/>
  <c r="M52" i="33"/>
  <c r="M53" i="33"/>
  <c r="M54" i="33"/>
  <c r="M55" i="33"/>
  <c r="M56" i="33"/>
  <c r="M57" i="33"/>
  <c r="M58" i="33"/>
  <c r="M59" i="33"/>
  <c r="M60" i="33"/>
  <c r="M61" i="33"/>
  <c r="M62" i="33"/>
  <c r="M63" i="33"/>
  <c r="M64" i="33"/>
  <c r="M65" i="33"/>
  <c r="M66" i="33"/>
  <c r="M67" i="33"/>
  <c r="M68" i="33"/>
  <c r="M69" i="33"/>
  <c r="M70" i="33"/>
  <c r="M71" i="33"/>
  <c r="M72" i="33"/>
  <c r="M73" i="33"/>
  <c r="M74" i="33"/>
  <c r="M75" i="33"/>
  <c r="M76" i="33"/>
  <c r="M77" i="33"/>
  <c r="M78" i="33"/>
  <c r="M79" i="33"/>
  <c r="M80" i="33"/>
  <c r="M81" i="33"/>
  <c r="M82" i="33"/>
  <c r="M83" i="33"/>
  <c r="M84" i="33"/>
  <c r="M85" i="33"/>
  <c r="M86" i="33"/>
  <c r="M87" i="33"/>
  <c r="M88" i="33"/>
  <c r="M89" i="33"/>
  <c r="M90" i="33"/>
  <c r="M91" i="33"/>
  <c r="M92" i="33"/>
  <c r="M93" i="33"/>
  <c r="M94" i="33"/>
  <c r="M95" i="33"/>
  <c r="M96" i="33"/>
  <c r="M97" i="33"/>
  <c r="M98" i="33"/>
  <c r="M99" i="33"/>
  <c r="M100" i="33"/>
  <c r="M101" i="33"/>
  <c r="M102" i="33"/>
  <c r="M103" i="33"/>
  <c r="M104" i="33"/>
  <c r="M105" i="33"/>
  <c r="M106" i="33"/>
  <c r="M107" i="33"/>
  <c r="M108" i="33"/>
  <c r="M109" i="33"/>
  <c r="M110" i="33"/>
  <c r="M111" i="33"/>
  <c r="M112" i="33"/>
  <c r="M113" i="33"/>
  <c r="M114" i="33"/>
  <c r="M115" i="33"/>
  <c r="M116" i="33"/>
  <c r="M117" i="33"/>
  <c r="M118" i="33"/>
  <c r="M119" i="33"/>
  <c r="M120" i="33"/>
  <c r="M121" i="33"/>
  <c r="M122" i="33"/>
  <c r="M123" i="33"/>
  <c r="M124" i="33"/>
  <c r="M125" i="33"/>
  <c r="M126" i="33"/>
  <c r="M127" i="33"/>
  <c r="M128" i="33"/>
  <c r="M129" i="33"/>
  <c r="M130" i="33"/>
  <c r="M131" i="33"/>
  <c r="M132" i="33"/>
  <c r="M133" i="33"/>
  <c r="M134" i="33"/>
  <c r="M135" i="33"/>
  <c r="M136" i="33"/>
  <c r="M137" i="33"/>
  <c r="M138" i="33"/>
  <c r="M139" i="33"/>
  <c r="M140" i="33"/>
  <c r="M141" i="33"/>
  <c r="M142" i="33"/>
  <c r="M143" i="33"/>
  <c r="M144" i="33"/>
  <c r="M145" i="33"/>
  <c r="M146" i="33"/>
  <c r="M147" i="33"/>
  <c r="M148" i="33"/>
  <c r="M149" i="33"/>
  <c r="M150" i="33"/>
  <c r="M151" i="33"/>
  <c r="M152" i="33"/>
  <c r="M153" i="33"/>
  <c r="M154" i="33"/>
  <c r="M155" i="33"/>
  <c r="M156" i="33"/>
  <c r="M157" i="33"/>
  <c r="M158" i="33"/>
  <c r="M159" i="33"/>
  <c r="M160" i="33"/>
  <c r="M161" i="33"/>
  <c r="M162" i="33"/>
  <c r="M163" i="33"/>
  <c r="M164" i="33"/>
  <c r="M165" i="33"/>
  <c r="M166" i="33"/>
  <c r="M167" i="33"/>
  <c r="M168" i="33"/>
  <c r="M169" i="33"/>
  <c r="M170" i="33"/>
  <c r="M171" i="33"/>
  <c r="M172" i="33"/>
  <c r="M173" i="33"/>
  <c r="M174" i="33"/>
  <c r="M175" i="33"/>
  <c r="M176" i="33"/>
  <c r="M177" i="33"/>
  <c r="M178" i="33"/>
  <c r="M179" i="33"/>
  <c r="M180" i="33"/>
  <c r="M181" i="33"/>
  <c r="M182" i="33"/>
  <c r="M183" i="33"/>
  <c r="M184" i="33"/>
  <c r="M185" i="33"/>
  <c r="M186" i="33"/>
  <c r="M187" i="33"/>
  <c r="M188" i="33"/>
  <c r="M189" i="33"/>
  <c r="M190" i="33"/>
  <c r="M191" i="33"/>
  <c r="M192" i="33"/>
  <c r="M193" i="33"/>
  <c r="M194" i="33"/>
  <c r="M195" i="33"/>
  <c r="M196" i="33"/>
  <c r="M197" i="33"/>
  <c r="M198" i="33"/>
  <c r="M199" i="33"/>
  <c r="M200" i="33"/>
  <c r="M201" i="33"/>
  <c r="M202" i="33"/>
  <c r="M203" i="33"/>
  <c r="M204" i="33"/>
  <c r="M205" i="33"/>
  <c r="M206" i="33"/>
  <c r="M207" i="33"/>
  <c r="M208" i="33"/>
  <c r="M209" i="33"/>
  <c r="M210" i="33"/>
  <c r="M211" i="33"/>
  <c r="M212" i="33"/>
  <c r="M213" i="33"/>
  <c r="M214" i="33"/>
  <c r="M215" i="33"/>
  <c r="M216" i="33"/>
  <c r="M217" i="33"/>
  <c r="M218" i="33"/>
  <c r="M219" i="33"/>
  <c r="M220" i="33"/>
  <c r="M221" i="33"/>
  <c r="M222" i="33"/>
  <c r="M223" i="33"/>
  <c r="M224" i="33"/>
  <c r="M225" i="33"/>
  <c r="M226" i="33"/>
  <c r="M227" i="33"/>
  <c r="M228" i="33"/>
  <c r="M229" i="33"/>
  <c r="M230" i="33"/>
  <c r="M231" i="33"/>
  <c r="M232" i="33"/>
  <c r="M233" i="33"/>
  <c r="M234" i="33"/>
  <c r="M235" i="33"/>
  <c r="M236" i="33"/>
  <c r="M237" i="33"/>
  <c r="M238" i="33"/>
  <c r="M239" i="33"/>
  <c r="M240" i="33"/>
  <c r="M241" i="33"/>
  <c r="M242" i="33"/>
  <c r="M243" i="33"/>
  <c r="M244" i="33"/>
  <c r="M245" i="33"/>
  <c r="M246" i="33"/>
  <c r="M247" i="33"/>
  <c r="M248" i="33"/>
  <c r="M249" i="33"/>
  <c r="M250" i="33"/>
  <c r="M251" i="33"/>
  <c r="M252" i="33"/>
  <c r="M253" i="33"/>
  <c r="M254" i="33"/>
  <c r="M255" i="33"/>
  <c r="M256" i="33"/>
  <c r="M257" i="33"/>
  <c r="M258" i="33"/>
  <c r="M259" i="33"/>
  <c r="M260" i="33"/>
  <c r="M261" i="33"/>
  <c r="M262" i="33"/>
  <c r="M263" i="33"/>
  <c r="M264" i="33"/>
  <c r="M265" i="33"/>
  <c r="M266" i="33"/>
  <c r="M267" i="33"/>
  <c r="M268" i="33"/>
  <c r="M269" i="33"/>
  <c r="M270" i="33"/>
  <c r="M271" i="33"/>
  <c r="M272" i="33"/>
  <c r="M273" i="33"/>
  <c r="M274" i="33"/>
  <c r="M275" i="33"/>
  <c r="M276" i="33"/>
  <c r="M277" i="33"/>
  <c r="M278" i="33"/>
  <c r="M279" i="33"/>
  <c r="M280" i="33"/>
  <c r="M281" i="33"/>
  <c r="M282" i="33"/>
  <c r="M283" i="33"/>
  <c r="M284" i="33"/>
  <c r="M285" i="33"/>
  <c r="M286" i="33"/>
  <c r="M287" i="33"/>
  <c r="M288" i="33"/>
  <c r="M289" i="33"/>
  <c r="M290" i="33"/>
  <c r="M291" i="33"/>
  <c r="M292" i="33"/>
  <c r="M293" i="33"/>
  <c r="M294" i="33"/>
  <c r="M295" i="33"/>
  <c r="M296" i="33"/>
  <c r="M297" i="33"/>
  <c r="M298" i="33"/>
  <c r="M299" i="33"/>
  <c r="M300" i="33"/>
  <c r="M301" i="33"/>
  <c r="M302" i="33"/>
  <c r="M303" i="33"/>
  <c r="M304" i="33"/>
  <c r="M305" i="33"/>
  <c r="M306" i="33"/>
  <c r="M307" i="33"/>
  <c r="M308" i="33"/>
  <c r="M309" i="33"/>
  <c r="M310" i="33"/>
  <c r="M311" i="33"/>
  <c r="M312" i="33"/>
  <c r="M313" i="33"/>
  <c r="M314" i="33"/>
  <c r="M2" i="32"/>
  <c r="M3" i="32"/>
  <c r="M4" i="32"/>
  <c r="M5" i="32"/>
  <c r="M6" i="32"/>
  <c r="M7" i="32"/>
  <c r="M8" i="32"/>
  <c r="M9" i="32"/>
  <c r="M10" i="32"/>
  <c r="M11" i="32"/>
  <c r="M12" i="32"/>
  <c r="M13" i="32"/>
  <c r="M14" i="32"/>
  <c r="M15" i="32"/>
  <c r="M16" i="32"/>
  <c r="M17" i="32"/>
  <c r="M18" i="32"/>
  <c r="M19" i="32"/>
  <c r="M20" i="32"/>
  <c r="M21" i="32"/>
  <c r="M22" i="32"/>
  <c r="M23" i="32"/>
  <c r="M24" i="32"/>
  <c r="M25" i="32"/>
  <c r="M26" i="32"/>
  <c r="M27" i="32"/>
  <c r="M28" i="32"/>
  <c r="M29" i="32"/>
  <c r="M30" i="32"/>
  <c r="M31" i="32"/>
  <c r="M32" i="32"/>
  <c r="M33" i="32"/>
  <c r="M34" i="32"/>
  <c r="M35" i="32"/>
  <c r="M36" i="32"/>
  <c r="M37" i="32"/>
  <c r="M38" i="32"/>
  <c r="M39" i="32"/>
  <c r="M40" i="32"/>
  <c r="M41" i="32"/>
  <c r="M42" i="32"/>
  <c r="M43" i="32"/>
  <c r="M44" i="32"/>
  <c r="M45" i="32"/>
  <c r="M46" i="32"/>
  <c r="M47" i="32"/>
  <c r="M48" i="32"/>
  <c r="M49" i="32"/>
  <c r="M50" i="32"/>
  <c r="M51" i="32"/>
  <c r="M52" i="32"/>
  <c r="M53" i="32"/>
  <c r="M54" i="32"/>
  <c r="M55" i="32"/>
  <c r="M56" i="32"/>
  <c r="M57" i="32"/>
  <c r="M58" i="32"/>
  <c r="M59" i="32"/>
  <c r="M60" i="32"/>
  <c r="M61" i="32"/>
  <c r="M62" i="32"/>
  <c r="M63" i="32"/>
  <c r="M64" i="32"/>
  <c r="M65" i="32"/>
  <c r="M66" i="32"/>
  <c r="M67" i="32"/>
  <c r="M68" i="32"/>
  <c r="M69" i="32"/>
  <c r="M70" i="32"/>
  <c r="M71" i="32"/>
  <c r="M72" i="32"/>
  <c r="M73" i="32"/>
  <c r="M74" i="32"/>
  <c r="M75" i="32"/>
  <c r="M76" i="32"/>
  <c r="M77" i="32"/>
  <c r="M78" i="32"/>
  <c r="M79" i="32"/>
  <c r="M80" i="32"/>
  <c r="M81" i="32"/>
  <c r="M82" i="32"/>
  <c r="M83" i="32"/>
  <c r="M84" i="32"/>
  <c r="M85" i="32"/>
  <c r="M86" i="32"/>
  <c r="M87" i="32"/>
  <c r="M88" i="32"/>
  <c r="M89" i="32"/>
  <c r="M90" i="32"/>
  <c r="M91" i="32"/>
  <c r="M92" i="32"/>
  <c r="M93" i="32"/>
  <c r="M94" i="32"/>
  <c r="M95" i="32"/>
  <c r="M96" i="32"/>
  <c r="M97" i="32"/>
  <c r="M98" i="32"/>
  <c r="M99" i="32"/>
  <c r="M100" i="32"/>
  <c r="M101" i="32"/>
  <c r="M102" i="32"/>
  <c r="M103" i="32"/>
  <c r="M104" i="32"/>
  <c r="M105" i="32"/>
  <c r="M106" i="32"/>
  <c r="M107" i="32"/>
  <c r="M108" i="32"/>
  <c r="M109" i="32"/>
  <c r="M110" i="32"/>
  <c r="M111" i="32"/>
  <c r="M112" i="32"/>
  <c r="M113" i="32"/>
  <c r="M114" i="32"/>
  <c r="M115" i="32"/>
  <c r="M116" i="32"/>
  <c r="M117" i="32"/>
  <c r="M118" i="32"/>
  <c r="M119" i="32"/>
  <c r="M120" i="32"/>
  <c r="M121" i="32"/>
  <c r="M122" i="32"/>
  <c r="M123" i="32"/>
  <c r="M124" i="32"/>
  <c r="M125" i="32"/>
  <c r="M126" i="32"/>
  <c r="M127" i="32"/>
  <c r="M128" i="32"/>
  <c r="M129" i="32"/>
  <c r="M130" i="32"/>
  <c r="M131" i="32"/>
  <c r="M132" i="32"/>
  <c r="M133" i="32"/>
  <c r="M134" i="32"/>
  <c r="M135" i="32"/>
  <c r="M136" i="32"/>
  <c r="M137" i="32"/>
  <c r="M138" i="32"/>
  <c r="M139" i="32"/>
  <c r="M140" i="32"/>
  <c r="M141" i="32"/>
  <c r="M142" i="32"/>
  <c r="M143" i="32"/>
  <c r="M144" i="32"/>
  <c r="M145" i="32"/>
  <c r="M146" i="32"/>
  <c r="M147" i="32"/>
  <c r="M148" i="32"/>
  <c r="M149" i="32"/>
  <c r="M150" i="32"/>
  <c r="M151" i="32"/>
  <c r="M152" i="32"/>
  <c r="M153" i="32"/>
  <c r="M154" i="32"/>
  <c r="M155" i="32"/>
  <c r="M156" i="32"/>
  <c r="M157" i="32"/>
  <c r="M158" i="32"/>
  <c r="M159" i="32"/>
  <c r="M160" i="32"/>
  <c r="M161" i="32"/>
  <c r="M162" i="32"/>
  <c r="M163" i="32"/>
  <c r="M164" i="32"/>
  <c r="M165" i="32"/>
  <c r="M166" i="32"/>
  <c r="M167" i="32"/>
  <c r="M168" i="32"/>
  <c r="M169" i="32"/>
  <c r="M170" i="32"/>
  <c r="M171" i="32"/>
  <c r="M172" i="32"/>
  <c r="M173" i="32"/>
  <c r="M174" i="32"/>
  <c r="M175" i="32"/>
  <c r="M176" i="32"/>
  <c r="M177" i="32"/>
  <c r="M178" i="32"/>
  <c r="M179" i="32"/>
  <c r="M180" i="32"/>
  <c r="M181" i="32"/>
  <c r="M182" i="32"/>
  <c r="M183" i="32"/>
  <c r="M184" i="32"/>
  <c r="M185" i="32"/>
  <c r="M186" i="32"/>
  <c r="M187" i="32"/>
  <c r="M188" i="32"/>
  <c r="M189" i="32"/>
  <c r="M190" i="32"/>
  <c r="M191" i="32"/>
  <c r="M192" i="32"/>
  <c r="M193" i="32"/>
  <c r="M194" i="32"/>
  <c r="M195" i="32"/>
  <c r="M196" i="32"/>
  <c r="M197" i="32"/>
  <c r="M198" i="32"/>
  <c r="M199" i="32"/>
  <c r="M200" i="32"/>
  <c r="M201" i="32"/>
  <c r="M202" i="32"/>
  <c r="M203" i="32"/>
  <c r="M204" i="32"/>
  <c r="M205" i="32"/>
  <c r="M206" i="32"/>
  <c r="M207" i="32"/>
  <c r="M208" i="32"/>
  <c r="M209" i="32"/>
  <c r="M210" i="32"/>
  <c r="M211" i="32"/>
  <c r="M212" i="32"/>
  <c r="M213" i="32"/>
  <c r="M214" i="32"/>
  <c r="M215" i="32"/>
  <c r="M216" i="32"/>
  <c r="M217" i="32"/>
  <c r="M218" i="32"/>
  <c r="M219" i="32"/>
  <c r="M220" i="32"/>
  <c r="M221" i="32"/>
  <c r="M222" i="32"/>
  <c r="M223" i="32"/>
  <c r="M224" i="32"/>
  <c r="M225" i="32"/>
  <c r="M226" i="32"/>
  <c r="M227" i="32"/>
  <c r="M228" i="32"/>
  <c r="M229" i="32"/>
  <c r="M230" i="32"/>
  <c r="M231" i="32"/>
  <c r="M232" i="32"/>
  <c r="M233" i="32"/>
  <c r="M234" i="32"/>
  <c r="M235" i="32"/>
  <c r="M236" i="32"/>
  <c r="M237" i="32"/>
  <c r="M238" i="32"/>
  <c r="M239" i="32"/>
  <c r="M240" i="32"/>
  <c r="M241" i="32"/>
  <c r="M242" i="32"/>
  <c r="M243" i="32"/>
  <c r="M244" i="32"/>
  <c r="M245" i="32"/>
  <c r="M246" i="32"/>
  <c r="M247" i="32"/>
  <c r="M248" i="32"/>
  <c r="M249" i="32"/>
  <c r="M250" i="32"/>
  <c r="M251" i="32"/>
  <c r="M252" i="32"/>
  <c r="M253" i="32"/>
  <c r="M254" i="32"/>
  <c r="M255" i="32"/>
  <c r="M256" i="32"/>
  <c r="M257" i="32"/>
  <c r="M258" i="32"/>
  <c r="M259" i="32"/>
  <c r="M260" i="32"/>
  <c r="M261" i="32"/>
  <c r="M262" i="32"/>
  <c r="M263" i="32"/>
  <c r="M264" i="32"/>
  <c r="M265" i="32"/>
  <c r="M266" i="32"/>
  <c r="M267" i="32"/>
  <c r="M268" i="32"/>
  <c r="M269" i="32"/>
  <c r="M270" i="32"/>
  <c r="M271" i="32"/>
  <c r="M272" i="32"/>
  <c r="M273" i="32"/>
  <c r="M274" i="32"/>
  <c r="M275" i="32"/>
  <c r="M276" i="32"/>
  <c r="M277" i="32"/>
  <c r="M278" i="32"/>
  <c r="M279" i="32"/>
  <c r="M280" i="32"/>
  <c r="M281" i="32"/>
  <c r="M282" i="32"/>
  <c r="M283" i="32"/>
  <c r="M284" i="32"/>
  <c r="M285" i="32"/>
  <c r="M286" i="32"/>
  <c r="M287" i="32"/>
  <c r="M288" i="32"/>
  <c r="M289" i="32"/>
  <c r="M290" i="32"/>
  <c r="M291" i="32"/>
  <c r="M292" i="32"/>
  <c r="M293" i="32"/>
  <c r="M294" i="32"/>
  <c r="M295" i="32"/>
  <c r="M296" i="32"/>
  <c r="M297" i="32"/>
  <c r="M298" i="32"/>
  <c r="M299" i="32"/>
  <c r="M300" i="32"/>
  <c r="M301" i="32"/>
  <c r="M302" i="32"/>
  <c r="M303" i="32"/>
  <c r="M304" i="32"/>
  <c r="M305" i="32"/>
  <c r="M306" i="32"/>
  <c r="M307" i="32"/>
  <c r="M308" i="32"/>
  <c r="M309" i="32"/>
  <c r="M310" i="32"/>
  <c r="M311" i="32"/>
  <c r="M312" i="32"/>
  <c r="M313" i="32"/>
  <c r="M314" i="32"/>
  <c r="M315" i="32"/>
  <c r="M316" i="32"/>
  <c r="M317" i="32"/>
  <c r="M318" i="32"/>
  <c r="M319" i="32"/>
  <c r="M320" i="32"/>
  <c r="M321" i="32"/>
  <c r="M322" i="32"/>
  <c r="M323" i="32"/>
  <c r="M324" i="32"/>
  <c r="M325" i="32"/>
  <c r="M326" i="32"/>
  <c r="M327" i="32"/>
  <c r="M328" i="32"/>
  <c r="M329" i="32"/>
  <c r="M330" i="32"/>
  <c r="M331" i="32"/>
  <c r="M332" i="32"/>
  <c r="M333" i="32"/>
  <c r="M334" i="32"/>
  <c r="M335" i="32"/>
  <c r="M336" i="32"/>
  <c r="M337" i="32"/>
  <c r="M338" i="32"/>
  <c r="M339" i="32"/>
  <c r="M340" i="32"/>
  <c r="M341" i="32"/>
  <c r="M342" i="32"/>
  <c r="M343" i="32"/>
  <c r="M344" i="32"/>
  <c r="M345" i="32"/>
  <c r="M346" i="32"/>
  <c r="M347" i="32"/>
  <c r="M348" i="32"/>
  <c r="M349" i="32"/>
  <c r="M350" i="32"/>
  <c r="M351" i="32"/>
  <c r="M352" i="32"/>
  <c r="M353" i="32"/>
  <c r="M354" i="32"/>
  <c r="M355" i="32"/>
  <c r="M356" i="32"/>
  <c r="M357" i="32"/>
  <c r="M358" i="32"/>
  <c r="M359" i="32"/>
  <c r="M360" i="32"/>
  <c r="M361" i="32"/>
  <c r="M362" i="32"/>
  <c r="M363" i="32"/>
  <c r="M364" i="32"/>
  <c r="M365" i="32"/>
  <c r="M366" i="32"/>
  <c r="M367" i="32"/>
  <c r="M368" i="32"/>
  <c r="M369" i="32"/>
  <c r="M370" i="32"/>
  <c r="M371" i="32"/>
  <c r="M372" i="32"/>
  <c r="M373" i="32"/>
  <c r="M374" i="32"/>
  <c r="M375" i="32"/>
  <c r="M376" i="32"/>
  <c r="M377" i="32"/>
  <c r="M378" i="32"/>
  <c r="M379" i="32"/>
  <c r="M380" i="32"/>
  <c r="M381" i="32"/>
  <c r="M382" i="32"/>
  <c r="M383" i="32"/>
  <c r="M384" i="32"/>
  <c r="M385" i="32"/>
  <c r="M386" i="32"/>
  <c r="M387" i="32"/>
  <c r="M388" i="32"/>
  <c r="M389" i="32"/>
  <c r="M390" i="32"/>
  <c r="M391" i="32"/>
  <c r="M392" i="32"/>
  <c r="M393" i="32"/>
  <c r="M394" i="32"/>
  <c r="M395" i="32"/>
  <c r="M396" i="32"/>
  <c r="M397" i="32"/>
  <c r="M398" i="32"/>
  <c r="M399" i="32"/>
  <c r="M400" i="32"/>
  <c r="M401" i="32"/>
  <c r="M402" i="32"/>
  <c r="M403" i="32"/>
  <c r="M404" i="32"/>
  <c r="M405" i="32"/>
  <c r="M406" i="32"/>
  <c r="M407" i="32"/>
  <c r="M408" i="32"/>
  <c r="M409" i="32"/>
  <c r="M410" i="32"/>
  <c r="M411" i="32"/>
  <c r="M412" i="32"/>
  <c r="M413" i="32"/>
  <c r="M414" i="32"/>
  <c r="M415" i="32"/>
  <c r="M416" i="32"/>
  <c r="M417" i="32"/>
  <c r="M418" i="32"/>
  <c r="M419" i="32"/>
  <c r="M420" i="32"/>
  <c r="M421" i="32"/>
  <c r="M422" i="32"/>
  <c r="M423" i="32"/>
  <c r="M424" i="32"/>
  <c r="M425" i="32"/>
  <c r="M426" i="32"/>
  <c r="M427" i="32"/>
  <c r="M428" i="32"/>
  <c r="M429" i="32"/>
  <c r="M430" i="32"/>
  <c r="M431" i="32"/>
  <c r="M432" i="32"/>
  <c r="M433" i="32"/>
  <c r="M434" i="32"/>
  <c r="M435" i="32"/>
  <c r="M436" i="32"/>
  <c r="M437" i="32"/>
  <c r="M438" i="32"/>
  <c r="M439" i="32"/>
  <c r="M440" i="32"/>
  <c r="M441" i="32"/>
  <c r="M442" i="32"/>
  <c r="M443" i="32"/>
  <c r="M444" i="32"/>
  <c r="M445" i="32"/>
  <c r="M446" i="32"/>
  <c r="M447" i="32"/>
  <c r="M448" i="32"/>
  <c r="M449" i="32"/>
  <c r="M450" i="32"/>
  <c r="M451" i="32"/>
  <c r="M452" i="32"/>
  <c r="M453" i="32"/>
  <c r="M454" i="32"/>
  <c r="M455" i="32"/>
  <c r="M456" i="32"/>
  <c r="M457" i="32"/>
  <c r="M458" i="32"/>
  <c r="M459" i="32"/>
  <c r="M460" i="32"/>
  <c r="M461" i="32"/>
  <c r="M462" i="32"/>
  <c r="M463" i="32"/>
  <c r="M464" i="32"/>
  <c r="M465" i="32"/>
  <c r="M466" i="32"/>
  <c r="M467" i="32"/>
  <c r="M468" i="32"/>
  <c r="M469" i="32"/>
  <c r="M470" i="32"/>
  <c r="M471" i="32"/>
  <c r="M472" i="32"/>
  <c r="M473" i="32"/>
  <c r="M474" i="32"/>
  <c r="M475" i="32"/>
  <c r="M476" i="32"/>
  <c r="M477" i="32"/>
  <c r="M478" i="32"/>
  <c r="M479" i="32"/>
  <c r="M480" i="32"/>
  <c r="M481" i="32"/>
  <c r="M482" i="32"/>
  <c r="M483" i="32"/>
  <c r="M484" i="32"/>
  <c r="M485" i="32"/>
  <c r="M486" i="32"/>
  <c r="M487" i="32"/>
  <c r="M488" i="32"/>
  <c r="M489" i="32"/>
  <c r="M490" i="32"/>
  <c r="M491" i="32"/>
  <c r="M492" i="32"/>
  <c r="M493" i="32"/>
  <c r="M494" i="32"/>
  <c r="M495" i="32"/>
  <c r="M496" i="32"/>
  <c r="M497" i="32"/>
  <c r="M498" i="32"/>
  <c r="M499" i="32"/>
  <c r="M500" i="32"/>
  <c r="M501" i="32"/>
  <c r="M502" i="32"/>
  <c r="M503" i="32"/>
  <c r="M504" i="32"/>
  <c r="M505" i="32"/>
  <c r="M506" i="32"/>
  <c r="M507" i="32"/>
  <c r="M508" i="32"/>
  <c r="M509" i="32"/>
  <c r="M510" i="32"/>
  <c r="M511" i="32"/>
  <c r="M512" i="32"/>
  <c r="M513" i="32"/>
  <c r="M514" i="32"/>
  <c r="M515" i="32"/>
  <c r="M516" i="32"/>
  <c r="M517" i="32"/>
  <c r="M518" i="32"/>
  <c r="M519" i="32"/>
  <c r="M520" i="32"/>
  <c r="M521" i="32"/>
  <c r="M522" i="32"/>
  <c r="M523" i="32"/>
  <c r="M524" i="32"/>
  <c r="M525" i="32"/>
  <c r="M526" i="32"/>
  <c r="M527" i="32"/>
  <c r="M528" i="32"/>
  <c r="M529" i="32"/>
  <c r="M530" i="32"/>
  <c r="M531" i="32"/>
  <c r="M532" i="32"/>
  <c r="M533" i="32"/>
  <c r="M534" i="32"/>
  <c r="M535" i="32"/>
  <c r="M536" i="32"/>
  <c r="M537" i="32"/>
  <c r="M538" i="32"/>
  <c r="M539" i="32"/>
  <c r="M540" i="32"/>
  <c r="M541" i="32"/>
  <c r="M542" i="32"/>
  <c r="M543" i="32"/>
  <c r="M544" i="32"/>
  <c r="M545" i="32"/>
  <c r="M546" i="32"/>
  <c r="M547" i="32"/>
  <c r="M548" i="32"/>
  <c r="M549" i="32"/>
  <c r="M550" i="32"/>
  <c r="M551" i="32"/>
  <c r="M552" i="32"/>
  <c r="M553" i="32"/>
  <c r="M554" i="32"/>
  <c r="M555" i="32"/>
  <c r="M556" i="32"/>
  <c r="M557" i="32"/>
  <c r="M558" i="32"/>
  <c r="M559" i="32"/>
  <c r="M560" i="32"/>
  <c r="M561" i="32"/>
  <c r="M562" i="32"/>
  <c r="M563" i="32"/>
  <c r="M564" i="32"/>
  <c r="M565" i="32"/>
  <c r="M566" i="32"/>
  <c r="M567" i="32"/>
  <c r="M568" i="32"/>
  <c r="M569" i="32"/>
  <c r="M570" i="32"/>
  <c r="M571" i="32"/>
  <c r="M572" i="32"/>
  <c r="M573" i="32"/>
  <c r="M574" i="32"/>
  <c r="M575" i="32"/>
  <c r="M576" i="32"/>
  <c r="M577" i="32"/>
  <c r="M578" i="32"/>
  <c r="M579" i="32"/>
  <c r="M580" i="32"/>
  <c r="M581" i="32"/>
  <c r="M582" i="32"/>
  <c r="M583" i="32"/>
  <c r="M584" i="32"/>
  <c r="M585" i="32"/>
  <c r="M586" i="32"/>
  <c r="M587" i="32"/>
  <c r="M588" i="32"/>
  <c r="M589" i="32"/>
  <c r="M590" i="32"/>
  <c r="M591" i="32"/>
  <c r="M592" i="32"/>
  <c r="M593" i="32"/>
  <c r="M594" i="32"/>
  <c r="M595" i="32"/>
  <c r="M596" i="32"/>
  <c r="M597" i="32"/>
  <c r="M598" i="32"/>
  <c r="M599" i="32"/>
  <c r="M600" i="32"/>
  <c r="M601" i="32"/>
  <c r="M602" i="32"/>
  <c r="M603" i="32"/>
  <c r="M604" i="32"/>
  <c r="M605" i="32"/>
  <c r="M606" i="32"/>
  <c r="M607" i="32"/>
  <c r="M608" i="32"/>
  <c r="M609" i="32"/>
  <c r="M610" i="32"/>
  <c r="M611" i="32"/>
  <c r="M612" i="32"/>
  <c r="M613" i="32"/>
  <c r="M614" i="32"/>
  <c r="M615" i="32"/>
  <c r="M616" i="32"/>
  <c r="M617" i="32"/>
  <c r="M618" i="32"/>
  <c r="M619" i="32"/>
  <c r="M620" i="32"/>
  <c r="M621" i="32"/>
  <c r="M622" i="32"/>
  <c r="M623" i="32"/>
  <c r="M624" i="32"/>
  <c r="M625" i="32"/>
  <c r="M626" i="32"/>
  <c r="M627" i="32"/>
  <c r="M628" i="32"/>
  <c r="M629" i="32"/>
  <c r="M630" i="32"/>
  <c r="M631" i="32"/>
  <c r="M632" i="32"/>
  <c r="M633" i="32"/>
  <c r="M2" i="31"/>
  <c r="M3" i="31"/>
  <c r="M4" i="31"/>
  <c r="M5" i="31"/>
  <c r="M6" i="31"/>
  <c r="M7" i="31"/>
  <c r="M8" i="31"/>
  <c r="M9" i="31"/>
  <c r="M10" i="31"/>
  <c r="M11" i="31"/>
  <c r="M12" i="31"/>
  <c r="M13" i="31"/>
  <c r="M14" i="31"/>
  <c r="M15" i="31"/>
  <c r="M16" i="31"/>
  <c r="M17" i="31"/>
  <c r="M18" i="31"/>
  <c r="M19" i="31"/>
  <c r="M20" i="31"/>
  <c r="M21" i="31"/>
  <c r="M22" i="31"/>
  <c r="M23" i="31"/>
  <c r="M24" i="31"/>
  <c r="M25" i="31"/>
  <c r="M26" i="31"/>
  <c r="M27" i="3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42" i="31"/>
  <c r="M43" i="31"/>
  <c r="M44" i="31"/>
  <c r="M45" i="31"/>
  <c r="M46" i="31"/>
  <c r="M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M62" i="31"/>
  <c r="M63" i="31"/>
  <c r="M64" i="31"/>
  <c r="M65" i="31"/>
  <c r="M66" i="31"/>
  <c r="M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M82" i="31"/>
  <c r="M83" i="31"/>
  <c r="M84" i="31"/>
  <c r="M85" i="31"/>
  <c r="M86" i="31"/>
  <c r="M87" i="31"/>
  <c r="M88" i="31"/>
  <c r="M89" i="31"/>
  <c r="M90" i="31"/>
  <c r="M91" i="31"/>
  <c r="M92" i="31"/>
  <c r="M93" i="31"/>
  <c r="M94" i="31"/>
  <c r="M95" i="31"/>
  <c r="M96" i="31"/>
  <c r="M97" i="31"/>
  <c r="M98" i="31"/>
  <c r="M99" i="31"/>
  <c r="M100" i="31"/>
  <c r="M101" i="31"/>
  <c r="M102" i="31"/>
  <c r="M103" i="31"/>
  <c r="M104" i="31"/>
  <c r="M105" i="31"/>
  <c r="M106" i="31"/>
  <c r="M107" i="31"/>
  <c r="M108" i="31"/>
  <c r="M109" i="31"/>
  <c r="M110" i="31"/>
  <c r="M111" i="31"/>
  <c r="M112" i="31"/>
  <c r="M113" i="31"/>
  <c r="M114" i="31"/>
  <c r="M115" i="31"/>
  <c r="M116" i="31"/>
  <c r="M117" i="31"/>
  <c r="M118" i="31"/>
  <c r="M119" i="31"/>
  <c r="M120" i="31"/>
  <c r="M121" i="31"/>
  <c r="M122" i="31"/>
  <c r="M123" i="31"/>
  <c r="M124" i="31"/>
  <c r="M125" i="31"/>
  <c r="M126" i="31"/>
  <c r="M127" i="31"/>
  <c r="M128" i="31"/>
  <c r="M129" i="31"/>
  <c r="M130" i="31"/>
  <c r="M131" i="31"/>
  <c r="M132" i="31"/>
  <c r="M133" i="31"/>
  <c r="M134" i="31"/>
  <c r="M135" i="31"/>
  <c r="M136" i="31"/>
  <c r="M137" i="31"/>
  <c r="M138" i="31"/>
  <c r="M139" i="31"/>
  <c r="M140" i="31"/>
  <c r="M141" i="31"/>
  <c r="M142" i="31"/>
  <c r="M143" i="31"/>
  <c r="M144" i="31"/>
  <c r="M145" i="31"/>
  <c r="M146" i="31"/>
  <c r="M147" i="31"/>
  <c r="M148" i="31"/>
  <c r="M149" i="31"/>
  <c r="M150" i="31"/>
  <c r="M151" i="31"/>
  <c r="M152" i="31"/>
  <c r="M153" i="31"/>
  <c r="M154" i="31"/>
  <c r="M155" i="31"/>
  <c r="M156" i="31"/>
  <c r="M157" i="31"/>
  <c r="M158" i="31"/>
  <c r="M159" i="31"/>
  <c r="M160" i="31"/>
  <c r="M161" i="31"/>
  <c r="M162" i="31"/>
  <c r="M163" i="31"/>
  <c r="M164" i="31"/>
  <c r="M165" i="31"/>
  <c r="M166" i="31"/>
  <c r="M167" i="31"/>
  <c r="M168" i="31"/>
  <c r="M169" i="31"/>
  <c r="M170" i="31"/>
  <c r="M171" i="31"/>
  <c r="M172" i="31"/>
  <c r="M173" i="31"/>
  <c r="M174" i="31"/>
  <c r="M175" i="31"/>
  <c r="M176" i="31"/>
  <c r="M177" i="31"/>
  <c r="M178" i="31"/>
  <c r="M179" i="31"/>
  <c r="M180" i="31"/>
  <c r="M181" i="31"/>
  <c r="M182" i="31"/>
  <c r="M183" i="31"/>
  <c r="M184" i="31"/>
  <c r="M185" i="31"/>
  <c r="M186" i="31"/>
  <c r="M187" i="31"/>
  <c r="M188" i="31"/>
  <c r="M189" i="31"/>
  <c r="M190" i="31"/>
  <c r="M191" i="31"/>
  <c r="M192" i="31"/>
  <c r="M193" i="31"/>
  <c r="M194" i="31"/>
  <c r="M195" i="31"/>
  <c r="M196" i="31"/>
  <c r="M197" i="31"/>
  <c r="M198" i="31"/>
  <c r="M199" i="31"/>
  <c r="M200" i="31"/>
  <c r="M201" i="31"/>
  <c r="M202" i="31"/>
  <c r="M203" i="31"/>
  <c r="M204" i="31"/>
  <c r="M205" i="31"/>
  <c r="M206" i="31"/>
  <c r="M207" i="31"/>
  <c r="M208" i="31"/>
  <c r="M209" i="31"/>
  <c r="M210" i="31"/>
  <c r="M211" i="31"/>
  <c r="M212" i="31"/>
  <c r="M213" i="31"/>
  <c r="M214" i="31"/>
  <c r="M215" i="31"/>
  <c r="M216" i="31"/>
  <c r="M217" i="31"/>
  <c r="M218" i="31"/>
  <c r="M219" i="31"/>
  <c r="M220" i="31"/>
  <c r="M221" i="31"/>
  <c r="M222" i="31"/>
  <c r="M223" i="31"/>
  <c r="M224" i="31"/>
  <c r="M225" i="31"/>
  <c r="M226" i="31"/>
  <c r="M227" i="31"/>
  <c r="M228" i="31"/>
  <c r="M229" i="31"/>
  <c r="M230" i="31"/>
  <c r="M231" i="31"/>
  <c r="M232" i="31"/>
  <c r="M233" i="31"/>
  <c r="M234" i="31"/>
  <c r="M235" i="31"/>
  <c r="M236" i="31"/>
  <c r="M237" i="31"/>
  <c r="M238" i="31"/>
  <c r="M239" i="31"/>
  <c r="M240" i="31"/>
  <c r="M241" i="31"/>
  <c r="M242" i="31"/>
  <c r="M243" i="31"/>
  <c r="M244" i="31"/>
  <c r="M245" i="31"/>
  <c r="M246" i="31"/>
  <c r="M247" i="31"/>
  <c r="M248" i="31"/>
  <c r="M249" i="31"/>
  <c r="M250" i="31"/>
  <c r="M251" i="31"/>
  <c r="M252" i="31"/>
  <c r="M253" i="31"/>
  <c r="M254" i="31"/>
  <c r="M255" i="31"/>
  <c r="M256" i="31"/>
  <c r="M257" i="31"/>
  <c r="M258" i="31"/>
  <c r="M259" i="31"/>
  <c r="M260" i="31"/>
  <c r="M261" i="31"/>
  <c r="M262" i="31"/>
  <c r="M263" i="31"/>
  <c r="M264" i="31"/>
  <c r="M265" i="31"/>
  <c r="M266" i="31"/>
  <c r="M267" i="31"/>
  <c r="M268" i="31"/>
  <c r="M269" i="31"/>
  <c r="M270" i="31"/>
  <c r="M271" i="31"/>
  <c r="M272" i="31"/>
  <c r="M273" i="31"/>
  <c r="M274" i="31"/>
  <c r="M275" i="31"/>
  <c r="M276" i="31"/>
  <c r="M277" i="31"/>
  <c r="M278" i="31"/>
  <c r="M279" i="31"/>
  <c r="M280" i="31"/>
  <c r="M281" i="31"/>
  <c r="M282" i="31"/>
  <c r="M283" i="31"/>
  <c r="M284" i="31"/>
  <c r="M285" i="31"/>
  <c r="M286" i="31"/>
  <c r="M287" i="31"/>
  <c r="M288" i="31"/>
  <c r="M289" i="31"/>
  <c r="M290" i="31"/>
  <c r="M291" i="31"/>
  <c r="M292" i="31"/>
  <c r="M293" i="31"/>
  <c r="M294" i="31"/>
  <c r="M295" i="31"/>
  <c r="M296" i="31"/>
  <c r="M297" i="31"/>
  <c r="M298" i="31"/>
  <c r="M299" i="31"/>
  <c r="M300" i="31"/>
  <c r="M301" i="31"/>
  <c r="M302" i="31"/>
  <c r="M303" i="31"/>
  <c r="M304" i="31"/>
  <c r="M305" i="31"/>
  <c r="M306" i="31"/>
  <c r="M307" i="31"/>
  <c r="M308" i="31"/>
  <c r="M309" i="31"/>
  <c r="M310" i="31"/>
  <c r="M311" i="31"/>
  <c r="M312" i="31"/>
  <c r="M313" i="31"/>
  <c r="M314" i="31"/>
  <c r="M315" i="31"/>
  <c r="M316" i="31"/>
  <c r="M317" i="31"/>
  <c r="M318" i="31"/>
  <c r="M319" i="31"/>
  <c r="M320" i="31"/>
  <c r="M321" i="31"/>
  <c r="M322" i="31"/>
  <c r="M323" i="31"/>
  <c r="M324" i="31"/>
  <c r="M325" i="31"/>
  <c r="M326" i="31"/>
  <c r="M327" i="31"/>
  <c r="M328" i="31"/>
  <c r="M329" i="31"/>
  <c r="M330" i="31"/>
  <c r="M331" i="31"/>
  <c r="M332" i="31"/>
  <c r="M333" i="31"/>
  <c r="M334" i="31"/>
  <c r="M335" i="31"/>
  <c r="M336" i="31"/>
  <c r="M337" i="31"/>
  <c r="M338" i="31"/>
  <c r="M339" i="31"/>
  <c r="M340" i="31"/>
  <c r="M341" i="31"/>
  <c r="M342" i="31"/>
  <c r="M343" i="31"/>
  <c r="M344" i="31"/>
  <c r="M345" i="31"/>
  <c r="M346" i="31"/>
  <c r="M347" i="31"/>
  <c r="M348" i="31"/>
  <c r="M349" i="31"/>
  <c r="M350" i="31"/>
  <c r="M351" i="31"/>
  <c r="M352" i="31"/>
  <c r="M353" i="31"/>
  <c r="M354" i="31"/>
  <c r="M355" i="31"/>
  <c r="M356" i="31"/>
  <c r="M357" i="31"/>
  <c r="M358" i="31"/>
  <c r="M359" i="31"/>
  <c r="M360" i="31"/>
  <c r="M361" i="31"/>
  <c r="M362" i="31"/>
  <c r="M363" i="31"/>
  <c r="M364" i="31"/>
  <c r="M365" i="31"/>
  <c r="M366" i="31"/>
  <c r="M367" i="31"/>
  <c r="M368" i="31"/>
  <c r="M369" i="31"/>
  <c r="M370" i="31"/>
  <c r="M371" i="31"/>
  <c r="M372" i="31"/>
  <c r="M373" i="31"/>
  <c r="M374" i="31"/>
  <c r="M375" i="31"/>
  <c r="M376" i="31"/>
  <c r="M377" i="31"/>
  <c r="M378" i="31"/>
  <c r="M379" i="31"/>
  <c r="M380" i="31"/>
  <c r="M381" i="31"/>
  <c r="M382" i="31"/>
  <c r="M383" i="31"/>
  <c r="M384" i="31"/>
  <c r="M385" i="31"/>
  <c r="M386" i="31"/>
  <c r="M387" i="31"/>
  <c r="M388" i="31"/>
  <c r="M389" i="31"/>
  <c r="M390" i="31"/>
  <c r="M391" i="31"/>
  <c r="M392" i="31"/>
  <c r="M393" i="31"/>
  <c r="M394" i="31"/>
  <c r="M395" i="31"/>
  <c r="M396" i="31"/>
  <c r="M397" i="31"/>
  <c r="M398" i="31"/>
  <c r="M399" i="31"/>
  <c r="M400" i="31"/>
  <c r="M401" i="31"/>
  <c r="M402" i="31"/>
  <c r="M403" i="31"/>
  <c r="M404" i="31"/>
  <c r="M405" i="31"/>
  <c r="M406" i="31"/>
  <c r="M407" i="31"/>
  <c r="M408" i="31"/>
  <c r="M409" i="31"/>
  <c r="M410" i="31"/>
  <c r="M411" i="31"/>
  <c r="M412" i="31"/>
  <c r="M413" i="31"/>
  <c r="M414" i="31"/>
  <c r="M415" i="31"/>
  <c r="M416" i="31"/>
  <c r="M417" i="31"/>
  <c r="M418" i="31"/>
  <c r="M419" i="31"/>
  <c r="M420" i="31"/>
  <c r="M421" i="31"/>
  <c r="M422" i="31"/>
  <c r="M423" i="31"/>
  <c r="M424" i="31"/>
  <c r="M425" i="31"/>
  <c r="M426" i="31"/>
  <c r="M427" i="31"/>
  <c r="M428" i="31"/>
  <c r="M429" i="31"/>
  <c r="M430" i="31"/>
  <c r="M431" i="31"/>
  <c r="M432" i="31"/>
  <c r="M433" i="31"/>
  <c r="M434" i="31"/>
  <c r="M435" i="31"/>
  <c r="M436" i="31"/>
  <c r="M437" i="31"/>
  <c r="M438" i="31"/>
  <c r="M439" i="31"/>
  <c r="M440" i="31"/>
  <c r="M441" i="31"/>
  <c r="M442" i="31"/>
  <c r="M443" i="31"/>
  <c r="M444" i="31"/>
  <c r="M445" i="31"/>
  <c r="M446" i="31"/>
  <c r="M447" i="31"/>
  <c r="M448" i="31"/>
  <c r="M449" i="31"/>
  <c r="M450" i="31"/>
  <c r="M451" i="31"/>
  <c r="M452" i="31"/>
  <c r="M453" i="31"/>
  <c r="M454" i="31"/>
  <c r="M455" i="31"/>
  <c r="M456" i="31"/>
  <c r="M457" i="31"/>
  <c r="M458" i="31"/>
  <c r="M459" i="31"/>
  <c r="M460" i="31"/>
  <c r="M461" i="31"/>
  <c r="M462" i="31"/>
  <c r="M463" i="31"/>
  <c r="M464" i="31"/>
  <c r="M465" i="31"/>
  <c r="M466" i="31"/>
  <c r="M467" i="31"/>
  <c r="M468" i="31"/>
  <c r="M469" i="31"/>
  <c r="M470" i="31"/>
  <c r="M471" i="31"/>
  <c r="M472" i="31"/>
  <c r="M473" i="31"/>
  <c r="M474" i="31"/>
  <c r="M475" i="31"/>
  <c r="M476" i="31"/>
  <c r="M477" i="31"/>
  <c r="M478" i="31"/>
  <c r="M479" i="31"/>
  <c r="M480" i="31"/>
  <c r="M481" i="31"/>
  <c r="M482" i="31"/>
  <c r="M483" i="31"/>
  <c r="M484" i="31"/>
  <c r="M485" i="31"/>
  <c r="M486" i="31"/>
  <c r="M487" i="31"/>
  <c r="M488" i="31"/>
  <c r="M489" i="31"/>
  <c r="M490" i="31"/>
  <c r="M491" i="31"/>
  <c r="M492" i="31"/>
  <c r="M493" i="31"/>
  <c r="M494" i="31"/>
  <c r="M495" i="31"/>
  <c r="M496" i="31"/>
  <c r="M497" i="31"/>
  <c r="M498" i="31"/>
  <c r="M499" i="31"/>
  <c r="M500" i="31"/>
  <c r="M501" i="31"/>
  <c r="M502" i="31"/>
  <c r="M503" i="31"/>
  <c r="M504" i="31"/>
  <c r="M505" i="31"/>
  <c r="M506" i="31"/>
  <c r="M507" i="31"/>
  <c r="M508" i="31"/>
  <c r="M509" i="31"/>
  <c r="M510" i="31"/>
  <c r="M511" i="31"/>
  <c r="M512" i="31"/>
  <c r="M513" i="31"/>
  <c r="M514" i="31"/>
  <c r="M515" i="31"/>
  <c r="M516" i="31"/>
  <c r="M517" i="31"/>
  <c r="M518" i="31"/>
  <c r="M519" i="31"/>
  <c r="M520" i="31"/>
  <c r="M521" i="31"/>
  <c r="M522" i="31"/>
  <c r="M523" i="31"/>
  <c r="M524" i="31"/>
  <c r="M525" i="31"/>
  <c r="M526" i="31"/>
  <c r="M527" i="31"/>
  <c r="M528" i="31"/>
  <c r="M529" i="31"/>
  <c r="M530" i="31"/>
  <c r="M531" i="31"/>
  <c r="M532" i="31"/>
  <c r="M533" i="31"/>
  <c r="M534" i="31"/>
  <c r="M535" i="31"/>
  <c r="M536" i="31"/>
  <c r="M537" i="31"/>
  <c r="M538" i="31"/>
  <c r="M539" i="31"/>
  <c r="M540" i="31"/>
  <c r="M541" i="31"/>
  <c r="M542" i="31"/>
  <c r="M543" i="31"/>
  <c r="M544" i="31"/>
  <c r="M545" i="31"/>
  <c r="M546" i="31"/>
  <c r="M547" i="31"/>
  <c r="M548" i="31"/>
  <c r="M549" i="31"/>
  <c r="M550" i="31"/>
  <c r="M551" i="31"/>
  <c r="M552" i="31"/>
  <c r="M553" i="31"/>
  <c r="M554" i="31"/>
  <c r="M555" i="31"/>
  <c r="M556" i="31"/>
  <c r="M557" i="31"/>
  <c r="M558" i="31"/>
  <c r="M559" i="31"/>
  <c r="M560" i="31"/>
  <c r="M561" i="31"/>
  <c r="M562" i="31"/>
  <c r="M563" i="31"/>
  <c r="M564" i="31"/>
  <c r="M565" i="31"/>
  <c r="M566" i="31"/>
  <c r="M567" i="31"/>
  <c r="M568" i="31"/>
  <c r="M569" i="31"/>
  <c r="M570" i="31"/>
  <c r="M571" i="31"/>
  <c r="M572" i="31"/>
  <c r="M573" i="31"/>
  <c r="M574" i="31"/>
  <c r="M575" i="31"/>
  <c r="M576" i="31"/>
  <c r="M577" i="31"/>
  <c r="M578" i="31"/>
  <c r="M579" i="31"/>
  <c r="M580" i="31"/>
  <c r="M581" i="31"/>
  <c r="M582" i="31"/>
  <c r="M583" i="31"/>
  <c r="M584" i="31"/>
  <c r="M585" i="31"/>
  <c r="M586" i="31"/>
  <c r="M587" i="31"/>
  <c r="M588" i="31"/>
  <c r="M589" i="31"/>
  <c r="M590" i="31"/>
  <c r="M591" i="31"/>
  <c r="M592" i="31"/>
  <c r="M593" i="31"/>
  <c r="M594" i="31"/>
  <c r="M595" i="31"/>
  <c r="M596" i="31"/>
  <c r="M597" i="31"/>
  <c r="M598" i="31"/>
  <c r="M599" i="31"/>
  <c r="M600" i="31"/>
  <c r="M601" i="31"/>
  <c r="M602" i="31"/>
  <c r="M603" i="31"/>
  <c r="M604" i="31"/>
  <c r="M605" i="31"/>
  <c r="M606" i="31"/>
  <c r="M607" i="31"/>
  <c r="M608" i="31"/>
  <c r="M609" i="31"/>
  <c r="M610" i="31"/>
  <c r="M611" i="31"/>
  <c r="M612" i="31"/>
  <c r="M613" i="31"/>
  <c r="M614" i="31"/>
  <c r="M615" i="31"/>
  <c r="M2" i="30"/>
  <c r="M3" i="30"/>
  <c r="M4" i="30"/>
  <c r="M5" i="30"/>
  <c r="M6" i="30"/>
  <c r="M7" i="30"/>
  <c r="M8" i="30"/>
  <c r="M9" i="30"/>
  <c r="M10" i="30"/>
  <c r="M11" i="30"/>
  <c r="M12" i="30"/>
  <c r="M13" i="30"/>
  <c r="M14" i="30"/>
  <c r="M15" i="30"/>
  <c r="M16" i="30"/>
  <c r="M17" i="30"/>
  <c r="M18" i="30"/>
  <c r="M19" i="30"/>
  <c r="M20" i="30"/>
  <c r="M21" i="30"/>
  <c r="M22" i="30"/>
  <c r="M23" i="30"/>
  <c r="M24" i="30"/>
  <c r="M25" i="30"/>
  <c r="M26" i="30"/>
  <c r="M27" i="30"/>
  <c r="M28" i="30"/>
  <c r="M29" i="30"/>
  <c r="M30" i="30"/>
  <c r="M31" i="30"/>
  <c r="M32" i="30"/>
  <c r="M33" i="30"/>
  <c r="M34" i="30"/>
  <c r="M35" i="30"/>
  <c r="M36" i="30"/>
  <c r="M37" i="30"/>
  <c r="M38" i="30"/>
  <c r="M39" i="30"/>
  <c r="M40" i="30"/>
  <c r="M41" i="30"/>
  <c r="M42" i="30"/>
  <c r="M43" i="30"/>
  <c r="M44" i="30"/>
  <c r="M45" i="30"/>
  <c r="M46" i="30"/>
  <c r="M47" i="30"/>
  <c r="M48" i="30"/>
  <c r="M49" i="30"/>
  <c r="M50" i="30"/>
  <c r="M51" i="30"/>
  <c r="M52" i="30"/>
  <c r="M53" i="30"/>
  <c r="M54" i="30"/>
  <c r="M55" i="30"/>
  <c r="M56" i="30"/>
  <c r="M57" i="30"/>
  <c r="M58" i="30"/>
  <c r="M59" i="30"/>
  <c r="M60" i="30"/>
  <c r="M61" i="30"/>
  <c r="M62" i="30"/>
  <c r="M63" i="30"/>
  <c r="M64" i="30"/>
  <c r="M65" i="30"/>
  <c r="M66" i="30"/>
  <c r="M67" i="30"/>
  <c r="M68" i="30"/>
  <c r="M69" i="30"/>
  <c r="M70" i="30"/>
  <c r="M71" i="30"/>
  <c r="M72" i="30"/>
  <c r="M73" i="30"/>
  <c r="M74" i="30"/>
  <c r="M75" i="30"/>
  <c r="M76" i="30"/>
  <c r="M77" i="30"/>
  <c r="M78" i="30"/>
  <c r="M79" i="30"/>
  <c r="M80" i="30"/>
  <c r="M81" i="30"/>
  <c r="M82" i="30"/>
  <c r="M83" i="30"/>
  <c r="M84" i="30"/>
  <c r="M85" i="30"/>
  <c r="M86" i="30"/>
  <c r="M87" i="30"/>
  <c r="M88" i="30"/>
  <c r="M89" i="30"/>
  <c r="M90" i="30"/>
  <c r="M91" i="30"/>
  <c r="M92" i="30"/>
  <c r="M93" i="30"/>
  <c r="M94" i="30"/>
  <c r="M95" i="30"/>
  <c r="M96" i="30"/>
  <c r="M97" i="30"/>
  <c r="M98" i="30"/>
  <c r="M99" i="30"/>
  <c r="M100" i="30"/>
  <c r="M101" i="30"/>
  <c r="M102" i="30"/>
  <c r="M103" i="30"/>
  <c r="M104" i="30"/>
  <c r="M105" i="30"/>
  <c r="M106" i="30"/>
  <c r="M107" i="30"/>
  <c r="M108" i="30"/>
  <c r="M109" i="30"/>
  <c r="M110" i="30"/>
  <c r="M111" i="30"/>
  <c r="M112" i="30"/>
  <c r="M113" i="30"/>
  <c r="M114" i="30"/>
  <c r="M115" i="30"/>
  <c r="M116" i="30"/>
  <c r="M117" i="30"/>
  <c r="M118" i="30"/>
  <c r="M119" i="30"/>
  <c r="M120" i="30"/>
  <c r="M121" i="30"/>
  <c r="M122" i="30"/>
  <c r="M123" i="30"/>
  <c r="M124" i="30"/>
  <c r="M125" i="30"/>
  <c r="M126" i="30"/>
  <c r="M127" i="30"/>
  <c r="M128" i="30"/>
  <c r="M129" i="30"/>
  <c r="M130" i="30"/>
  <c r="M131" i="30"/>
  <c r="M132" i="30"/>
  <c r="M133" i="30"/>
  <c r="M134" i="30"/>
  <c r="M135" i="30"/>
  <c r="M136" i="30"/>
  <c r="M137" i="30"/>
  <c r="M138" i="30"/>
  <c r="M139" i="30"/>
  <c r="M140" i="30"/>
  <c r="M141" i="30"/>
  <c r="M142" i="30"/>
  <c r="M143" i="30"/>
  <c r="M144" i="30"/>
  <c r="M145" i="30"/>
  <c r="M146" i="30"/>
  <c r="M147" i="30"/>
  <c r="M148" i="30"/>
  <c r="M149" i="30"/>
  <c r="M150" i="30"/>
  <c r="M151" i="30"/>
  <c r="M152" i="30"/>
  <c r="M153" i="30"/>
  <c r="M154" i="30"/>
  <c r="M155" i="30"/>
  <c r="M156" i="30"/>
  <c r="M157" i="30"/>
  <c r="M158" i="30"/>
  <c r="M159" i="30"/>
  <c r="M160" i="30"/>
  <c r="M161" i="30"/>
  <c r="M162" i="30"/>
  <c r="M163" i="30"/>
  <c r="M164" i="30"/>
  <c r="M165" i="30"/>
  <c r="M166" i="30"/>
  <c r="M167" i="30"/>
  <c r="M168" i="30"/>
  <c r="M169" i="30"/>
  <c r="M170" i="30"/>
  <c r="M171" i="30"/>
  <c r="M172" i="30"/>
  <c r="M173" i="30"/>
  <c r="M174" i="30"/>
  <c r="M175" i="30"/>
  <c r="M176" i="30"/>
  <c r="M177" i="30"/>
  <c r="M178" i="30"/>
  <c r="M179" i="30"/>
  <c r="M180" i="30"/>
  <c r="M181" i="30"/>
  <c r="M182" i="30"/>
  <c r="M183" i="30"/>
  <c r="M184" i="30"/>
  <c r="M185" i="30"/>
  <c r="M186" i="30"/>
  <c r="M187" i="30"/>
  <c r="M188" i="30"/>
  <c r="M189" i="30"/>
  <c r="M190" i="30"/>
  <c r="M191" i="30"/>
  <c r="M192" i="30"/>
  <c r="M193" i="30"/>
  <c r="M194" i="30"/>
  <c r="M195" i="30"/>
  <c r="M196" i="30"/>
  <c r="M197" i="30"/>
  <c r="M198" i="30"/>
  <c r="M199" i="30"/>
  <c r="M200" i="30"/>
  <c r="M201" i="30"/>
  <c r="M202" i="30"/>
  <c r="M203" i="30"/>
  <c r="M204" i="30"/>
  <c r="M205" i="30"/>
  <c r="M206" i="30"/>
  <c r="M207" i="30"/>
  <c r="M208" i="30"/>
  <c r="M209" i="30"/>
  <c r="M210" i="30"/>
  <c r="M211" i="30"/>
  <c r="M212" i="30"/>
  <c r="M213" i="30"/>
  <c r="M214" i="30"/>
  <c r="M215" i="30"/>
  <c r="M216" i="30"/>
  <c r="M217" i="30"/>
  <c r="M218" i="30"/>
  <c r="M219" i="30"/>
  <c r="M220" i="30"/>
  <c r="M221" i="30"/>
  <c r="M222" i="30"/>
  <c r="M223" i="30"/>
  <c r="M224" i="30"/>
  <c r="M225" i="30"/>
  <c r="M226" i="30"/>
  <c r="M227" i="30"/>
  <c r="M228" i="30"/>
  <c r="M229" i="30"/>
  <c r="M230" i="30"/>
  <c r="M231" i="30"/>
  <c r="M232" i="30"/>
  <c r="M233" i="30"/>
  <c r="M234" i="30"/>
  <c r="M235" i="30"/>
  <c r="M236" i="30"/>
  <c r="M237" i="30"/>
  <c r="M238" i="30"/>
  <c r="M239" i="30"/>
  <c r="M240" i="30"/>
  <c r="M241" i="30"/>
  <c r="M242" i="30"/>
  <c r="M243" i="30"/>
  <c r="M244" i="30"/>
  <c r="M245" i="30"/>
  <c r="M246" i="30"/>
  <c r="M247" i="30"/>
  <c r="M248" i="30"/>
  <c r="M249" i="30"/>
  <c r="M250" i="30"/>
  <c r="M251" i="30"/>
  <c r="M252" i="30"/>
  <c r="M253" i="30"/>
  <c r="M254" i="30"/>
  <c r="M255" i="30"/>
  <c r="M256" i="30"/>
  <c r="M257" i="30"/>
  <c r="M258" i="30"/>
  <c r="M259" i="30"/>
  <c r="M260" i="30"/>
  <c r="M261" i="30"/>
  <c r="M262" i="30"/>
  <c r="M263" i="30"/>
  <c r="M264" i="30"/>
  <c r="M265" i="30"/>
  <c r="M266" i="30"/>
  <c r="M267" i="30"/>
  <c r="M268" i="30"/>
  <c r="M269" i="30"/>
  <c r="M270" i="30"/>
  <c r="M271" i="30"/>
  <c r="M272" i="30"/>
  <c r="M273" i="30"/>
  <c r="M274" i="30"/>
  <c r="M275" i="30"/>
  <c r="M276" i="30"/>
  <c r="M277" i="30"/>
  <c r="M278" i="30"/>
  <c r="M279" i="30"/>
  <c r="M280" i="30"/>
  <c r="M281" i="30"/>
  <c r="M282" i="30"/>
  <c r="M283" i="30"/>
  <c r="M284" i="30"/>
  <c r="M285" i="30"/>
  <c r="M286" i="30"/>
  <c r="M287" i="30"/>
  <c r="M288" i="30"/>
  <c r="M289" i="30"/>
  <c r="M290" i="30"/>
  <c r="M291" i="30"/>
  <c r="M292" i="30"/>
  <c r="M293" i="30"/>
  <c r="M294" i="30"/>
  <c r="M295" i="30"/>
  <c r="M296" i="30"/>
  <c r="M297" i="30"/>
  <c r="M298" i="30"/>
  <c r="M299" i="30"/>
  <c r="M2" i="29"/>
  <c r="M3" i="29"/>
  <c r="M4" i="29"/>
  <c r="M5" i="29"/>
  <c r="M6" i="29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1" i="29"/>
  <c r="M112" i="29"/>
  <c r="M113" i="29"/>
  <c r="M114" i="29"/>
  <c r="M115" i="29"/>
  <c r="M116" i="29"/>
  <c r="M117" i="29"/>
  <c r="M118" i="29"/>
  <c r="M119" i="29"/>
  <c r="M120" i="29"/>
  <c r="M121" i="29"/>
  <c r="M122" i="29"/>
  <c r="M123" i="29"/>
  <c r="M124" i="29"/>
  <c r="M125" i="29"/>
  <c r="M126" i="29"/>
  <c r="M127" i="29"/>
  <c r="M128" i="29"/>
  <c r="M129" i="29"/>
  <c r="M130" i="29"/>
  <c r="M131" i="29"/>
  <c r="M132" i="29"/>
  <c r="M133" i="29"/>
  <c r="M134" i="29"/>
  <c r="M135" i="29"/>
  <c r="M136" i="29"/>
  <c r="M137" i="29"/>
  <c r="M138" i="29"/>
  <c r="M139" i="29"/>
  <c r="M140" i="29"/>
  <c r="M141" i="29"/>
  <c r="M142" i="29"/>
  <c r="M143" i="29"/>
  <c r="M144" i="29"/>
  <c r="M145" i="29"/>
  <c r="M146" i="29"/>
  <c r="M147" i="29"/>
  <c r="M148" i="29"/>
  <c r="M149" i="29"/>
  <c r="M150" i="29"/>
  <c r="M151" i="29"/>
  <c r="M152" i="29"/>
  <c r="M153" i="29"/>
  <c r="M154" i="29"/>
  <c r="M155" i="29"/>
  <c r="M156" i="29"/>
  <c r="M157" i="29"/>
  <c r="M158" i="29"/>
  <c r="M159" i="29"/>
  <c r="M160" i="29"/>
  <c r="M161" i="29"/>
  <c r="M162" i="29"/>
  <c r="M163" i="29"/>
  <c r="M164" i="29"/>
  <c r="M165" i="29"/>
  <c r="M166" i="29"/>
  <c r="M167" i="29"/>
  <c r="M168" i="29"/>
  <c r="M169" i="29"/>
  <c r="M170" i="29"/>
  <c r="M171" i="29"/>
  <c r="M172" i="29"/>
  <c r="M173" i="29"/>
  <c r="M174" i="29"/>
  <c r="M175" i="29"/>
  <c r="M176" i="29"/>
  <c r="M177" i="29"/>
  <c r="M178" i="29"/>
  <c r="M179" i="29"/>
  <c r="M180" i="29"/>
  <c r="M181" i="29"/>
  <c r="M182" i="29"/>
  <c r="M183" i="29"/>
  <c r="M184" i="29"/>
  <c r="M185" i="29"/>
  <c r="M186" i="29"/>
  <c r="M187" i="29"/>
  <c r="M188" i="29"/>
  <c r="M189" i="29"/>
  <c r="M190" i="29"/>
  <c r="M191" i="29"/>
  <c r="M192" i="29"/>
  <c r="M193" i="29"/>
  <c r="M194" i="29"/>
  <c r="M195" i="29"/>
  <c r="M196" i="29"/>
  <c r="M197" i="29"/>
  <c r="M198" i="29"/>
  <c r="M199" i="29"/>
  <c r="M200" i="29"/>
  <c r="M201" i="29"/>
  <c r="M202" i="29"/>
  <c r="M203" i="29"/>
  <c r="M204" i="29"/>
  <c r="M205" i="29"/>
  <c r="M206" i="29"/>
  <c r="M207" i="29"/>
  <c r="M208" i="29"/>
  <c r="M209" i="29"/>
  <c r="M210" i="29"/>
  <c r="M211" i="29"/>
  <c r="M212" i="29"/>
  <c r="M213" i="29"/>
  <c r="M214" i="29"/>
  <c r="M215" i="29"/>
  <c r="M216" i="29"/>
  <c r="M217" i="29"/>
  <c r="M218" i="29"/>
  <c r="M219" i="29"/>
  <c r="M220" i="29"/>
  <c r="M221" i="29"/>
  <c r="M222" i="29"/>
  <c r="M223" i="29"/>
  <c r="M224" i="29"/>
  <c r="M225" i="29"/>
  <c r="M226" i="29"/>
  <c r="M227" i="29"/>
  <c r="M228" i="29"/>
  <c r="M229" i="29"/>
  <c r="M230" i="29"/>
  <c r="M231" i="29"/>
  <c r="M232" i="29"/>
  <c r="M233" i="29"/>
  <c r="M234" i="29"/>
  <c r="M235" i="29"/>
  <c r="M236" i="29"/>
  <c r="M237" i="29"/>
  <c r="M238" i="29"/>
  <c r="M239" i="29"/>
  <c r="M240" i="29"/>
  <c r="M241" i="29"/>
  <c r="M242" i="29"/>
  <c r="M243" i="29"/>
  <c r="M244" i="29"/>
  <c r="M245" i="29"/>
  <c r="M246" i="29"/>
  <c r="M247" i="29"/>
  <c r="M248" i="29"/>
  <c r="M249" i="29"/>
  <c r="M250" i="29"/>
  <c r="M251" i="29"/>
  <c r="M252" i="29"/>
  <c r="M253" i="29"/>
  <c r="M254" i="29"/>
  <c r="M255" i="29"/>
  <c r="M256" i="29"/>
  <c r="M257" i="29"/>
  <c r="M258" i="29"/>
  <c r="M259" i="29"/>
  <c r="M260" i="29"/>
  <c r="M261" i="29"/>
  <c r="M262" i="29"/>
  <c r="M263" i="29"/>
  <c r="M264" i="29"/>
  <c r="M265" i="29"/>
  <c r="M266" i="29"/>
  <c r="M267" i="29"/>
  <c r="M268" i="29"/>
  <c r="M269" i="29"/>
  <c r="M270" i="29"/>
  <c r="M271" i="29"/>
  <c r="M272" i="29"/>
  <c r="M273" i="29"/>
  <c r="M274" i="29"/>
  <c r="M275" i="29"/>
  <c r="M276" i="29"/>
  <c r="M277" i="29"/>
  <c r="M278" i="29"/>
  <c r="M279" i="29"/>
  <c r="M280" i="29"/>
  <c r="M281" i="29"/>
  <c r="M282" i="29"/>
  <c r="M283" i="29"/>
  <c r="M284" i="29"/>
  <c r="M285" i="29"/>
  <c r="M286" i="29"/>
  <c r="M287" i="29"/>
  <c r="M288" i="29"/>
  <c r="M289" i="29"/>
  <c r="M290" i="29"/>
  <c r="M291" i="29"/>
  <c r="M292" i="29"/>
  <c r="M293" i="29"/>
  <c r="M294" i="29"/>
  <c r="M295" i="29"/>
  <c r="M296" i="29"/>
  <c r="M297" i="29"/>
  <c r="M298" i="29"/>
  <c r="M299" i="29"/>
  <c r="M300" i="29"/>
  <c r="M301" i="29"/>
  <c r="M302" i="29"/>
  <c r="M303" i="29"/>
  <c r="M304" i="29"/>
  <c r="M305" i="29"/>
  <c r="M306" i="29"/>
  <c r="M307" i="29"/>
  <c r="M308" i="29"/>
  <c r="M309" i="29"/>
  <c r="M310" i="29"/>
  <c r="M311" i="29"/>
  <c r="M312" i="29"/>
  <c r="M313" i="29"/>
  <c r="M314" i="29"/>
  <c r="M315" i="29"/>
  <c r="M316" i="29"/>
  <c r="M317" i="29"/>
  <c r="M318" i="29"/>
  <c r="M319" i="29"/>
  <c r="M320" i="29"/>
  <c r="M321" i="29"/>
  <c r="M322" i="29"/>
  <c r="M323" i="29"/>
  <c r="M324" i="29"/>
  <c r="M325" i="29"/>
  <c r="M326" i="29"/>
  <c r="M327" i="29"/>
  <c r="M328" i="29"/>
  <c r="M2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" i="28"/>
  <c r="M3" i="28"/>
  <c r="M4" i="28"/>
  <c r="M5" i="28"/>
  <c r="M6" i="28"/>
  <c r="M7" i="28"/>
  <c r="M8" i="28"/>
  <c r="M9" i="28"/>
  <c r="M10" i="28"/>
  <c r="M11" i="28"/>
  <c r="M12" i="28"/>
  <c r="M13" i="28"/>
  <c r="M14" i="28"/>
  <c r="M15" i="28"/>
  <c r="M16" i="28"/>
  <c r="M17" i="28"/>
  <c r="M18" i="28"/>
  <c r="M19" i="28"/>
  <c r="M20" i="28"/>
  <c r="M21" i="28"/>
  <c r="M22" i="28"/>
  <c r="M23" i="28"/>
  <c r="M24" i="28"/>
  <c r="M25" i="28"/>
  <c r="M26" i="28"/>
  <c r="M27" i="28"/>
  <c r="M28" i="28"/>
  <c r="M29" i="28"/>
  <c r="M30" i="28"/>
  <c r="M31" i="28"/>
  <c r="M32" i="28"/>
  <c r="M33" i="28"/>
  <c r="M34" i="28"/>
  <c r="M35" i="28"/>
  <c r="M36" i="28"/>
  <c r="M37" i="28"/>
  <c r="M38" i="28"/>
  <c r="M39" i="28"/>
  <c r="M40" i="28"/>
  <c r="M41" i="28"/>
  <c r="M42" i="28"/>
  <c r="M43" i="28"/>
  <c r="M44" i="28"/>
  <c r="M45" i="28"/>
  <c r="M46" i="28"/>
  <c r="M47" i="28"/>
  <c r="M48" i="28"/>
  <c r="M49" i="28"/>
  <c r="M50" i="28"/>
  <c r="M51" i="28"/>
  <c r="M52" i="28"/>
  <c r="M53" i="28"/>
  <c r="M54" i="28"/>
  <c r="M55" i="28"/>
  <c r="M56" i="28"/>
  <c r="M57" i="28"/>
  <c r="M58" i="28"/>
  <c r="M59" i="28"/>
  <c r="M60" i="28"/>
  <c r="M61" i="28"/>
  <c r="M62" i="28"/>
  <c r="M63" i="28"/>
  <c r="M64" i="28"/>
  <c r="M65" i="28"/>
  <c r="M66" i="28"/>
  <c r="M67" i="28"/>
  <c r="M68" i="28"/>
  <c r="M69" i="28"/>
  <c r="M70" i="28"/>
  <c r="M71" i="28"/>
  <c r="M72" i="28"/>
  <c r="M73" i="28"/>
  <c r="M74" i="28"/>
  <c r="M75" i="28"/>
  <c r="M76" i="28"/>
  <c r="M77" i="28"/>
  <c r="M78" i="28"/>
  <c r="M79" i="28"/>
  <c r="M80" i="28"/>
  <c r="M81" i="28"/>
  <c r="M82" i="28"/>
  <c r="M83" i="28"/>
  <c r="M84" i="28"/>
  <c r="M85" i="28"/>
  <c r="M86" i="28"/>
  <c r="M87" i="28"/>
  <c r="M88" i="28"/>
  <c r="M89" i="28"/>
  <c r="M90" i="28"/>
  <c r="M91" i="28"/>
  <c r="M92" i="28"/>
  <c r="M93" i="28"/>
  <c r="M94" i="28"/>
  <c r="M95" i="28"/>
  <c r="M96" i="28"/>
  <c r="M97" i="28"/>
  <c r="M98" i="28"/>
  <c r="M99" i="28"/>
  <c r="M100" i="28"/>
  <c r="M101" i="28"/>
  <c r="M102" i="28"/>
  <c r="M103" i="28"/>
  <c r="M104" i="28"/>
  <c r="M105" i="28"/>
  <c r="M106" i="28"/>
  <c r="M107" i="28"/>
  <c r="M108" i="28"/>
  <c r="M109" i="28"/>
  <c r="M110" i="28"/>
  <c r="M111" i="28"/>
  <c r="M112" i="28"/>
  <c r="M113" i="28"/>
  <c r="M114" i="28"/>
  <c r="M115" i="28"/>
  <c r="M116" i="28"/>
  <c r="M117" i="28"/>
  <c r="M118" i="28"/>
  <c r="M119" i="28"/>
  <c r="M120" i="28"/>
  <c r="M121" i="28"/>
  <c r="M122" i="28"/>
  <c r="M123" i="28"/>
  <c r="M124" i="28"/>
  <c r="M125" i="28"/>
  <c r="M126" i="28"/>
  <c r="M127" i="28"/>
  <c r="M128" i="28"/>
  <c r="M129" i="28"/>
  <c r="M130" i="28"/>
  <c r="M131" i="28"/>
  <c r="M132" i="28"/>
  <c r="M133" i="28"/>
  <c r="M134" i="28"/>
  <c r="M135" i="28"/>
  <c r="M136" i="28"/>
  <c r="M137" i="28"/>
  <c r="M138" i="28"/>
  <c r="M139" i="28"/>
  <c r="M140" i="28"/>
  <c r="M141" i="28"/>
  <c r="M142" i="28"/>
  <c r="M143" i="28"/>
  <c r="M144" i="28"/>
  <c r="M145" i="28"/>
  <c r="M146" i="28"/>
  <c r="M147" i="28"/>
  <c r="M148" i="28"/>
  <c r="M149" i="28"/>
  <c r="M150" i="28"/>
  <c r="M151" i="28"/>
  <c r="M152" i="28"/>
  <c r="M153" i="28"/>
  <c r="M154" i="28"/>
  <c r="M155" i="28"/>
  <c r="M156" i="28"/>
  <c r="M157" i="28"/>
  <c r="M158" i="28"/>
  <c r="M159" i="28"/>
  <c r="M160" i="28"/>
  <c r="M161" i="28"/>
  <c r="M162" i="28"/>
  <c r="M163" i="28"/>
  <c r="M164" i="28"/>
  <c r="M165" i="28"/>
  <c r="M166" i="28"/>
  <c r="M167" i="28"/>
  <c r="M168" i="28"/>
  <c r="M169" i="28"/>
  <c r="M170" i="28"/>
  <c r="M171" i="28"/>
  <c r="M172" i="28"/>
  <c r="M173" i="28"/>
  <c r="M174" i="28"/>
  <c r="M175" i="28"/>
  <c r="M176" i="28"/>
  <c r="M177" i="28"/>
  <c r="M178" i="28"/>
  <c r="M179" i="28"/>
  <c r="M180" i="28"/>
  <c r="M181" i="28"/>
  <c r="M182" i="28"/>
  <c r="M183" i="28"/>
  <c r="M184" i="28"/>
  <c r="M185" i="28"/>
  <c r="M186" i="28"/>
  <c r="M187" i="28"/>
  <c r="M188" i="28"/>
  <c r="M189" i="28"/>
  <c r="M190" i="28"/>
  <c r="M191" i="28"/>
  <c r="M192" i="28"/>
  <c r="M193" i="28"/>
  <c r="M194" i="28"/>
  <c r="M195" i="28"/>
  <c r="M196" i="28"/>
  <c r="M197" i="28"/>
  <c r="M198" i="28"/>
  <c r="M199" i="28"/>
  <c r="M200" i="28"/>
  <c r="M201" i="28"/>
  <c r="M202" i="28"/>
  <c r="M203" i="28"/>
  <c r="M204" i="28"/>
  <c r="M2" i="27"/>
  <c r="M3" i="27"/>
  <c r="M4" i="27"/>
  <c r="M5" i="27"/>
  <c r="M6" i="27"/>
  <c r="M7" i="27"/>
  <c r="M8" i="27"/>
  <c r="M9" i="27"/>
  <c r="M10" i="27"/>
  <c r="M11" i="27"/>
  <c r="M12" i="27"/>
  <c r="M13" i="27"/>
  <c r="M14" i="27"/>
  <c r="M15" i="27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M30" i="27"/>
  <c r="M31" i="27"/>
  <c r="M32" i="27"/>
  <c r="M33" i="27"/>
  <c r="M34" i="27"/>
  <c r="M35" i="27"/>
  <c r="M36" i="27"/>
  <c r="M37" i="27"/>
  <c r="M38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61" i="27"/>
  <c r="M62" i="27"/>
  <c r="M63" i="27"/>
  <c r="M64" i="27"/>
  <c r="M65" i="27"/>
  <c r="M66" i="27"/>
  <c r="M67" i="27"/>
  <c r="M68" i="27"/>
  <c r="M69" i="27"/>
  <c r="M70" i="27"/>
  <c r="M71" i="27"/>
  <c r="M72" i="27"/>
  <c r="M73" i="27"/>
  <c r="M74" i="27"/>
  <c r="M75" i="27"/>
  <c r="M76" i="27"/>
  <c r="M77" i="27"/>
  <c r="M78" i="27"/>
  <c r="M79" i="27"/>
  <c r="M80" i="27"/>
  <c r="M81" i="27"/>
  <c r="M82" i="27"/>
  <c r="M83" i="27"/>
  <c r="M84" i="27"/>
  <c r="M85" i="27"/>
  <c r="M86" i="27"/>
  <c r="M87" i="27"/>
  <c r="M88" i="27"/>
  <c r="M89" i="27"/>
  <c r="M90" i="27"/>
  <c r="M91" i="27"/>
  <c r="M92" i="27"/>
  <c r="M93" i="27"/>
  <c r="M94" i="27"/>
  <c r="M95" i="27"/>
  <c r="M96" i="27"/>
  <c r="M97" i="27"/>
  <c r="M98" i="27"/>
  <c r="M99" i="27"/>
  <c r="M100" i="27"/>
  <c r="M101" i="27"/>
  <c r="M102" i="27"/>
  <c r="M103" i="27"/>
  <c r="M104" i="27"/>
  <c r="M105" i="27"/>
  <c r="M106" i="27"/>
  <c r="M107" i="27"/>
  <c r="M108" i="27"/>
  <c r="M109" i="27"/>
  <c r="M110" i="27"/>
  <c r="M111" i="27"/>
  <c r="M112" i="27"/>
  <c r="M113" i="27"/>
  <c r="M114" i="27"/>
  <c r="M115" i="27"/>
  <c r="M116" i="27"/>
  <c r="M117" i="27"/>
  <c r="M118" i="27"/>
  <c r="M119" i="27"/>
  <c r="M120" i="27"/>
  <c r="M121" i="27"/>
  <c r="M122" i="27"/>
  <c r="M123" i="27"/>
  <c r="M124" i="27"/>
  <c r="M125" i="27"/>
  <c r="M126" i="27"/>
  <c r="M127" i="27"/>
  <c r="M128" i="27"/>
  <c r="M129" i="27"/>
  <c r="M130" i="27"/>
  <c r="M131" i="27"/>
  <c r="M132" i="27"/>
  <c r="M133" i="27"/>
  <c r="M134" i="27"/>
  <c r="M135" i="27"/>
  <c r="M136" i="27"/>
  <c r="M137" i="27"/>
  <c r="M138" i="27"/>
  <c r="M139" i="27"/>
  <c r="M140" i="27"/>
  <c r="M141" i="27"/>
  <c r="M142" i="27"/>
  <c r="M143" i="27"/>
  <c r="M144" i="27"/>
  <c r="M145" i="27"/>
  <c r="M146" i="27"/>
  <c r="M147" i="27"/>
  <c r="M148" i="27"/>
  <c r="M149" i="27"/>
  <c r="M150" i="27"/>
  <c r="M151" i="27"/>
  <c r="M152" i="27"/>
  <c r="M153" i="27"/>
  <c r="M154" i="27"/>
  <c r="M155" i="27"/>
  <c r="M156" i="27"/>
  <c r="M157" i="27"/>
  <c r="M158" i="27"/>
  <c r="M159" i="27"/>
  <c r="M160" i="27"/>
  <c r="M161" i="27"/>
  <c r="M162" i="27"/>
  <c r="M163" i="27"/>
  <c r="M164" i="27"/>
  <c r="M165" i="27"/>
  <c r="M166" i="27"/>
  <c r="M167" i="27"/>
  <c r="M168" i="27"/>
  <c r="M169" i="27"/>
  <c r="M170" i="27"/>
  <c r="M171" i="27"/>
  <c r="M172" i="27"/>
  <c r="M173" i="27"/>
  <c r="M174" i="27"/>
  <c r="M175" i="27"/>
  <c r="M176" i="27"/>
  <c r="M177" i="27"/>
  <c r="M178" i="27"/>
  <c r="M179" i="27"/>
  <c r="M180" i="27"/>
  <c r="M181" i="27"/>
  <c r="M182" i="27"/>
  <c r="M183" i="27"/>
  <c r="M184" i="27"/>
  <c r="M185" i="27"/>
  <c r="M186" i="27"/>
  <c r="M187" i="27"/>
  <c r="M188" i="27"/>
  <c r="M189" i="27"/>
  <c r="M190" i="27"/>
  <c r="M191" i="27"/>
  <c r="M192" i="27"/>
  <c r="M193" i="27"/>
  <c r="M194" i="27"/>
  <c r="M195" i="27"/>
  <c r="M196" i="27"/>
  <c r="M197" i="27"/>
  <c r="M198" i="27"/>
  <c r="M199" i="27"/>
  <c r="M200" i="27"/>
  <c r="M201" i="27"/>
  <c r="M202" i="27"/>
  <c r="M203" i="27"/>
  <c r="M204" i="27"/>
  <c r="M205" i="27"/>
  <c r="M206" i="27"/>
  <c r="M207" i="27"/>
  <c r="M208" i="27"/>
  <c r="M209" i="27"/>
  <c r="M210" i="27"/>
  <c r="M211" i="27"/>
  <c r="M212" i="27"/>
  <c r="M213" i="27"/>
  <c r="M214" i="27"/>
  <c r="M215" i="27"/>
  <c r="M216" i="27"/>
  <c r="M217" i="27"/>
  <c r="M218" i="27"/>
  <c r="M219" i="27"/>
  <c r="M220" i="27"/>
  <c r="M221" i="27"/>
  <c r="M222" i="27"/>
  <c r="M223" i="27"/>
  <c r="M224" i="27"/>
  <c r="M225" i="27"/>
  <c r="M226" i="27"/>
  <c r="M227" i="27"/>
  <c r="M228" i="27"/>
  <c r="M229" i="27"/>
  <c r="M230" i="27"/>
  <c r="M231" i="27"/>
  <c r="M232" i="27"/>
  <c r="M233" i="27"/>
  <c r="M234" i="27"/>
  <c r="M235" i="27"/>
  <c r="M236" i="27"/>
  <c r="M237" i="27"/>
  <c r="M238" i="27"/>
  <c r="M239" i="27"/>
  <c r="M240" i="27"/>
  <c r="M241" i="27"/>
  <c r="M242" i="27"/>
  <c r="M243" i="27"/>
  <c r="M244" i="27"/>
  <c r="M245" i="27"/>
  <c r="M246" i="27"/>
  <c r="M247" i="27"/>
  <c r="M248" i="27"/>
  <c r="M249" i="27"/>
  <c r="M250" i="27"/>
  <c r="M251" i="27"/>
  <c r="M252" i="27"/>
  <c r="M253" i="27"/>
  <c r="M254" i="27"/>
  <c r="M255" i="27"/>
  <c r="M256" i="27"/>
  <c r="M257" i="27"/>
  <c r="M258" i="27"/>
  <c r="M259" i="27"/>
  <c r="M260" i="27"/>
  <c r="M261" i="27"/>
  <c r="M262" i="27"/>
  <c r="M263" i="27"/>
  <c r="M264" i="27"/>
  <c r="M265" i="27"/>
  <c r="M266" i="27"/>
  <c r="M267" i="27"/>
  <c r="M268" i="27"/>
  <c r="M269" i="27"/>
  <c r="M270" i="27"/>
  <c r="M271" i="27"/>
  <c r="M272" i="27"/>
  <c r="M273" i="27"/>
  <c r="M274" i="27"/>
  <c r="M275" i="27"/>
  <c r="M276" i="27"/>
  <c r="M277" i="27"/>
  <c r="M278" i="27"/>
  <c r="M279" i="27"/>
  <c r="M280" i="27"/>
  <c r="M281" i="27"/>
  <c r="M282" i="27"/>
  <c r="M283" i="27"/>
  <c r="M284" i="27"/>
  <c r="M285" i="27"/>
  <c r="M286" i="27"/>
  <c r="M287" i="27"/>
  <c r="M288" i="27"/>
  <c r="M289" i="27"/>
  <c r="M290" i="27"/>
  <c r="M291" i="27"/>
  <c r="M292" i="27"/>
  <c r="M293" i="27"/>
  <c r="M294" i="27"/>
  <c r="M295" i="27"/>
  <c r="M296" i="27"/>
  <c r="M297" i="27"/>
  <c r="M298" i="27"/>
  <c r="M299" i="27"/>
  <c r="M300" i="27"/>
  <c r="M301" i="27"/>
  <c r="M302" i="27"/>
  <c r="M303" i="27"/>
  <c r="M304" i="27"/>
  <c r="M305" i="27"/>
  <c r="M306" i="27"/>
  <c r="M307" i="27"/>
  <c r="M308" i="27"/>
  <c r="M309" i="27"/>
  <c r="M310" i="27"/>
  <c r="M311" i="27"/>
  <c r="M312" i="27"/>
  <c r="M313" i="27"/>
  <c r="M314" i="27"/>
  <c r="M315" i="27"/>
  <c r="M316" i="27"/>
  <c r="M317" i="27"/>
  <c r="M318" i="27"/>
  <c r="M319" i="27"/>
  <c r="M320" i="27"/>
  <c r="M321" i="27"/>
  <c r="M322" i="27"/>
  <c r="M323" i="27"/>
  <c r="M324" i="27"/>
  <c r="M325" i="27"/>
  <c r="M326" i="27"/>
  <c r="M327" i="27"/>
  <c r="M328" i="27"/>
  <c r="M329" i="27"/>
  <c r="M330" i="27"/>
  <c r="M331" i="27"/>
  <c r="M332" i="27"/>
  <c r="M333" i="27"/>
  <c r="M334" i="27"/>
  <c r="M335" i="27"/>
  <c r="M336" i="27"/>
  <c r="M337" i="27"/>
  <c r="M338" i="27"/>
  <c r="M339" i="27"/>
  <c r="M340" i="27"/>
  <c r="M341" i="27"/>
  <c r="M342" i="27"/>
  <c r="M343" i="27"/>
  <c r="M344" i="27"/>
  <c r="M345" i="27"/>
  <c r="M346" i="27"/>
  <c r="M347" i="27"/>
  <c r="M348" i="27"/>
  <c r="M349" i="27"/>
  <c r="M350" i="27"/>
  <c r="M351" i="27"/>
  <c r="M352" i="27"/>
  <c r="M353" i="27"/>
  <c r="M354" i="27"/>
  <c r="M355" i="27"/>
  <c r="M356" i="27"/>
  <c r="M357" i="27"/>
  <c r="M358" i="27"/>
  <c r="M359" i="27"/>
  <c r="M360" i="27"/>
  <c r="M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245" i="26"/>
  <c r="M246" i="26"/>
  <c r="M247" i="26"/>
  <c r="M248" i="26"/>
  <c r="M249" i="26"/>
  <c r="M250" i="26"/>
  <c r="M251" i="26"/>
  <c r="M252" i="26"/>
  <c r="M253" i="26"/>
  <c r="M254" i="26"/>
  <c r="M255" i="26"/>
  <c r="M256" i="26"/>
  <c r="M257" i="26"/>
  <c r="M258" i="26"/>
  <c r="M259" i="26"/>
  <c r="M260" i="26"/>
  <c r="M261" i="26"/>
  <c r="M262" i="26"/>
  <c r="M2" i="24"/>
  <c r="M3" i="24"/>
  <c r="M4" i="24"/>
  <c r="M5" i="24"/>
  <c r="M6" i="24"/>
  <c r="M7" i="24"/>
  <c r="M8" i="24"/>
  <c r="M9" i="24"/>
  <c r="M10" i="24"/>
  <c r="M11" i="24"/>
  <c r="M12" i="24"/>
  <c r="M13" i="24"/>
  <c r="M14" i="24"/>
  <c r="M15" i="24"/>
  <c r="M16" i="24"/>
  <c r="M17" i="24"/>
  <c r="M18" i="24"/>
  <c r="M19" i="24"/>
  <c r="M20" i="24"/>
  <c r="M21" i="24"/>
  <c r="M22" i="24"/>
  <c r="M23" i="24"/>
  <c r="M24" i="24"/>
  <c r="M25" i="24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M49" i="24"/>
  <c r="M50" i="24"/>
  <c r="M51" i="24"/>
  <c r="M52" i="24"/>
  <c r="M53" i="24"/>
  <c r="M54" i="24"/>
  <c r="M55" i="24"/>
  <c r="M56" i="24"/>
  <c r="M57" i="24"/>
  <c r="M58" i="24"/>
  <c r="M59" i="24"/>
  <c r="M60" i="24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M74" i="24"/>
  <c r="M75" i="24"/>
  <c r="M76" i="24"/>
  <c r="M77" i="24"/>
  <c r="M78" i="24"/>
  <c r="M79" i="24"/>
  <c r="M80" i="24"/>
  <c r="M81" i="24"/>
  <c r="M82" i="24"/>
  <c r="M83" i="24"/>
  <c r="M84" i="24"/>
  <c r="M85" i="24"/>
  <c r="M86" i="24"/>
  <c r="M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M117" i="24"/>
  <c r="M118" i="24"/>
  <c r="M119" i="24"/>
  <c r="M120" i="24"/>
  <c r="M121" i="24"/>
  <c r="M122" i="24"/>
  <c r="M123" i="24"/>
  <c r="M124" i="24"/>
  <c r="M125" i="24"/>
  <c r="M126" i="24"/>
  <c r="M127" i="24"/>
  <c r="M128" i="24"/>
  <c r="M129" i="24"/>
  <c r="M130" i="24"/>
  <c r="M131" i="24"/>
  <c r="M132" i="24"/>
  <c r="M133" i="24"/>
  <c r="M134" i="24"/>
  <c r="M135" i="24"/>
  <c r="M136" i="24"/>
  <c r="M137" i="24"/>
  <c r="M138" i="24"/>
  <c r="M139" i="24"/>
  <c r="M140" i="24"/>
  <c r="M141" i="24"/>
  <c r="M142" i="24"/>
  <c r="M143" i="24"/>
  <c r="M144" i="24"/>
  <c r="M145" i="24"/>
  <c r="M146" i="24"/>
  <c r="M147" i="24"/>
  <c r="M148" i="24"/>
  <c r="M149" i="24"/>
  <c r="M150" i="24"/>
  <c r="M151" i="24"/>
  <c r="M152" i="24"/>
  <c r="M153" i="24"/>
  <c r="M154" i="24"/>
  <c r="M155" i="24"/>
  <c r="M156" i="24"/>
  <c r="M157" i="24"/>
  <c r="M158" i="24"/>
  <c r="M159" i="24"/>
  <c r="M160" i="24"/>
  <c r="M161" i="24"/>
  <c r="M162" i="24"/>
  <c r="M163" i="24"/>
  <c r="M2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M87" i="19"/>
  <c r="M88" i="19"/>
  <c r="M89" i="19"/>
  <c r="M90" i="19"/>
  <c r="M91" i="19"/>
  <c r="M92" i="19"/>
  <c r="M93" i="19"/>
  <c r="M94" i="19"/>
  <c r="M95" i="19"/>
  <c r="M96" i="19"/>
  <c r="M97" i="19"/>
  <c r="M98" i="19"/>
  <c r="M99" i="19"/>
  <c r="M100" i="19"/>
  <c r="M101" i="19"/>
  <c r="M102" i="19"/>
  <c r="M103" i="19"/>
  <c r="M104" i="19"/>
  <c r="M105" i="19"/>
  <c r="M106" i="19"/>
  <c r="M107" i="19"/>
  <c r="M108" i="19"/>
  <c r="M109" i="19"/>
  <c r="M110" i="19"/>
  <c r="M111" i="19"/>
  <c r="M112" i="19"/>
  <c r="M113" i="19"/>
  <c r="M114" i="19"/>
  <c r="M115" i="19"/>
  <c r="M116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M130" i="19"/>
  <c r="M131" i="19"/>
  <c r="M132" i="19"/>
  <c r="M133" i="19"/>
  <c r="M134" i="19"/>
  <c r="M135" i="19"/>
  <c r="M136" i="19"/>
  <c r="M137" i="19"/>
  <c r="M138" i="19"/>
  <c r="M139" i="19"/>
  <c r="M140" i="19"/>
  <c r="M141" i="19"/>
  <c r="M142" i="19"/>
  <c r="M143" i="19"/>
  <c r="M144" i="19"/>
  <c r="M145" i="19"/>
  <c r="M146" i="19"/>
  <c r="M147" i="19"/>
  <c r="M148" i="19"/>
  <c r="M149" i="19"/>
  <c r="M150" i="19"/>
  <c r="M151" i="19"/>
  <c r="M152" i="19"/>
  <c r="M153" i="19"/>
  <c r="M154" i="19"/>
  <c r="M155" i="19"/>
  <c r="M156" i="19"/>
  <c r="M157" i="19"/>
  <c r="M158" i="19"/>
  <c r="M159" i="19"/>
  <c r="M160" i="19"/>
  <c r="M161" i="19"/>
  <c r="M162" i="19"/>
  <c r="M163" i="19"/>
  <c r="M164" i="19"/>
  <c r="M165" i="19"/>
  <c r="M166" i="19"/>
  <c r="M167" i="19"/>
  <c r="M168" i="19"/>
  <c r="M169" i="19"/>
  <c r="M170" i="19"/>
  <c r="M171" i="19"/>
  <c r="M172" i="19"/>
  <c r="M173" i="19"/>
  <c r="M174" i="19"/>
  <c r="M175" i="19"/>
  <c r="M176" i="19"/>
  <c r="M177" i="19"/>
  <c r="M178" i="19"/>
  <c r="M179" i="19"/>
  <c r="M180" i="19"/>
  <c r="M181" i="19"/>
  <c r="M182" i="19"/>
  <c r="M183" i="19"/>
  <c r="M184" i="19"/>
  <c r="M185" i="19"/>
  <c r="M186" i="19"/>
  <c r="M187" i="19"/>
  <c r="M188" i="19"/>
  <c r="M189" i="19"/>
  <c r="M190" i="19"/>
  <c r="M191" i="19"/>
  <c r="M192" i="19"/>
  <c r="M193" i="19"/>
  <c r="M194" i="19"/>
  <c r="M195" i="19"/>
  <c r="M196" i="19"/>
  <c r="M197" i="19"/>
  <c r="M198" i="19"/>
  <c r="M199" i="19"/>
  <c r="M200" i="19"/>
  <c r="M201" i="19"/>
  <c r="M202" i="19"/>
  <c r="M203" i="19"/>
  <c r="M204" i="19"/>
  <c r="M205" i="19"/>
  <c r="M206" i="19"/>
  <c r="M207" i="19"/>
  <c r="M208" i="19"/>
  <c r="M209" i="19"/>
  <c r="M210" i="19"/>
  <c r="M211" i="19"/>
  <c r="M212" i="19"/>
  <c r="M213" i="19"/>
  <c r="M214" i="19"/>
  <c r="M215" i="19"/>
  <c r="M216" i="19"/>
  <c r="M217" i="19"/>
  <c r="M218" i="19"/>
  <c r="M219" i="19"/>
  <c r="M220" i="19"/>
  <c r="M221" i="19"/>
  <c r="M222" i="19"/>
  <c r="M223" i="19"/>
  <c r="M224" i="19"/>
  <c r="M225" i="19"/>
  <c r="M226" i="19"/>
  <c r="M227" i="19"/>
  <c r="M228" i="19"/>
  <c r="M229" i="19"/>
  <c r="M230" i="19"/>
  <c r="M231" i="19"/>
  <c r="M232" i="19"/>
  <c r="M233" i="19"/>
  <c r="M234" i="19"/>
  <c r="M235" i="19"/>
  <c r="M236" i="19"/>
  <c r="M237" i="19"/>
  <c r="M238" i="19"/>
  <c r="M239" i="19"/>
  <c r="M240" i="19"/>
  <c r="M241" i="19"/>
  <c r="M242" i="19"/>
  <c r="M243" i="19"/>
  <c r="M244" i="19"/>
  <c r="M245" i="19"/>
  <c r="M246" i="19"/>
  <c r="M247" i="19"/>
  <c r="M248" i="19"/>
  <c r="M249" i="19"/>
  <c r="M250" i="19"/>
  <c r="M251" i="19"/>
  <c r="M252" i="19"/>
  <c r="M253" i="19"/>
  <c r="M254" i="19"/>
  <c r="M255" i="19"/>
  <c r="M256" i="19"/>
  <c r="M257" i="19"/>
  <c r="M258" i="19"/>
  <c r="M259" i="19"/>
  <c r="N2" i="19"/>
  <c r="N3" i="19"/>
  <c r="N4" i="19"/>
  <c r="N5" i="19"/>
  <c r="N6" i="19"/>
  <c r="N7" i="19"/>
  <c r="N8" i="19"/>
  <c r="N9" i="19"/>
  <c r="N10" i="19"/>
  <c r="N11" i="19"/>
  <c r="N12" i="19"/>
  <c r="N13" i="19"/>
  <c r="N14" i="19"/>
  <c r="N15" i="19"/>
  <c r="N16" i="19"/>
  <c r="N17" i="19"/>
  <c r="N18" i="19"/>
  <c r="N19" i="19"/>
  <c r="N20" i="19"/>
  <c r="N21" i="19"/>
  <c r="N22" i="19"/>
  <c r="N23" i="19"/>
  <c r="N24" i="19"/>
  <c r="N25" i="19"/>
  <c r="N26" i="19"/>
  <c r="N27" i="19"/>
  <c r="N28" i="19"/>
  <c r="N29" i="19"/>
  <c r="N30" i="19"/>
  <c r="N31" i="19"/>
  <c r="N32" i="19"/>
  <c r="N33" i="19"/>
  <c r="N34" i="19"/>
  <c r="N35" i="19"/>
  <c r="N36" i="19"/>
  <c r="N37" i="19"/>
  <c r="N38" i="19"/>
  <c r="N39" i="19"/>
  <c r="N40" i="19"/>
  <c r="N41" i="19"/>
  <c r="N42" i="19"/>
  <c r="N43" i="19"/>
  <c r="N44" i="19"/>
  <c r="N45" i="19"/>
  <c r="N46" i="19"/>
  <c r="N47" i="19"/>
  <c r="N48" i="19"/>
  <c r="N49" i="19"/>
  <c r="N50" i="19"/>
  <c r="N51" i="19"/>
  <c r="N52" i="19"/>
  <c r="N53" i="19"/>
  <c r="N54" i="19"/>
  <c r="N55" i="19"/>
  <c r="N56" i="19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N80" i="19"/>
  <c r="N81" i="19"/>
  <c r="N82" i="19"/>
  <c r="N83" i="19"/>
  <c r="N84" i="19"/>
  <c r="N85" i="19"/>
  <c r="N86" i="19"/>
  <c r="N87" i="19"/>
  <c r="N88" i="19"/>
  <c r="N89" i="19"/>
  <c r="N90" i="19"/>
  <c r="N91" i="19"/>
  <c r="N92" i="19"/>
  <c r="N93" i="19"/>
  <c r="N94" i="19"/>
  <c r="N95" i="19"/>
  <c r="N96" i="19"/>
  <c r="N97" i="19"/>
  <c r="N98" i="19"/>
  <c r="N99" i="19"/>
  <c r="N100" i="19"/>
  <c r="N101" i="19"/>
  <c r="N102" i="19"/>
  <c r="N103" i="19"/>
  <c r="N104" i="19"/>
  <c r="N105" i="19"/>
  <c r="N106" i="19"/>
  <c r="N107" i="19"/>
  <c r="N108" i="19"/>
  <c r="N109" i="19"/>
  <c r="N110" i="19"/>
  <c r="N111" i="19"/>
  <c r="N112" i="19"/>
  <c r="N113" i="19"/>
  <c r="N114" i="19"/>
  <c r="N115" i="19"/>
  <c r="N116" i="19"/>
  <c r="N117" i="19"/>
  <c r="N118" i="19"/>
  <c r="N119" i="19"/>
  <c r="N120" i="19"/>
  <c r="N121" i="19"/>
  <c r="N122" i="19"/>
  <c r="N123" i="19"/>
  <c r="N124" i="19"/>
  <c r="N125" i="19"/>
  <c r="N126" i="19"/>
  <c r="N127" i="19"/>
  <c r="N128" i="19"/>
  <c r="N129" i="19"/>
  <c r="N130" i="19"/>
  <c r="N131" i="19"/>
  <c r="N132" i="19"/>
  <c r="N133" i="19"/>
  <c r="N134" i="19"/>
  <c r="N135" i="19"/>
  <c r="N136" i="19"/>
  <c r="N137" i="19"/>
  <c r="N138" i="19"/>
  <c r="N139" i="19"/>
  <c r="N140" i="19"/>
  <c r="N141" i="19"/>
  <c r="N142" i="19"/>
  <c r="N143" i="19"/>
  <c r="N144" i="19"/>
  <c r="N145" i="19"/>
  <c r="N146" i="19"/>
  <c r="N147" i="19"/>
  <c r="N148" i="19"/>
  <c r="N149" i="19"/>
  <c r="N150" i="19"/>
  <c r="N151" i="19"/>
  <c r="N152" i="19"/>
  <c r="N153" i="19"/>
  <c r="N154" i="19"/>
  <c r="N155" i="19"/>
  <c r="N156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N169" i="19"/>
  <c r="N170" i="19"/>
  <c r="N171" i="19"/>
  <c r="N172" i="19"/>
  <c r="N173" i="19"/>
  <c r="N174" i="19"/>
  <c r="N175" i="19"/>
  <c r="N176" i="19"/>
  <c r="N177" i="19"/>
  <c r="N178" i="19"/>
  <c r="N179" i="19"/>
  <c r="N180" i="19"/>
  <c r="N181" i="19"/>
  <c r="N182" i="19"/>
  <c r="N183" i="19"/>
  <c r="N184" i="19"/>
  <c r="N185" i="19"/>
  <c r="N186" i="19"/>
  <c r="N187" i="19"/>
  <c r="N188" i="19"/>
  <c r="N189" i="19"/>
  <c r="N190" i="19"/>
  <c r="N191" i="19"/>
  <c r="N192" i="19"/>
  <c r="N193" i="19"/>
  <c r="N194" i="19"/>
  <c r="N195" i="19"/>
  <c r="N196" i="19"/>
  <c r="N197" i="19"/>
  <c r="N198" i="19"/>
  <c r="N199" i="19"/>
  <c r="N200" i="19"/>
  <c r="N201" i="19"/>
  <c r="N202" i="19"/>
  <c r="N203" i="19"/>
  <c r="N204" i="19"/>
  <c r="N205" i="19"/>
  <c r="N206" i="19"/>
  <c r="N207" i="19"/>
  <c r="N208" i="19"/>
  <c r="N209" i="19"/>
  <c r="N210" i="19"/>
  <c r="N211" i="19"/>
  <c r="N212" i="19"/>
  <c r="N213" i="19"/>
  <c r="N214" i="19"/>
  <c r="N215" i="19"/>
  <c r="N216" i="19"/>
  <c r="N217" i="19"/>
  <c r="N218" i="19"/>
  <c r="N219" i="19"/>
  <c r="N220" i="19"/>
  <c r="N221" i="19"/>
  <c r="N222" i="19"/>
  <c r="N223" i="19"/>
  <c r="N224" i="19"/>
  <c r="N225" i="19"/>
  <c r="N226" i="19"/>
  <c r="N227" i="19"/>
  <c r="N228" i="19"/>
  <c r="N229" i="19"/>
  <c r="N230" i="19"/>
  <c r="N231" i="19"/>
  <c r="N232" i="19"/>
  <c r="N233" i="19"/>
  <c r="N234" i="19"/>
  <c r="N235" i="19"/>
  <c r="N236" i="19"/>
  <c r="N237" i="19"/>
  <c r="N238" i="19"/>
  <c r="N239" i="19"/>
  <c r="N240" i="19"/>
  <c r="N241" i="19"/>
  <c r="N242" i="19"/>
  <c r="N243" i="19"/>
  <c r="N244" i="19"/>
  <c r="N245" i="19"/>
  <c r="N246" i="19"/>
  <c r="N247" i="19"/>
  <c r="N248" i="19"/>
  <c r="N249" i="19"/>
  <c r="N250" i="19"/>
  <c r="N251" i="19"/>
  <c r="N252" i="19"/>
  <c r="N253" i="19"/>
  <c r="N254" i="19"/>
  <c r="N255" i="19"/>
  <c r="N256" i="19"/>
  <c r="N257" i="19"/>
  <c r="N258" i="19"/>
  <c r="N259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86CCD1-8D1E-4E3F-8109-0C917374A4B7}" keepAlive="1" name="Запрос — 1011_1611_2025" description="Соединение с запросом &quot;1011_1611_2025&quot; в книге." type="5" refreshedVersion="7" background="1" saveData="1">
    <dbPr connection="Provider=Microsoft.Mashup.OleDb.1;Data Source=$Workbook$;Location=1011_1611_2025;Extended Properties=&quot;&quot;" command="SELECT * FROM [1011_1611_2025]"/>
  </connection>
  <connection id="2" xr16:uid="{7FA9F514-0639-4FEF-960B-85462853C7C6}" keepAlive="1" name="Запрос — 1011_1611_2025 (10)" description="Соединение с запросом &quot;1011_1611_2025 (10)&quot; в книге." type="5" refreshedVersion="7" background="1" saveData="1">
    <dbPr connection="Provider=Microsoft.Mashup.OleDb.1;Data Source=$Workbook$;Location=&quot;1011_1611_2025 (10)&quot;;Extended Properties=&quot;&quot;" command="SELECT * FROM [1011_1611_2025 (10)]"/>
  </connection>
  <connection id="3" xr16:uid="{23C3B9F5-64A2-4D4D-BA5C-A40D7267D3C2}" keepAlive="1" name="Запрос — 1011_1611_2025 (11)" description="Соединение с запросом &quot;1011_1611_2025 (11)&quot; в книге." type="5" refreshedVersion="7" background="1" saveData="1">
    <dbPr connection="Provider=Microsoft.Mashup.OleDb.1;Data Source=$Workbook$;Location=&quot;1011_1611_2025 (11)&quot;;Extended Properties=&quot;&quot;" command="SELECT * FROM [1011_1611_2025 (11)]"/>
  </connection>
  <connection id="4" xr16:uid="{F5A30E73-7738-4AE2-9573-F783882A2576}" keepAlive="1" name="Запрос — 1011_1611_2025 (12)" description="Соединение с запросом &quot;1011_1611_2025 (12)&quot; в книге." type="5" refreshedVersion="7" background="1" saveData="1">
    <dbPr connection="Provider=Microsoft.Mashup.OleDb.1;Data Source=$Workbook$;Location=&quot;1011_1611_2025 (12)&quot;;Extended Properties=&quot;&quot;" command="SELECT * FROM [1011_1611_2025 (12)]"/>
  </connection>
  <connection id="5" xr16:uid="{97B43C34-33F5-4AC5-B9B4-D2CDD1FD5369}" keepAlive="1" name="Запрос — 1011_1611_2025 (13)" description="Соединение с запросом &quot;1011_1611_2025 (13)&quot; в книге." type="5" refreshedVersion="7" background="1" saveData="1">
    <dbPr connection="Provider=Microsoft.Mashup.OleDb.1;Data Source=$Workbook$;Location=&quot;1011_1611_2025 (13)&quot;;Extended Properties=&quot;&quot;" command="SELECT * FROM [1011_1611_2025 (13)]"/>
  </connection>
  <connection id="6" xr16:uid="{899CA513-B41C-45AB-AD1E-899181ABD8F3}" keepAlive="1" name="Запрос — 1011_1611_2025 (15)" description="Соединение с запросом &quot;1011_1611_2025 (15)&quot; в книге." type="5" refreshedVersion="7" background="1" saveData="1">
    <dbPr connection="Provider=Microsoft.Mashup.OleDb.1;Data Source=$Workbook$;Location=&quot;1011_1611_2025 (15)&quot;;Extended Properties=&quot;&quot;" command="SELECT * FROM [1011_1611_2025 (15)]"/>
  </connection>
  <connection id="7" xr16:uid="{F8E990D4-22F4-49DF-8255-5673470C7D65}" keepAlive="1" name="Запрос — 1011_1611_2025 (16)" description="Соединение с запросом &quot;1011_1611_2025 (16)&quot; в книге." type="5" refreshedVersion="7" background="1" saveData="1">
    <dbPr connection="Provider=Microsoft.Mashup.OleDb.1;Data Source=$Workbook$;Location=&quot;1011_1611_2025 (16)&quot;;Extended Properties=&quot;&quot;" command="SELECT * FROM [1011_1611_2025 (16)]"/>
  </connection>
  <connection id="8" xr16:uid="{688E606A-51B6-46AC-993E-624E40460A35}" keepAlive="1" name="Запрос — 1011_1611_2025 (17)" description="Соединение с запросом &quot;1011_1611_2025 (17)&quot; в книге." type="5" refreshedVersion="7" background="1" saveData="1">
    <dbPr connection="Provider=Microsoft.Mashup.OleDb.1;Data Source=$Workbook$;Location=&quot;1011_1611_2025 (17)&quot;;Extended Properties=&quot;&quot;" command="SELECT * FROM [1011_1611_2025 (17)]"/>
  </connection>
  <connection id="9" xr16:uid="{D05A9080-AD7F-484E-B5A8-4E3320A524DD}" keepAlive="1" name="Запрос — 1011_1611_2025 (18)" description="Соединение с запросом &quot;1011_1611_2025 (18)&quot; в книге." type="5" refreshedVersion="7" background="1" saveData="1">
    <dbPr connection="Provider=Microsoft.Mashup.OleDb.1;Data Source=$Workbook$;Location=&quot;1011_1611_2025 (18)&quot;;Extended Properties=&quot;&quot;" command="SELECT * FROM [1011_1611_2025 (18)]"/>
  </connection>
  <connection id="10" xr16:uid="{C1FC9EF6-C9C1-416A-91FB-FC2CDE3F33C0}" keepAlive="1" name="Запрос — 1011_1611_2025 (19)" description="Соединение с запросом &quot;1011_1611_2025 (19)&quot; в книге." type="5" refreshedVersion="7" background="1" saveData="1">
    <dbPr connection="Provider=Microsoft.Mashup.OleDb.1;Data Source=$Workbook$;Location=&quot;1011_1611_2025 (19)&quot;;Extended Properties=&quot;&quot;" command="SELECT * FROM [1011_1611_2025 (19)]"/>
  </connection>
  <connection id="11" xr16:uid="{3C3022EC-CDA8-4D07-BA5C-F58BDDFAA839}" keepAlive="1" name="Запрос — 1011_1611_2025 (2)" description="Соединение с запросом &quot;1011_1611_2025 (2)&quot; в книге." type="5" refreshedVersion="7" background="1" saveData="1">
    <dbPr connection="Provider=Microsoft.Mashup.OleDb.1;Data Source=$Workbook$;Location=&quot;1011_1611_2025 (2)&quot;;Extended Properties=&quot;&quot;" command="SELECT * FROM [1011_1611_2025 (2)]"/>
  </connection>
  <connection id="12" xr16:uid="{8F4306C1-1768-4208-87B3-D49EB739ED7E}" keepAlive="1" name="Запрос — 1011_1611_2025 (3)" description="Соединение с запросом &quot;1011_1611_2025 (3)&quot; в книге." type="5" refreshedVersion="7" background="1" saveData="1">
    <dbPr connection="Provider=Microsoft.Mashup.OleDb.1;Data Source=$Workbook$;Location=&quot;1011_1611_2025 (3)&quot;;Extended Properties=&quot;&quot;" command="SELECT * FROM [1011_1611_2025 (3)]"/>
  </connection>
  <connection id="13" xr16:uid="{0126EA31-7097-4543-920C-A175A2E45ED4}" keepAlive="1" name="Запрос — 1011_1611_2025 (4)" description="Соединение с запросом &quot;1011_1611_2025 (4)&quot; в книге." type="5" refreshedVersion="7" background="1" saveData="1">
    <dbPr connection="Provider=Microsoft.Mashup.OleDb.1;Data Source=$Workbook$;Location=&quot;1011_1611_2025 (4)&quot;;Extended Properties=&quot;&quot;" command="SELECT * FROM [1011_1611_2025 (4)]"/>
  </connection>
  <connection id="14" xr16:uid="{9AF7C1BF-5C5B-4AC2-A4C2-686A4336FD86}" keepAlive="1" name="Запрос — 1011_1611_2025 (5)" description="Соединение с запросом &quot;1011_1611_2025 (5)&quot; в книге." type="5" refreshedVersion="7" background="1" saveData="1">
    <dbPr connection="Provider=Microsoft.Mashup.OleDb.1;Data Source=$Workbook$;Location=&quot;1011_1611_2025 (5)&quot;;Extended Properties=&quot;&quot;" command="SELECT * FROM [1011_1611_2025 (5)]"/>
  </connection>
  <connection id="15" xr16:uid="{681E6A55-83DF-4E7C-8B3E-E5C2DE7A6CCD}" keepAlive="1" name="Запрос — 1011_1611_2025 (6)" description="Соединение с запросом &quot;1011_1611_2025 (6)&quot; в книге." type="5" refreshedVersion="7" background="1" saveData="1">
    <dbPr connection="Provider=Microsoft.Mashup.OleDb.1;Data Source=$Workbook$;Location=&quot;1011_1611_2025 (6)&quot;;Extended Properties=&quot;&quot;" command="SELECT * FROM [1011_1611_2025 (6)]"/>
  </connection>
  <connection id="16" xr16:uid="{4F43D4AB-592B-4338-B12F-472A6D0E72FB}" keepAlive="1" name="Запрос — 1011_1611_2025 (7)" description="Соединение с запросом &quot;1011_1611_2025 (7)&quot; в книге." type="5" refreshedVersion="7" background="1" saveData="1">
    <dbPr connection="Provider=Microsoft.Mashup.OleDb.1;Data Source=$Workbook$;Location=&quot;1011_1611_2025 (7)&quot;;Extended Properties=&quot;&quot;" command="SELECT * FROM [1011_1611_2025 (7)]"/>
  </connection>
  <connection id="17" xr16:uid="{08D0216C-D588-4363-B715-1AC95D524905}" keepAlive="1" name="Запрос — 1011_1611_2025 (8)" description="Соединение с запросом &quot;1011_1611_2025 (8)&quot; в книге." type="5" refreshedVersion="7" background="1" saveData="1">
    <dbPr connection="Provider=Microsoft.Mashup.OleDb.1;Data Source=$Workbook$;Location=&quot;1011_1611_2025 (8)&quot;;Extended Properties=&quot;&quot;" command="SELECT * FROM [1011_1611_2025 (8)]"/>
  </connection>
  <connection id="18" xr16:uid="{F372C7A6-2BB5-426B-92C6-27565A9C1F68}" keepAlive="1" name="Запрос — 1011_1611_2025 (9)" description="Соединение с запросом &quot;1011_1611_2025 (9)&quot; в книге." type="5" refreshedVersion="7" background="1" saveData="1">
    <dbPr connection="Provider=Microsoft.Mashup.OleDb.1;Data Source=$Workbook$;Location=&quot;1011_1611_2025 (9)&quot;;Extended Properties=&quot;&quot;" command="SELECT * FROM [1011_1611_2025 (9)]"/>
  </connection>
  <connection id="19" xr16:uid="{7BABBF07-CA15-4B84-8314-BDC1995C7408}" keepAlive="1" name="Запрос — СпрСклад2въезд" description="Соединение с запросом &quot;СпрСклад2въезд&quot; в книге." type="5" refreshedVersion="7" background="1" saveData="1">
    <dbPr connection="Provider=Microsoft.Mashup.OleDb.1;Data Source=$Workbook$;Location=СпрСклад2въезд;Extended Properties=&quot;&quot;" command="SELECT * FROM [СпрСклад2въезд]"/>
  </connection>
  <connection id="20" xr16:uid="{A392B3A5-3169-45D0-81C0-F4E168C1179A}" keepAlive="1" name="Запрос — Таблица3" description="Соединение с запросом &quot;Таблица3&quot; в книге." type="5" refreshedVersion="7" background="1" saveData="1">
    <dbPr connection="Provider=Microsoft.Mashup.OleDb.1;Data Source=$Workbook$;Location=Таблица3;Extended Properties=&quot;&quot;" command="SELECT * FROM [Таблица3]"/>
  </connection>
  <connection id="21" xr16:uid="{9A5D1A9E-70EF-462D-8808-9C77B5B3356E}" keepAlive="1" name="Запрос — Таблица3 (2)" description="Соединение с запросом &quot;Таблица3 (2)&quot; в книге." type="5" refreshedVersion="7" background="1" saveData="1">
    <dbPr connection="Provider=Microsoft.Mashup.OleDb.1;Data Source=$Workbook$;Location=&quot;Таблица3 (2)&quot;;Extended Properties=&quot;&quot;" command="SELECT * FROM [Таблица3 (2)]"/>
  </connection>
</connections>
</file>

<file path=xl/sharedStrings.xml><?xml version="1.0" encoding="utf-8"?>
<sst xmlns="http://schemas.openxmlformats.org/spreadsheetml/2006/main" count="54703" uniqueCount="13426">
  <si>
    <t>Дата</t>
  </si>
  <si>
    <t>Время</t>
  </si>
  <si>
    <t>Событие</t>
  </si>
  <si>
    <t>Объект</t>
  </si>
  <si>
    <t>Фиксация в кадре</t>
  </si>
  <si>
    <t>Начало дня</t>
  </si>
  <si>
    <t>Конец дня</t>
  </si>
  <si>
    <t>Работа крана</t>
  </si>
  <si>
    <t>Территория</t>
  </si>
  <si>
    <t>Пиломатериалы</t>
  </si>
  <si>
    <t>Конец смены</t>
  </si>
  <si>
    <t>Работа на срубе</t>
  </si>
  <si>
    <t>Работа с бревном</t>
  </si>
  <si>
    <t>пн</t>
  </si>
  <si>
    <t>вт</t>
  </si>
  <si>
    <t>ср</t>
  </si>
  <si>
    <t>чт</t>
  </si>
  <si>
    <t>пт</t>
  </si>
  <si>
    <t>сб</t>
  </si>
  <si>
    <t>Замеры бревен сруба</t>
  </si>
  <si>
    <t>Выключение света</t>
  </si>
  <si>
    <t>Территория, работа крана</t>
  </si>
  <si>
    <t>вс</t>
  </si>
  <si>
    <t>RelativePath</t>
  </si>
  <si>
    <t>Folder Path</t>
  </si>
  <si>
    <t>Name</t>
  </si>
  <si>
    <t>E33149364_6_20251110T115231Z.jpg</t>
  </si>
  <si>
    <t>E33149364_6_20251110T120047Z.jpg</t>
  </si>
  <si>
    <t>E33149364_6_20251110T120052Z.jpg</t>
  </si>
  <si>
    <t>E33149364_6_20251110T122835Z.jpg</t>
  </si>
  <si>
    <t>E33149364_6_20251110T134029Z.jpg</t>
  </si>
  <si>
    <t>E33149364_6_20251110T134540Z.jpg</t>
  </si>
  <si>
    <t>E33149364_6_20251110T143236Z.jpg</t>
  </si>
  <si>
    <t>E33149364_6_20251111T092327Z.jpg</t>
  </si>
  <si>
    <t>E33149364_6_20251111T104437Z.jpg</t>
  </si>
  <si>
    <t>E33149364_6_20251111T104712Z.jpg</t>
  </si>
  <si>
    <t>E33149364_6_20251111T104942Z.jpg</t>
  </si>
  <si>
    <t>E33149364_6_20251111T104958Z.jpg</t>
  </si>
  <si>
    <t>E33149364_6_20251111T113804Z.jpg</t>
  </si>
  <si>
    <t>E33149364_6_20251111T125226Z.jpg</t>
  </si>
  <si>
    <t>E33149364_6_20251111T154349Z.jpg</t>
  </si>
  <si>
    <t>E33149364_6_20251112T161438Z.jpg</t>
  </si>
  <si>
    <t>E33149364_6_20251112T170242Z.jpg</t>
  </si>
  <si>
    <t>Подпись</t>
  </si>
  <si>
    <t>E33149364_6_20251113T084904Z.jpg</t>
  </si>
  <si>
    <t>E33149364_6_20251113T085509Z.jpg</t>
  </si>
  <si>
    <t>E33149364_6_20251113T090456Z.jpg</t>
  </si>
  <si>
    <t>E33149364_6_20251113T090500Z.jpg</t>
  </si>
  <si>
    <t>E33149364_6_20251113T092918Z.jpg</t>
  </si>
  <si>
    <t>E33149364_6_20251113T093428Z.jpg</t>
  </si>
  <si>
    <t>E33149364_6_20251113T123446Z.jpg</t>
  </si>
  <si>
    <t>порожний</t>
  </si>
  <si>
    <t>Груз</t>
  </si>
  <si>
    <t>мешки с опилками</t>
  </si>
  <si>
    <t>Кол-во</t>
  </si>
  <si>
    <t>Погрузчик базы</t>
  </si>
  <si>
    <t>Легковой с прицепом</t>
  </si>
  <si>
    <t>Примечание</t>
  </si>
  <si>
    <t>доски</t>
  </si>
  <si>
    <t>груз один и тот же</t>
  </si>
  <si>
    <t>бревна</t>
  </si>
  <si>
    <t>День нед</t>
  </si>
  <si>
    <t>Выезд с территории</t>
  </si>
  <si>
    <t>Газель бортовая, синяя кабина</t>
  </si>
  <si>
    <t>Въезд на второстепенную дорогу</t>
  </si>
  <si>
    <t>красные доски, тюки</t>
  </si>
  <si>
    <t>Самосвал красный</t>
  </si>
  <si>
    <t>Погрузчик, желтый</t>
  </si>
  <si>
    <t>не видно, что находится в кузове</t>
  </si>
  <si>
    <t>земля</t>
  </si>
  <si>
    <t>Газель базы</t>
  </si>
  <si>
    <t>E33149364_6_20251114T084700Z.jpg</t>
  </si>
  <si>
    <t>E33149364_6_20251114T124506Z.jpg</t>
  </si>
  <si>
    <t>E33149364_6_20251114T125035Z.jpg</t>
  </si>
  <si>
    <t>E33149364_6_20251114T125414Z.jpg</t>
  </si>
  <si>
    <t>E33149364_6_20251114T125702Z.jpg</t>
  </si>
  <si>
    <t>E33149364_6_20251114T125754Z.jpg</t>
  </si>
  <si>
    <t>E33149364_6_20251114T130033Z.jpg</t>
  </si>
  <si>
    <t>E33149364_6_20251114T131318Z.jpg</t>
  </si>
  <si>
    <t>E33149364_6_20251114T131619Z.jpg</t>
  </si>
  <si>
    <t>E33149364_6_20251114T132811Z.jpg</t>
  </si>
  <si>
    <t>E33149364_6_20251114T133038Z.jpg</t>
  </si>
  <si>
    <t>E33149364_6_20251114T134227Z.jpg</t>
  </si>
  <si>
    <t>E33149364_6_20251114T134639Z.jpg</t>
  </si>
  <si>
    <t>E33149364_6_20251114T142453Z.jpg</t>
  </si>
  <si>
    <t>Выезд со второстепенной дороги</t>
  </si>
  <si>
    <t>Трактор базы</t>
  </si>
  <si>
    <t>шина</t>
  </si>
  <si>
    <t>щебень</t>
  </si>
  <si>
    <t>Задний ход, въезд на территорию</t>
  </si>
  <si>
    <t>Ссылка на фото</t>
  </si>
  <si>
    <t>Въезд на базу</t>
  </si>
  <si>
    <t>E33149364_7_20251110T092437Z.jpg</t>
  </si>
  <si>
    <t>пн 10.11.2025 — 09:24:37</t>
  </si>
  <si>
    <t>E33149364_7_20251110T092515Z.jpg</t>
  </si>
  <si>
    <t>пн 10.11.2025 — 09:25:15</t>
  </si>
  <si>
    <t>E33149364_7_20251110T100243Z.jpg</t>
  </si>
  <si>
    <t>пн 10.11.2025 — 10:02:43</t>
  </si>
  <si>
    <t>E33149364_7_20251110T103012Z.jpg</t>
  </si>
  <si>
    <t>пн 10.11.2025 — 10:30:12</t>
  </si>
  <si>
    <t>E33149364_7_20251110T103559Z.jpg</t>
  </si>
  <si>
    <t>пн 10.11.2025 — 10:35:59</t>
  </si>
  <si>
    <t>E33149364_7_20251110T104132Z.jpg</t>
  </si>
  <si>
    <t>пн 10.11.2025 — 10:41:32</t>
  </si>
  <si>
    <t>E33149364_7_20251110T105030Z.jpg</t>
  </si>
  <si>
    <t>пн 10.11.2025 — 10:50:30</t>
  </si>
  <si>
    <t>E33149364_7_20251110T105641Z.jpg</t>
  </si>
  <si>
    <t>пн 10.11.2025 — 10:56:41</t>
  </si>
  <si>
    <t>E33149364_7_20251111T075949Z.jpg</t>
  </si>
  <si>
    <t>вт 11.11.2025 — 07:59:49</t>
  </si>
  <si>
    <t>E33149364_7_20251111T082550Z.jpg</t>
  </si>
  <si>
    <t>вт 11.11.2025 — 08:25:50</t>
  </si>
  <si>
    <t>E33149364_7_20251111T105806Z.jpg</t>
  </si>
  <si>
    <t>вт 11.11.2025 — 10:58:06</t>
  </si>
  <si>
    <t>E33149364_7_20251111T143633Z.jpg</t>
  </si>
  <si>
    <t>вт 11.11.2025 — 14:36:33</t>
  </si>
  <si>
    <t>E33149364_7_20251111T144652Z.jpg</t>
  </si>
  <si>
    <t>вт 11.11.2025 — 14:46:52</t>
  </si>
  <si>
    <t>E33149364_7_20251111T145327Z.jpg</t>
  </si>
  <si>
    <t>вт 11.11.2025 — 14:53:27</t>
  </si>
  <si>
    <t>E33149364_7_20251111T150158Z.jpg</t>
  </si>
  <si>
    <t>вт 11.11.2025 — 15:01:58</t>
  </si>
  <si>
    <t>E33149364_7_20251111T155435Z.jpg</t>
  </si>
  <si>
    <t>вт 11.11.2025 — 15:54:35</t>
  </si>
  <si>
    <t>E33149364_7_20251112T182749Z.jpg</t>
  </si>
  <si>
    <t>ср 12.11.2025 — 18:27:49</t>
  </si>
  <si>
    <t>E33149364_7_20251113T081818Z.jpg</t>
  </si>
  <si>
    <t>чт 13.11.2025 — 08:18:18</t>
  </si>
  <si>
    <t>E33149364_7_20251113T090518Z.jpg</t>
  </si>
  <si>
    <t>чт 13.11.2025 — 09:05:18</t>
  </si>
  <si>
    <t>E33149364_7_20251113T162659Z.jpg</t>
  </si>
  <si>
    <t>чт 13.11.2025 — 16:26:59</t>
  </si>
  <si>
    <t>E33149364_7_20251113T162806Z.jpg</t>
  </si>
  <si>
    <t>чт 13.11.2025 — 16:28:06</t>
  </si>
  <si>
    <t>E33149364_7_20251113T170329Z.jpg</t>
  </si>
  <si>
    <t>чт 13.11.2025 — 17:03:29</t>
  </si>
  <si>
    <t>2 Пилорама поката\E33149364_7_20251110T092437Z.jpg</t>
  </si>
  <si>
    <t>2 Пилорама поката\E33149364_7_20251110T092515Z.jpg</t>
  </si>
  <si>
    <t>2 Пилорама поката\E33149364_7_20251110T100243Z.jpg</t>
  </si>
  <si>
    <t>2 Пилорама поката\E33149364_7_20251110T103012Z.jpg</t>
  </si>
  <si>
    <t>2 Пилорама поката\E33149364_7_20251110T103559Z.jpg</t>
  </si>
  <si>
    <t>2 Пилорама поката\E33149364_7_20251110T104132Z.jpg</t>
  </si>
  <si>
    <t>2 Пилорама поката\E33149364_7_20251110T105030Z.jpg</t>
  </si>
  <si>
    <t>2 Пилорама поката\E33149364_7_20251110T105641Z.jpg</t>
  </si>
  <si>
    <t>2 Пилорама поката\E33149364_7_20251111T075949Z.jpg</t>
  </si>
  <si>
    <t>2 Пилорама поката\E33149364_7_20251111T082550Z.jpg</t>
  </si>
  <si>
    <t>2 Пилорама поката\E33149364_7_20251111T105806Z.jpg</t>
  </si>
  <si>
    <t>2 Пилорама поката\E33149364_7_20251111T143633Z.jpg</t>
  </si>
  <si>
    <t>2 Пилорама поката\E33149364_7_20251111T144652Z.jpg</t>
  </si>
  <si>
    <t>2 Пилорама поката\E33149364_7_20251111T145327Z.jpg</t>
  </si>
  <si>
    <t>2 Пилорама поката\E33149364_7_20251111T150158Z.jpg</t>
  </si>
  <si>
    <t>2 Пилорама поката\E33149364_7_20251111T155435Z.jpg</t>
  </si>
  <si>
    <t>2 Пилорама поката\E33149364_7_20251112T182749Z.jpg</t>
  </si>
  <si>
    <t>2 Пилорама поката\E33149364_7_20251113T081818Z.jpg</t>
  </si>
  <si>
    <t>2 Пилорама поката\E33149364_7_20251113T090518Z.jpg</t>
  </si>
  <si>
    <t>2 Пилорама поката\E33149364_7_20251113T162659Z.jpg</t>
  </si>
  <si>
    <t>2 Пилорама поката\E33149364_7_20251113T162806Z.jpg</t>
  </si>
  <si>
    <t>2 Пилорама поката\E33149364_7_20251113T170329Z.jpg</t>
  </si>
  <si>
    <t>Доставка</t>
  </si>
  <si>
    <t>Проезд</t>
  </si>
  <si>
    <t>Трактор, проталкивание бревен внутрь ангара</t>
  </si>
  <si>
    <t>E33149364_7_20251114T093704Z.jpg</t>
  </si>
  <si>
    <t>2 Пилорама поката\E33149364_7_20251114T093704Z.jpg</t>
  </si>
  <si>
    <t>пт 14.11.2025 — 09:37:04</t>
  </si>
  <si>
    <t>E33149364_7_20251114T094515Z.jpg</t>
  </si>
  <si>
    <t>2 Пилорама поката\E33149364_7_20251114T094515Z.jpg</t>
  </si>
  <si>
    <t>пт 14.11.2025 — 09:45:15</t>
  </si>
  <si>
    <t>E33149364_7_20251114T100733Z.jpg</t>
  </si>
  <si>
    <t>2 Пилорама поката\E33149364_7_20251114T100733Z.jpg</t>
  </si>
  <si>
    <t>пт 14.11.2025 — 10:07:33</t>
  </si>
  <si>
    <t>E33149364_7_20251114T100848Z.jpg</t>
  </si>
  <si>
    <t>2 Пилорама поката\E33149364_7_20251114T100848Z.jpg</t>
  </si>
  <si>
    <t>пт 14.11.2025 — 10:08:48</t>
  </si>
  <si>
    <t>E33149364_7_20251114T113437Z.jpg</t>
  </si>
  <si>
    <t>2 Пилорама поката\E33149364_7_20251114T113437Z.jpg</t>
  </si>
  <si>
    <t>пт 14.11.2025 — 11:34:37</t>
  </si>
  <si>
    <t>E33149364_7_20251114T114744Z.jpg</t>
  </si>
  <si>
    <t>2 Пилорама поката\E33149364_7_20251114T114744Z.jpg</t>
  </si>
  <si>
    <t>пт 14.11.2025 — 11:47:44</t>
  </si>
  <si>
    <t>E33149364_7_20251114T115544Z.jpg</t>
  </si>
  <si>
    <t>2 Пилорама поката\E33149364_7_20251114T115544Z.jpg</t>
  </si>
  <si>
    <t>пт 14.11.2025 — 11:55:44</t>
  </si>
  <si>
    <t>E33149364_7_20251114T120751Z.jpg</t>
  </si>
  <si>
    <t>2 Пилорама поката\E33149364_7_20251114T120751Z.jpg</t>
  </si>
  <si>
    <t>пт 14.11.2025 — 12:07:51</t>
  </si>
  <si>
    <t>E33149364_7_20251114T122404Z.jpg</t>
  </si>
  <si>
    <t>2 Пилорама поката\E33149364_7_20251114T122404Z.jpg</t>
  </si>
  <si>
    <t>пт 14.11.2025 — 12:24:04</t>
  </si>
  <si>
    <t>E33149364_7_20251114T124241Z.jpg</t>
  </si>
  <si>
    <t>2 Пилорама поката\E33149364_7_20251114T124241Z.jpg</t>
  </si>
  <si>
    <t>пт 14.11.2025 — 12:42:41</t>
  </si>
  <si>
    <t>E33149364_7_20251114T124411Z.jpg</t>
  </si>
  <si>
    <t>2 Пилорама поката\E33149364_7_20251114T124411Z.jpg</t>
  </si>
  <si>
    <t>пт 14.11.2025 — 12:44:11</t>
  </si>
  <si>
    <t>E33149364_7_20251114T125901Z.jpg</t>
  </si>
  <si>
    <t>2 Пилорама поката\E33149364_7_20251114T125901Z.jpg</t>
  </si>
  <si>
    <t>пт 14.11.2025 — 12:59:01</t>
  </si>
  <si>
    <t>E33149364_7_20251114T174729Z.jpg</t>
  </si>
  <si>
    <t>2 Пилорама поката\E33149364_7_20251114T174729Z.jpg</t>
  </si>
  <si>
    <t>пт 14.11.2025 — 17:47:29</t>
  </si>
  <si>
    <t>отрезки бревен</t>
  </si>
  <si>
    <t>Обратный проезд</t>
  </si>
  <si>
    <t>Выезд по второстепенной дороги</t>
  </si>
  <si>
    <t>E33149364_8_20251110T082754Z.jpg</t>
  </si>
  <si>
    <t>C:\ВИДЕОНАБЛЮДЕНИЕ 10-16 ноября\3 Въезд на базу\</t>
  </si>
  <si>
    <t>пн 10.11.2025 — 08:27:54</t>
  </si>
  <si>
    <t>E33149364_8_20251110T090347Z.jpg</t>
  </si>
  <si>
    <t>пн 10.11.2025 — 09:03:47</t>
  </si>
  <si>
    <t>E33149364_8_20251110T114027Z.jpg</t>
  </si>
  <si>
    <t>пн 10.11.2025 — 11:40:27</t>
  </si>
  <si>
    <t>E33149364_8_20251110T120230Z.jpg</t>
  </si>
  <si>
    <t>пн 10.11.2025 — 12:02:30</t>
  </si>
  <si>
    <t>E33149364_8_20251110T134046Z.jpg</t>
  </si>
  <si>
    <t>пн 10.11.2025 — 13:40:46</t>
  </si>
  <si>
    <t>E33149364_8_20251110T171433Z.jpg</t>
  </si>
  <si>
    <t>пн 10.11.2025 — 17:14:33</t>
  </si>
  <si>
    <t>E33149364_8_20251111T092346Z.jpg</t>
  </si>
  <si>
    <t>вт 11.11.2025 — 09:23:46</t>
  </si>
  <si>
    <t>E33149364_8_20251111T104416Z.jpg</t>
  </si>
  <si>
    <t>вт 11.11.2025 — 10:44:16</t>
  </si>
  <si>
    <t>E33149364_8_20251111T104848Z.jpg</t>
  </si>
  <si>
    <t>вт 11.11.2025 — 10:48:48</t>
  </si>
  <si>
    <t>E33149364_8_20251111T113746Z.jpg</t>
  </si>
  <si>
    <t>вт 11.11.2025 — 11:37:46</t>
  </si>
  <si>
    <t>E33149364_8_20251111T113755Z.jpg</t>
  </si>
  <si>
    <t>вт 11.11.2025 — 11:37:55</t>
  </si>
  <si>
    <t>E33149364_8_20251111T124853Z.jpg</t>
  </si>
  <si>
    <t>вт 11.11.2025 — 12:48:53</t>
  </si>
  <si>
    <t>E33149364_8_20251111T125221Z.jpg</t>
  </si>
  <si>
    <t>вт 11.11.2025 — 12:52:21</t>
  </si>
  <si>
    <t>E33149364_8_20251111T152132Z.jpg</t>
  </si>
  <si>
    <t>вт 11.11.2025 — 15:21:32</t>
  </si>
  <si>
    <t>E33149364_8_20251112T161540Z.jpg</t>
  </si>
  <si>
    <t>ср 12.11.2025 — 16:15:40</t>
  </si>
  <si>
    <t>E33149364_8_20251112T162729Z.jpg</t>
  </si>
  <si>
    <t>ср 12.11.2025 — 16:27:29</t>
  </si>
  <si>
    <t>E33149364_8_20251112T170236Z.jpg</t>
  </si>
  <si>
    <t>ср 12.11.2025 — 17:02:36</t>
  </si>
  <si>
    <t>E33149364_8_20251112T173715Z.jpg</t>
  </si>
  <si>
    <t>ср 12.11.2025 — 17:37:15</t>
  </si>
  <si>
    <t>E33149364_8_20251113T085525Z.jpg</t>
  </si>
  <si>
    <t>чт 13.11.2025 — 08:55:25</t>
  </si>
  <si>
    <t>E33149364_8_20251113T093029Z.jpg</t>
  </si>
  <si>
    <t>чт 13.11.2025 — 09:30:29</t>
  </si>
  <si>
    <t>E33149364_8_20251113T093420Z.jpg</t>
  </si>
  <si>
    <t>чт 13.11.2025 — 09:34:20</t>
  </si>
  <si>
    <t>E33149364_8_20251113T123527Z.jpg</t>
  </si>
  <si>
    <t>чт 13.11.2025 — 12:35:27</t>
  </si>
  <si>
    <t>E33149364_8_20251113T143145Z.jpg</t>
  </si>
  <si>
    <t>чт 13.11.2025 — 14:31:45</t>
  </si>
  <si>
    <t>E33149364_8_20251113T173042Z.jpg</t>
  </si>
  <si>
    <t>чт 13.11.2025 — 17:30:42</t>
  </si>
  <si>
    <t>E33149364_8_20251114T093145Z.jpg</t>
  </si>
  <si>
    <t>пт 14.11.2025 — 09:31:45</t>
  </si>
  <si>
    <t>E33149364_8_20251114T131548Z.jpg</t>
  </si>
  <si>
    <t>пт 14.11.2025 — 13:15:48</t>
  </si>
  <si>
    <t>E33149364_8_20251114T134620Z.jpg</t>
  </si>
  <si>
    <t>пт 14.11.2025 — 13:46:20</t>
  </si>
  <si>
    <t>E33149364_8_20251114T172857Z.jpg</t>
  </si>
  <si>
    <t>пт 14.11.2025 — 17:28:57</t>
  </si>
  <si>
    <t>земля с территории</t>
  </si>
  <si>
    <t>Загрузка</t>
  </si>
  <si>
    <t>Разгрузка</t>
  </si>
  <si>
    <t>K07156189_21_20251110T082106Z.jpg</t>
  </si>
  <si>
    <t>C:\ВИДЕОНАБЛЮДЕНИЕ 10-16 ноября\4 Крыльцо офиса\</t>
  </si>
  <si>
    <t>4 Крыльцо офиса\K07156189_21_20251110T082106Z.jpg</t>
  </si>
  <si>
    <t>пн 10.11.2025 — 08:21:06</t>
  </si>
  <si>
    <t>K07156189_21_20251110T175119Z.jpg</t>
  </si>
  <si>
    <t>4 Крыльцо офиса\K07156189_21_20251110T175119Z.jpg</t>
  </si>
  <si>
    <t>пн 10.11.2025 — 17:51:19</t>
  </si>
  <si>
    <t>K07156189_21_20251111T081928Z.jpg</t>
  </si>
  <si>
    <t>4 Крыльцо офиса\K07156189_21_20251111T081928Z.jpg</t>
  </si>
  <si>
    <t>вт 11.11.2025 — 08:19:28</t>
  </si>
  <si>
    <t>K07156189_21_20251111T163704Z.jpg</t>
  </si>
  <si>
    <t>4 Крыльцо офиса\K07156189_21_20251111T163704Z.jpg</t>
  </si>
  <si>
    <t>вт 11.11.2025 — 16:37:04</t>
  </si>
  <si>
    <t>K07156189_21_20251112T122004Z.jpg</t>
  </si>
  <si>
    <t>4 Крыльцо офиса\K07156189_21_20251112T122004Z.jpg</t>
  </si>
  <si>
    <t>ср 12.11.2025 — 12:20:04</t>
  </si>
  <si>
    <t>K07156189_21_20251112T131956Z.jpg</t>
  </si>
  <si>
    <t>4 Крыльцо офиса\K07156189_21_20251112T131956Z.jpg</t>
  </si>
  <si>
    <t>ср 12.11.2025 — 13:19:56</t>
  </si>
  <si>
    <t>K07156189_21_20251112T163933Z.jpg</t>
  </si>
  <si>
    <t>4 Крыльцо офиса\K07156189_21_20251112T163933Z.jpg</t>
  </si>
  <si>
    <t>ср 12.11.2025 — 16:39:33</t>
  </si>
  <si>
    <t>K07156189_21_20251112T174210Z.jpg</t>
  </si>
  <si>
    <t>4 Крыльцо офиса\K07156189_21_20251112T174210Z.jpg</t>
  </si>
  <si>
    <t>ср 12.11.2025 — 17:42:10</t>
  </si>
  <si>
    <t>K07156189_21_20251113T081211Z.jpg</t>
  </si>
  <si>
    <t>4 Крыльцо офиса\K07156189_21_20251113T081211Z.jpg</t>
  </si>
  <si>
    <t>чт 13.11.2025 — 08:12:11</t>
  </si>
  <si>
    <t>K07156189_21_20251113T094643Z.jpg</t>
  </si>
  <si>
    <t>4 Крыльцо офиса\K07156189_21_20251113T094643Z.jpg</t>
  </si>
  <si>
    <t>чт 13.11.2025 — 09:46:43</t>
  </si>
  <si>
    <t>K07156189_21_20251113T174818Z.jpg</t>
  </si>
  <si>
    <t>4 Крыльцо офиса\K07156189_21_20251113T174818Z.jpg</t>
  </si>
  <si>
    <t>чт 13.11.2025 — 17:48:18</t>
  </si>
  <si>
    <t>K07156189_21_20251114T093319Z.jpg</t>
  </si>
  <si>
    <t>4 Крыльцо офиса\K07156189_21_20251114T093319Z.jpg</t>
  </si>
  <si>
    <t>пт 14.11.2025 — 09:33:19</t>
  </si>
  <si>
    <t>K07156189_21_20251114T174638Z.jpg</t>
  </si>
  <si>
    <t>4 Крыльцо офиса\K07156189_21_20251114T174638Z.jpg</t>
  </si>
  <si>
    <t>пт 14.11.2025 — 17:46:38</t>
  </si>
  <si>
    <t>Трактор сгребает землю</t>
  </si>
  <si>
    <t>Загрузка земли в самосвал</t>
  </si>
  <si>
    <t>K07156189_22_20251110T081209Z.jpg</t>
  </si>
  <si>
    <t>C:\ВИДЕОНАБЛЮДЕНИЕ 10-16 ноября\5 Крыльцо общага\</t>
  </si>
  <si>
    <t>5 Крыльцо общага\K07156189_22_20251110T081209Z.jpg</t>
  </si>
  <si>
    <t>пн 10.11.2025 — 08:12:09</t>
  </si>
  <si>
    <t>K07156189_22_20251110T105450Z.jpg</t>
  </si>
  <si>
    <t>5 Крыльцо общага\K07156189_22_20251110T105450Z.jpg</t>
  </si>
  <si>
    <t>пн 10.11.2025 — 10:54:50</t>
  </si>
  <si>
    <t>K07156189_22_20251110T124054Z.jpg</t>
  </si>
  <si>
    <t>5 Крыльцо общага\K07156189_22_20251110T124054Z.jpg</t>
  </si>
  <si>
    <t>пн 10.11.2025 — 12:40:54</t>
  </si>
  <si>
    <t>K07156189_22_20251110T142530Z.jpg</t>
  </si>
  <si>
    <t>5 Крыльцо общага\K07156189_22_20251110T142530Z.jpg</t>
  </si>
  <si>
    <t>пн 10.11.2025 — 14:25:30</t>
  </si>
  <si>
    <t>K07156189_22_20251110T144354Z.jpg</t>
  </si>
  <si>
    <t>5 Крыльцо общага\K07156189_22_20251110T144354Z.jpg</t>
  </si>
  <si>
    <t>пн 10.11.2025 — 14:43:54</t>
  </si>
  <si>
    <t>K07156189_22_20251110T144533Z.jpg</t>
  </si>
  <si>
    <t>5 Крыльцо общага\K07156189_22_20251110T144533Z.jpg</t>
  </si>
  <si>
    <t>пн 10.11.2025 — 14:45:33</t>
  </si>
  <si>
    <t>K07156189_22_20251110T145751Z.jpg</t>
  </si>
  <si>
    <t>5 Крыльцо общага\K07156189_22_20251110T145751Z.jpg</t>
  </si>
  <si>
    <t>пн 10.11.2025 — 14:57:51</t>
  </si>
  <si>
    <t>K07156189_22_20251110T174308Z.jpg</t>
  </si>
  <si>
    <t>5 Крыльцо общага\K07156189_22_20251110T174308Z.jpg</t>
  </si>
  <si>
    <t>пн 10.11.2025 — 17:43:08</t>
  </si>
  <si>
    <t>K07156189_22_20251111T081957Z.jpg</t>
  </si>
  <si>
    <t>5 Крыльцо общага\K07156189_22_20251111T081957Z.jpg</t>
  </si>
  <si>
    <t>вт 11.11.2025 — 08:19:57</t>
  </si>
  <si>
    <t>K07156189_22_20251111T092320Z.jpg</t>
  </si>
  <si>
    <t>5 Крыльцо общага\K07156189_22_20251111T092320Z.jpg</t>
  </si>
  <si>
    <t>вт 11.11.2025 — 09:23:20</t>
  </si>
  <si>
    <t>K07156189_22_20251111T092917Z.jpg</t>
  </si>
  <si>
    <t>5 Крыльцо общага\K07156189_22_20251111T092917Z.jpg</t>
  </si>
  <si>
    <t>вт 11.11.2025 — 09:29:17</t>
  </si>
  <si>
    <t>K07156189_22_20251111T093256Z.jpg</t>
  </si>
  <si>
    <t>5 Крыльцо общага\K07156189_22_20251111T093256Z.jpg</t>
  </si>
  <si>
    <t>вт 11.11.2025 — 09:32:56</t>
  </si>
  <si>
    <t>K07156189_22_20251111T094120Z.jpg</t>
  </si>
  <si>
    <t>5 Крыльцо общага\K07156189_22_20251111T094120Z.jpg</t>
  </si>
  <si>
    <t>вт 11.11.2025 — 09:41:20</t>
  </si>
  <si>
    <t>K07156189_22_20251111T094126Z.jpg</t>
  </si>
  <si>
    <t>5 Крыльцо общага\K07156189_22_20251111T094126Z.jpg</t>
  </si>
  <si>
    <t>вт 11.11.2025 — 09:41:26</t>
  </si>
  <si>
    <t>K07156189_22_20251111T094436Z.jpg</t>
  </si>
  <si>
    <t>5 Крыльцо общага\K07156189_22_20251111T094436Z.jpg</t>
  </si>
  <si>
    <t>вт 11.11.2025 — 09:44:36</t>
  </si>
  <si>
    <t>K07156189_22_20251111T094842Z.jpg</t>
  </si>
  <si>
    <t>5 Крыльцо общага\K07156189_22_20251111T094842Z.jpg</t>
  </si>
  <si>
    <t>вт 11.11.2025 — 09:48:42</t>
  </si>
  <si>
    <t>K07156189_22_20251111T095114Z.jpg</t>
  </si>
  <si>
    <t>5 Крыльцо общага\K07156189_22_20251111T095114Z.jpg</t>
  </si>
  <si>
    <t>вт 11.11.2025 — 09:51:14</t>
  </si>
  <si>
    <t>K07156189_22_20251111T095222Z.jpg</t>
  </si>
  <si>
    <t>5 Крыльцо общага\K07156189_22_20251111T095222Z.jpg</t>
  </si>
  <si>
    <t>вт 11.11.2025 — 09:52:22</t>
  </si>
  <si>
    <t>K07156189_22_20251111T095454Z.jpg</t>
  </si>
  <si>
    <t>5 Крыльцо общага\K07156189_22_20251111T095454Z.jpg</t>
  </si>
  <si>
    <t>вт 11.11.2025 — 09:54:54</t>
  </si>
  <si>
    <t>K07156189_22_20251111T095926Z.jpg</t>
  </si>
  <si>
    <t>5 Крыльцо общага\K07156189_22_20251111T095926Z.jpg</t>
  </si>
  <si>
    <t>вт 11.11.2025 — 09:59:26</t>
  </si>
  <si>
    <t>K07156189_22_20251111T100835Z.jpg</t>
  </si>
  <si>
    <t>5 Крыльцо общага\K07156189_22_20251111T100835Z.jpg</t>
  </si>
  <si>
    <t>вт 11.11.2025 — 10:08:35</t>
  </si>
  <si>
    <t>K07156189_22_20251111T101524Z.jpg</t>
  </si>
  <si>
    <t>5 Крыльцо общага\K07156189_22_20251111T101524Z.jpg</t>
  </si>
  <si>
    <t>вт 11.11.2025 — 10:15:24</t>
  </si>
  <si>
    <t>K07156189_22_20251111T101824Z.jpg</t>
  </si>
  <si>
    <t>5 Крыльцо общага\K07156189_22_20251111T101824Z.jpg</t>
  </si>
  <si>
    <t>вт 11.11.2025 — 10:18:24</t>
  </si>
  <si>
    <t>K07156189_22_20251111T102135Z.jpg</t>
  </si>
  <si>
    <t>5 Крыльцо общага\K07156189_22_20251111T102135Z.jpg</t>
  </si>
  <si>
    <t>вт 11.11.2025 — 10:21:35</t>
  </si>
  <si>
    <t>K07156189_22_20251111T102505Z.jpg</t>
  </si>
  <si>
    <t>5 Крыльцо общага\K07156189_22_20251111T102505Z.jpg</t>
  </si>
  <si>
    <t>вт 11.11.2025 — 10:25:05</t>
  </si>
  <si>
    <t>K07156189_22_20251111T102756Z.jpg</t>
  </si>
  <si>
    <t>5 Крыльцо общага\K07156189_22_20251111T102756Z.jpg</t>
  </si>
  <si>
    <t>вт 11.11.2025 — 10:27:56</t>
  </si>
  <si>
    <t>K07156189_22_20251111T103151Z.jpg</t>
  </si>
  <si>
    <t>5 Крыльцо общага\K07156189_22_20251111T103151Z.jpg</t>
  </si>
  <si>
    <t>вт 11.11.2025 — 10:31:51</t>
  </si>
  <si>
    <t>K07156189_22_20251111T103841Z.jpg</t>
  </si>
  <si>
    <t>5 Крыльцо общага\K07156189_22_20251111T103841Z.jpg</t>
  </si>
  <si>
    <t>вт 11.11.2025 — 10:38:41</t>
  </si>
  <si>
    <t>K07156189_22_20251111T152640Z.jpg</t>
  </si>
  <si>
    <t>5 Крыльцо общага\K07156189_22_20251111T152640Z.jpg</t>
  </si>
  <si>
    <t>вт 11.11.2025 — 15:26:40</t>
  </si>
  <si>
    <t>K07156189_22_20251112T084147Z.jpg</t>
  </si>
  <si>
    <t>5 Крыльцо общага\K07156189_22_20251112T084147Z.jpg</t>
  </si>
  <si>
    <t>ср 12.11.2025 — 08:41:47</t>
  </si>
  <si>
    <t>K07156189_22_20251112T120803Z.jpg</t>
  </si>
  <si>
    <t>5 Крыльцо общага\K07156189_22_20251112T120803Z.jpg</t>
  </si>
  <si>
    <t>ср 12.11.2025 — 12:08:03</t>
  </si>
  <si>
    <t>K07156189_22_20251112T164353Z.jpg</t>
  </si>
  <si>
    <t>5 Крыльцо общага\K07156189_22_20251112T164353Z.jpg</t>
  </si>
  <si>
    <t>ср 12.11.2025 — 16:43:53</t>
  </si>
  <si>
    <t>K07156189_22_20251113T085105Z.jpg</t>
  </si>
  <si>
    <t>5 Крыльцо общага\K07156189_22_20251113T085105Z.jpg</t>
  </si>
  <si>
    <t>чт 13.11.2025 — 08:51:05</t>
  </si>
  <si>
    <t>K07156189_22_20251113T095640Z.jpg</t>
  </si>
  <si>
    <t>5 Крыльцо общага\K07156189_22_20251113T095640Z.jpg</t>
  </si>
  <si>
    <t>чт 13.11.2025 — 09:56:40</t>
  </si>
  <si>
    <t>K07156189_22_20251113T143915Z.jpg</t>
  </si>
  <si>
    <t>5 Крыльцо общага\K07156189_22_20251113T143915Z.jpg</t>
  </si>
  <si>
    <t>чт 13.11.2025 — 14:39:15</t>
  </si>
  <si>
    <t>K07156189_22_20251113T170250Z.jpg</t>
  </si>
  <si>
    <t>5 Крыльцо общага\K07156189_22_20251113T170250Z.jpg</t>
  </si>
  <si>
    <t>чт 13.11.2025 — 17:02:50</t>
  </si>
  <si>
    <t>K07156189_22_20251114T091138Z.jpg</t>
  </si>
  <si>
    <t>5 Крыльцо общага\K07156189_22_20251114T091138Z.jpg</t>
  </si>
  <si>
    <t>пт 14.11.2025 — 09:11:38</t>
  </si>
  <si>
    <t>K07156189_22_20251114T093435Z.jpg</t>
  </si>
  <si>
    <t>5 Крыльцо общага\K07156189_22_20251114T093435Z.jpg</t>
  </si>
  <si>
    <t>пт 14.11.2025 — 09:34:35</t>
  </si>
  <si>
    <t>K07156189_22_20251114T100658Z.jpg</t>
  </si>
  <si>
    <t>5 Крыльцо общага\K07156189_22_20251114T100658Z.jpg</t>
  </si>
  <si>
    <t>пт 14.11.2025 — 10:06:58</t>
  </si>
  <si>
    <t>K07156189_22_20251114T113935Z.jpg</t>
  </si>
  <si>
    <t>5 Крыльцо общага\K07156189_22_20251114T113935Z.jpg</t>
  </si>
  <si>
    <t>пт 14.11.2025 — 11:39:35</t>
  </si>
  <si>
    <t>K07156189_22_20251114T141000Z.jpg</t>
  </si>
  <si>
    <t>5 Крыльцо общага\K07156189_22_20251114T141000Z.jpg</t>
  </si>
  <si>
    <t>пт 14.11.2025 — 14:10:00</t>
  </si>
  <si>
    <t>K07156189_22_20251114T173543Z.jpg</t>
  </si>
  <si>
    <t>5 Крыльцо общага\K07156189_22_20251114T173543Z.jpg</t>
  </si>
  <si>
    <t>пт 14.11.2025 — 17:35:43</t>
  </si>
  <si>
    <t>Перевозка бревен</t>
  </si>
  <si>
    <t>Разбираемый сруб</t>
  </si>
  <si>
    <t>Сотрудник с поленьями</t>
  </si>
  <si>
    <t>Разбор сруба</t>
  </si>
  <si>
    <t>Сруб разобран</t>
  </si>
  <si>
    <t>Погрузка поленьев в авто</t>
  </si>
  <si>
    <t>Погрузка</t>
  </si>
  <si>
    <t>Начало погрузки</t>
  </si>
  <si>
    <t>бревна со сруба</t>
  </si>
  <si>
    <t>бракованное бревно</t>
  </si>
  <si>
    <t>с другой площадки</t>
  </si>
  <si>
    <t>Окончание погрузки</t>
  </si>
  <si>
    <t>Выезд задним ходом</t>
  </si>
  <si>
    <t>Территория после загрузки</t>
  </si>
  <si>
    <t>Провоз земли трактором</t>
  </si>
  <si>
    <t>Территория, очистка места с разобранного сруба</t>
  </si>
  <si>
    <t>площадка Кран</t>
  </si>
  <si>
    <t>Территория,  самосвал выгружает землю</t>
  </si>
  <si>
    <t>Дальний план</t>
  </si>
  <si>
    <t>Территория, загрузка отрезков бревен в трактор базы</t>
  </si>
  <si>
    <t>826398429_1_20251110T090543Z.jpg</t>
  </si>
  <si>
    <t>6 Площадка 1 общага\826398429_1_20251110T090543Z.jpg</t>
  </si>
  <si>
    <t>пн 10.11.2025 — 09:05:43</t>
  </si>
  <si>
    <t>826398429_1_20251110T172429Z.jpg</t>
  </si>
  <si>
    <t>6 Площадка 1 общага\826398429_1_20251110T172429Z.jpg</t>
  </si>
  <si>
    <t>пн 10.11.2025 — 17:24:29</t>
  </si>
  <si>
    <t>826398429_1_20251111T085614Z.jpg</t>
  </si>
  <si>
    <t>6 Площадка 1 общага\826398429_1_20251111T085614Z.jpg</t>
  </si>
  <si>
    <t>вт 11.11.2025 — 08:56:14</t>
  </si>
  <si>
    <t>826398429_1_20251111T121706Z.jpg</t>
  </si>
  <si>
    <t>6 Площадка 1 общага\826398429_1_20251111T121706Z.jpg</t>
  </si>
  <si>
    <t>вт 11.11.2025 — 12:17:06</t>
  </si>
  <si>
    <t>826398429_1_20251111T121756Z.jpg</t>
  </si>
  <si>
    <t>6 Площадка 1 общага\826398429_1_20251111T121756Z.jpg</t>
  </si>
  <si>
    <t>вт 11.11.2025 — 12:17:56</t>
  </si>
  <si>
    <t>826398429_1_20251111T152752Z.jpg</t>
  </si>
  <si>
    <t>6 Площадка 1 общага\826398429_1_20251111T152752Z.jpg</t>
  </si>
  <si>
    <t>вт 11.11.2025 — 15:27:52</t>
  </si>
  <si>
    <t>826398429_1_20251112T112549Z.jpg</t>
  </si>
  <si>
    <t>6 Площадка 1 общага\826398429_1_20251112T112549Z.jpg</t>
  </si>
  <si>
    <t>ср 12.11.2025 — 11:25:49</t>
  </si>
  <si>
    <t>826398429_1_20251113T092130Z.jpg</t>
  </si>
  <si>
    <t>6 Площадка 1 общага\826398429_1_20251113T092130Z.jpg</t>
  </si>
  <si>
    <t>чт 13.11.2025 — 09:21:30</t>
  </si>
  <si>
    <t>826398429_1_20251113T170335Z.jpg</t>
  </si>
  <si>
    <t>6 Площадка 1 общага\826398429_1_20251113T170335Z.jpg</t>
  </si>
  <si>
    <t>чт 13.11.2025 — 17:03:35</t>
  </si>
  <si>
    <t>826398429_1_20251114T093518Z.jpg</t>
  </si>
  <si>
    <t>6 Площадка 1 общага\826398429_1_20251114T093518Z.jpg</t>
  </si>
  <si>
    <t>пт 14.11.2025 — 09:35:18</t>
  </si>
  <si>
    <t>826398429_1_20251114T103154Z.jpg</t>
  </si>
  <si>
    <t>6 Площадка 1 общага\826398429_1_20251114T103154Z.jpg</t>
  </si>
  <si>
    <t>пт 14.11.2025 — 10:31:54</t>
  </si>
  <si>
    <t>826398429_1_20251114T103615Z.jpg</t>
  </si>
  <si>
    <t>6 Площадка 1 общага\826398429_1_20251114T103615Z.jpg</t>
  </si>
  <si>
    <t>пт 14.11.2025 — 10:36:15</t>
  </si>
  <si>
    <t>826398429_1_20251114T120803Z.jpg</t>
  </si>
  <si>
    <t>6 Площадка 1 общага\826398429_1_20251114T120803Z.jpg</t>
  </si>
  <si>
    <t>пт 14.11.2025 — 12:08:03</t>
  </si>
  <si>
    <t>826398429_1_20251114T121441Z.jpg</t>
  </si>
  <si>
    <t>6 Площадка 1 общага\826398429_1_20251114T121441Z.jpg</t>
  </si>
  <si>
    <t>пт 14.11.2025 — 12:14:41</t>
  </si>
  <si>
    <t>826398429_1_20251114T121605Z.jpg</t>
  </si>
  <si>
    <t>6 Площадка 1 общага\826398429_1_20251114T121605Z.jpg</t>
  </si>
  <si>
    <t>пт 14.11.2025 — 12:16:05</t>
  </si>
  <si>
    <t>826398429_1_20251114T162412Z.jpg</t>
  </si>
  <si>
    <t>6 Площадка 1 общага\826398429_1_20251114T162412Z.jpg</t>
  </si>
  <si>
    <t>пт 14.11.2025 — 16:24:12</t>
  </si>
  <si>
    <t>бревно</t>
  </si>
  <si>
    <t>Территория, газель базы с досками</t>
  </si>
  <si>
    <t>мусор</t>
  </si>
  <si>
    <t>Сотрудники</t>
  </si>
  <si>
    <t>чураки</t>
  </si>
  <si>
    <t>Перенос</t>
  </si>
  <si>
    <t>старые доски</t>
  </si>
  <si>
    <t>K07156189_18_20251110T082320Z.jpg</t>
  </si>
  <si>
    <t>7 Площадка 2 бетонщики\K07156189_18_20251110T082320Z.jpg</t>
  </si>
  <si>
    <t>пн 10.11.2025 — 08:23:20</t>
  </si>
  <si>
    <t>K07156189_18_20251110T143156Z.jpg</t>
  </si>
  <si>
    <t>7 Площадка 2 бетонщики\K07156189_18_20251110T143156Z.jpg</t>
  </si>
  <si>
    <t>пн 10.11.2025 — 14:31:56</t>
  </si>
  <si>
    <t>K07156189_18_20251110T143733Z.jpg</t>
  </si>
  <si>
    <t>7 Площадка 2 бетонщики\K07156189_18_20251110T143733Z.jpg</t>
  </si>
  <si>
    <t>пн 10.11.2025 — 14:37:33</t>
  </si>
  <si>
    <t>K07156189_18_20251110T143957Z.jpg</t>
  </si>
  <si>
    <t>7 Площадка 2 бетонщики\K07156189_18_20251110T143957Z.jpg</t>
  </si>
  <si>
    <t>пн 10.11.2025 — 14:39:57</t>
  </si>
  <si>
    <t>K07156189_18_20251110T173614Z.jpg</t>
  </si>
  <si>
    <t>7 Площадка 2 бетонщики\K07156189_18_20251110T173614Z.jpg</t>
  </si>
  <si>
    <t>пн 10.11.2025 — 17:36:14</t>
  </si>
  <si>
    <t>K07156189_18_20251111T083919Z.jpg</t>
  </si>
  <si>
    <t>7 Площадка 2 бетонщики\K07156189_18_20251111T083919Z.jpg</t>
  </si>
  <si>
    <t>вт 11.11.2025 — 08:39:19</t>
  </si>
  <si>
    <t>K07156189_18_20251111T110810Z.jpg</t>
  </si>
  <si>
    <t>7 Площадка 2 бетонщики\K07156189_18_20251111T110810Z.jpg</t>
  </si>
  <si>
    <t>вт 11.11.2025 — 11:08:10</t>
  </si>
  <si>
    <t>K07156189_18_20251111T121214Z.jpg</t>
  </si>
  <si>
    <t>7 Площадка 2 бетонщики\K07156189_18_20251111T121214Z.jpg</t>
  </si>
  <si>
    <t>вт 11.11.2025 — 12:12:14</t>
  </si>
  <si>
    <t>K07156189_18_20251111T121853Z.jpg</t>
  </si>
  <si>
    <t>7 Площадка 2 бетонщики\K07156189_18_20251111T121853Z.jpg</t>
  </si>
  <si>
    <t>вт 11.11.2025 — 12:18:53</t>
  </si>
  <si>
    <t>K07156189_18_20251111T150024Z.jpg</t>
  </si>
  <si>
    <t>7 Площадка 2 бетонщики\K07156189_18_20251111T150024Z.jpg</t>
  </si>
  <si>
    <t>вт 11.11.2025 — 15:00:24</t>
  </si>
  <si>
    <t>K07156189_18_20251111T152555Z.jpg</t>
  </si>
  <si>
    <t>7 Площадка 2 бетонщики\K07156189_18_20251111T152555Z.jpg</t>
  </si>
  <si>
    <t>вт 11.11.2025 — 15:25:55</t>
  </si>
  <si>
    <t>K07156189_18_20251111T153138Z.jpg</t>
  </si>
  <si>
    <t>7 Площадка 2 бетонщики\K07156189_18_20251111T153138Z.jpg</t>
  </si>
  <si>
    <t>вт 11.11.2025 — 15:31:38</t>
  </si>
  <si>
    <t>K07156189_18_20251111T154722Z.jpg</t>
  </si>
  <si>
    <t>7 Площадка 2 бетонщики\K07156189_18_20251111T154722Z.jpg</t>
  </si>
  <si>
    <t>вт 11.11.2025 — 15:47:22</t>
  </si>
  <si>
    <t>K07156189_18_20251111T154852Z.jpg</t>
  </si>
  <si>
    <t>7 Площадка 2 бетонщики\K07156189_18_20251111T154852Z.jpg</t>
  </si>
  <si>
    <t>вт 11.11.2025 — 15:48:52</t>
  </si>
  <si>
    <t>K07156189_18_20251111T155305Z.jpg</t>
  </si>
  <si>
    <t>7 Площадка 2 бетонщики\K07156189_18_20251111T155305Z.jpg</t>
  </si>
  <si>
    <t>вт 11.11.2025 — 15:53:05</t>
  </si>
  <si>
    <t>K07156189_18_20251111T161807Z.jpg</t>
  </si>
  <si>
    <t>7 Площадка 2 бетонщики\K07156189_18_20251111T161807Z.jpg</t>
  </si>
  <si>
    <t>вт 11.11.2025 — 16:18:07</t>
  </si>
  <si>
    <t>K07156189_18_20251111T173602Z.jpg</t>
  </si>
  <si>
    <t>7 Площадка 2 бетонщики\K07156189_18_20251111T173602Z.jpg</t>
  </si>
  <si>
    <t>вт 11.11.2025 — 17:36:02</t>
  </si>
  <si>
    <t>K07156189_18_20251112T110812Z.jpg</t>
  </si>
  <si>
    <t>7 Площадка 2 бетонщики\K07156189_18_20251112T110812Z.jpg</t>
  </si>
  <si>
    <t>ср 12.11.2025 — 11:08:12</t>
  </si>
  <si>
    <t>K07156189_18_20251112T111857Z.jpg</t>
  </si>
  <si>
    <t>7 Площадка 2 бетонщики\K07156189_18_20251112T111857Z.jpg</t>
  </si>
  <si>
    <t>ср 12.11.2025 — 11:18:57</t>
  </si>
  <si>
    <t>K07156189_18_20251112T112659Z.jpg</t>
  </si>
  <si>
    <t>7 Площадка 2 бетонщики\K07156189_18_20251112T112659Z.jpg</t>
  </si>
  <si>
    <t>ср 12.11.2025 — 11:26:59</t>
  </si>
  <si>
    <t>K07156189_18_20251112T122610Z.jpg</t>
  </si>
  <si>
    <t>7 Площадка 2 бетонщики\K07156189_18_20251112T122610Z.jpg</t>
  </si>
  <si>
    <t>ср 12.11.2025 — 12:26:10</t>
  </si>
  <si>
    <t>K07156189_18_20251113T081252Z.jpg</t>
  </si>
  <si>
    <t>7 Площадка 2 бетонщики\K07156189_18_20251113T081252Z.jpg</t>
  </si>
  <si>
    <t>чт 13.11.2025 — 08:12:52</t>
  </si>
  <si>
    <t>K07156189_18_20251113T093420Z.jpg</t>
  </si>
  <si>
    <t>7 Площадка 2 бетонщики\K07156189_18_20251113T093420Z.jpg</t>
  </si>
  <si>
    <t>K07156189_18_20251113T105335Z.jpg</t>
  </si>
  <si>
    <t>7 Площадка 2 бетонщики\K07156189_18_20251113T105335Z.jpg</t>
  </si>
  <si>
    <t>чт 13.11.2025 — 10:53:35</t>
  </si>
  <si>
    <t>K07156189_18_20251113T120811Z.jpg</t>
  </si>
  <si>
    <t>7 Площадка 2 бетонщики\K07156189_18_20251113T120811Z.jpg</t>
  </si>
  <si>
    <t>чт 13.11.2025 — 12:08:11</t>
  </si>
  <si>
    <t>K07156189_18_20251113T150128Z.jpg</t>
  </si>
  <si>
    <t>7 Площадка 2 бетонщики\K07156189_18_20251113T150128Z.jpg</t>
  </si>
  <si>
    <t>чт 13.11.2025 — 15:01:28</t>
  </si>
  <si>
    <t>K07156189_18_20251113T160126Z.jpg</t>
  </si>
  <si>
    <t>7 Площадка 2 бетонщики\K07156189_18_20251113T160126Z.jpg</t>
  </si>
  <si>
    <t>чт 13.11.2025 — 16:01:26</t>
  </si>
  <si>
    <t>K07156189_18_20251113T165310Z.jpg</t>
  </si>
  <si>
    <t>7 Площадка 2 бетонщики\K07156189_18_20251113T165310Z.jpg</t>
  </si>
  <si>
    <t>чт 13.11.2025 — 16:53:10</t>
  </si>
  <si>
    <t>K134160575_1_20251114T093148Z.jpg</t>
  </si>
  <si>
    <t>7 Площадка 2 бетонщики\K134160575_1_20251114T093148Z.jpg</t>
  </si>
  <si>
    <t>пт 14.11.2025 — 09:31:48</t>
  </si>
  <si>
    <t>K134160575_1_20251114T112925Z.jpg</t>
  </si>
  <si>
    <t>7 Площадка 2 бетонщики\K134160575_1_20251114T112925Z.jpg</t>
  </si>
  <si>
    <t>пт 14.11.2025 — 11:29:25</t>
  </si>
  <si>
    <t>K134160575_1_20251114T113550Z.jpg</t>
  </si>
  <si>
    <t>7 Площадка 2 бетонщики\K134160575_1_20251114T113550Z.jpg</t>
  </si>
  <si>
    <t>пт 14.11.2025 — 11:35:50</t>
  </si>
  <si>
    <t>K134160575_1_20251114T115305Z.jpg</t>
  </si>
  <si>
    <t>7 Площадка 2 бетонщики\K134160575_1_20251114T115305Z.jpg</t>
  </si>
  <si>
    <t>пт 14.11.2025 — 11:53:05</t>
  </si>
  <si>
    <t>K134160575_1_20251114T121833Z.jpg</t>
  </si>
  <si>
    <t>7 Площадка 2 бетонщики\K134160575_1_20251114T121833Z.jpg</t>
  </si>
  <si>
    <t>пт 14.11.2025 — 12:18:33</t>
  </si>
  <si>
    <t>K134160575_1_20251114T122120Z.jpg</t>
  </si>
  <si>
    <t>7 Площадка 2 бетонщики\K134160575_1_20251114T122120Z.jpg</t>
  </si>
  <si>
    <t>пт 14.11.2025 — 12:21:20</t>
  </si>
  <si>
    <t>K134160575_1_20251114T123031Z.jpg</t>
  </si>
  <si>
    <t>7 Площадка 2 бетонщики\K134160575_1_20251114T123031Z.jpg</t>
  </si>
  <si>
    <t>пт 14.11.2025 — 12:30:31</t>
  </si>
  <si>
    <t>K134160575_1_20251114T124037Z.jpg</t>
  </si>
  <si>
    <t>7 Площадка 2 бетонщики\K134160575_1_20251114T124037Z.jpg</t>
  </si>
  <si>
    <t>пт 14.11.2025 — 12:40:37</t>
  </si>
  <si>
    <t>K134160575_1_20251114T142658Z.jpg</t>
  </si>
  <si>
    <t>7 Площадка 2 бетонщики\K134160575_1_20251114T142658Z.jpg</t>
  </si>
  <si>
    <t>пт 14.11.2025 — 14:26:58</t>
  </si>
  <si>
    <t>K134160575_1_20251114T172829Z.jpg</t>
  </si>
  <si>
    <t>7 Площадка 2 бетонщики\K134160575_1_20251114T172829Z.jpg</t>
  </si>
  <si>
    <t>пт 14.11.2025 — 17:28:29</t>
  </si>
  <si>
    <t>Проезд вправо</t>
  </si>
  <si>
    <t>детали сруба</t>
  </si>
  <si>
    <t>Убытие</t>
  </si>
  <si>
    <t>Перемещение бревен</t>
  </si>
  <si>
    <t>Установка детали на бревно</t>
  </si>
  <si>
    <t>Дозагрузка</t>
  </si>
  <si>
    <t>E33149364_2_20251110T091617Z.jpg</t>
  </si>
  <si>
    <t>8 Рейсмус\E33149364_2_20251110T091617Z.jpg</t>
  </si>
  <si>
    <t>пн 10.11.2025 — 09:16:17</t>
  </si>
  <si>
    <t>E33149364_2_20251110T091812Z.jpg</t>
  </si>
  <si>
    <t>8 Рейсмус\E33149364_2_20251110T091812Z.jpg</t>
  </si>
  <si>
    <t>пн 10.11.2025 — 09:18:12</t>
  </si>
  <si>
    <t>E33149364_2_20251110T091824Z.jpg</t>
  </si>
  <si>
    <t>8 Рейсмус\E33149364_2_20251110T091824Z.jpg</t>
  </si>
  <si>
    <t>пн 10.11.2025 — 09:18:24</t>
  </si>
  <si>
    <t>E33149364_2_20251110T092532Z.jpg</t>
  </si>
  <si>
    <t>8 Рейсмус\E33149364_2_20251110T092532Z.jpg</t>
  </si>
  <si>
    <t>пн 10.11.2025 — 09:25:32</t>
  </si>
  <si>
    <t>E33149364_2_20251110T093442Z.jpg</t>
  </si>
  <si>
    <t>8 Рейсмус\E33149364_2_20251110T093442Z.jpg</t>
  </si>
  <si>
    <t>пн 10.11.2025 — 09:34:42</t>
  </si>
  <si>
    <t>E33149364_2_20251110T093458Z.jpg</t>
  </si>
  <si>
    <t>8 Рейсмус\E33149364_2_20251110T093458Z.jpg</t>
  </si>
  <si>
    <t>пн 10.11.2025 — 09:34:58</t>
  </si>
  <si>
    <t>E33149364_2_20251110T093823Z.jpg</t>
  </si>
  <si>
    <t>8 Рейсмус\E33149364_2_20251110T093823Z.jpg</t>
  </si>
  <si>
    <t>пн 10.11.2025 — 09:38:23</t>
  </si>
  <si>
    <t>E33149364_2_20251110T094051Z.jpg</t>
  </si>
  <si>
    <t>8 Рейсмус\E33149364_2_20251110T094051Z.jpg</t>
  </si>
  <si>
    <t>пн 10.11.2025 — 09:40:51</t>
  </si>
  <si>
    <t>E33149364_2_20251110T095158Z.jpg</t>
  </si>
  <si>
    <t>8 Рейсмус\E33149364_2_20251110T095158Z.jpg</t>
  </si>
  <si>
    <t>пн 10.11.2025 — 09:51:58</t>
  </si>
  <si>
    <t>E33149364_2_20251110T095718Z.jpg</t>
  </si>
  <si>
    <t>8 Рейсмус\E33149364_2_20251110T095718Z.jpg</t>
  </si>
  <si>
    <t>пн 10.11.2025 — 09:57:18</t>
  </si>
  <si>
    <t>E33149364_2_20251110T102103Z.jpg</t>
  </si>
  <si>
    <t>8 Рейсмус\E33149364_2_20251110T102103Z.jpg</t>
  </si>
  <si>
    <t>пн 10.11.2025 — 10:21:03</t>
  </si>
  <si>
    <t>E33149364_2_20251110T103758Z.jpg</t>
  </si>
  <si>
    <t>8 Рейсмус\E33149364_2_20251110T103758Z.jpg</t>
  </si>
  <si>
    <t>пн 10.11.2025 — 10:37:58</t>
  </si>
  <si>
    <t>E33149364_2_20251110T104100Z.jpg</t>
  </si>
  <si>
    <t>8 Рейсмус\E33149364_2_20251110T104100Z.jpg</t>
  </si>
  <si>
    <t>пн 10.11.2025 — 10:41:00</t>
  </si>
  <si>
    <t>E33149364_2_20251110T104129Z.jpg</t>
  </si>
  <si>
    <t>8 Рейсмус\E33149364_2_20251110T104129Z.jpg</t>
  </si>
  <si>
    <t>пн 10.11.2025 — 10:41:29</t>
  </si>
  <si>
    <t>E33149364_2_20251110T121520Z.jpg</t>
  </si>
  <si>
    <t>8 Рейсмус\E33149364_2_20251110T121520Z.jpg</t>
  </si>
  <si>
    <t>пн 10.11.2025 — 12:15:20</t>
  </si>
  <si>
    <t>E33149364_2_20251110T122857Z.jpg</t>
  </si>
  <si>
    <t>8 Рейсмус\E33149364_2_20251110T122857Z.jpg</t>
  </si>
  <si>
    <t>пн 10.11.2025 — 12:28:57</t>
  </si>
  <si>
    <t>E33149364_2_20251110T124115Z.jpg</t>
  </si>
  <si>
    <t>8 Рейсмус\E33149364_2_20251110T124115Z.jpg</t>
  </si>
  <si>
    <t>пн 10.11.2025 — 12:41:15</t>
  </si>
  <si>
    <t>E33149364_2_20251110T143748Z.jpg</t>
  </si>
  <si>
    <t>8 Рейсмус\E33149364_2_20251110T143748Z.jpg</t>
  </si>
  <si>
    <t>пн 10.11.2025 — 14:37:48</t>
  </si>
  <si>
    <t>E33149364_2_20251110T150423Z.jpg</t>
  </si>
  <si>
    <t>8 Рейсмус\E33149364_2_20251110T150423Z.jpg</t>
  </si>
  <si>
    <t>пн 10.11.2025 — 15:04:23</t>
  </si>
  <si>
    <t>E33149364_2_20251110T153738Z.jpg</t>
  </si>
  <si>
    <t>8 Рейсмус\E33149364_2_20251110T153738Z.jpg</t>
  </si>
  <si>
    <t>пн 10.11.2025 — 15:37:38</t>
  </si>
  <si>
    <t>E33149364_2_20251111T142139Z.jpg</t>
  </si>
  <si>
    <t>8 Рейсмус\E33149364_2_20251111T142139Z.jpg</t>
  </si>
  <si>
    <t>вт 11.11.2025 — 14:21:39</t>
  </si>
  <si>
    <t>E33149364_2_20251111T145130Z.jpg</t>
  </si>
  <si>
    <t>8 Рейсмус\E33149364_2_20251111T145130Z.jpg</t>
  </si>
  <si>
    <t>вт 11.11.2025 — 14:51:30</t>
  </si>
  <si>
    <t>E33149364_2_20251111T205654Z.jpg</t>
  </si>
  <si>
    <t>8 Рейсмус\E33149364_2_20251111T205654Z.jpg</t>
  </si>
  <si>
    <t>вт 11.11.2025 — 20:56:54</t>
  </si>
  <si>
    <t>E33149364_2_20251111T213328Z.jpg</t>
  </si>
  <si>
    <t>8 Рейсмус\E33149364_2_20251111T213328Z.jpg</t>
  </si>
  <si>
    <t>вт 11.11.2025 — 21:33:28</t>
  </si>
  <si>
    <t>E33149364_2_20251112T034954Z.jpg</t>
  </si>
  <si>
    <t>8 Рейсмус\E33149364_2_20251112T034954Z.jpg</t>
  </si>
  <si>
    <t>ср 12.11.2025 — 03:49:54</t>
  </si>
  <si>
    <t>E33149364_2_20251112T101943Z.jpg</t>
  </si>
  <si>
    <t>8 Рейсмус\E33149364_2_20251112T101943Z.jpg</t>
  </si>
  <si>
    <t>ср 12.11.2025 — 10:19:43</t>
  </si>
  <si>
    <t>E33149364_2_20251112T102800Z.jpg</t>
  </si>
  <si>
    <t>8 Рейсмус\E33149364_2_20251112T102800Z.jpg</t>
  </si>
  <si>
    <t>ср 12.11.2025 — 10:28:00</t>
  </si>
  <si>
    <t>E33149364_2_20251112T141559Z.jpg</t>
  </si>
  <si>
    <t>8 Рейсмус\E33149364_2_20251112T141559Z.jpg</t>
  </si>
  <si>
    <t>ср 12.11.2025 — 14:15:59</t>
  </si>
  <si>
    <t>E33149364_2_20251112T173301Z.jpg</t>
  </si>
  <si>
    <t>8 Рейсмус\E33149364_2_20251112T173301Z.jpg</t>
  </si>
  <si>
    <t>ср 12.11.2025 — 17:33:01</t>
  </si>
  <si>
    <t>E33149364_2_20251112T224639Z.jpg</t>
  </si>
  <si>
    <t>8 Рейсмус\E33149364_2_20251112T224639Z.jpg</t>
  </si>
  <si>
    <t>ср 12.11.2025 — 22:46:39</t>
  </si>
  <si>
    <t>E33149364_2_20251112T225153Z.jpg</t>
  </si>
  <si>
    <t>8 Рейсмус\E33149364_2_20251112T225153Z.jpg</t>
  </si>
  <si>
    <t>ср 12.11.2025 — 22:51:53</t>
  </si>
  <si>
    <t>E33149364_2_20251112T231053Z.jpg</t>
  </si>
  <si>
    <t>8 Рейсмус\E33149364_2_20251112T231053Z.jpg</t>
  </si>
  <si>
    <t>ср 12.11.2025 — 23:10:53</t>
  </si>
  <si>
    <t>E33149364_2_20251113T150643Z.jpg</t>
  </si>
  <si>
    <t>8 Рейсмус\E33149364_2_20251113T150643Z.jpg</t>
  </si>
  <si>
    <t>чт 13.11.2025 — 15:06:43</t>
  </si>
  <si>
    <t>E33149364_2_20251113T150706Z.jpg</t>
  </si>
  <si>
    <t>8 Рейсмус\E33149364_2_20251113T150706Z.jpg</t>
  </si>
  <si>
    <t>чт 13.11.2025 — 15:07:06</t>
  </si>
  <si>
    <t>E33149364_2_20251113T153738Z.jpg</t>
  </si>
  <si>
    <t>8 Рейсмус\E33149364_2_20251113T153738Z.jpg</t>
  </si>
  <si>
    <t>чт 13.11.2025 — 15:37:38</t>
  </si>
  <si>
    <t>E33149364_2_20251114T142727Z.jpg</t>
  </si>
  <si>
    <t>8 Рейсмус\E33149364_2_20251114T142727Z.jpg</t>
  </si>
  <si>
    <t>пт 14.11.2025 — 14:27:27</t>
  </si>
  <si>
    <t>E33149364_2_20251114T144506Z.jpg</t>
  </si>
  <si>
    <t>8 Рейсмус\E33149364_2_20251114T144506Z.jpg</t>
  </si>
  <si>
    <t>пт 14.11.2025 — 14:45:06</t>
  </si>
  <si>
    <t>E33149364_2_20251114T145653Z.jpg</t>
  </si>
  <si>
    <t>8 Рейсмус\E33149364_2_20251114T145653Z.jpg</t>
  </si>
  <si>
    <t>пт 14.11.2025 — 14:56:53</t>
  </si>
  <si>
    <t>E33149364_2_20251114T150138Z.jpg</t>
  </si>
  <si>
    <t>8 Рейсмус\E33149364_2_20251114T150138Z.jpg</t>
  </si>
  <si>
    <t>пт 14.11.2025 — 15:01:38</t>
  </si>
  <si>
    <t>E33149364_2_20251114T150820Z.jpg</t>
  </si>
  <si>
    <t>8 Рейсмус\E33149364_2_20251114T150820Z.jpg</t>
  </si>
  <si>
    <t>пт 14.11.2025 — 15:08:20</t>
  </si>
  <si>
    <t>E33149364_2_20251114T153633Z.jpg</t>
  </si>
  <si>
    <t>8 Рейсмус\E33149364_2_20251114T153633Z.jpg</t>
  </si>
  <si>
    <t>пт 14.11.2025 — 15:36:33</t>
  </si>
  <si>
    <t>E33149364_2_20251114T154407Z.jpg</t>
  </si>
  <si>
    <t>8 Рейсмус\E33149364_2_20251114T154407Z.jpg</t>
  </si>
  <si>
    <t>пт 14.11.2025 — 15:44:07</t>
  </si>
  <si>
    <t>E33149364_2_20251114T155312Z.jpg</t>
  </si>
  <si>
    <t>8 Рейсмус\E33149364_2_20251114T155312Z.jpg</t>
  </si>
  <si>
    <t>пт 14.11.2025 — 15:53:12</t>
  </si>
  <si>
    <t>E33149364_2_20251114T155819Z.jpg</t>
  </si>
  <si>
    <t>8 Рейсмус\E33149364_2_20251114T155819Z.jpg</t>
  </si>
  <si>
    <t>пт 14.11.2025 — 15:58:19</t>
  </si>
  <si>
    <t>E33149364_2_20251114T192010Z.jpg</t>
  </si>
  <si>
    <t>8 Рейсмус\E33149364_2_20251114T192010Z.jpg</t>
  </si>
  <si>
    <t>пт 14.11.2025 — 19:20:10</t>
  </si>
  <si>
    <t>E33149364_2_20251114T193246Z.jpg</t>
  </si>
  <si>
    <t>8 Рейсмус\E33149364_2_20251114T193246Z.jpg</t>
  </si>
  <si>
    <t>пт 14.11.2025 — 19:32:46</t>
  </si>
  <si>
    <t>Территория после выноса реек</t>
  </si>
  <si>
    <t>Перенос досок</t>
  </si>
  <si>
    <t>Наполнение мешков опилками</t>
  </si>
  <si>
    <t>Работа на станке</t>
  </si>
  <si>
    <t>Рейсмус</t>
  </si>
  <si>
    <t>E33149364_1_20251110T084943Z.jpg</t>
  </si>
  <si>
    <t>9 Ангар пилорама\E33149364_1_20251110T084943Z.jpg</t>
  </si>
  <si>
    <t>пн 10.11.2025 — 08:49:43</t>
  </si>
  <si>
    <t>E33149364_1_20251110T091837Z.jpg</t>
  </si>
  <si>
    <t>9 Ангар пилорама\E33149364_1_20251110T091837Z.jpg</t>
  </si>
  <si>
    <t>пн 10.11.2025 — 09:18:37</t>
  </si>
  <si>
    <t>E33149364_1_20251110T093414Z.jpg</t>
  </si>
  <si>
    <t>9 Ангар пилорама\E33149364_1_20251110T093414Z.jpg</t>
  </si>
  <si>
    <t>пн 10.11.2025 — 09:34:14</t>
  </si>
  <si>
    <t>E33149364_1_20251110T093726Z.jpg</t>
  </si>
  <si>
    <t>9 Ангар пилорама\E33149364_1_20251110T093726Z.jpg</t>
  </si>
  <si>
    <t>пн 10.11.2025 — 09:37:26</t>
  </si>
  <si>
    <t>E33149364_1_20251110T095302Z.jpg</t>
  </si>
  <si>
    <t>9 Ангар пилорама\E33149364_1_20251110T095302Z.jpg</t>
  </si>
  <si>
    <t>пн 10.11.2025 — 09:53:02</t>
  </si>
  <si>
    <t>E33149364_1_20251110T095729Z.jpg</t>
  </si>
  <si>
    <t>9 Ангар пилорама\E33149364_1_20251110T095729Z.jpg</t>
  </si>
  <si>
    <t>пн 10.11.2025 — 09:57:29</t>
  </si>
  <si>
    <t>E33149364_1_20251110T100639Z.jpg</t>
  </si>
  <si>
    <t>9 Ангар пилорама\E33149364_1_20251110T100639Z.jpg</t>
  </si>
  <si>
    <t>пн 10.11.2025 — 10:06:39</t>
  </si>
  <si>
    <t>E33149364_1_20251110T102915Z.jpg</t>
  </si>
  <si>
    <t>9 Ангар пилорама\E33149364_1_20251110T102915Z.jpg</t>
  </si>
  <si>
    <t>пн 10.11.2025 — 10:29:15</t>
  </si>
  <si>
    <t>E33149364_1_20251110T104218Z.jpg</t>
  </si>
  <si>
    <t>9 Ангар пилорама\E33149364_1_20251110T104218Z.jpg</t>
  </si>
  <si>
    <t>пн 10.11.2025 — 10:42:18</t>
  </si>
  <si>
    <t>E33149364_1_20251110T110529Z.jpg</t>
  </si>
  <si>
    <t>9 Ангар пилорама\E33149364_1_20251110T110529Z.jpg</t>
  </si>
  <si>
    <t>пн 10.11.2025 — 11:05:29</t>
  </si>
  <si>
    <t>E33149364_1_20251110T111202Z.jpg</t>
  </si>
  <si>
    <t>9 Ангар пилорама\E33149364_1_20251110T111202Z.jpg</t>
  </si>
  <si>
    <t>пн 10.11.2025 — 11:12:02</t>
  </si>
  <si>
    <t>E33149364_1_20251110T111649Z.jpg</t>
  </si>
  <si>
    <t>9 Ангар пилорама\E33149364_1_20251110T111649Z.jpg</t>
  </si>
  <si>
    <t>пн 10.11.2025 — 11:16:49</t>
  </si>
  <si>
    <t>E33149364_1_20251110T115959Z.jpg</t>
  </si>
  <si>
    <t>9 Ангар пилорама\E33149364_1_20251110T115959Z.jpg</t>
  </si>
  <si>
    <t>пн 10.11.2025 — 11:59:59</t>
  </si>
  <si>
    <t>E33149364_1_20251110T122308Z.jpg</t>
  </si>
  <si>
    <t>9 Ангар пилорама\E33149364_1_20251110T122308Z.jpg</t>
  </si>
  <si>
    <t>пн 10.11.2025 — 12:23:08</t>
  </si>
  <si>
    <t>E33149364_1_20251110T122314Z.jpg</t>
  </si>
  <si>
    <t>9 Ангар пилорама\E33149364_1_20251110T122314Z.jpg</t>
  </si>
  <si>
    <t>пн 10.11.2025 — 12:23:14</t>
  </si>
  <si>
    <t>E33149364_1_20251110T123319Z.jpg</t>
  </si>
  <si>
    <t>9 Ангар пилорама\E33149364_1_20251110T123319Z.jpg</t>
  </si>
  <si>
    <t>пн 10.11.2025 — 12:33:19</t>
  </si>
  <si>
    <t>E33149364_1_20251110T124532Z.jpg</t>
  </si>
  <si>
    <t>9 Ангар пилорама\E33149364_1_20251110T124532Z.jpg</t>
  </si>
  <si>
    <t>пн 10.11.2025 — 12:45:32</t>
  </si>
  <si>
    <t>E33149364_1_20251110T130749Z.jpg</t>
  </si>
  <si>
    <t>9 Ангар пилорама\E33149364_1_20251110T130749Z.jpg</t>
  </si>
  <si>
    <t>пн 10.11.2025 — 13:07:49</t>
  </si>
  <si>
    <t>E33149364_1_20251110T133233Z.jpg</t>
  </si>
  <si>
    <t>9 Ангар пилорама\E33149364_1_20251110T133233Z.jpg</t>
  </si>
  <si>
    <t>пн 10.11.2025 — 13:32:33</t>
  </si>
  <si>
    <t>E33149364_1_20251110T140652Z.jpg</t>
  </si>
  <si>
    <t>9 Ангар пилорама\E33149364_1_20251110T140652Z.jpg</t>
  </si>
  <si>
    <t>пн 10.11.2025 — 14:06:52</t>
  </si>
  <si>
    <t>E33149364_1_20251110T141149Z.jpg</t>
  </si>
  <si>
    <t>9 Ангар пилорама\E33149364_1_20251110T141149Z.jpg</t>
  </si>
  <si>
    <t>пн 10.11.2025 — 14:11:49</t>
  </si>
  <si>
    <t>E33149364_1_20251110T141828Z.jpg</t>
  </si>
  <si>
    <t>9 Ангар пилорама\E33149364_1_20251110T141828Z.jpg</t>
  </si>
  <si>
    <t>пн 10.11.2025 — 14:18:28</t>
  </si>
  <si>
    <t>E33149364_1_20251110T141831Z.jpg</t>
  </si>
  <si>
    <t>9 Ангар пилорама\E33149364_1_20251110T141831Z.jpg</t>
  </si>
  <si>
    <t>пн 10.11.2025 — 14:18:31</t>
  </si>
  <si>
    <t>E33149364_1_20251110T141836Z.jpg</t>
  </si>
  <si>
    <t>9 Ангар пилорама\E33149364_1_20251110T141836Z.jpg</t>
  </si>
  <si>
    <t>пн 10.11.2025 — 14:18:36</t>
  </si>
  <si>
    <t>E33149364_1_20251110T143117Z.jpg</t>
  </si>
  <si>
    <t>9 Ангар пилорама\E33149364_1_20251110T143117Z.jpg</t>
  </si>
  <si>
    <t>пн 10.11.2025 — 14:31:17</t>
  </si>
  <si>
    <t>E33149364_1_20251110T143826Z.jpg</t>
  </si>
  <si>
    <t>9 Ангар пилорама\E33149364_1_20251110T143826Z.jpg</t>
  </si>
  <si>
    <t>пн 10.11.2025 — 14:38:26</t>
  </si>
  <si>
    <t>E33149364_1_20251110T145039Z.jpg</t>
  </si>
  <si>
    <t>9 Ангар пилорама\E33149364_1_20251110T145039Z.jpg</t>
  </si>
  <si>
    <t>пн 10.11.2025 — 14:50:39</t>
  </si>
  <si>
    <t>E33149364_1_20251110T151521Z.jpg</t>
  </si>
  <si>
    <t>9 Ангар пилорама\E33149364_1_20251110T151521Z.jpg</t>
  </si>
  <si>
    <t>пн 10.11.2025 — 15:15:21</t>
  </si>
  <si>
    <t>E33149364_1_20251110T153901Z.jpg</t>
  </si>
  <si>
    <t>9 Ангар пилорама\E33149364_1_20251110T153901Z.jpg</t>
  </si>
  <si>
    <t>пн 10.11.2025 — 15:39:01</t>
  </si>
  <si>
    <t>E33149364_1_20251110T154027Z.jpg</t>
  </si>
  <si>
    <t>9 Ангар пилорама\E33149364_1_20251110T154027Z.jpg</t>
  </si>
  <si>
    <t>пн 10.11.2025 — 15:40:27</t>
  </si>
  <si>
    <t>E33149364_1_20251110T154758Z.jpg</t>
  </si>
  <si>
    <t>9 Ангар пилорама\E33149364_1_20251110T154758Z.jpg</t>
  </si>
  <si>
    <t>пн 10.11.2025 — 15:47:58</t>
  </si>
  <si>
    <t>E33149364_1_20251110T160115Z.jpg</t>
  </si>
  <si>
    <t>9 Ангар пилорама\E33149364_1_20251110T160115Z.jpg</t>
  </si>
  <si>
    <t>пн 10.11.2025 — 16:01:15</t>
  </si>
  <si>
    <t>E33149364_1_20251110T164435Z.jpg</t>
  </si>
  <si>
    <t>9 Ангар пилорама\E33149364_1_20251110T164435Z.jpg</t>
  </si>
  <si>
    <t>пн 10.11.2025 — 16:44:35</t>
  </si>
  <si>
    <t>E33149364_1_20251110T213624Z.jpg</t>
  </si>
  <si>
    <t>9 Ангар пилорама\E33149364_1_20251110T213624Z.jpg</t>
  </si>
  <si>
    <t>пн 10.11.2025 — 21:36:24</t>
  </si>
  <si>
    <t>E33149364_1_20251110T214515Z.jpg</t>
  </si>
  <si>
    <t>9 Ангар пилорама\E33149364_1_20251110T214515Z.jpg</t>
  </si>
  <si>
    <t>пн 10.11.2025 — 21:45:15</t>
  </si>
  <si>
    <t>E33149364_1_20251110T225322Z.jpg</t>
  </si>
  <si>
    <t>9 Ангар пилорама\E33149364_1_20251110T225322Z.jpg</t>
  </si>
  <si>
    <t>пн 10.11.2025 — 22:53:22</t>
  </si>
  <si>
    <t>E33149364_1_20251111T055625Z.jpg</t>
  </si>
  <si>
    <t>9 Ангар пилорама\E33149364_1_20251111T055625Z.jpg</t>
  </si>
  <si>
    <t>вт 11.11.2025 — 05:56:25</t>
  </si>
  <si>
    <t>E33149364_1_20251111T060939Z.jpg</t>
  </si>
  <si>
    <t>9 Ангар пилорама\E33149364_1_20251111T060939Z.jpg</t>
  </si>
  <si>
    <t>вт 11.11.2025 — 06:09:39</t>
  </si>
  <si>
    <t>E33149364_1_20251111T073226Z.jpg</t>
  </si>
  <si>
    <t>9 Ангар пилорама\E33149364_1_20251111T073226Z.jpg</t>
  </si>
  <si>
    <t>вт 11.11.2025 — 07:32:26</t>
  </si>
  <si>
    <t>E33149364_1_20251111T085801Z.jpg</t>
  </si>
  <si>
    <t>9 Ангар пилорама\E33149364_1_20251111T085801Z.jpg</t>
  </si>
  <si>
    <t>вт 11.11.2025 — 08:58:01</t>
  </si>
  <si>
    <t>E33149364_1_20251111T093344Z.jpg</t>
  </si>
  <si>
    <t>9 Ангар пилорама\E33149364_1_20251111T093344Z.jpg</t>
  </si>
  <si>
    <t>вт 11.11.2025 — 09:33:44</t>
  </si>
  <si>
    <t>E33149364_1_20251111T103522Z.jpg</t>
  </si>
  <si>
    <t>9 Ангар пилорама\E33149364_1_20251111T103522Z.jpg</t>
  </si>
  <si>
    <t>вт 11.11.2025 — 10:35:22</t>
  </si>
  <si>
    <t>E33149364_1_20251111T103531Z.jpg</t>
  </si>
  <si>
    <t>9 Ангар пилорама\E33149364_1_20251111T103531Z.jpg</t>
  </si>
  <si>
    <t>вт 11.11.2025 — 10:35:31</t>
  </si>
  <si>
    <t>E33149364_1_20251111T104337Z.jpg</t>
  </si>
  <si>
    <t>9 Ангар пилорама\E33149364_1_20251111T104337Z.jpg</t>
  </si>
  <si>
    <t>вт 11.11.2025 — 10:43:37</t>
  </si>
  <si>
    <t>E33149364_1_20251111T105031Z.jpg</t>
  </si>
  <si>
    <t>9 Ангар пилорама\E33149364_1_20251111T105031Z.jpg</t>
  </si>
  <si>
    <t>вт 11.11.2025 — 10:50:31</t>
  </si>
  <si>
    <t>E33149364_1_20251111T105330Z.jpg</t>
  </si>
  <si>
    <t>9 Ангар пилорама\E33149364_1_20251111T105330Z.jpg</t>
  </si>
  <si>
    <t>вт 11.11.2025 — 10:53:30</t>
  </si>
  <si>
    <t>E33149364_1_20251111T110102Z.jpg</t>
  </si>
  <si>
    <t>9 Ангар пилорама\E33149364_1_20251111T110102Z.jpg</t>
  </si>
  <si>
    <t>вт 11.11.2025 — 11:01:02</t>
  </si>
  <si>
    <t>E33149364_1_20251111T112159Z.jpg</t>
  </si>
  <si>
    <t>9 Ангар пилорама\E33149364_1_20251111T112159Z.jpg</t>
  </si>
  <si>
    <t>вт 11.11.2025 — 11:21:59</t>
  </si>
  <si>
    <t>E33149364_1_20251111T113221Z.jpg</t>
  </si>
  <si>
    <t>9 Ангар пилорама\E33149364_1_20251111T113221Z.jpg</t>
  </si>
  <si>
    <t>вт 11.11.2025 — 11:32:21</t>
  </si>
  <si>
    <t>E33149364_1_20251111T113745Z.jpg</t>
  </si>
  <si>
    <t>9 Ангар пилорама\E33149364_1_20251111T113745Z.jpg</t>
  </si>
  <si>
    <t>вт 11.11.2025 — 11:37:45</t>
  </si>
  <si>
    <t>E33149364_1_20251111T120056Z.jpg</t>
  </si>
  <si>
    <t>9 Ангар пилорама\E33149364_1_20251111T120056Z.jpg</t>
  </si>
  <si>
    <t>вт 11.11.2025 — 12:00:56</t>
  </si>
  <si>
    <t>E33149364_1_20251111T122513Z.jpg</t>
  </si>
  <si>
    <t>9 Ангар пилорама\E33149364_1_20251111T122513Z.jpg</t>
  </si>
  <si>
    <t>вт 11.11.2025 — 12:25:13</t>
  </si>
  <si>
    <t>E33149364_1_20251111T143715Z.jpg</t>
  </si>
  <si>
    <t>9 Ангар пилорама\E33149364_1_20251111T143715Z.jpg</t>
  </si>
  <si>
    <t>вт 11.11.2025 — 14:37:15</t>
  </si>
  <si>
    <t>E33149364_1_20251111T145833Z.jpg</t>
  </si>
  <si>
    <t>9 Ангар пилорама\E33149364_1_20251111T145833Z.jpg</t>
  </si>
  <si>
    <t>вт 11.11.2025 — 14:58:33</t>
  </si>
  <si>
    <t>E33149364_1_20251111T151447Z.jpg</t>
  </si>
  <si>
    <t>9 Ангар пилорама\E33149364_1_20251111T151447Z.jpg</t>
  </si>
  <si>
    <t>вт 11.11.2025 — 15:14:47</t>
  </si>
  <si>
    <t>E33149364_1_20251111T155255Z.jpg</t>
  </si>
  <si>
    <t>9 Ангар пилорама\E33149364_1_20251111T155255Z.jpg</t>
  </si>
  <si>
    <t>вт 11.11.2025 — 15:52:55</t>
  </si>
  <si>
    <t>E33149364_1_20251111T162901Z.jpg</t>
  </si>
  <si>
    <t>9 Ангар пилорама\E33149364_1_20251111T162901Z.jpg</t>
  </si>
  <si>
    <t>вт 11.11.2025 — 16:29:01</t>
  </si>
  <si>
    <t>E33149364_1_20251111T183901Z.jpg</t>
  </si>
  <si>
    <t>9 Ангар пилорама\E33149364_1_20251111T183901Z.jpg</t>
  </si>
  <si>
    <t>вт 11.11.2025 — 18:39:01</t>
  </si>
  <si>
    <t>E33149364_1_20251111T184913Z.jpg</t>
  </si>
  <si>
    <t>9 Ангар пилорама\E33149364_1_20251111T184913Z.jpg</t>
  </si>
  <si>
    <t>вт 11.11.2025 — 18:49:13</t>
  </si>
  <si>
    <t>E33149364_1_20251111T191428Z.jpg</t>
  </si>
  <si>
    <t>9 Ангар пилорама\E33149364_1_20251111T191428Z.jpg</t>
  </si>
  <si>
    <t>вт 11.11.2025 — 19:14:28</t>
  </si>
  <si>
    <t>E33149364_1_20251111T213256Z.jpg</t>
  </si>
  <si>
    <t>9 Ангар пилорама\E33149364_1_20251111T213256Z.jpg</t>
  </si>
  <si>
    <t>вт 11.11.2025 — 21:32:56</t>
  </si>
  <si>
    <t>E33149364_1_20251111T224627Z.jpg</t>
  </si>
  <si>
    <t>9 Ангар пилорама\E33149364_1_20251111T224627Z.jpg</t>
  </si>
  <si>
    <t>вт 11.11.2025 — 22:46:27</t>
  </si>
  <si>
    <t>E33149364_1_20251111T233555Z.jpg</t>
  </si>
  <si>
    <t>9 Ангар пилорама\E33149364_1_20251111T233555Z.jpg</t>
  </si>
  <si>
    <t>вт 11.11.2025 — 23:35:55</t>
  </si>
  <si>
    <t>E33149364_1_20251112T041621Z.jpg</t>
  </si>
  <si>
    <t>9 Ангар пилорама\E33149364_1_20251112T041621Z.jpg</t>
  </si>
  <si>
    <t>ср 12.11.2025 — 04:16:21</t>
  </si>
  <si>
    <t>E33149364_1_20251112T045256Z.jpg</t>
  </si>
  <si>
    <t>9 Ангар пилорама\E33149364_1_20251112T045256Z.jpg</t>
  </si>
  <si>
    <t>ср 12.11.2025 — 04:52:56</t>
  </si>
  <si>
    <t>E33149364_1_20251112T052033Z.jpg</t>
  </si>
  <si>
    <t>9 Ангар пилорама\E33149364_1_20251112T052033Z.jpg</t>
  </si>
  <si>
    <t>ср 12.11.2025 — 05:20:33</t>
  </si>
  <si>
    <t>E33149364_1_20251112T090214Z.jpg</t>
  </si>
  <si>
    <t>9 Ангар пилорама\E33149364_1_20251112T090214Z.jpg</t>
  </si>
  <si>
    <t>ср 12.11.2025 — 09:02:14</t>
  </si>
  <si>
    <t>E33149364_1_20251112T172616Z.jpg</t>
  </si>
  <si>
    <t>9 Ангар пилорама\E33149364_1_20251112T172616Z.jpg</t>
  </si>
  <si>
    <t>ср 12.11.2025 — 17:26:16</t>
  </si>
  <si>
    <t>E33149364_1_20251112T183624Z.jpg</t>
  </si>
  <si>
    <t>9 Ангар пилорама\E33149364_1_20251112T183624Z.jpg</t>
  </si>
  <si>
    <t>ср 12.11.2025 — 18:36:24</t>
  </si>
  <si>
    <t>E33149364_1_20251112T194053Z.jpg</t>
  </si>
  <si>
    <t>9 Ангар пилорама\E33149364_1_20251112T194053Z.jpg</t>
  </si>
  <si>
    <t>ср 12.11.2025 — 19:40:53</t>
  </si>
  <si>
    <t>E33149364_1_20251112T232033Z.jpg</t>
  </si>
  <si>
    <t>9 Ангар пилорама\E33149364_1_20251112T232033Z.jpg</t>
  </si>
  <si>
    <t>ср 12.11.2025 — 23:20:33</t>
  </si>
  <si>
    <t>E33149364_1_20251113T050233Z.jpg</t>
  </si>
  <si>
    <t>9 Ангар пилорама\E33149364_1_20251113T050233Z.jpg</t>
  </si>
  <si>
    <t>чт 13.11.2025 — 05:02:33</t>
  </si>
  <si>
    <t>E33149364_1_20251113T053508Z.jpg</t>
  </si>
  <si>
    <t>9 Ангар пилорама\E33149364_1_20251113T053508Z.jpg</t>
  </si>
  <si>
    <t>чт 13.11.2025 — 05:35:08</t>
  </si>
  <si>
    <t>E33149364_1_20251113T070618Z.jpg</t>
  </si>
  <si>
    <t>9 Ангар пилорама\E33149364_1_20251113T070618Z.jpg</t>
  </si>
  <si>
    <t>чт 13.11.2025 — 07:06:18</t>
  </si>
  <si>
    <t>E33149364_1_20251113T071755Z.jpg</t>
  </si>
  <si>
    <t>9 Ангар пилорама\E33149364_1_20251113T071755Z.jpg</t>
  </si>
  <si>
    <t>чт 13.11.2025 — 07:17:55</t>
  </si>
  <si>
    <t>E33149364_1_20251113T090936Z.jpg</t>
  </si>
  <si>
    <t>9 Ангар пилорама\E33149364_1_20251113T090936Z.jpg</t>
  </si>
  <si>
    <t>чт 13.11.2025 — 09:09:36</t>
  </si>
  <si>
    <t>E33149364_1_20251113T090953Z.jpg</t>
  </si>
  <si>
    <t>9 Ангар пилорама\E33149364_1_20251113T090953Z.jpg</t>
  </si>
  <si>
    <t>чт 13.11.2025 — 09:09:53</t>
  </si>
  <si>
    <t>E33149364_1_20251113T091403Z.jpg</t>
  </si>
  <si>
    <t>9 Ангар пилорама\E33149364_1_20251113T091403Z.jpg</t>
  </si>
  <si>
    <t>чт 13.11.2025 — 09:14:03</t>
  </si>
  <si>
    <t>E33149364_1_20251113T162643Z.jpg</t>
  </si>
  <si>
    <t>9 Ангар пилорама\E33149364_1_20251113T162643Z.jpg</t>
  </si>
  <si>
    <t>чт 13.11.2025 — 16:26:43</t>
  </si>
  <si>
    <t>E33149364_1_20251113T220039Z.jpg</t>
  </si>
  <si>
    <t>9 Ангар пилорама\E33149364_1_20251113T220039Z.jpg</t>
  </si>
  <si>
    <t>чт 13.11.2025 — 22:00:39</t>
  </si>
  <si>
    <t>E33149364_1_20251113T224348Z.jpg</t>
  </si>
  <si>
    <t>9 Ангар пилорама\E33149364_1_20251113T224348Z.jpg</t>
  </si>
  <si>
    <t>чт 13.11.2025 — 22:43:48</t>
  </si>
  <si>
    <t>E33149364_1_20251114T000312Z.jpg</t>
  </si>
  <si>
    <t>9 Ангар пилорама\E33149364_1_20251114T000312Z.jpg</t>
  </si>
  <si>
    <t>пт 14.11.2025 — 00:03:12</t>
  </si>
  <si>
    <t>E33149364_1_20251114T031230Z.jpg</t>
  </si>
  <si>
    <t>9 Ангар пилорама\E33149364_1_20251114T031230Z.jpg</t>
  </si>
  <si>
    <t>пт 14.11.2025 — 03:12:30</t>
  </si>
  <si>
    <t>E33149364_1_20251114T055716Z.jpg</t>
  </si>
  <si>
    <t>9 Ангар пилорама\E33149364_1_20251114T055716Z.jpg</t>
  </si>
  <si>
    <t>пт 14.11.2025 — 05:57:16</t>
  </si>
  <si>
    <t>E33149364_1_20251114T061807Z.jpg</t>
  </si>
  <si>
    <t>9 Ангар пилорама\E33149364_1_20251114T061807Z.jpg</t>
  </si>
  <si>
    <t>пт 14.11.2025 — 06:18:07</t>
  </si>
  <si>
    <t>E33149364_1_20251114T063214Z.jpg</t>
  </si>
  <si>
    <t>9 Ангар пилорама\E33149364_1_20251114T063214Z.jpg</t>
  </si>
  <si>
    <t>пт 14.11.2025 — 06:32:14</t>
  </si>
  <si>
    <t>E33149364_1_20251114T070627Z.jpg</t>
  </si>
  <si>
    <t>9 Ангар пилорама\E33149364_1_20251114T070627Z.jpg</t>
  </si>
  <si>
    <t>пт 14.11.2025 — 07:06:27</t>
  </si>
  <si>
    <t>E33149364_1_20251114T111556Z.jpg</t>
  </si>
  <si>
    <t>9 Ангар пилорама\E33149364_1_20251114T111556Z.jpg</t>
  </si>
  <si>
    <t>пт 14.11.2025 — 11:15:56</t>
  </si>
  <si>
    <t>E33149364_1_20251114T115810Z.jpg</t>
  </si>
  <si>
    <t>9 Ангар пилорама\E33149364_1_20251114T115810Z.jpg</t>
  </si>
  <si>
    <t>пт 14.11.2025 — 11:58:10</t>
  </si>
  <si>
    <t>E33149364_1_20251114T121114Z.jpg</t>
  </si>
  <si>
    <t>9 Ангар пилорама\E33149364_1_20251114T121114Z.jpg</t>
  </si>
  <si>
    <t>пт 14.11.2025 — 12:11:14</t>
  </si>
  <si>
    <t>E33149364_1_20251114T122507Z.jpg</t>
  </si>
  <si>
    <t>9 Ангар пилорама\E33149364_1_20251114T122507Z.jpg</t>
  </si>
  <si>
    <t>пт 14.11.2025 — 12:25:07</t>
  </si>
  <si>
    <t>E33149364_1_20251114T123930Z.jpg</t>
  </si>
  <si>
    <t>9 Ангар пилорама\E33149364_1_20251114T123930Z.jpg</t>
  </si>
  <si>
    <t>пт 14.11.2025 — 12:39:30</t>
  </si>
  <si>
    <t>E33149364_1_20251114T130419Z.jpg</t>
  </si>
  <si>
    <t>9 Ангар пилорама\E33149364_1_20251114T130419Z.jpg</t>
  </si>
  <si>
    <t>пт 14.11.2025 — 13:04:19</t>
  </si>
  <si>
    <t>E33149364_1_20251114T140518Z.jpg</t>
  </si>
  <si>
    <t>9 Ангар пилорама\E33149364_1_20251114T140518Z.jpg</t>
  </si>
  <si>
    <t>пт 14.11.2025 — 14:05:18</t>
  </si>
  <si>
    <t>E33149364_1_20251114T150226Z.jpg</t>
  </si>
  <si>
    <t>9 Ангар пилорама\E33149364_1_20251114T150226Z.jpg</t>
  </si>
  <si>
    <t>пт 14.11.2025 — 15:02:26</t>
  </si>
  <si>
    <t>E33149364_1_20251114T155623Z.jpg</t>
  </si>
  <si>
    <t>9 Ангар пилорама\E33149364_1_20251114T155623Z.jpg</t>
  </si>
  <si>
    <t>пт 14.11.2025 — 15:56:23</t>
  </si>
  <si>
    <t>E33149364_1_20251114T192238Z.jpg</t>
  </si>
  <si>
    <t>9 Ангар пилорама\E33149364_1_20251114T192238Z.jpg</t>
  </si>
  <si>
    <t>пт 14.11.2025 — 19:22:38</t>
  </si>
  <si>
    <t>E33149364_1_20251114T193240Z.jpg</t>
  </si>
  <si>
    <t>9 Ангар пилорама\E33149364_1_20251114T193240Z.jpg</t>
  </si>
  <si>
    <t>пт 14.11.2025 — 19:32:40</t>
  </si>
  <si>
    <t>Вынос на улицу</t>
  </si>
  <si>
    <t>Вынос улицу</t>
  </si>
  <si>
    <t>Рейки</t>
  </si>
  <si>
    <t>Перемещение</t>
  </si>
  <si>
    <t>Доски</t>
  </si>
  <si>
    <t>Перенос мешков</t>
  </si>
  <si>
    <t>Горбыль</t>
  </si>
  <si>
    <t>Перенос опилок</t>
  </si>
  <si>
    <t>Мешки с опилками</t>
  </si>
  <si>
    <t>Ангар пилорама</t>
  </si>
  <si>
    <t>Наименование точки</t>
  </si>
  <si>
    <t>Ангар Склад 2 въезд</t>
  </si>
  <si>
    <t>Пилорама поката</t>
  </si>
  <si>
    <t>Крыльцо офиса</t>
  </si>
  <si>
    <t>Крыльцо общага</t>
  </si>
  <si>
    <t>Площадка 1 общага</t>
  </si>
  <si>
    <t>Площадка 2 бетонщики</t>
  </si>
  <si>
    <t>E33149364_6_20251115T102817Z.jpg</t>
  </si>
  <si>
    <t>E33149364_6_20251115T103838Z.jpg</t>
  </si>
  <si>
    <t>E33149364_6_20251115T111407Z.jpg</t>
  </si>
  <si>
    <t>E33149364_6_20251115T115633Z.jpg</t>
  </si>
  <si>
    <t>E33149364_6_20251115T145651Z.jpg</t>
  </si>
  <si>
    <t>E33149364_6_20251115T150734Z.jpg</t>
  </si>
  <si>
    <t>E33149364_6_20251115T152654Z.jpg</t>
  </si>
  <si>
    <t>K07156189_18_20251115T082934Z.jpg</t>
  </si>
  <si>
    <t>7 Площадка 2 бетонщики\K07156189_18_20251115T082934Z.jpg</t>
  </si>
  <si>
    <t>сб 15.11.2025 — 08:29:34</t>
  </si>
  <si>
    <t>K07156189_18_20251115T135451Z.jpg</t>
  </si>
  <si>
    <t>7 Площадка 2 бетонщики\K07156189_18_20251115T135451Z.jpg</t>
  </si>
  <si>
    <t>сб 15.11.2025 — 13:54:51</t>
  </si>
  <si>
    <t>K07156189_18_20251115T173430Z.jpg</t>
  </si>
  <si>
    <t>7 Площадка 2 бетонщики\K07156189_18_20251115T173430Z.jpg</t>
  </si>
  <si>
    <t>сб 15.11.2025 — 17:34:30</t>
  </si>
  <si>
    <t>K07156189_18_20251116T084928Z.jpg</t>
  </si>
  <si>
    <t>7 Площадка 2 бетонщики\K07156189_18_20251116T084928Z.jpg</t>
  </si>
  <si>
    <t>вс 16.11.2025 — 08:49:28</t>
  </si>
  <si>
    <t>K07156189_18_20251116T160554Z.jpg</t>
  </si>
  <si>
    <t>7 Площадка 2 бетонщики\K07156189_18_20251116T160554Z.jpg</t>
  </si>
  <si>
    <t>вс 16.11.2025 — 16:05:54</t>
  </si>
  <si>
    <t>E33149364_2_20251115T101704Z.jpg</t>
  </si>
  <si>
    <t>8 Рейсмус\E33149364_2_20251115T101704Z.jpg</t>
  </si>
  <si>
    <t>сб 15.11.2025 — 10:17:04</t>
  </si>
  <si>
    <t>E33149364_2_20251115T102307Z.jpg</t>
  </si>
  <si>
    <t>8 Рейсмус\E33149364_2_20251115T102307Z.jpg</t>
  </si>
  <si>
    <t>сб 15.11.2025 — 10:23:07</t>
  </si>
  <si>
    <t>E33149364_2_20251115T103618Z.jpg</t>
  </si>
  <si>
    <t>8 Рейсмус\E33149364_2_20251115T103618Z.jpg</t>
  </si>
  <si>
    <t>сб 15.11.2025 — 10:36:18</t>
  </si>
  <si>
    <t>E33149364_2_20251115T105906Z.jpg</t>
  </si>
  <si>
    <t>8 Рейсмус\E33149364_2_20251115T105906Z.jpg</t>
  </si>
  <si>
    <t>сб 15.11.2025 — 10:59:06</t>
  </si>
  <si>
    <t>E33149364_2_20251115T110241Z.jpg</t>
  </si>
  <si>
    <t>8 Рейсмус\E33149364_2_20251115T110241Z.jpg</t>
  </si>
  <si>
    <t>сб 15.11.2025 — 11:02:41</t>
  </si>
  <si>
    <t>E33149364_2_20251115T134050Z.jpg</t>
  </si>
  <si>
    <t>8 Рейсмус\E33149364_2_20251115T134050Z.jpg</t>
  </si>
  <si>
    <t>сб 15.11.2025 — 13:40:50</t>
  </si>
  <si>
    <t>E33149364_2_20251115T135633Z.jpg</t>
  </si>
  <si>
    <t>8 Рейсмус\E33149364_2_20251115T135633Z.jpg</t>
  </si>
  <si>
    <t>сб 15.11.2025 — 13:56:33</t>
  </si>
  <si>
    <t>E33149364_2_20251115T144228Z.jpg</t>
  </si>
  <si>
    <t>8 Рейсмус\E33149364_2_20251115T144228Z.jpg</t>
  </si>
  <si>
    <t>сб 15.11.2025 — 14:42:28</t>
  </si>
  <si>
    <t>E33149364_2_20251115T154647Z.jpg</t>
  </si>
  <si>
    <t>8 Рейсмус\E33149364_2_20251115T154647Z.jpg</t>
  </si>
  <si>
    <t>сб 15.11.2025 — 15:46:47</t>
  </si>
  <si>
    <t>E33149364_2_20251115T154936Z.jpg</t>
  </si>
  <si>
    <t>8 Рейсмус\E33149364_2_20251115T154936Z.jpg</t>
  </si>
  <si>
    <t>сб 15.11.2025 — 15:49:36</t>
  </si>
  <si>
    <t>E33149364_2_20251116T172016Z.jpg</t>
  </si>
  <si>
    <t>8 Рейсмус\E33149364_2_20251116T172016Z.jpg</t>
  </si>
  <si>
    <t>вс 16.11.2025 — 17:20:16</t>
  </si>
  <si>
    <t>E33149364_2_20251116T175222Z.jpg</t>
  </si>
  <si>
    <t>8 Рейсмус\E33149364_2_20251116T175222Z.jpg</t>
  </si>
  <si>
    <t>вс 16.11.2025 — 17:52:22</t>
  </si>
  <si>
    <t>E33149364_2_20251116T195355Z.jpg</t>
  </si>
  <si>
    <t>8 Рейсмус\E33149364_2_20251116T195355Z.jpg</t>
  </si>
  <si>
    <t>вс 16.11.2025 — 19:53:55</t>
  </si>
  <si>
    <t>E33149364_2_20251116T203005Z.jpg</t>
  </si>
  <si>
    <t>8 Рейсмус\E33149364_2_20251116T203005Z.jpg</t>
  </si>
  <si>
    <t>вс 16.11.2025 — 20:30:05</t>
  </si>
  <si>
    <t>E33149364_2_20251116T204757Z.jpg</t>
  </si>
  <si>
    <t>8 Рейсмус\E33149364_2_20251116T204757Z.jpg</t>
  </si>
  <si>
    <t>вс 16.11.2025 — 20:47:57</t>
  </si>
  <si>
    <t>E33149364_2_20251116T210053Z.jpg</t>
  </si>
  <si>
    <t>8 Рейсмус\E33149364_2_20251116T210053Z.jpg</t>
  </si>
  <si>
    <t>вс 16.11.2025 — 21:00:53</t>
  </si>
  <si>
    <t>E33149364_7_20251115T083028Z.jpg</t>
  </si>
  <si>
    <t>2 Пилорама поката\E33149364_7_20251115T083028Z.jpg</t>
  </si>
  <si>
    <t>сб 15.11.2025 — 08:30:28</t>
  </si>
  <si>
    <t>E33149364_7_20251115T173640Z.jpg</t>
  </si>
  <si>
    <t>2 Пилорама поката\E33149364_7_20251115T173640Z.jpg</t>
  </si>
  <si>
    <t>сб 15.11.2025 — 17:36:40</t>
  </si>
  <si>
    <t>E33149364_7_20251116T093525Z.jpg</t>
  </si>
  <si>
    <t>2 Пилорама поката\E33149364_7_20251116T093525Z.jpg</t>
  </si>
  <si>
    <t>вс 16.11.2025 — 09:35:25</t>
  </si>
  <si>
    <t>E33149364_7_20251116T175132Z.jpg</t>
  </si>
  <si>
    <t>2 Пилорама поката\E33149364_7_20251116T175132Z.jpg</t>
  </si>
  <si>
    <t>вс 16.11.2025 — 17:51:32</t>
  </si>
  <si>
    <t>E33149364_1_20251115T052011Z.jpg</t>
  </si>
  <si>
    <t>9 Ангар пилорама\E33149364_1_20251115T052011Z.jpg</t>
  </si>
  <si>
    <t>сб 15.11.2025 — 05:20:11</t>
  </si>
  <si>
    <t>E33149364_1_20251115T102010Z.jpg</t>
  </si>
  <si>
    <t>9 Ангар пилорама\E33149364_1_20251115T102010Z.jpg</t>
  </si>
  <si>
    <t>сб 15.11.2025 — 10:20:10</t>
  </si>
  <si>
    <t>E33149364_1_20251115T144644Z.jpg</t>
  </si>
  <si>
    <t>9 Ангар пилорама\E33149364_1_20251115T144644Z.jpg</t>
  </si>
  <si>
    <t>сб 15.11.2025 — 14:46:44</t>
  </si>
  <si>
    <t>E33149364_1_20251116T171326Z.jpg</t>
  </si>
  <si>
    <t>9 Ангар пилорама\E33149364_1_20251116T171326Z.jpg</t>
  </si>
  <si>
    <t>вс 16.11.2025 — 17:13:26</t>
  </si>
  <si>
    <t>E33149364_1_20251116T175225Z.jpg</t>
  </si>
  <si>
    <t>9 Ангар пилорама\E33149364_1_20251116T175225Z.jpg</t>
  </si>
  <si>
    <t>вс 16.11.2025 — 17:52:25</t>
  </si>
  <si>
    <t>E33149364_1_20251116T195203Z.jpg</t>
  </si>
  <si>
    <t>9 Ангар пилорама\E33149364_1_20251116T195203Z.jpg</t>
  </si>
  <si>
    <t>вс 16.11.2025 — 19:52:03</t>
  </si>
  <si>
    <t>E33149364_1_20251116T210225Z.jpg</t>
  </si>
  <si>
    <t>9 Ангар пилорама\E33149364_1_20251116T210225Z.jpg</t>
  </si>
  <si>
    <t>вс 16.11.2025 — 21:02:25</t>
  </si>
  <si>
    <t>E33149364_8_20251115T102828Z.jpg</t>
  </si>
  <si>
    <t>сб 15.11.2025 — 10:28:28</t>
  </si>
  <si>
    <t>E33149364_8_20251115T111424Z.jpg</t>
  </si>
  <si>
    <t>сб 15.11.2025 — 11:14:24</t>
  </si>
  <si>
    <t>E33149364_8_20251115T115624Z.jpg</t>
  </si>
  <si>
    <t>сб 15.11.2025 — 11:56:24</t>
  </si>
  <si>
    <t>E33149364_8_20251115T151520Z.jpg</t>
  </si>
  <si>
    <t>сб 15.11.2025 — 15:15:20</t>
  </si>
  <si>
    <t>E33149364_8_20251115T152636Z.jpg</t>
  </si>
  <si>
    <t>сб 15.11.2025 — 15:26:36</t>
  </si>
  <si>
    <t>E33149364_8_20251115T173038Z.jpg</t>
  </si>
  <si>
    <t>сб 15.11.2025 — 17:30:38</t>
  </si>
  <si>
    <t>E33149364_8_20251116T085207Z.jpg</t>
  </si>
  <si>
    <t>вс 16.11.2025 — 08:52:07</t>
  </si>
  <si>
    <t>E33149364_8_20251116T141440Z.jpg</t>
  </si>
  <si>
    <t>вс 16.11.2025 — 14:14:40</t>
  </si>
  <si>
    <t>E33149364_8_20251116T171627Z.jpg</t>
  </si>
  <si>
    <t>вс 16.11.2025 — 17:16:27</t>
  </si>
  <si>
    <t>K07156189_21_20251115T083159Z.jpg</t>
  </si>
  <si>
    <t>4 Крыльцо офиса\K07156189_21_20251115T083159Z.jpg</t>
  </si>
  <si>
    <t>сб 15.11.2025 — 08:31:59</t>
  </si>
  <si>
    <t>K07156189_21_20251115T102830Z.jpg</t>
  </si>
  <si>
    <t>4 Крыльцо офиса\K07156189_21_20251115T102830Z.jpg</t>
  </si>
  <si>
    <t>сб 15.11.2025 — 10:28:30</t>
  </si>
  <si>
    <t>K07156189_21_20251115T103212Z.jpg</t>
  </si>
  <si>
    <t>4 Крыльцо офиса\K07156189_21_20251115T103212Z.jpg</t>
  </si>
  <si>
    <t>сб 15.11.2025 — 10:32:12</t>
  </si>
  <si>
    <t>K07156189_21_20251115T103230Z.jpg</t>
  </si>
  <si>
    <t>4 Крыльцо офиса\K07156189_21_20251115T103230Z.jpg</t>
  </si>
  <si>
    <t>сб 15.11.2025 — 10:32:30</t>
  </si>
  <si>
    <t>K07156189_21_20251115T103828Z.jpg</t>
  </si>
  <si>
    <t>4 Крыльцо офиса\K07156189_21_20251115T103828Z.jpg</t>
  </si>
  <si>
    <t>сб 15.11.2025 — 10:38:28</t>
  </si>
  <si>
    <t>K07156189_21_20251115T111417Z.jpg</t>
  </si>
  <si>
    <t>4 Крыльцо офиса\K07156189_21_20251115T111417Z.jpg</t>
  </si>
  <si>
    <t>сб 15.11.2025 — 11:14:17</t>
  </si>
  <si>
    <t>K07156189_21_20251115T115610Z.jpg</t>
  </si>
  <si>
    <t>4 Крыльцо офиса\K07156189_21_20251115T115610Z.jpg</t>
  </si>
  <si>
    <t>сб 15.11.2025 — 11:56:10</t>
  </si>
  <si>
    <t>K07156189_21_20251115T145716Z.jpg</t>
  </si>
  <si>
    <t>4 Крыльцо офиса\K07156189_21_20251115T145716Z.jpg</t>
  </si>
  <si>
    <t>сб 15.11.2025 — 14:57:16</t>
  </si>
  <si>
    <t>K07156189_21_20251115T150811Z.jpg</t>
  </si>
  <si>
    <t>4 Крыльцо офиса\K07156189_21_20251115T150811Z.jpg</t>
  </si>
  <si>
    <t>сб 15.11.2025 — 15:08:11</t>
  </si>
  <si>
    <t>K07156189_21_20251115T151123Z.jpg</t>
  </si>
  <si>
    <t>4 Крыльцо офиса\K07156189_21_20251115T151123Z.jpg</t>
  </si>
  <si>
    <t>сб 15.11.2025 — 15:11:23</t>
  </si>
  <si>
    <t>K07156189_21_20251115T151454Z.jpg</t>
  </si>
  <si>
    <t>4 Крыльцо офиса\K07156189_21_20251115T151454Z.jpg</t>
  </si>
  <si>
    <t>сб 15.11.2025 — 15:14:54</t>
  </si>
  <si>
    <t>K07156189_21_20251115T151540Z.jpg</t>
  </si>
  <si>
    <t>4 Крыльцо офиса\K07156189_21_20251115T151540Z.jpg</t>
  </si>
  <si>
    <t>сб 15.11.2025 — 15:15:40</t>
  </si>
  <si>
    <t>K07156189_21_20251115T151739Z.jpg</t>
  </si>
  <si>
    <t>4 Крыльцо офиса\K07156189_21_20251115T151739Z.jpg</t>
  </si>
  <si>
    <t>сб 15.11.2025 — 15:17:39</t>
  </si>
  <si>
    <t>K07156189_21_20251115T152643Z.jpg</t>
  </si>
  <si>
    <t>4 Крыльцо офиса\K07156189_21_20251115T152643Z.jpg</t>
  </si>
  <si>
    <t>сб 15.11.2025 — 15:26:43</t>
  </si>
  <si>
    <t>K07156189_21_20251115T165247Z.jpg</t>
  </si>
  <si>
    <t>4 Крыльцо офиса\K07156189_21_20251115T165247Z.jpg</t>
  </si>
  <si>
    <t>сб 15.11.2025 — 16:52:47</t>
  </si>
  <si>
    <t>K07156189_21_20251115T174218Z.jpg</t>
  </si>
  <si>
    <t>4 Крыльцо офиса\K07156189_21_20251115T174218Z.jpg</t>
  </si>
  <si>
    <t>сб 15.11.2025 — 17:42:18</t>
  </si>
  <si>
    <t>K07156189_21_20251116T085322Z.jpg</t>
  </si>
  <si>
    <t>4 Крыльцо офиса\K07156189_21_20251116T085322Z.jpg</t>
  </si>
  <si>
    <t>вс 16.11.2025 — 08:53:22</t>
  </si>
  <si>
    <t>K07156189_21_20251116T140449Z.jpg</t>
  </si>
  <si>
    <t>4 Крыльцо офиса\K07156189_21_20251116T140449Z.jpg</t>
  </si>
  <si>
    <t>вс 16.11.2025 — 14:04:49</t>
  </si>
  <si>
    <t>K07156189_21_20251116T171750Z.jpg</t>
  </si>
  <si>
    <t>4 Крыльцо офиса\K07156189_21_20251116T171750Z.jpg</t>
  </si>
  <si>
    <t>вс 16.11.2025 — 17:17:50</t>
  </si>
  <si>
    <t>K07156189_22_20251115T082852Z.jpg</t>
  </si>
  <si>
    <t>5 Крыльцо общага\K07156189_22_20251115T082852Z.jpg</t>
  </si>
  <si>
    <t>сб 15.11.2025 — 08:28:52</t>
  </si>
  <si>
    <t>K07156189_22_20251115T172355Z.jpg</t>
  </si>
  <si>
    <t>5 Крыльцо общага\K07156189_22_20251115T172355Z.jpg</t>
  </si>
  <si>
    <t>сб 15.11.2025 — 17:23:55</t>
  </si>
  <si>
    <t>K07156189_22_20251116T174640Z.jpg</t>
  </si>
  <si>
    <t>5 Крыльцо общага\K07156189_22_20251116T174640Z.jpg</t>
  </si>
  <si>
    <t>вс 16.11.2025 — 17:46:40</t>
  </si>
  <si>
    <t>Кромкорез</t>
  </si>
  <si>
    <t>Вывоз для погрузки</t>
  </si>
  <si>
    <t>Тюки</t>
  </si>
  <si>
    <t>E33149364_3_20251110T082736Z.jpg</t>
  </si>
  <si>
    <t>C:\ВИДЕОНАБЛЮДЕНИЕ 10-16 ноября\10 Сушилка навес\</t>
  </si>
  <si>
    <t>10 Сушилка навес\E33149364_3_20251110T082736Z.jpg</t>
  </si>
  <si>
    <t>пн 10.11.2025 — 08:27:36</t>
  </si>
  <si>
    <t>E33149364_3_20251110T084922Z.jpg</t>
  </si>
  <si>
    <t>10 Сушилка навес\E33149364_3_20251110T084922Z.jpg</t>
  </si>
  <si>
    <t>пн 10.11.2025 — 08:49:22</t>
  </si>
  <si>
    <t>E33149364_3_20251110T090915Z.jpg</t>
  </si>
  <si>
    <t>10 Сушилка навес\E33149364_3_20251110T090915Z.jpg</t>
  </si>
  <si>
    <t>пн 10.11.2025 — 09:09:15</t>
  </si>
  <si>
    <t>E33149364_3_20251110T091907Z.jpg</t>
  </si>
  <si>
    <t>10 Сушилка навес\E33149364_3_20251110T091907Z.jpg</t>
  </si>
  <si>
    <t>пн 10.11.2025 — 09:19:07</t>
  </si>
  <si>
    <t>E33149364_3_20251110T091915Z.jpg</t>
  </si>
  <si>
    <t>10 Сушилка навес\E33149364_3_20251110T091915Z.jpg</t>
  </si>
  <si>
    <t>пн 10.11.2025 — 09:19:15</t>
  </si>
  <si>
    <t>E33149364_3_20251110T091923Z.jpg</t>
  </si>
  <si>
    <t>10 Сушилка навес\E33149364_3_20251110T091923Z.jpg</t>
  </si>
  <si>
    <t>пн 10.11.2025 — 09:19:23</t>
  </si>
  <si>
    <t>E33149364_3_20251110T092046Z.jpg</t>
  </si>
  <si>
    <t>10 Сушилка навес\E33149364_3_20251110T092046Z.jpg</t>
  </si>
  <si>
    <t>пн 10.11.2025 — 09:20:46</t>
  </si>
  <si>
    <t>E33149364_3_20251110T092431Z.jpg</t>
  </si>
  <si>
    <t>10 Сушилка навес\E33149364_3_20251110T092431Z.jpg</t>
  </si>
  <si>
    <t>пн 10.11.2025 — 09:24:31</t>
  </si>
  <si>
    <t>E33149364_3_20251110T093205Z.jpg</t>
  </si>
  <si>
    <t>10 Сушилка навес\E33149364_3_20251110T093205Z.jpg</t>
  </si>
  <si>
    <t>пн 10.11.2025 — 09:32:05</t>
  </si>
  <si>
    <t>E33149364_3_20251110T094510Z.jpg</t>
  </si>
  <si>
    <t>10 Сушилка навес\E33149364_3_20251110T094510Z.jpg</t>
  </si>
  <si>
    <t>пн 10.11.2025 — 09:45:10</t>
  </si>
  <si>
    <t>E33149364_3_20251110T100407Z.jpg</t>
  </si>
  <si>
    <t>10 Сушилка навес\E33149364_3_20251110T100407Z.jpg</t>
  </si>
  <si>
    <t>пн 10.11.2025 — 10:04:07</t>
  </si>
  <si>
    <t>E33149364_3_20251110T100538Z.jpg</t>
  </si>
  <si>
    <t>10 Сушилка навес\E33149364_3_20251110T100538Z.jpg</t>
  </si>
  <si>
    <t>пн 10.11.2025 — 10:05:38</t>
  </si>
  <si>
    <t>E33149364_3_20251110T100704Z.jpg</t>
  </si>
  <si>
    <t>10 Сушилка навес\E33149364_3_20251110T100704Z.jpg</t>
  </si>
  <si>
    <t>пн 10.11.2025 — 10:07:04</t>
  </si>
  <si>
    <t>E33149364_3_20251110T100712Z.jpg</t>
  </si>
  <si>
    <t>10 Сушилка навес\E33149364_3_20251110T100712Z.jpg</t>
  </si>
  <si>
    <t>пн 10.11.2025 — 10:07:12</t>
  </si>
  <si>
    <t>E33149364_3_20251110T100752Z.jpg</t>
  </si>
  <si>
    <t>10 Сушилка навес\E33149364_3_20251110T100752Z.jpg</t>
  </si>
  <si>
    <t>пн 10.11.2025 — 10:07:52</t>
  </si>
  <si>
    <t>E33149364_3_20251110T101227Z.jpg</t>
  </si>
  <si>
    <t>10 Сушилка навес\E33149364_3_20251110T101227Z.jpg</t>
  </si>
  <si>
    <t>пн 10.11.2025 — 10:12:27</t>
  </si>
  <si>
    <t>E33149364_3_20251110T101342Z.jpg</t>
  </si>
  <si>
    <t>10 Сушилка навес\E33149364_3_20251110T101342Z.jpg</t>
  </si>
  <si>
    <t>пн 10.11.2025 — 10:13:42</t>
  </si>
  <si>
    <t>E33149364_3_20251110T101347Z.jpg</t>
  </si>
  <si>
    <t>10 Сушилка навес\E33149364_3_20251110T101347Z.jpg</t>
  </si>
  <si>
    <t>пн 10.11.2025 — 10:13:47</t>
  </si>
  <si>
    <t>E33149364_3_20251110T102055Z.jpg</t>
  </si>
  <si>
    <t>10 Сушилка навес\E33149364_3_20251110T102055Z.jpg</t>
  </si>
  <si>
    <t>пн 10.11.2025 — 10:20:55</t>
  </si>
  <si>
    <t>E33149364_3_20251110T102119Z.jpg</t>
  </si>
  <si>
    <t>10 Сушилка навес\E33149364_3_20251110T102119Z.jpg</t>
  </si>
  <si>
    <t>пн 10.11.2025 — 10:21:19</t>
  </si>
  <si>
    <t>E33149364_3_20251110T102126Z.jpg</t>
  </si>
  <si>
    <t>10 Сушилка навес\E33149364_3_20251110T102126Z.jpg</t>
  </si>
  <si>
    <t>пн 10.11.2025 — 10:21:26</t>
  </si>
  <si>
    <t>E33149364_3_20251110T102824Z.jpg</t>
  </si>
  <si>
    <t>10 Сушилка навес\E33149364_3_20251110T102824Z.jpg</t>
  </si>
  <si>
    <t>пн 10.11.2025 — 10:28:24</t>
  </si>
  <si>
    <t>E33149364_3_20251110T102830Z.jpg</t>
  </si>
  <si>
    <t>10 Сушилка навес\E33149364_3_20251110T102830Z.jpg</t>
  </si>
  <si>
    <t>пн 10.11.2025 — 10:28:30</t>
  </si>
  <si>
    <t>E33149364_3_20251110T102929Z.jpg</t>
  </si>
  <si>
    <t>10 Сушилка навес\E33149364_3_20251110T102929Z.jpg</t>
  </si>
  <si>
    <t>пн 10.11.2025 — 10:29:29</t>
  </si>
  <si>
    <t>E33149364_3_20251110T104728Z.jpg</t>
  </si>
  <si>
    <t>10 Сушилка навес\E33149364_3_20251110T104728Z.jpg</t>
  </si>
  <si>
    <t>пн 10.11.2025 — 10:47:28</t>
  </si>
  <si>
    <t>E33149364_3_20251110T105914Z.jpg</t>
  </si>
  <si>
    <t>10 Сушилка навес\E33149364_3_20251110T105914Z.jpg</t>
  </si>
  <si>
    <t>пн 10.11.2025 — 10:59:14</t>
  </si>
  <si>
    <t>E33149364_3_20251110T114149Z.jpg</t>
  </si>
  <si>
    <t>10 Сушилка навес\E33149364_3_20251110T114149Z.jpg</t>
  </si>
  <si>
    <t>пн 10.11.2025 — 11:41:49</t>
  </si>
  <si>
    <t>E33149364_3_20251110T114703Z.jpg</t>
  </si>
  <si>
    <t>10 Сушилка навес\E33149364_3_20251110T114703Z.jpg</t>
  </si>
  <si>
    <t>пн 10.11.2025 — 11:47:03</t>
  </si>
  <si>
    <t>E33149364_3_20251110T114706Z.jpg</t>
  </si>
  <si>
    <t>10 Сушилка навес\E33149364_3_20251110T114706Z.jpg</t>
  </si>
  <si>
    <t>пн 10.11.2025 — 11:47:06</t>
  </si>
  <si>
    <t>E33149364_3_20251110T120345Z.jpg</t>
  </si>
  <si>
    <t>10 Сушилка навес\E33149364_3_20251110T120345Z.jpg</t>
  </si>
  <si>
    <t>пн 10.11.2025 — 12:03:45</t>
  </si>
  <si>
    <t>E33149364_3_20251110T122223Z.jpg</t>
  </si>
  <si>
    <t>10 Сушилка навес\E33149364_3_20251110T122223Z.jpg</t>
  </si>
  <si>
    <t>пн 10.11.2025 — 12:22:23</t>
  </si>
  <si>
    <t>E33149364_3_20251110T122230Z.jpg</t>
  </si>
  <si>
    <t>10 Сушилка навес\E33149364_3_20251110T122230Z.jpg</t>
  </si>
  <si>
    <t>пн 10.11.2025 — 12:22:30</t>
  </si>
  <si>
    <t>E33149364_3_20251110T123131Z.jpg</t>
  </si>
  <si>
    <t>10 Сушилка навес\E33149364_3_20251110T123131Z.jpg</t>
  </si>
  <si>
    <t>пн 10.11.2025 — 12:31:31</t>
  </si>
  <si>
    <t>E33149364_3_20251110T123507Z.jpg</t>
  </si>
  <si>
    <t>10 Сушилка навес\E33149364_3_20251110T123507Z.jpg</t>
  </si>
  <si>
    <t>пн 10.11.2025 — 12:35:07</t>
  </si>
  <si>
    <t>E33149364_3_20251110T123510Z.jpg</t>
  </si>
  <si>
    <t>10 Сушилка навес\E33149364_3_20251110T123510Z.jpg</t>
  </si>
  <si>
    <t>пн 10.11.2025 — 12:35:10</t>
  </si>
  <si>
    <t>E33149364_3_20251110T123514Z.jpg</t>
  </si>
  <si>
    <t>10 Сушилка навес\E33149364_3_20251110T123514Z.jpg</t>
  </si>
  <si>
    <t>пн 10.11.2025 — 12:35:14</t>
  </si>
  <si>
    <t>E33149364_3_20251110T124304Z.jpg</t>
  </si>
  <si>
    <t>10 Сушилка навес\E33149364_3_20251110T124304Z.jpg</t>
  </si>
  <si>
    <t>пн 10.11.2025 — 12:43:04</t>
  </si>
  <si>
    <t>E33149364_3_20251110T140519Z.jpg</t>
  </si>
  <si>
    <t>10 Сушилка навес\E33149364_3_20251110T140519Z.jpg</t>
  </si>
  <si>
    <t>пн 10.11.2025 — 14:05:19</t>
  </si>
  <si>
    <t>E33149364_3_20251110T140616Z.jpg</t>
  </si>
  <si>
    <t>10 Сушилка навес\E33149364_3_20251110T140616Z.jpg</t>
  </si>
  <si>
    <t>пн 10.11.2025 — 14:06:16</t>
  </si>
  <si>
    <t>E33149364_3_20251110T141240Z.jpg</t>
  </si>
  <si>
    <t>10 Сушилка навес\E33149364_3_20251110T141240Z.jpg</t>
  </si>
  <si>
    <t>пн 10.11.2025 — 14:12:40</t>
  </si>
  <si>
    <t>E33149364_3_20251110T153119Z.jpg</t>
  </si>
  <si>
    <t>10 Сушилка навес\E33149364_3_20251110T153119Z.jpg</t>
  </si>
  <si>
    <t>пн 10.11.2025 — 15:31:19</t>
  </si>
  <si>
    <t>E33149364_3_20251110T155649Z.jpg</t>
  </si>
  <si>
    <t>E33149364_3_20251110T162806Z.jpg</t>
  </si>
  <si>
    <t>10 Сушилка навес\E33149364_3_20251110T162806Z.jpg</t>
  </si>
  <si>
    <t>пн 10.11.2025 — 16:28:06</t>
  </si>
  <si>
    <t>E33149364_3_20251111T083432Z.jpg</t>
  </si>
  <si>
    <t>10 Сушилка навес\E33149364_3_20251111T083432Z.jpg</t>
  </si>
  <si>
    <t>вт 11.11.2025 — 08:34:32</t>
  </si>
  <si>
    <t>E33149364_3_20251111T105021Z.jpg</t>
  </si>
  <si>
    <t>10 Сушилка навес\E33149364_3_20251111T105021Z.jpg</t>
  </si>
  <si>
    <t>вт 11.11.2025 — 10:50:21</t>
  </si>
  <si>
    <t>E33149364_3_20251111T105425Z.jpg</t>
  </si>
  <si>
    <t>10 Сушилка навес\E33149364_3_20251111T105425Z.jpg</t>
  </si>
  <si>
    <t>вт 11.11.2025 — 10:54:25</t>
  </si>
  <si>
    <t>E33149364_3_20251111T110201Z.jpg</t>
  </si>
  <si>
    <t>10 Сушилка навес\E33149364_3_20251111T110201Z.jpg</t>
  </si>
  <si>
    <t>вт 11.11.2025 — 11:02:01</t>
  </si>
  <si>
    <t>E33149364_3_20251111T110300Z.jpg</t>
  </si>
  <si>
    <t>10 Сушилка навес\E33149364_3_20251111T110300Z.jpg</t>
  </si>
  <si>
    <t>вт 11.11.2025 — 11:03:00</t>
  </si>
  <si>
    <t>E33149364_3_20251111T110552Z.jpg</t>
  </si>
  <si>
    <t>10 Сушилка навес\E33149364_3_20251111T110552Z.jpg</t>
  </si>
  <si>
    <t>вт 11.11.2025 — 11:05:52</t>
  </si>
  <si>
    <t>E33149364_3_20251111T110727Z.jpg</t>
  </si>
  <si>
    <t>10 Сушилка навес\E33149364_3_20251111T110727Z.jpg</t>
  </si>
  <si>
    <t>вт 11.11.2025 — 11:07:27</t>
  </si>
  <si>
    <t>E33149364_3_20251111T111306Z.jpg</t>
  </si>
  <si>
    <t>10 Сушилка навес\E33149364_3_20251111T111306Z.jpg</t>
  </si>
  <si>
    <t>вт 11.11.2025 — 11:13:06</t>
  </si>
  <si>
    <t>E33149364_3_20251111T112824Z.jpg</t>
  </si>
  <si>
    <t>10 Сушилка навес\E33149364_3_20251111T112824Z.jpg</t>
  </si>
  <si>
    <t>вт 11.11.2025 — 11:28:24</t>
  </si>
  <si>
    <t>E33149364_3_20251111T113405Z.jpg</t>
  </si>
  <si>
    <t>10 Сушилка навес\E33149364_3_20251111T113405Z.jpg</t>
  </si>
  <si>
    <t>вт 11.11.2025 — 11:34:05</t>
  </si>
  <si>
    <t>E33149364_3_20251111T113442Z.jpg</t>
  </si>
  <si>
    <t>10 Сушилка навес\E33149364_3_20251111T113442Z.jpg</t>
  </si>
  <si>
    <t>вт 11.11.2025 — 11:34:42</t>
  </si>
  <si>
    <t>E33149364_3_20251111T120530Z.jpg</t>
  </si>
  <si>
    <t>10 Сушилка навес\E33149364_3_20251111T120530Z.jpg</t>
  </si>
  <si>
    <t>вт 11.11.2025 — 12:05:30</t>
  </si>
  <si>
    <t>E33149364_3_20251111T120959Z.jpg</t>
  </si>
  <si>
    <t>10 Сушилка навес\E33149364_3_20251111T120959Z.jpg</t>
  </si>
  <si>
    <t>вт 11.11.2025 — 12:09:59</t>
  </si>
  <si>
    <t>E33149364_3_20251111T121326Z.jpg</t>
  </si>
  <si>
    <t>10 Сушилка навес\E33149364_3_20251111T121326Z.jpg</t>
  </si>
  <si>
    <t>вт 11.11.2025 — 12:13:26</t>
  </si>
  <si>
    <t>E33149364_3_20251111T121937Z.jpg</t>
  </si>
  <si>
    <t>10 Сушилка навес\E33149364_3_20251111T121937Z.jpg</t>
  </si>
  <si>
    <t>вт 11.11.2025 — 12:19:37</t>
  </si>
  <si>
    <t>E33149364_3_20251111T122353Z.jpg</t>
  </si>
  <si>
    <t>10 Сушилка навес\E33149364_3_20251111T122353Z.jpg</t>
  </si>
  <si>
    <t>вт 11.11.2025 — 12:23:53</t>
  </si>
  <si>
    <t>E33149364_3_20251111T124041Z.jpg</t>
  </si>
  <si>
    <t>10 Сушилка навес\E33149364_3_20251111T124041Z.jpg</t>
  </si>
  <si>
    <t>вт 11.11.2025 — 12:40:41</t>
  </si>
  <si>
    <t>E33149364_3_20251111T124105Z.jpg</t>
  </si>
  <si>
    <t>10 Сушилка навес\E33149364_3_20251111T124105Z.jpg</t>
  </si>
  <si>
    <t>вт 11.11.2025 — 12:41:05</t>
  </si>
  <si>
    <t>E33149364_3_20251111T124603Z.jpg</t>
  </si>
  <si>
    <t>10 Сушилка навес\E33149364_3_20251111T124603Z.jpg</t>
  </si>
  <si>
    <t>вт 11.11.2025 — 12:46:03</t>
  </si>
  <si>
    <t>E33149364_3_20251111T125756Z.jpg</t>
  </si>
  <si>
    <t>10 Сушилка навес\E33149364_3_20251111T125756Z.jpg</t>
  </si>
  <si>
    <t>вт 11.11.2025 — 12:57:56</t>
  </si>
  <si>
    <t>E33149364_3_20251111T143608Z.jpg</t>
  </si>
  <si>
    <t>10 Сушилка навес\E33149364_3_20251111T143608Z.jpg</t>
  </si>
  <si>
    <t>вт 11.11.2025 — 14:36:08</t>
  </si>
  <si>
    <t>E33149364_3_20251111T144558Z.jpg</t>
  </si>
  <si>
    <t>10 Сушилка навес\E33149364_3_20251111T144558Z.jpg</t>
  </si>
  <si>
    <t>вт 11.11.2025 — 14:45:58</t>
  </si>
  <si>
    <t>E33149364_3_20251111T145304Z.jpg</t>
  </si>
  <si>
    <t>10 Сушилка навес\E33149364_3_20251111T145304Z.jpg</t>
  </si>
  <si>
    <t>вт 11.11.2025 — 14:53:04</t>
  </si>
  <si>
    <t>E33149364_3_20251111T150132Z.jpg</t>
  </si>
  <si>
    <t>10 Сушилка навес\E33149364_3_20251111T150132Z.jpg</t>
  </si>
  <si>
    <t>вт 11.11.2025 — 15:01:32</t>
  </si>
  <si>
    <t>E33149364_3_20251111T155407Z.jpg</t>
  </si>
  <si>
    <t>10 Сушилка навес\E33149364_3_20251111T155407Z.jpg</t>
  </si>
  <si>
    <t>вт 11.11.2025 — 15:54:07</t>
  </si>
  <si>
    <t>E33149364_3_20251111T170407Z.jpg</t>
  </si>
  <si>
    <t>10 Сушилка навес\E33149364_3_20251111T170407Z.jpg</t>
  </si>
  <si>
    <t>вт 11.11.2025 — 17:04:07</t>
  </si>
  <si>
    <t>E33149364_3_20251112T085357Z.jpg</t>
  </si>
  <si>
    <t>10 Сушилка навес\E33149364_3_20251112T085357Z.jpg</t>
  </si>
  <si>
    <t>ср 12.11.2025 — 08:53:57</t>
  </si>
  <si>
    <t>E33149364_3_20251112T160225Z.jpg</t>
  </si>
  <si>
    <t>10 Сушилка навес\E33149364_3_20251112T160225Z.jpg</t>
  </si>
  <si>
    <t>ср 12.11.2025 — 16:02:25</t>
  </si>
  <si>
    <t>E33149364_3_20251113T090623Z.jpg</t>
  </si>
  <si>
    <t>10 Сушилка навес\E33149364_3_20251113T090623Z.jpg</t>
  </si>
  <si>
    <t>чт 13.11.2025 — 09:06:23</t>
  </si>
  <si>
    <t>E33149364_3_20251113T091445Z.jpg</t>
  </si>
  <si>
    <t>10 Сушилка навес\E33149364_3_20251113T091445Z.jpg</t>
  </si>
  <si>
    <t>чт 13.11.2025 — 09:14:45</t>
  </si>
  <si>
    <t>E33149364_3_20251113T091719Z.jpg</t>
  </si>
  <si>
    <t>10 Сушилка навес\E33149364_3_20251113T091719Z.jpg</t>
  </si>
  <si>
    <t>чт 13.11.2025 — 09:17:19</t>
  </si>
  <si>
    <t>E33149364_3_20251113T095854Z.jpg</t>
  </si>
  <si>
    <t>10 Сушилка навес\E33149364_3_20251113T095854Z.jpg</t>
  </si>
  <si>
    <t>чт 13.11.2025 — 09:58:54</t>
  </si>
  <si>
    <t>E33149364_3_20251113T162627Z.jpg</t>
  </si>
  <si>
    <t>10 Сушилка навес\E33149364_3_20251113T162627Z.jpg</t>
  </si>
  <si>
    <t>чт 13.11.2025 — 16:26:27</t>
  </si>
  <si>
    <t>E33149364_3_20251113T174823Z.jpg</t>
  </si>
  <si>
    <t>10 Сушилка навес\E33149364_3_20251113T174823Z.jpg</t>
  </si>
  <si>
    <t>чт 13.11.2025 — 17:48:23</t>
  </si>
  <si>
    <t>E33149364_3_20251114T090601Z.jpg</t>
  </si>
  <si>
    <t>10 Сушилка навес\E33149364_3_20251114T090601Z.jpg</t>
  </si>
  <si>
    <t>пт 14.11.2025 — 09:06:01</t>
  </si>
  <si>
    <t>E33149364_3_20251114T094021Z.jpg</t>
  </si>
  <si>
    <t>10 Сушилка навес\E33149364_3_20251114T094021Z.jpg</t>
  </si>
  <si>
    <t>пт 14.11.2025 — 09:40:21</t>
  </si>
  <si>
    <t>E33149364_3_20251114T094500Z.jpg</t>
  </si>
  <si>
    <t>10 Сушилка навес\E33149364_3_20251114T094500Z.jpg</t>
  </si>
  <si>
    <t>пт 14.11.2025 — 09:45:00</t>
  </si>
  <si>
    <t>E33149364_3_20251114T100715Z.jpg</t>
  </si>
  <si>
    <t>10 Сушилка навес\E33149364_3_20251114T100715Z.jpg</t>
  </si>
  <si>
    <t>пт 14.11.2025 — 10:07:15</t>
  </si>
  <si>
    <t>E33149364_3_20251114T113401Z.jpg</t>
  </si>
  <si>
    <t>10 Сушилка навес\E33149364_3_20251114T113401Z.jpg</t>
  </si>
  <si>
    <t>пт 14.11.2025 — 11:34:01</t>
  </si>
  <si>
    <t>E33149364_3_20251114T114254Z.jpg</t>
  </si>
  <si>
    <t>10 Сушилка навес\E33149364_3_20251114T114254Z.jpg</t>
  </si>
  <si>
    <t>пт 14.11.2025 — 11:42:54</t>
  </si>
  <si>
    <t>E33149364_3_20251114T115516Z.jpg</t>
  </si>
  <si>
    <t>10 Сушилка навес\E33149364_3_20251114T115516Z.jpg</t>
  </si>
  <si>
    <t>пт 14.11.2025 — 11:55:16</t>
  </si>
  <si>
    <t>E33149364_3_20251114T120736Z.jpg</t>
  </si>
  <si>
    <t>10 Сушилка навес\E33149364_3_20251114T120736Z.jpg</t>
  </si>
  <si>
    <t>пт 14.11.2025 — 12:07:36</t>
  </si>
  <si>
    <t>E33149364_3_20251114T122346Z.jpg</t>
  </si>
  <si>
    <t>10 Сушилка навес\E33149364_3_20251114T122346Z.jpg</t>
  </si>
  <si>
    <t>пт 14.11.2025 — 12:23:46</t>
  </si>
  <si>
    <t>E33149364_3_20251114T124228Z.jpg</t>
  </si>
  <si>
    <t>10 Сушилка навес\E33149364_3_20251114T124228Z.jpg</t>
  </si>
  <si>
    <t>пт 14.11.2025 — 12:42:28</t>
  </si>
  <si>
    <t>E33149364_3_20251114T125921Z.jpg</t>
  </si>
  <si>
    <t>10 Сушилка навес\E33149364_3_20251114T125921Z.jpg</t>
  </si>
  <si>
    <t>пт 14.11.2025 — 12:59:21</t>
  </si>
  <si>
    <t>E33149364_3_20251114T135301Z.jpg</t>
  </si>
  <si>
    <t>10 Сушилка навес\E33149364_3_20251114T135301Z.jpg</t>
  </si>
  <si>
    <t>пт 14.11.2025 — 13:53:01</t>
  </si>
  <si>
    <t>E33149364_3_20251114T171512Z.jpg</t>
  </si>
  <si>
    <t>10 Сушилка навес\E33149364_3_20251114T171512Z.jpg</t>
  </si>
  <si>
    <t>пт 14.11.2025 — 17:15:12</t>
  </si>
  <si>
    <t>E33149364_3_20251115T101948Z.jpg</t>
  </si>
  <si>
    <t>10 Сушилка навес\E33149364_3_20251115T101948Z.jpg</t>
  </si>
  <si>
    <t>сб 15.11.2025 — 10:19:48</t>
  </si>
  <si>
    <t>E33149364_3_20251115T114000Z.jpg</t>
  </si>
  <si>
    <t>10 Сушилка навес\E33149364_3_20251115T114000Z.jpg</t>
  </si>
  <si>
    <t>сб 15.11.2025 — 11:40:00</t>
  </si>
  <si>
    <t>E33149364_3_20251115T124412Z.jpg</t>
  </si>
  <si>
    <t>10 Сушилка навес\E33149364_3_20251115T124412Z.jpg</t>
  </si>
  <si>
    <t>сб 15.11.2025 — 12:44:12</t>
  </si>
  <si>
    <t>E33149364_3_20251115T173413Z.jpg</t>
  </si>
  <si>
    <t>10 Сушилка навес\E33149364_3_20251115T173413Z.jpg</t>
  </si>
  <si>
    <t>сб 15.11.2025 — 17:34:13</t>
  </si>
  <si>
    <t>E33149364_3_20251116T093616Z.jpg</t>
  </si>
  <si>
    <t>10 Сушилка навес\E33149364_3_20251116T093616Z.jpg</t>
  </si>
  <si>
    <t>вс 16.11.2025 — 09:36:16</t>
  </si>
  <si>
    <t>E33149364_3_20251116T102413Z.jpg</t>
  </si>
  <si>
    <t>10 Сушилка навес\E33149364_3_20251116T102413Z.jpg</t>
  </si>
  <si>
    <t>вс 16.11.2025 — 10:24:13</t>
  </si>
  <si>
    <t>E33149364_3_20251116T110727Z.jpg</t>
  </si>
  <si>
    <t>10 Сушилка навес\E33149364_3_20251116T110727Z.jpg</t>
  </si>
  <si>
    <t>вс 16.11.2025 — 11:07:27</t>
  </si>
  <si>
    <t>E33149364_3_20251116T171211Z.jpg</t>
  </si>
  <si>
    <t>10 Сушилка навес\E33149364_3_20251116T171211Z.jpg</t>
  </si>
  <si>
    <t>вс 16.11.2025 — 17:12:11</t>
  </si>
  <si>
    <t>E33149364_3_20251116T182255Z.jpg</t>
  </si>
  <si>
    <t>10 Сушилка навес\E33149364_3_20251116T182255Z.jpg</t>
  </si>
  <si>
    <t>вс 16.11.2025 — 18:22:55</t>
  </si>
  <si>
    <t>Сушилка навес</t>
  </si>
  <si>
    <t>Перемещение из ангара</t>
  </si>
  <si>
    <t>на пилораму</t>
  </si>
  <si>
    <t>Прибытие</t>
  </si>
  <si>
    <t>Сотрудник</t>
  </si>
  <si>
    <t>пустые мешки</t>
  </si>
  <si>
    <t>груженный</t>
  </si>
  <si>
    <t>Сотудники</t>
  </si>
  <si>
    <t>в сушилку</t>
  </si>
  <si>
    <t>в штабель</t>
  </si>
  <si>
    <t>Доски с погрузки</t>
  </si>
  <si>
    <t>Мусорный контейнер</t>
  </si>
  <si>
    <t>Перевозка</t>
  </si>
  <si>
    <t>Погрузка этап</t>
  </si>
  <si>
    <t>доски красные</t>
  </si>
  <si>
    <t>из под навеса</t>
  </si>
  <si>
    <t>металлические уголки</t>
  </si>
  <si>
    <t>из ангара</t>
  </si>
  <si>
    <t>отрезок бревна</t>
  </si>
  <si>
    <t>тюки</t>
  </si>
  <si>
    <t>Работа сушилки</t>
  </si>
  <si>
    <t>Сухие сучья</t>
  </si>
  <si>
    <t>конец дня</t>
  </si>
  <si>
    <t>со второстепенной дороги</t>
  </si>
  <si>
    <t>E33149364_4_20251110T081545Z.jpg</t>
  </si>
  <si>
    <t>C:\ВИДЕОНАБЛЮДЕНИЕ 10-16 ноября\11 С ангара на базу\</t>
  </si>
  <si>
    <t>11 С ангара на базу\E33149364_4_20251110T081545Z.jpg</t>
  </si>
  <si>
    <t>пн 10.11.2025 — 08:15:45</t>
  </si>
  <si>
    <t>E33149364_4_20251110T093042Z.jpg</t>
  </si>
  <si>
    <t>11 С ангара на базу\E33149364_4_20251110T093042Z.jpg</t>
  </si>
  <si>
    <t>пн 10.11.2025 — 09:30:42</t>
  </si>
  <si>
    <t>E33149364_4_20251110T093110Z.jpg</t>
  </si>
  <si>
    <t>11 С ангара на базу\E33149364_4_20251110T093110Z.jpg</t>
  </si>
  <si>
    <t>пн 10.11.2025 — 09:31:10</t>
  </si>
  <si>
    <t>E33149364_4_20251110T093351Z.jpg</t>
  </si>
  <si>
    <t>11 С ангара на базу\E33149364_4_20251110T093351Z.jpg</t>
  </si>
  <si>
    <t>пн 10.11.2025 — 09:33:51</t>
  </si>
  <si>
    <t>E33149364_4_20251110T093412Z.jpg</t>
  </si>
  <si>
    <t>11 С ангара на базу\E33149364_4_20251110T093412Z.jpg</t>
  </si>
  <si>
    <t>пн 10.11.2025 — 09:34:12</t>
  </si>
  <si>
    <t>E33149364_4_20251110T093426Z.jpg</t>
  </si>
  <si>
    <t>11 С ангара на базу\E33149364_4_20251110T093426Z.jpg</t>
  </si>
  <si>
    <t>пн 10.11.2025 — 09:34:26</t>
  </si>
  <si>
    <t>E33149364_4_20251110T093812Z.jpg</t>
  </si>
  <si>
    <t>11 С ангара на базу\E33149364_4_20251110T093812Z.jpg</t>
  </si>
  <si>
    <t>пн 10.11.2025 — 09:38:12</t>
  </si>
  <si>
    <t>E33149364_4_20251110T093833Z.jpg</t>
  </si>
  <si>
    <t>11 С ангара на базу\E33149364_4_20251110T093833Z.jpg</t>
  </si>
  <si>
    <t>пн 10.11.2025 — 09:38:33</t>
  </si>
  <si>
    <t>E33149364_4_20251110T094037Z.jpg</t>
  </si>
  <si>
    <t>11 С ангара на базу\E33149364_4_20251110T094037Z.jpg</t>
  </si>
  <si>
    <t>пн 10.11.2025 — 09:40:37</t>
  </si>
  <si>
    <t>E33149364_4_20251110T094100Z.jpg</t>
  </si>
  <si>
    <t>11 С ангара на базу\E33149364_4_20251110T094100Z.jpg</t>
  </si>
  <si>
    <t>пн 10.11.2025 — 09:41:00</t>
  </si>
  <si>
    <t>E33149364_4_20251110T094115Z.jpg</t>
  </si>
  <si>
    <t>11 С ангара на базу\E33149364_4_20251110T094115Z.jpg</t>
  </si>
  <si>
    <t>пн 10.11.2025 — 09:41:15</t>
  </si>
  <si>
    <t>E33149364_4_20251110T094431Z.jpg</t>
  </si>
  <si>
    <t>11 С ангара на базу\E33149364_4_20251110T094431Z.jpg</t>
  </si>
  <si>
    <t>пн 10.11.2025 — 09:44:31</t>
  </si>
  <si>
    <t>E33149364_4_20251110T094445Z.jpg</t>
  </si>
  <si>
    <t>11 С ангара на базу\E33149364_4_20251110T094445Z.jpg</t>
  </si>
  <si>
    <t>пн 10.11.2025 — 09:44:45</t>
  </si>
  <si>
    <t>E33149364_4_20251110T094854Z.jpg</t>
  </si>
  <si>
    <t>11 С ангара на базу\E33149364_4_20251110T094854Z.jpg</t>
  </si>
  <si>
    <t>пн 10.11.2025 — 09:48:54</t>
  </si>
  <si>
    <t>E33149364_4_20251110T094920Z.jpg</t>
  </si>
  <si>
    <t>11 С ангара на базу\E33149364_4_20251110T094920Z.jpg</t>
  </si>
  <si>
    <t>пн 10.11.2025 — 09:49:20</t>
  </si>
  <si>
    <t>E33149364_4_20251110T100812Z.jpg</t>
  </si>
  <si>
    <t>11 С ангара на базу\E33149364_4_20251110T100812Z.jpg</t>
  </si>
  <si>
    <t>пн 10.11.2025 — 10:08:12</t>
  </si>
  <si>
    <t>E33149364_4_20251110T145801Z.jpg</t>
  </si>
  <si>
    <t>11 С ангара на базу\E33149364_4_20251110T145801Z.jpg</t>
  </si>
  <si>
    <t>пн 10.11.2025 — 14:58:01</t>
  </si>
  <si>
    <t>E33149364_4_20251110T150138Z.jpg</t>
  </si>
  <si>
    <t>11 С ангара на базу\E33149364_4_20251110T150138Z.jpg</t>
  </si>
  <si>
    <t>пн 10.11.2025 — 15:01:38</t>
  </si>
  <si>
    <t>E33149364_4_20251110T150147Z.jpg</t>
  </si>
  <si>
    <t>11 С ангара на базу\E33149364_4_20251110T150147Z.jpg</t>
  </si>
  <si>
    <t>пн 10.11.2025 — 15:01:47</t>
  </si>
  <si>
    <t>E33149364_4_20251110T150257Z.jpg</t>
  </si>
  <si>
    <t>11 С ангара на базу\E33149364_4_20251110T150257Z.jpg</t>
  </si>
  <si>
    <t>пн 10.11.2025 — 15:02:57</t>
  </si>
  <si>
    <t>E33149364_4_20251110T150427Z.jpg</t>
  </si>
  <si>
    <t>11 С ангара на базу\E33149364_4_20251110T150427Z.jpg</t>
  </si>
  <si>
    <t>пн 10.11.2025 — 15:04:27</t>
  </si>
  <si>
    <t>E33149364_4_20251110T150637Z.jpg</t>
  </si>
  <si>
    <t>11 С ангара на базу\E33149364_4_20251110T150637Z.jpg</t>
  </si>
  <si>
    <t>пн 10.11.2025 — 15:06:37</t>
  </si>
  <si>
    <t>E33149364_4_20251110T150725Z.jpg</t>
  </si>
  <si>
    <t>11 С ангара на базу\E33149364_4_20251110T150725Z.jpg</t>
  </si>
  <si>
    <t>пн 10.11.2025 — 15:07:25</t>
  </si>
  <si>
    <t>E33149364_4_20251110T150749Z.jpg</t>
  </si>
  <si>
    <t>11 С ангара на базу\E33149364_4_20251110T150749Z.jpg</t>
  </si>
  <si>
    <t>пн 10.11.2025 — 15:07:49</t>
  </si>
  <si>
    <t>E33149364_4_20251110T150827Z.jpg</t>
  </si>
  <si>
    <t>11 С ангара на базу\E33149364_4_20251110T150827Z.jpg</t>
  </si>
  <si>
    <t>пн 10.11.2025 — 15:08:27</t>
  </si>
  <si>
    <t>E33149364_4_20251110T150845Z.jpg</t>
  </si>
  <si>
    <t>11 С ангара на базу\E33149364_4_20251110T150845Z.jpg</t>
  </si>
  <si>
    <t>пн 10.11.2025 — 15:08:45</t>
  </si>
  <si>
    <t>E33149364_4_20251110T171913Z.jpg</t>
  </si>
  <si>
    <t>11 С ангара на базу\E33149364_4_20251110T171913Z.jpg</t>
  </si>
  <si>
    <t>пн 10.11.2025 — 17:19:13</t>
  </si>
  <si>
    <t>E33149364_4_20251111T082023Z.jpg</t>
  </si>
  <si>
    <t>11 С ангара на базу\E33149364_4_20251111T082023Z.jpg</t>
  </si>
  <si>
    <t>вт 11.11.2025 — 08:20:23</t>
  </si>
  <si>
    <t>E33149364_4_20251111T105534Z.jpg</t>
  </si>
  <si>
    <t>11 С ангара на базу\E33149364_4_20251111T105534Z.jpg</t>
  </si>
  <si>
    <t>вт 11.11.2025 — 10:55:34</t>
  </si>
  <si>
    <t>E33149364_4_20251111T105631Z.jpg</t>
  </si>
  <si>
    <t>11 С ангара на базу\E33149364_4_20251111T105631Z.jpg</t>
  </si>
  <si>
    <t>вт 11.11.2025 — 10:56:31</t>
  </si>
  <si>
    <t>E33149364_4_20251111T113446Z.jpg</t>
  </si>
  <si>
    <t>11 С ангара на базу\E33149364_4_20251111T113446Z.jpg</t>
  </si>
  <si>
    <t>вт 11.11.2025 — 11:34:46</t>
  </si>
  <si>
    <t>E33149364_4_20251111T122242Z.jpg</t>
  </si>
  <si>
    <t>11 С ангара на базу\E33149364_4_20251111T122242Z.jpg</t>
  </si>
  <si>
    <t>вт 11.11.2025 — 12:22:42</t>
  </si>
  <si>
    <t>E33149364_4_20251111T122831Z.jpg</t>
  </si>
  <si>
    <t>11 С ангара на базу\E33149364_4_20251111T122831Z.jpg</t>
  </si>
  <si>
    <t>вт 11.11.2025 — 12:28:31</t>
  </si>
  <si>
    <t>E33149364_4_20251111T123337Z.jpg</t>
  </si>
  <si>
    <t>11 С ангара на базу\E33149364_4_20251111T123337Z.jpg</t>
  </si>
  <si>
    <t>вт 11.11.2025 — 12:33:37</t>
  </si>
  <si>
    <t>E33149364_4_20251111T123340Z.jpg</t>
  </si>
  <si>
    <t>11 С ангара на базу\E33149364_4_20251111T123340Z.jpg</t>
  </si>
  <si>
    <t>вт 11.11.2025 — 12:33:40</t>
  </si>
  <si>
    <t>E33149364_4_20251111T123852Z.jpg</t>
  </si>
  <si>
    <t>11 С ангара на базу\E33149364_4_20251111T123852Z.jpg</t>
  </si>
  <si>
    <t>вт 11.11.2025 — 12:38:52</t>
  </si>
  <si>
    <t>E33149364_4_20251111T124747Z.jpg</t>
  </si>
  <si>
    <t>11 С ангара на базу\E33149364_4_20251111T124747Z.jpg</t>
  </si>
  <si>
    <t>вт 11.11.2025 — 12:47:47</t>
  </si>
  <si>
    <t>E33149364_4_20251111T170429Z.jpg</t>
  </si>
  <si>
    <t>11 С ангара на базу\E33149364_4_20251111T170429Z.jpg</t>
  </si>
  <si>
    <t>вт 11.11.2025 — 17:04:29</t>
  </si>
  <si>
    <t>E33149364_4_20251112T094329Z.jpg</t>
  </si>
  <si>
    <t>11 С ангара на базу\E33149364_4_20251112T094329Z.jpg</t>
  </si>
  <si>
    <t>ср 12.11.2025 — 09:43:29</t>
  </si>
  <si>
    <t>E33149364_4_20251112T094346Z.jpg</t>
  </si>
  <si>
    <t>11 С ангара на базу\E33149364_4_20251112T094346Z.jpg</t>
  </si>
  <si>
    <t>ср 12.11.2025 — 09:43:46</t>
  </si>
  <si>
    <t>E33149364_4_20251112T164218Z.jpg</t>
  </si>
  <si>
    <t>11 С ангара на базу\E33149364_4_20251112T164218Z.jpg</t>
  </si>
  <si>
    <t>ср 12.11.2025 — 16:42:18</t>
  </si>
  <si>
    <t>E33149364_4_20251112T164321Z.jpg</t>
  </si>
  <si>
    <t>11 С ангара на базу\E33149364_4_20251112T164321Z.jpg</t>
  </si>
  <si>
    <t>ср 12.11.2025 — 16:43:21</t>
  </si>
  <si>
    <t>E33149364_4_20251112T170151Z.jpg</t>
  </si>
  <si>
    <t>11 С ангара на базу\E33149364_4_20251112T170151Z.jpg</t>
  </si>
  <si>
    <t>ср 12.11.2025 — 17:01:51</t>
  </si>
  <si>
    <t>E33149364_4_20251112T174816Z.jpg</t>
  </si>
  <si>
    <t>11 С ангара на базу\E33149364_4_20251112T174816Z.jpg</t>
  </si>
  <si>
    <t>ср 12.11.2025 — 17:48:16</t>
  </si>
  <si>
    <t>E33149364_4_20251113T085132Z.jpg</t>
  </si>
  <si>
    <t>11 С ангара на базу\E33149364_4_20251113T085132Z.jpg</t>
  </si>
  <si>
    <t>чт 13.11.2025 — 08:51:32</t>
  </si>
  <si>
    <t>E33149364_4_20251113T091945Z.jpg</t>
  </si>
  <si>
    <t>11 С ангара на базу\E33149364_4_20251113T091945Z.jpg</t>
  </si>
  <si>
    <t>чт 13.11.2025 — 09:19:45</t>
  </si>
  <si>
    <t>E33149364_4_20251113T123707Z.jpg</t>
  </si>
  <si>
    <t>11 С ангара на базу\E33149364_4_20251113T123707Z.jpg</t>
  </si>
  <si>
    <t>чт 13.11.2025 — 12:37:07</t>
  </si>
  <si>
    <t>E33149364_4_20251113T162612Z.jpg</t>
  </si>
  <si>
    <t>11 С ангара на базу\E33149364_4_20251113T162612Z.jpg</t>
  </si>
  <si>
    <t>чт 13.11.2025 — 16:26:12</t>
  </si>
  <si>
    <t>E33149364_4_20251113T175256Z.jpg</t>
  </si>
  <si>
    <t>11 С ангара на базу\E33149364_4_20251113T175256Z.jpg</t>
  </si>
  <si>
    <t>чт 13.11.2025 — 17:52:56</t>
  </si>
  <si>
    <t>E33149364_4_20251114T084522Z.jpg</t>
  </si>
  <si>
    <t>11 С ангара на базу\E33149364_4_20251114T084522Z.jpg</t>
  </si>
  <si>
    <t>пт 14.11.2025 — 08:45:22</t>
  </si>
  <si>
    <t>E33149364_4_20251114T101608Z.jpg</t>
  </si>
  <si>
    <t>11 С ангара на базу\E33149364_4_20251114T101608Z.jpg</t>
  </si>
  <si>
    <t>пт 14.11.2025 — 10:16:08</t>
  </si>
  <si>
    <t>E33149364_4_20251114T101613Z.jpg</t>
  </si>
  <si>
    <t>11 С ангара на базу\E33149364_4_20251114T101613Z.jpg</t>
  </si>
  <si>
    <t>пт 14.11.2025 — 10:16:13</t>
  </si>
  <si>
    <t>E33149364_4_20251114T102706Z.jpg</t>
  </si>
  <si>
    <t>11 С ангара на базу\E33149364_4_20251114T102706Z.jpg</t>
  </si>
  <si>
    <t>пт 14.11.2025 — 10:27:06</t>
  </si>
  <si>
    <t>E33149364_4_20251114T111709Z.jpg</t>
  </si>
  <si>
    <t>11 С ангара на базу\E33149364_4_20251114T111709Z.jpg</t>
  </si>
  <si>
    <t>пт 14.11.2025 — 11:17:09</t>
  </si>
  <si>
    <t>E33149364_4_20251114T120651Z.jpg</t>
  </si>
  <si>
    <t>11 С ангара на базу\E33149364_4_20251114T120651Z.jpg</t>
  </si>
  <si>
    <t>пт 14.11.2025 — 12:06:51</t>
  </si>
  <si>
    <t>E33149364_4_20251114T124152Z.jpg</t>
  </si>
  <si>
    <t>11 С ангара на базу\E33149364_4_20251114T124152Z.jpg</t>
  </si>
  <si>
    <t>пт 14.11.2025 — 12:41:52</t>
  </si>
  <si>
    <t>E33149364_4_20251114T173034Z.jpg</t>
  </si>
  <si>
    <t>11 С ангара на базу\E33149364_4_20251114T173034Z.jpg</t>
  </si>
  <si>
    <t>пт 14.11.2025 — 17:30:34</t>
  </si>
  <si>
    <t>E33149364_4_20251115T082909Z.jpg</t>
  </si>
  <si>
    <t>11 С ангара на базу\E33149364_4_20251115T082909Z.jpg</t>
  </si>
  <si>
    <t>сб 15.11.2025 — 08:29:09</t>
  </si>
  <si>
    <t>E33149364_4_20251115T132329Z.jpg</t>
  </si>
  <si>
    <t>11 С ангара на базу\E33149364_4_20251115T132329Z.jpg</t>
  </si>
  <si>
    <t>сб 15.11.2025 — 13:23:29</t>
  </si>
  <si>
    <t>E33149364_4_20251115T173426Z.jpg</t>
  </si>
  <si>
    <t>11 С ангара на базу\E33149364_4_20251115T173426Z.jpg</t>
  </si>
  <si>
    <t>сб 15.11.2025 — 17:34:26</t>
  </si>
  <si>
    <t>E33149364_4_20251116T084549Z.jpg</t>
  </si>
  <si>
    <t>11 С ангара на базу\E33149364_4_20251116T084549Z.jpg</t>
  </si>
  <si>
    <t>вс 16.11.2025 — 08:45:49</t>
  </si>
  <si>
    <t>E33149364_4_20251116T133309Z.jpg</t>
  </si>
  <si>
    <t>11 С ангара на базу\E33149364_4_20251116T133309Z.jpg</t>
  </si>
  <si>
    <t>вс 16.11.2025 — 13:33:09</t>
  </si>
  <si>
    <t>E33149364_4_20251116T170814Z.jpg</t>
  </si>
  <si>
    <t>11 С ангара на базу\E33149364_4_20251116T170814Z.jpg</t>
  </si>
  <si>
    <t>вс 16.11.2025 — 17:08:14</t>
  </si>
  <si>
    <t>С ангара на базу</t>
  </si>
  <si>
    <t>на разгрузку напротив навеса</t>
  </si>
  <si>
    <t>Проезд этап</t>
  </si>
  <si>
    <t>Разгрузка этап</t>
  </si>
  <si>
    <t>Перемена места</t>
  </si>
  <si>
    <t>для перемещения</t>
  </si>
  <si>
    <t>загрузка досками</t>
  </si>
  <si>
    <t>с землей</t>
  </si>
  <si>
    <t>на разгрузку около пилорамы</t>
  </si>
  <si>
    <t>K07156189_20_20251110T075843Z.jpg</t>
  </si>
  <si>
    <t>12 Площадка 3 кран\K07156189_20_20251110T075843Z.jpg</t>
  </si>
  <si>
    <t>пн 10.11.2025 — 07:58:43</t>
  </si>
  <si>
    <t>K07156189_20_20251110T100947Z.jpg</t>
  </si>
  <si>
    <t>12 Площадка 3 кран\K07156189_20_20251110T100947Z.jpg</t>
  </si>
  <si>
    <t>пн 10.11.2025 — 10:09:47</t>
  </si>
  <si>
    <t>K07156189_20_20251110T103116Z.jpg</t>
  </si>
  <si>
    <t>12 Площадка 3 кран\K07156189_20_20251110T103116Z.jpg</t>
  </si>
  <si>
    <t>пн 10.11.2025 — 10:31:16</t>
  </si>
  <si>
    <t>K07156189_20_20251110T103323Z.jpg</t>
  </si>
  <si>
    <t>12 Площадка 3 кран\K07156189_20_20251110T103323Z.jpg</t>
  </si>
  <si>
    <t>пн 10.11.2025 — 10:33:23</t>
  </si>
  <si>
    <t>K07156189_20_20251110T112924Z.jpg</t>
  </si>
  <si>
    <t>12 Площадка 3 кран\K07156189_20_20251110T112924Z.jpg</t>
  </si>
  <si>
    <t>пн 10.11.2025 — 11:29:24</t>
  </si>
  <si>
    <t>K07156189_20_20251110T121810Z.jpg</t>
  </si>
  <si>
    <t>12 Площадка 3 кран\K07156189_20_20251110T121810Z.jpg</t>
  </si>
  <si>
    <t>пн 10.11.2025 — 12:18:10</t>
  </si>
  <si>
    <t>K07156189_20_20251110T123332Z.jpg</t>
  </si>
  <si>
    <t>12 Площадка 3 кран\K07156189_20_20251110T123332Z.jpg</t>
  </si>
  <si>
    <t>пн 10.11.2025 — 12:33:32</t>
  </si>
  <si>
    <t>K07156189_20_20251110T131903Z.jpg</t>
  </si>
  <si>
    <t>12 Площадка 3 кран\K07156189_20_20251110T131903Z.jpg</t>
  </si>
  <si>
    <t>пн 10.11.2025 — 13:19:03</t>
  </si>
  <si>
    <t>K07156189_20_20251110T144352Z.jpg</t>
  </si>
  <si>
    <t>12 Площадка 3 кран\K07156189_20_20251110T144352Z.jpg</t>
  </si>
  <si>
    <t>пн 10.11.2025 — 14:43:52</t>
  </si>
  <si>
    <t>K07156189_20_20251110T173841Z.jpg</t>
  </si>
  <si>
    <t>12 Площадка 3 кран\K07156189_20_20251110T173841Z.jpg</t>
  </si>
  <si>
    <t>пн 10.11.2025 — 17:38:41</t>
  </si>
  <si>
    <t>K07156189_20_20251110T174844Z.jpg</t>
  </si>
  <si>
    <t>12 Площадка 3 кран\K07156189_20_20251110T174844Z.jpg</t>
  </si>
  <si>
    <t>пн 10.11.2025 — 17:48:44</t>
  </si>
  <si>
    <t>K07156189_20_20251110T180857Z.jpg</t>
  </si>
  <si>
    <t>12 Площадка 3 кран\K07156189_20_20251110T180857Z.jpg</t>
  </si>
  <si>
    <t>пн 10.11.2025 — 18:08:57</t>
  </si>
  <si>
    <t>K07156189_20_20251111T080644Z.jpg</t>
  </si>
  <si>
    <t>12 Площадка 3 кран\K07156189_20_20251111T080644Z.jpg</t>
  </si>
  <si>
    <t>вт 11.11.2025 — 08:06:44</t>
  </si>
  <si>
    <t>K07156189_20_20251111T111650Z.jpg</t>
  </si>
  <si>
    <t>12 Площадка 3 кран\K07156189_20_20251111T111650Z.jpg</t>
  </si>
  <si>
    <t>вт 11.11.2025 — 11:16:50</t>
  </si>
  <si>
    <t>K07156189_20_20251111T152721Z.jpg</t>
  </si>
  <si>
    <t>12 Площадка 3 кран\K07156189_20_20251111T152721Z.jpg</t>
  </si>
  <si>
    <t>вт 11.11.2025 — 15:27:21</t>
  </si>
  <si>
    <t>K07156189_20_20251111T162610Z.jpg</t>
  </si>
  <si>
    <t>12 Площадка 3 кран\K07156189_20_20251111T162610Z.jpg</t>
  </si>
  <si>
    <t>вт 11.11.2025 — 16:26:10</t>
  </si>
  <si>
    <t>K07156189_20_20251111T174852Z.jpg</t>
  </si>
  <si>
    <t>12 Площадка 3 кран\K07156189_20_20251111T174852Z.jpg</t>
  </si>
  <si>
    <t>вт 11.11.2025 — 17:48:52</t>
  </si>
  <si>
    <t>K07156189_20_20251112T100838Z.jpg</t>
  </si>
  <si>
    <t>12 Площадка 3 кран\K07156189_20_20251112T100838Z.jpg</t>
  </si>
  <si>
    <t>ср 12.11.2025 — 10:08:38</t>
  </si>
  <si>
    <t>K07156189_20_20251112T131653Z.jpg</t>
  </si>
  <si>
    <t>12 Площадка 3 кран\K07156189_20_20251112T131653Z.jpg</t>
  </si>
  <si>
    <t>ср 12.11.2025 — 13:16:53</t>
  </si>
  <si>
    <t>K07156189_20_20251112T155305Z.jpg</t>
  </si>
  <si>
    <t>12 Площадка 3 кран\K07156189_20_20251112T155305Z.jpg</t>
  </si>
  <si>
    <t>ср 12.11.2025 — 15:53:05</t>
  </si>
  <si>
    <t>K07156189_20_20251112T162440Z.jpg</t>
  </si>
  <si>
    <t>12 Площадка 3 кран\K07156189_20_20251112T162440Z.jpg</t>
  </si>
  <si>
    <t>ср 12.11.2025 — 16:24:40</t>
  </si>
  <si>
    <t>K07156189_20_20251113T093650Z.jpg</t>
  </si>
  <si>
    <t>12 Площадка 3 кран\K07156189_20_20251113T093650Z.jpg</t>
  </si>
  <si>
    <t>чт 13.11.2025 — 09:36:50</t>
  </si>
  <si>
    <t>K07156189_20_20251113T095401Z.jpg</t>
  </si>
  <si>
    <t>12 Площадка 3 кран\K07156189_20_20251113T095401Z.jpg</t>
  </si>
  <si>
    <t>чт 13.11.2025 — 09:54:01</t>
  </si>
  <si>
    <t>K07156189_20_20251113T142748Z.jpg</t>
  </si>
  <si>
    <t>12 Площадка 3 кран\K07156189_20_20251113T142748Z.jpg</t>
  </si>
  <si>
    <t>чт 13.11.2025 — 14:27:48</t>
  </si>
  <si>
    <t>K07156189_20_20251113T180420Z.jpg</t>
  </si>
  <si>
    <t>12 Площадка 3 кран\K07156189_20_20251113T180420Z.jpg</t>
  </si>
  <si>
    <t>чт 13.11.2025 — 18:04:20</t>
  </si>
  <si>
    <t>K07156189_20_20251114T093138Z.jpg</t>
  </si>
  <si>
    <t>12 Площадка 3 кран\K07156189_20_20251114T093138Z.jpg</t>
  </si>
  <si>
    <t>пт 14.11.2025 — 09:31:38</t>
  </si>
  <si>
    <t>K07156189_20_20251114T112812Z.jpg</t>
  </si>
  <si>
    <t>12 Площадка 3 кран\K07156189_20_20251114T112812Z.jpg</t>
  </si>
  <si>
    <t>пт 14.11.2025 — 11:28:12</t>
  </si>
  <si>
    <t>K07156189_20_20251114T112915Z.jpg</t>
  </si>
  <si>
    <t>12 Площадка 3 кран\K07156189_20_20251114T112915Z.jpg</t>
  </si>
  <si>
    <t>пт 14.11.2025 — 11:29:15</t>
  </si>
  <si>
    <t>K07156189_20_20251114T113837Z.jpg</t>
  </si>
  <si>
    <t>12 Площадка 3 кран\K07156189_20_20251114T113837Z.jpg</t>
  </si>
  <si>
    <t>пт 14.11.2025 — 11:38:37</t>
  </si>
  <si>
    <t>K07156189_20_20251114T113918Z.jpg</t>
  </si>
  <si>
    <t>12 Площадка 3 кран\K07156189_20_20251114T113918Z.jpg</t>
  </si>
  <si>
    <t>пт 14.11.2025 — 11:39:18</t>
  </si>
  <si>
    <t>K07156189_20_20251114T181544Z.jpg</t>
  </si>
  <si>
    <t>12 Площадка 3 кран\K07156189_20_20251114T181544Z.jpg</t>
  </si>
  <si>
    <t>пт 14.11.2025 — 18:15:44</t>
  </si>
  <si>
    <t>K07156189_20_20251115T080936Z.jpg</t>
  </si>
  <si>
    <t>12 Площадка 3 кран\K07156189_20_20251115T080936Z.jpg</t>
  </si>
  <si>
    <t>сб 15.11.2025 — 08:09:36</t>
  </si>
  <si>
    <t>K07156189_20_20251115T175510Z.jpg</t>
  </si>
  <si>
    <t>12 Площадка 3 кран\K07156189_20_20251115T175510Z.jpg</t>
  </si>
  <si>
    <t>сб 15.11.2025 — 17:55:10</t>
  </si>
  <si>
    <t>K07156189_20_20251116T085854Z.jpg</t>
  </si>
  <si>
    <t>12 Площадка 3 кран\K07156189_20_20251116T085854Z.jpg</t>
  </si>
  <si>
    <t>вс 16.11.2025 — 08:58:54</t>
  </si>
  <si>
    <t>K07156189_20_20251116T114000Z.jpg</t>
  </si>
  <si>
    <t>12 Площадка 3 кран\K07156189_20_20251116T114000Z.jpg</t>
  </si>
  <si>
    <t>вс 16.11.2025 — 11:40:00</t>
  </si>
  <si>
    <t>K07156189_20_20251116T124350Z.jpg</t>
  </si>
  <si>
    <t>12 Площадка 3 кран\K07156189_20_20251116T124350Z.jpg</t>
  </si>
  <si>
    <t>вс 16.11.2025 — 12:43:50</t>
  </si>
  <si>
    <t>Площадка 3 кран</t>
  </si>
  <si>
    <t>Территория, трактор</t>
  </si>
  <si>
    <t>Работа с бревнами</t>
  </si>
  <si>
    <t>K07156189_23_20251110T174442Z.jpg</t>
  </si>
  <si>
    <t>13 Склад хол\K07156189_23_20251110T174442Z.jpg</t>
  </si>
  <si>
    <t>пн 10.11.2025 — 17:44:42</t>
  </si>
  <si>
    <t>K07156189_23_20251110T174852Z.jpg</t>
  </si>
  <si>
    <t>13 Склад хол\K07156189_23_20251110T174852Z.jpg</t>
  </si>
  <si>
    <t>пн 10.11.2025 — 17:48:52</t>
  </si>
  <si>
    <t>K07156189_23_20251110T180314Z.jpg</t>
  </si>
  <si>
    <t>13 Склад хол\K07156189_23_20251110T180314Z.jpg</t>
  </si>
  <si>
    <t>пн 10.11.2025 — 18:03:14</t>
  </si>
  <si>
    <t>K07156189_23_20251111T162840Z.jpg</t>
  </si>
  <si>
    <t>13 Склад хол\K07156189_23_20251111T162840Z.jpg</t>
  </si>
  <si>
    <t>вт 11.11.2025 — 16:28:40</t>
  </si>
  <si>
    <t>K07156189_23_20251111T174511Z.jpg</t>
  </si>
  <si>
    <t>13 Склад хол\K07156189_23_20251111T174511Z.jpg</t>
  </si>
  <si>
    <t>вт 11.11.2025 — 17:45:11</t>
  </si>
  <si>
    <t>K07156189_23_20251112T123608Z.jpg</t>
  </si>
  <si>
    <t>13 Склад хол\K07156189_23_20251112T123608Z.jpg</t>
  </si>
  <si>
    <t>ср 12.11.2025 — 12:36:08</t>
  </si>
  <si>
    <t>K07156189_23_20251112T123715Z.jpg</t>
  </si>
  <si>
    <t>13 Склад хол\K07156189_23_20251112T123715Z.jpg</t>
  </si>
  <si>
    <t>ср 12.11.2025 — 12:37:15</t>
  </si>
  <si>
    <t>K07156189_23_20251112T123738Z.jpg</t>
  </si>
  <si>
    <t>13 Склад хол\K07156189_23_20251112T123738Z.jpg</t>
  </si>
  <si>
    <t>ср 12.11.2025 — 12:37:38</t>
  </si>
  <si>
    <t>K07156189_23_20251112T131702Z.jpg</t>
  </si>
  <si>
    <t>13 Склад хол\K07156189_23_20251112T131702Z.jpg</t>
  </si>
  <si>
    <t>ср 12.11.2025 — 13:17:02</t>
  </si>
  <si>
    <t>K07156189_23_20251112T150813Z.jpg</t>
  </si>
  <si>
    <t>13 Склад хол\K07156189_23_20251112T150813Z.jpg</t>
  </si>
  <si>
    <t>ср 12.11.2025 — 15:08:13</t>
  </si>
  <si>
    <t>K07156189_23_20251112T171111Z.jpg</t>
  </si>
  <si>
    <t>13 Склад хол\K07156189_23_20251112T171111Z.jpg</t>
  </si>
  <si>
    <t>ср 12.11.2025 — 17:11:11</t>
  </si>
  <si>
    <t>K07156189_23_20251113T080850Z.jpg</t>
  </si>
  <si>
    <t>13 Склад хол\K07156189_23_20251113T080850Z.jpg</t>
  </si>
  <si>
    <t>чт 13.11.2025 — 08:08:50</t>
  </si>
  <si>
    <t>K07156189_23_20251113T143845Z.jpg</t>
  </si>
  <si>
    <t>13 Склад хол\K07156189_23_20251113T143845Z.jpg</t>
  </si>
  <si>
    <t>чт 13.11.2025 — 14:38:45</t>
  </si>
  <si>
    <t>K07156189_23_20251113T162448Z.jpg</t>
  </si>
  <si>
    <t>13 Склад хол\K07156189_23_20251113T162448Z.jpg</t>
  </si>
  <si>
    <t>чт 13.11.2025 — 16:24:48</t>
  </si>
  <si>
    <t>K07156189_23_20251113T162458Z.jpg</t>
  </si>
  <si>
    <t>13 Склад хол\K07156189_23_20251113T162458Z.jpg</t>
  </si>
  <si>
    <t>чт 13.11.2025 — 16:24:58</t>
  </si>
  <si>
    <t>K07156189_23_20251113T170208Z.jpg</t>
  </si>
  <si>
    <t>13 Склад хол\K07156189_23_20251113T170208Z.jpg</t>
  </si>
  <si>
    <t>чт 13.11.2025 — 17:02:08</t>
  </si>
  <si>
    <t>K07156189_23_20251115T080010Z.jpg</t>
  </si>
  <si>
    <t>13 Склад хол\K07156189_23_20251115T080010Z.jpg</t>
  </si>
  <si>
    <t>сб 15.11.2025 — 08:00:10</t>
  </si>
  <si>
    <t>K07156189_23_20251116T084004Z.jpg</t>
  </si>
  <si>
    <t>13 Склад хол\K07156189_23_20251116T084004Z.jpg</t>
  </si>
  <si>
    <t>вс 16.11.2025 — 08:40:04</t>
  </si>
  <si>
    <t>K07156189_23_20251116T141714Z.jpg</t>
  </si>
  <si>
    <t>13 Склад хол\K07156189_23_20251116T141714Z.jpg</t>
  </si>
  <si>
    <t>вс 16.11.2025 — 14:17:14</t>
  </si>
  <si>
    <t>K07156189_23_20251116T174255Z.jpg</t>
  </si>
  <si>
    <t>13 Склад хол\K07156189_23_20251116T174255Z.jpg</t>
  </si>
  <si>
    <t>вс 16.11.2025 — 17:42:55</t>
  </si>
  <si>
    <t>Склад хол</t>
  </si>
  <si>
    <t>металлические листы</t>
  </si>
  <si>
    <t>Загрузка этап</t>
  </si>
  <si>
    <t>какой-то агрегат</t>
  </si>
  <si>
    <t>Трактор желтый</t>
  </si>
  <si>
    <t>Легковая сторонняя</t>
  </si>
  <si>
    <t>E33149364_6_20251115T151813Z.jpg</t>
  </si>
  <si>
    <t>без событий</t>
  </si>
  <si>
    <t>Территория, работа трактора</t>
  </si>
  <si>
    <t>начало работы</t>
  </si>
  <si>
    <t>окончание работы</t>
  </si>
  <si>
    <t>рядом с отрезками бревен</t>
  </si>
  <si>
    <t>начало дня</t>
  </si>
  <si>
    <t>агрегат</t>
  </si>
  <si>
    <t>с легковой с прицепом</t>
  </si>
  <si>
    <t>Перемещение этап</t>
  </si>
  <si>
    <t>Переезд для загрузки</t>
  </si>
  <si>
    <t>нет дневных записей</t>
  </si>
  <si>
    <t>826398429_1_20251115T085931Z.jpg</t>
  </si>
  <si>
    <t>6 Площадка 1 общага\826398429_1_20251115T085931Z.jpg</t>
  </si>
  <si>
    <t>сб 15.11.2025 — 08:59:31</t>
  </si>
  <si>
    <t>826398429_1_20251115T172033Z.jpg</t>
  </si>
  <si>
    <t>6 Площадка 1 общага\826398429_1_20251115T172033Z.jpg</t>
  </si>
  <si>
    <t>сб 15.11.2025 — 17:20:33</t>
  </si>
  <si>
    <t>826398429_1_20251116T170326Z.jpg</t>
  </si>
  <si>
    <t>6 Площадка 1 общага\826398429_1_20251116T170326Z.jpg</t>
  </si>
  <si>
    <t>вс 16.11.2025 — 17:03:26</t>
  </si>
  <si>
    <t>Работа станка</t>
  </si>
  <si>
    <t>E33149364_7_20251117T174635Z.jpg</t>
  </si>
  <si>
    <t>2 Пилорама поката\E33149364_7_20251117T174635Z.jpg</t>
  </si>
  <si>
    <t>пн 17.11.2025 — 17:46:35</t>
  </si>
  <si>
    <t>E33149364_7_20251118T112350Z.jpg</t>
  </si>
  <si>
    <t>2 Пилорама поката\E33149364_7_20251118T112350Z.jpg</t>
  </si>
  <si>
    <t>вт 18.11.2025 — 11:23:50</t>
  </si>
  <si>
    <t>E33149364_7_20251119T170240Z.jpg</t>
  </si>
  <si>
    <t>2 Пилорама поката\E33149364_7_20251119T170240Z.jpg</t>
  </si>
  <si>
    <t>ср 19.11.2025 — 17:02:40</t>
  </si>
  <si>
    <t>E33149364_7_20251120T162323Z.jpg</t>
  </si>
  <si>
    <t>2 Пилорама поката\E33149364_7_20251120T162323Z.jpg</t>
  </si>
  <si>
    <t>чт 20.11.2025 — 16:23:23</t>
  </si>
  <si>
    <t>E33149364_7_20251120T165633Z.jpg</t>
  </si>
  <si>
    <t>2 Пилорама поката\E33149364_7_20251120T165633Z.jpg</t>
  </si>
  <si>
    <t>чт 20.11.2025 — 16:56:33</t>
  </si>
  <si>
    <t>E33149364_7_20251121T174307Z.jpg</t>
  </si>
  <si>
    <t>2 Пилорама поката\E33149364_7_20251121T174307Z.jpg</t>
  </si>
  <si>
    <t>пт 21.11.2025 — 17:43:07</t>
  </si>
  <si>
    <t>E33149364_7_20251122T173238Z.jpg</t>
  </si>
  <si>
    <t>2 Пилорама поката\E33149364_7_20251122T173238Z.jpg</t>
  </si>
  <si>
    <t>сб 22.11.2025 — 17:32:38</t>
  </si>
  <si>
    <t>E33149364_7_20251123T171909Z.jpg</t>
  </si>
  <si>
    <t>2 Пилорама поката\E33149364_7_20251123T171909Z.jpg</t>
  </si>
  <si>
    <t>вс 23.11.2025 — 17:19:09</t>
  </si>
  <si>
    <t>E33149364_6_20251117T173330Z.jpg</t>
  </si>
  <si>
    <t>E33149364_6_20251118T090558Z.jpg</t>
  </si>
  <si>
    <t>E33149364_6_20251118T094148Z.jpg</t>
  </si>
  <si>
    <t>E33149364_6_20251118T102134Z.jpg</t>
  </si>
  <si>
    <t>E33149364_6_20251118T102612Z.jpg</t>
  </si>
  <si>
    <t>E33149364_6_20251118T143628Z.jpg</t>
  </si>
  <si>
    <t>E33149364_6_20251119T105917Z.jpg</t>
  </si>
  <si>
    <t>E33149364_6_20251119T113819Z.jpg</t>
  </si>
  <si>
    <t>E33149364_6_20251119T114703Z.jpg</t>
  </si>
  <si>
    <t>E33149364_6_20251119T115240Z.jpg</t>
  </si>
  <si>
    <t>E33149364_6_20251120T164933Z.jpg</t>
  </si>
  <si>
    <t>E33149364_6_20251121T105828Z.jpg</t>
  </si>
  <si>
    <t>E33149364_6_20251121T110048Z.jpg</t>
  </si>
  <si>
    <t>E33149364_6_20251122T135731Z.jpg</t>
  </si>
  <si>
    <t>E33149364_6_20251123T154552Z.jpg</t>
  </si>
  <si>
    <t>E33149364_8_20251117T172418Z.jpg</t>
  </si>
  <si>
    <t>пн 17.11.2025 — 17:24:18</t>
  </si>
  <si>
    <t>E33149364_8_20251118T090052Z.jpg</t>
  </si>
  <si>
    <t>вт 18.11.2025 — 09:00:52</t>
  </si>
  <si>
    <t>E33149364_8_20251118T135928Z.jpg</t>
  </si>
  <si>
    <t>3 Въезд на базу\E33149364_8_20251118T135928Z.jpg</t>
  </si>
  <si>
    <t>вт 18.11.2025 — 13:59:28</t>
  </si>
  <si>
    <t>E33149364_8_20251119T114812Z.jpg</t>
  </si>
  <si>
    <t>ср 19.11.2025 — 11:48:12</t>
  </si>
  <si>
    <t>E33149364_8_20251120T142609Z.jpg</t>
  </si>
  <si>
    <t>чт 20.11.2025 — 14:26:09</t>
  </si>
  <si>
    <t>E33149364_8_20251120T171848Z.jpg</t>
  </si>
  <si>
    <t>чт 20.11.2025 — 17:18:48</t>
  </si>
  <si>
    <t>E33149364_8_20251121T103406Z.jpg</t>
  </si>
  <si>
    <t>3 Въезд на базу\E33149364_8_20251121T103406Z.jpg</t>
  </si>
  <si>
    <t>пт 21.11.2025 — 10:34:06</t>
  </si>
  <si>
    <t>E33149364_8_20251121T172500Z.jpg</t>
  </si>
  <si>
    <t>пт 21.11.2025 — 17:25:00</t>
  </si>
  <si>
    <t>E33149364_8_20251122T172018Z.jpg</t>
  </si>
  <si>
    <t>сб 22.11.2025 — 17:20:18</t>
  </si>
  <si>
    <t>E33149364_8_20251123T161608Z.jpg</t>
  </si>
  <si>
    <t>вс 23.11.2025 — 16:16:08</t>
  </si>
  <si>
    <t>K07156189_22_20251117T173809Z.jpg</t>
  </si>
  <si>
    <t>5 Крыльцо общага\K07156189_22_20251117T173809Z.jpg</t>
  </si>
  <si>
    <t>пн 17.11.2025 — 17:38:09</t>
  </si>
  <si>
    <t>K07156189_22_20251118T102546Z.jpg</t>
  </si>
  <si>
    <t>5 Крыльцо общага\K07156189_22_20251118T102546Z.jpg</t>
  </si>
  <si>
    <t>вт 18.11.2025 — 10:25:46</t>
  </si>
  <si>
    <t>K07156189_22_20251119T112125Z.jpg</t>
  </si>
  <si>
    <t>5 Крыльцо общага\K07156189_22_20251119T112125Z.jpg</t>
  </si>
  <si>
    <t>ср 19.11.2025 — 11:21:25</t>
  </si>
  <si>
    <t>K07156189_22_20251120T084555Z.jpg</t>
  </si>
  <si>
    <t>5 Крыльцо общага\K07156189_22_20251120T084555Z.jpg</t>
  </si>
  <si>
    <t>чт 20.11.2025 — 08:45:55</t>
  </si>
  <si>
    <t>K07156189_22_20251121T172102Z.jpg</t>
  </si>
  <si>
    <t>5 Крыльцо общага\K07156189_22_20251121T172102Z.jpg</t>
  </si>
  <si>
    <t>пт 21.11.2025 — 17:21:02</t>
  </si>
  <si>
    <t>K07156189_22_20251122T171807Z.jpg</t>
  </si>
  <si>
    <t>5 Крыльцо общага\K07156189_22_20251122T171807Z.jpg</t>
  </si>
  <si>
    <t>сб 22.11.2025 — 17:18:07</t>
  </si>
  <si>
    <t>K07156189_22_20251123T101525Z.jpg</t>
  </si>
  <si>
    <t>5 Крыльцо общага\K07156189_22_20251123T101525Z.jpg</t>
  </si>
  <si>
    <t>вс 23.11.2025 — 10:15:25</t>
  </si>
  <si>
    <t>826398429_1_20251117T165749Z.jpg</t>
  </si>
  <si>
    <t>6 Площадка 1 общага\826398429_1_20251117T165749Z.jpg</t>
  </si>
  <si>
    <t>пн 17.11.2025 — 16:57:49</t>
  </si>
  <si>
    <t>826398429_1_20251119T170415Z.jpg</t>
  </si>
  <si>
    <t>6 Площадка 1 общага\826398429_1_20251119T170415Z.jpg</t>
  </si>
  <si>
    <t>ср 19.11.2025 — 17:04:15</t>
  </si>
  <si>
    <t>826398429_1_20251120T172509Z.jpg</t>
  </si>
  <si>
    <t>6 Площадка 1 общага\826398429_1_20251120T172509Z.jpg</t>
  </si>
  <si>
    <t>чт 20.11.2025 — 17:25:09</t>
  </si>
  <si>
    <t>826398429_1_20251121T141627Z.jpg</t>
  </si>
  <si>
    <t>6 Площадка 1 общага\826398429_1_20251121T141627Z.jpg</t>
  </si>
  <si>
    <t>пт 21.11.2025 — 14:16:27</t>
  </si>
  <si>
    <t>826398429_1_20251122T164927Z.jpg</t>
  </si>
  <si>
    <t>6 Площадка 1 общага\826398429_1_20251122T164927Z.jpg</t>
  </si>
  <si>
    <t>сб 22.11.2025 — 16:49:27</t>
  </si>
  <si>
    <t>826398429_1_20251123T160916Z.jpg</t>
  </si>
  <si>
    <t>6 Площадка 1 общага\826398429_1_20251123T160916Z.jpg</t>
  </si>
  <si>
    <t>вс 23.11.2025 — 16:09:16</t>
  </si>
  <si>
    <t>K07156189_21_20251117T173647Z.jpg</t>
  </si>
  <si>
    <t>4 Крыльцо офиса\K07156189_21_20251117T173647Z.jpg</t>
  </si>
  <si>
    <t>пн 17.11.2025 — 17:36:47</t>
  </si>
  <si>
    <t>K07156189_21_20251118T141331Z.jpg</t>
  </si>
  <si>
    <t>4 Крыльцо офиса\K07156189_21_20251118T141331Z.jpg</t>
  </si>
  <si>
    <t>вт 18.11.2025 — 14:13:31</t>
  </si>
  <si>
    <t>K07156189_21_20251120T100409Z.jpg</t>
  </si>
  <si>
    <t>4 Крыльцо офиса\K07156189_21_20251120T100409Z.jpg</t>
  </si>
  <si>
    <t>чт 20.11.2025 — 10:04:09</t>
  </si>
  <si>
    <t>K07156189_21_20251120T172754Z.jpg</t>
  </si>
  <si>
    <t>4 Крыльцо офиса\K07156189_21_20251120T172754Z.jpg</t>
  </si>
  <si>
    <t>чт 20.11.2025 — 17:27:54</t>
  </si>
  <si>
    <t>K07156189_21_20251121T172534Z.jpg</t>
  </si>
  <si>
    <t>4 Крыльцо офиса\K07156189_21_20251121T172534Z.jpg</t>
  </si>
  <si>
    <t>пт 21.11.2025 — 17:25:34</t>
  </si>
  <si>
    <t>K07156189_21_20251122T173302Z.jpg</t>
  </si>
  <si>
    <t>4 Крыльцо офиса\K07156189_21_20251122T173302Z.jpg</t>
  </si>
  <si>
    <t>сб 22.11.2025 — 17:33:02</t>
  </si>
  <si>
    <t>K07156189_21_20251123T170927Z.jpg</t>
  </si>
  <si>
    <t>4 Крыльцо офиса\K07156189_21_20251123T170927Z.jpg</t>
  </si>
  <si>
    <t>вс 23.11.2025 — 17:09:27</t>
  </si>
  <si>
    <t>K07156189_18_20251117T101936Z.jpg</t>
  </si>
  <si>
    <t>7 Площадка 2 бетонщики\K07156189_18_20251117T101936Z.jpg</t>
  </si>
  <si>
    <t>пн 17.11.2025 — 10:19:36</t>
  </si>
  <si>
    <t>K07156189_18_20251117T111048Z.jpg</t>
  </si>
  <si>
    <t>7 Площадка 2 бетонщики\K07156189_18_20251117T111048Z.jpg</t>
  </si>
  <si>
    <t>пн 17.11.2025 — 11:10:48</t>
  </si>
  <si>
    <t>K07156189_18_20251117T114833Z.jpg</t>
  </si>
  <si>
    <t>7 Площадка 2 бетонщики\K07156189_18_20251117T114833Z.jpg</t>
  </si>
  <si>
    <t>пн 17.11.2025 — 11:48:33</t>
  </si>
  <si>
    <t>K07156189_18_20251117T121506Z.jpg</t>
  </si>
  <si>
    <t>7 Площадка 2 бетонщики\K07156189_18_20251117T121506Z.jpg</t>
  </si>
  <si>
    <t>пн 17.11.2025 — 12:15:06</t>
  </si>
  <si>
    <t>K07156189_18_20251117T122144Z.jpg</t>
  </si>
  <si>
    <t>7 Площадка 2 бетонщики\K07156189_18_20251117T122144Z.jpg</t>
  </si>
  <si>
    <t>пн 17.11.2025 — 12:21:44</t>
  </si>
  <si>
    <t>K07156189_18_20251117T122805Z.jpg</t>
  </si>
  <si>
    <t>7 Площадка 2 бетонщики\K07156189_18_20251117T122805Z.jpg</t>
  </si>
  <si>
    <t>пн 17.11.2025 — 12:28:05</t>
  </si>
  <si>
    <t>K07156189_18_20251117T141527Z.jpg</t>
  </si>
  <si>
    <t>7 Площадка 2 бетонщики\K07156189_18_20251117T141527Z.jpg</t>
  </si>
  <si>
    <t>пн 17.11.2025 — 14:15:27</t>
  </si>
  <si>
    <t>K07156189_18_20251117T155547Z.jpg</t>
  </si>
  <si>
    <t>7 Площадка 2 бетонщики\K07156189_18_20251117T155547Z.jpg</t>
  </si>
  <si>
    <t>пн 17.11.2025 — 15:55:47</t>
  </si>
  <si>
    <t>K07156189_18_20251117T163718Z.jpg</t>
  </si>
  <si>
    <t>7 Площадка 2 бетонщики\K07156189_18_20251117T163718Z.jpg</t>
  </si>
  <si>
    <t>пн 17.11.2025 — 16:37:18</t>
  </si>
  <si>
    <t>K07156189_18_20251117T165840Z.jpg</t>
  </si>
  <si>
    <t>7 Площадка 2 бетонщики\K07156189_18_20251117T165840Z.jpg</t>
  </si>
  <si>
    <t>пн 17.11.2025 — 16:58:40</t>
  </si>
  <si>
    <t>K07156189_18_20251118T093720Z.jpg</t>
  </si>
  <si>
    <t>7 Площадка 2 бетонщики\K07156189_18_20251118T093720Z.jpg</t>
  </si>
  <si>
    <t>вт 18.11.2025 — 09:37:20</t>
  </si>
  <si>
    <t>K07156189_18_20251118T094139Z.jpg</t>
  </si>
  <si>
    <t>7 Площадка 2 бетонщики\K07156189_18_20251118T094139Z.jpg</t>
  </si>
  <si>
    <t>вт 18.11.2025 — 09:41:39</t>
  </si>
  <si>
    <t>K07156189_18_20251118T095817Z.jpg</t>
  </si>
  <si>
    <t>7 Площадка 2 бетонщики\K07156189_18_20251118T095817Z.jpg</t>
  </si>
  <si>
    <t>вт 18.11.2025 — 09:58:17</t>
  </si>
  <si>
    <t>K07156189_18_20251118T101015Z.jpg</t>
  </si>
  <si>
    <t>7 Площадка 2 бетонщики\K07156189_18_20251118T101015Z.jpg</t>
  </si>
  <si>
    <t>вт 18.11.2025 — 10:10:15</t>
  </si>
  <si>
    <t>K07156189_18_20251118T104839Z.jpg</t>
  </si>
  <si>
    <t>7 Площадка 2 бетонщики\K07156189_18_20251118T104839Z.jpg</t>
  </si>
  <si>
    <t>вт 18.11.2025 — 10:48:39</t>
  </si>
  <si>
    <t>K07156189_18_20251118T110826Z.jpg</t>
  </si>
  <si>
    <t>7 Площадка 2 бетонщики\K07156189_18_20251118T110826Z.jpg</t>
  </si>
  <si>
    <t>вт 18.11.2025 — 11:08:26</t>
  </si>
  <si>
    <t>K07156189_18_20251118T111740Z.jpg</t>
  </si>
  <si>
    <t>7 Площадка 2 бетонщики\K07156189_18_20251118T111740Z.jpg</t>
  </si>
  <si>
    <t>вт 18.11.2025 — 11:17:40</t>
  </si>
  <si>
    <t>K07156189_18_20251118T140423Z.jpg</t>
  </si>
  <si>
    <t>7 Площадка 2 бетонщики\K07156189_18_20251118T140423Z.jpg</t>
  </si>
  <si>
    <t>вт 18.11.2025 — 14:04:23</t>
  </si>
  <si>
    <t>K07156189_18_20251118T142101Z.jpg</t>
  </si>
  <si>
    <t>7 Площадка 2 бетонщики\K07156189_18_20251118T142101Z.jpg</t>
  </si>
  <si>
    <t>вт 18.11.2025 — 14:21:01</t>
  </si>
  <si>
    <t>K07156189_18_20251118T143941Z.jpg</t>
  </si>
  <si>
    <t>7 Площадка 2 бетонщики\K07156189_18_20251118T143941Z.jpg</t>
  </si>
  <si>
    <t>вт 18.11.2025 — 14:39:41</t>
  </si>
  <si>
    <t>K07156189_18_20251118T150212Z.jpg</t>
  </si>
  <si>
    <t>7 Площадка 2 бетонщики\K07156189_18_20251118T150212Z.jpg</t>
  </si>
  <si>
    <t>вт 18.11.2025 — 15:02:12</t>
  </si>
  <si>
    <t>K07156189_18_20251118T150725Z.jpg</t>
  </si>
  <si>
    <t>7 Площадка 2 бетонщики\K07156189_18_20251118T150725Z.jpg</t>
  </si>
  <si>
    <t>вт 18.11.2025 — 15:07:25</t>
  </si>
  <si>
    <t>K07156189_18_20251118T151923Z.jpg</t>
  </si>
  <si>
    <t>7 Площадка 2 бетонщики\K07156189_18_20251118T151923Z.jpg</t>
  </si>
  <si>
    <t>вт 18.11.2025 — 15:19:23</t>
  </si>
  <si>
    <t>K07156189_18_20251118T165354Z.jpg</t>
  </si>
  <si>
    <t>7 Площадка 2 бетонщики\K07156189_18_20251118T165354Z.jpg</t>
  </si>
  <si>
    <t>вт 18.11.2025 — 16:53:54</t>
  </si>
  <si>
    <t>K07156189_18_20251119T150627Z.jpg</t>
  </si>
  <si>
    <t>7 Площадка 2 бетонщики\K07156189_18_20251119T150627Z.jpg</t>
  </si>
  <si>
    <t>ср 19.11.2025 — 15:06:27</t>
  </si>
  <si>
    <t>K07156189_18_20251120T170828Z.jpg</t>
  </si>
  <si>
    <t>7 Площадка 2 бетонщики\K07156189_18_20251120T170828Z.jpg</t>
  </si>
  <si>
    <t>чт 20.11.2025 — 17:08:28</t>
  </si>
  <si>
    <t>E33149364_2_20251117T093650Z.jpg</t>
  </si>
  <si>
    <t>8 Рейсмус\E33149364_2_20251117T093650Z.jpg</t>
  </si>
  <si>
    <t>пн 17.11.2025 — 09:36:50</t>
  </si>
  <si>
    <t>E33149364_2_20251117T095908Z.jpg</t>
  </si>
  <si>
    <t>8 Рейсмус\E33149364_2_20251117T095908Z.jpg</t>
  </si>
  <si>
    <t>пн 17.11.2025 — 09:59:08</t>
  </si>
  <si>
    <t>E33149364_2_20251117T103145Z.jpg</t>
  </si>
  <si>
    <t>8 Рейсмус\E33149364_2_20251117T103145Z.jpg</t>
  </si>
  <si>
    <t>пн 17.11.2025 — 10:31:45</t>
  </si>
  <si>
    <t>E33149364_2_20251117T105328Z.jpg</t>
  </si>
  <si>
    <t>8 Рейсмус\E33149364_2_20251117T105328Z.jpg</t>
  </si>
  <si>
    <t>пн 17.11.2025 — 10:53:28</t>
  </si>
  <si>
    <t>E33149364_2_20251117T112145Z.jpg</t>
  </si>
  <si>
    <t>8 Рейсмус\E33149364_2_20251117T112145Z.jpg</t>
  </si>
  <si>
    <t>пн 17.11.2025 — 11:21:45</t>
  </si>
  <si>
    <t>E33149364_2_20251117T120242Z.jpg</t>
  </si>
  <si>
    <t>8 Рейсмус\E33149364_2_20251117T120242Z.jpg</t>
  </si>
  <si>
    <t>пн 17.11.2025 — 12:02:42</t>
  </si>
  <si>
    <t>E33149364_2_20251117T145438Z.jpg</t>
  </si>
  <si>
    <t>8 Рейсмус\E33149364_2_20251117T145438Z.jpg</t>
  </si>
  <si>
    <t>пн 17.11.2025 — 14:54:38</t>
  </si>
  <si>
    <t>E33149364_2_20251117T150140Z.jpg</t>
  </si>
  <si>
    <t>8 Рейсмус\E33149364_2_20251117T150140Z.jpg</t>
  </si>
  <si>
    <t>пн 17.11.2025 — 15:01:40</t>
  </si>
  <si>
    <t>E33149364_2_20251117T175832Z.jpg</t>
  </si>
  <si>
    <t>8 Рейсмус\E33149364_2_20251117T175832Z.jpg</t>
  </si>
  <si>
    <t>пн 17.11.2025 — 17:58:32</t>
  </si>
  <si>
    <t>E33149364_2_20251117T191752Z.jpg</t>
  </si>
  <si>
    <t>8 Рейсмус\E33149364_2_20251117T191752Z.jpg</t>
  </si>
  <si>
    <t>пн 17.11.2025 — 19:17:52</t>
  </si>
  <si>
    <t>E33149364_2_20251117T195004Z.jpg</t>
  </si>
  <si>
    <t>8 Рейсмус\E33149364_2_20251117T195004Z.jpg</t>
  </si>
  <si>
    <t>пн 17.11.2025 — 19:50:04</t>
  </si>
  <si>
    <t>E33149364_2_20251117T232551Z.jpg</t>
  </si>
  <si>
    <t>8 Рейсмус\E33149364_2_20251117T232551Z.jpg</t>
  </si>
  <si>
    <t>пн 17.11.2025 — 23:25:51</t>
  </si>
  <si>
    <t>E33149364_2_20251118T174713Z.jpg</t>
  </si>
  <si>
    <t>8 Рейсмус\E33149364_2_20251118T174713Z.jpg</t>
  </si>
  <si>
    <t>вт 18.11.2025 — 17:47:13</t>
  </si>
  <si>
    <t>E33149364_2_20251118T180626Z.jpg</t>
  </si>
  <si>
    <t>8 Рейсмус\E33149364_2_20251118T180626Z.jpg</t>
  </si>
  <si>
    <t>вт 18.11.2025 — 18:06:26</t>
  </si>
  <si>
    <t>E33149364_2_20251118T194838Z.jpg</t>
  </si>
  <si>
    <t>8 Рейсмус\E33149364_2_20251118T194838Z.jpg</t>
  </si>
  <si>
    <t>вт 18.11.2025 — 19:48:38</t>
  </si>
  <si>
    <t>E33149364_2_20251118T200958Z.jpg</t>
  </si>
  <si>
    <t>8 Рейсмус\E33149364_2_20251118T200958Z.jpg</t>
  </si>
  <si>
    <t>вт 18.11.2025 — 20:09:58</t>
  </si>
  <si>
    <t>E33149364_2_20251118T201419Z.jpg</t>
  </si>
  <si>
    <t>8 Рейсмус\E33149364_2_20251118T201419Z.jpg</t>
  </si>
  <si>
    <t>вт 18.11.2025 — 20:14:19</t>
  </si>
  <si>
    <t>E33149364_2_20251118T201937Z.jpg</t>
  </si>
  <si>
    <t>8 Рейсмус\E33149364_2_20251118T201937Z.jpg</t>
  </si>
  <si>
    <t>вт 18.11.2025 — 20:19:37</t>
  </si>
  <si>
    <t>E33149364_2_20251118T212359Z.jpg</t>
  </si>
  <si>
    <t>8 Рейсмус\E33149364_2_20251118T212359Z.jpg</t>
  </si>
  <si>
    <t>вт 18.11.2025 — 21:23:59</t>
  </si>
  <si>
    <t>E33149364_2_20251119T004850Z.jpg</t>
  </si>
  <si>
    <t>8 Рейсмус\E33149364_2_20251119T004850Z.jpg</t>
  </si>
  <si>
    <t>ср 19.11.2025 — 00:48:50</t>
  </si>
  <si>
    <t>E33149364_2_20251119T110703Z.jpg</t>
  </si>
  <si>
    <t>8 Рейсмус\E33149364_2_20251119T110703Z.jpg</t>
  </si>
  <si>
    <t>ср 19.11.2025 — 11:07:03</t>
  </si>
  <si>
    <t>E33149364_2_20251119T111802Z.jpg</t>
  </si>
  <si>
    <t>8 Рейсмус\E33149364_2_20251119T111802Z.jpg</t>
  </si>
  <si>
    <t>ср 19.11.2025 — 11:18:02</t>
  </si>
  <si>
    <t>E33149364_2_20251119T113041Z.jpg</t>
  </si>
  <si>
    <t>8 Рейсмус\E33149364_2_20251119T113041Z.jpg</t>
  </si>
  <si>
    <t>ср 19.11.2025 — 11:30:41</t>
  </si>
  <si>
    <t>E33149364_2_20251119T124710Z.jpg</t>
  </si>
  <si>
    <t>8 Рейсмус\E33149364_2_20251119T124710Z.jpg</t>
  </si>
  <si>
    <t>ср 19.11.2025 — 12:47:10</t>
  </si>
  <si>
    <t>E33149364_2_20251119T130002Z.jpg</t>
  </si>
  <si>
    <t>8 Рейсмус\E33149364_2_20251119T130002Z.jpg</t>
  </si>
  <si>
    <t>ср 19.11.2025 — 13:00:02</t>
  </si>
  <si>
    <t>E33149364_2_20251119T130111Z.jpg</t>
  </si>
  <si>
    <t>8 Рейсмус\E33149364_2_20251119T130111Z.jpg</t>
  </si>
  <si>
    <t>ср 19.11.2025 — 13:01:11</t>
  </si>
  <si>
    <t>E33149364_2_20251120T121058Z.jpg</t>
  </si>
  <si>
    <t>8 Рейсмус\E33149364_2_20251120T121058Z.jpg</t>
  </si>
  <si>
    <t>чт 20.11.2025 — 12:10:58</t>
  </si>
  <si>
    <t>E33149364_2_20251121T094507Z.jpg</t>
  </si>
  <si>
    <t>8 Рейсмус\E33149364_2_20251121T094507Z.jpg</t>
  </si>
  <si>
    <t>пт 21.11.2025 — 09:45:07</t>
  </si>
  <si>
    <t>E33149364_2_20251121T150110Z.jpg</t>
  </si>
  <si>
    <t>8 Рейсмус\E33149364_2_20251121T150110Z.jpg</t>
  </si>
  <si>
    <t>пт 21.11.2025 — 15:01:10</t>
  </si>
  <si>
    <t>E33149364_2_20251121T150740Z.jpg</t>
  </si>
  <si>
    <t>8 Рейсмус\E33149364_2_20251121T150740Z.jpg</t>
  </si>
  <si>
    <t>пт 21.11.2025 — 15:07:40</t>
  </si>
  <si>
    <t>E33149364_2_20251121T154717Z.jpg</t>
  </si>
  <si>
    <t>8 Рейсмус\E33149364_2_20251121T154717Z.jpg</t>
  </si>
  <si>
    <t>пт 21.11.2025 — 15:47:17</t>
  </si>
  <si>
    <t>E33149364_2_20251121T155525Z.jpg</t>
  </si>
  <si>
    <t>8 Рейсмус\E33149364_2_20251121T155525Z.jpg</t>
  </si>
  <si>
    <t>пт 21.11.2025 — 15:55:25</t>
  </si>
  <si>
    <t>E33149364_2_20251121T160844Z.jpg</t>
  </si>
  <si>
    <t>8 Рейсмус\E33149364_2_20251121T160844Z.jpg</t>
  </si>
  <si>
    <t>пт 21.11.2025 — 16:08:44</t>
  </si>
  <si>
    <t>E33149364_2_20251121T161653Z.jpg</t>
  </si>
  <si>
    <t>8 Рейсмус\E33149364_2_20251121T161653Z.jpg</t>
  </si>
  <si>
    <t>пт 21.11.2025 — 16:16:53</t>
  </si>
  <si>
    <t>E33149364_2_20251122T131756Z.jpg</t>
  </si>
  <si>
    <t>8 Рейсмус\E33149364_2_20251122T131756Z.jpg</t>
  </si>
  <si>
    <t>сб 22.11.2025 — 13:17:56</t>
  </si>
  <si>
    <t>E33149364_2_20251123T155739Z.jpg</t>
  </si>
  <si>
    <t>8 Рейсмус\E33149364_2_20251123T155739Z.jpg</t>
  </si>
  <si>
    <t>вс 23.11.2025 — 15:57:39</t>
  </si>
  <si>
    <t>E33149364_1_20251117T093100Z.jpg</t>
  </si>
  <si>
    <t>9 Ангар пилорама\E33149364_1_20251117T093100Z.jpg</t>
  </si>
  <si>
    <t>пн 17.11.2025 — 09:31:00</t>
  </si>
  <si>
    <t>E33149364_1_20251117T113206Z.jpg</t>
  </si>
  <si>
    <t>9 Ангар пилорама\E33149364_1_20251117T113206Z.jpg</t>
  </si>
  <si>
    <t>пн 17.11.2025 — 11:32:06</t>
  </si>
  <si>
    <t>E33149364_1_20251117T141554Z.jpg</t>
  </si>
  <si>
    <t>9 Ангар пилорама\E33149364_1_20251117T141554Z.jpg</t>
  </si>
  <si>
    <t>пн 17.11.2025 — 14:15:54</t>
  </si>
  <si>
    <t>E33149364_1_20251117T150453Z.jpg</t>
  </si>
  <si>
    <t>9 Ангар пилорама\E33149364_1_20251117T150453Z.jpg</t>
  </si>
  <si>
    <t>пн 17.11.2025 — 15:04:53</t>
  </si>
  <si>
    <t>E33149364_1_20251117T154207Z.jpg</t>
  </si>
  <si>
    <t>9 Ангар пилорама\E33149364_1_20251117T154207Z.jpg</t>
  </si>
  <si>
    <t>пн 17.11.2025 — 15:42:07</t>
  </si>
  <si>
    <t>E33149364_1_20251117T170011Z.jpg</t>
  </si>
  <si>
    <t>9 Ангар пилорама\E33149364_1_20251117T170011Z.jpg</t>
  </si>
  <si>
    <t>пн 17.11.2025 — 17:00:11</t>
  </si>
  <si>
    <t>E33149364_1_20251117T170216Z.jpg</t>
  </si>
  <si>
    <t>9 Ангар пилорама\E33149364_1_20251117T170216Z.jpg</t>
  </si>
  <si>
    <t>пн 17.11.2025 — 17:02:16</t>
  </si>
  <si>
    <t>E33149364_1_20251117T170438Z.jpg</t>
  </si>
  <si>
    <t>9 Ангар пилорама\E33149364_1_20251117T170438Z.jpg</t>
  </si>
  <si>
    <t>пн 17.11.2025 — 17:04:38</t>
  </si>
  <si>
    <t>E33149364_1_20251117T170523Z.jpg</t>
  </si>
  <si>
    <t>9 Ангар пилорама\E33149364_1_20251117T170523Z.jpg</t>
  </si>
  <si>
    <t>пн 17.11.2025 — 17:05:23</t>
  </si>
  <si>
    <t>E33149364_1_20251117T170655Z.jpg</t>
  </si>
  <si>
    <t>9 Ангар пилорама\E33149364_1_20251117T170655Z.jpg</t>
  </si>
  <si>
    <t>пн 17.11.2025 — 17:06:55</t>
  </si>
  <si>
    <t>E33149364_1_20251117T170726Z.jpg</t>
  </si>
  <si>
    <t>9 Ангар пилорама\E33149364_1_20251117T170726Z.jpg</t>
  </si>
  <si>
    <t>пн 17.11.2025 — 17:07:26</t>
  </si>
  <si>
    <t>E33149364_1_20251117T170918Z.jpg</t>
  </si>
  <si>
    <t>9 Ангар пилорама\E33149364_1_20251117T170918Z.jpg</t>
  </si>
  <si>
    <t>пн 17.11.2025 — 17:09:18</t>
  </si>
  <si>
    <t>E33149364_1_20251117T170930Z.jpg</t>
  </si>
  <si>
    <t>9 Ангар пилорама\E33149364_1_20251117T170930Z.jpg</t>
  </si>
  <si>
    <t>пн 17.11.2025 — 17:09:30</t>
  </si>
  <si>
    <t>E33149364_1_20251117T171002Z.jpg</t>
  </si>
  <si>
    <t>9 Ангар пилорама\E33149364_1_20251117T171002Z.jpg</t>
  </si>
  <si>
    <t>пн 17.11.2025 — 17:10:02</t>
  </si>
  <si>
    <t>E33149364_1_20251117T175920Z.jpg</t>
  </si>
  <si>
    <t>9 Ангар пилорама\E33149364_1_20251117T175920Z.jpg</t>
  </si>
  <si>
    <t>пн 17.11.2025 — 17:59:20</t>
  </si>
  <si>
    <t>E33149364_1_20251117T184627Z.jpg</t>
  </si>
  <si>
    <t>9 Ангар пилорама\E33149364_1_20251117T184627Z.jpg</t>
  </si>
  <si>
    <t>пн 17.11.2025 — 18:46:27</t>
  </si>
  <si>
    <t>E33149364_1_20251117T192802Z.jpg</t>
  </si>
  <si>
    <t>9 Ангар пилорама\E33149364_1_20251117T192802Z.jpg</t>
  </si>
  <si>
    <t>пн 17.11.2025 — 19:28:02</t>
  </si>
  <si>
    <t>E33149364_1_20251117T195222Z.jpg</t>
  </si>
  <si>
    <t>9 Ангар пилорама\E33149364_1_20251117T195222Z.jpg</t>
  </si>
  <si>
    <t>пн 17.11.2025 — 19:52:22</t>
  </si>
  <si>
    <t>E33149364_1_20251117T232754Z.jpg</t>
  </si>
  <si>
    <t>9 Ангар пилорама\E33149364_1_20251117T232754Z.jpg</t>
  </si>
  <si>
    <t>пн 17.11.2025 — 23:27:54</t>
  </si>
  <si>
    <t>E33149364_1_20251118T090755Z.jpg</t>
  </si>
  <si>
    <t>9 Ангар пилорама\E33149364_1_20251118T090755Z.jpg</t>
  </si>
  <si>
    <t>вт 18.11.2025 — 09:07:55</t>
  </si>
  <si>
    <t>E33149364_1_20251118T090815Z.jpg</t>
  </si>
  <si>
    <t>9 Ангар пилорама\E33149364_1_20251118T090815Z.jpg</t>
  </si>
  <si>
    <t>вт 18.11.2025 — 09:08:15</t>
  </si>
  <si>
    <t>E33149364_1_20251118T090827Z.jpg</t>
  </si>
  <si>
    <t>9 Ангар пилорама\E33149364_1_20251118T090827Z.jpg</t>
  </si>
  <si>
    <t>вт 18.11.2025 — 09:08:27</t>
  </si>
  <si>
    <t>E33149364_1_20251118T090837Z.jpg</t>
  </si>
  <si>
    <t>9 Ангар пилорама\E33149364_1_20251118T090837Z.jpg</t>
  </si>
  <si>
    <t>вт 18.11.2025 — 09:08:37</t>
  </si>
  <si>
    <t>E33149364_1_20251118T090916Z.jpg</t>
  </si>
  <si>
    <t>9 Ангар пилорама\E33149364_1_20251118T090916Z.jpg</t>
  </si>
  <si>
    <t>вт 18.11.2025 — 09:09:16</t>
  </si>
  <si>
    <t>E33149364_1_20251118T091554Z.jpg</t>
  </si>
  <si>
    <t>9 Ангар пилорама\E33149364_1_20251118T091554Z.jpg</t>
  </si>
  <si>
    <t>вт 18.11.2025 — 09:15:54</t>
  </si>
  <si>
    <t>E33149364_1_20251118T091750Z.jpg</t>
  </si>
  <si>
    <t>9 Ангар пилорама\E33149364_1_20251118T091750Z.jpg</t>
  </si>
  <si>
    <t>вт 18.11.2025 — 09:17:50</t>
  </si>
  <si>
    <t>E33149364_1_20251118T091848Z.jpg</t>
  </si>
  <si>
    <t>9 Ангар пилорама\E33149364_1_20251118T091848Z.jpg</t>
  </si>
  <si>
    <t>вт 18.11.2025 — 09:18:48</t>
  </si>
  <si>
    <t>E33149364_1_20251118T092024Z.jpg</t>
  </si>
  <si>
    <t>9 Ангар пилорама\E33149364_1_20251118T092024Z.jpg</t>
  </si>
  <si>
    <t>вт 18.11.2025 — 09:20:24</t>
  </si>
  <si>
    <t>E33149364_1_20251118T094915Z.jpg</t>
  </si>
  <si>
    <t>9 Ангар пилорама\E33149364_1_20251118T094915Z.jpg</t>
  </si>
  <si>
    <t>вт 18.11.2025 — 09:49:15</t>
  </si>
  <si>
    <t>E33149364_1_20251118T100247Z.jpg</t>
  </si>
  <si>
    <t>9 Ангар пилорама\E33149364_1_20251118T100247Z.jpg</t>
  </si>
  <si>
    <t>вт 18.11.2025 — 10:02:47</t>
  </si>
  <si>
    <t>E33149364_1_20251118T101453Z.jpg</t>
  </si>
  <si>
    <t>9 Ангар пилорама\E33149364_1_20251118T101453Z.jpg</t>
  </si>
  <si>
    <t>вт 18.11.2025 — 10:14:53</t>
  </si>
  <si>
    <t>E33149364_1_20251118T121112Z.jpg</t>
  </si>
  <si>
    <t>9 Ангар пилорама\E33149364_1_20251118T121112Z.jpg</t>
  </si>
  <si>
    <t>вт 18.11.2025 — 12:11:12</t>
  </si>
  <si>
    <t>E33149364_1_20251118T175931Z.jpg</t>
  </si>
  <si>
    <t>9 Ангар пилорама\E33149364_1_20251118T175931Z.jpg</t>
  </si>
  <si>
    <t>вт 18.11.2025 — 17:59:31</t>
  </si>
  <si>
    <t>E33149364_1_20251118T181738Z.jpg</t>
  </si>
  <si>
    <t>9 Ангар пилорама\E33149364_1_20251118T181738Z.jpg</t>
  </si>
  <si>
    <t>вт 18.11.2025 — 18:17:38</t>
  </si>
  <si>
    <t>E33149364_1_20251118T201728Z.jpg</t>
  </si>
  <si>
    <t>9 Ангар пилорама\E33149364_1_20251118T201728Z.jpg</t>
  </si>
  <si>
    <t>вт 18.11.2025 — 20:17:28</t>
  </si>
  <si>
    <t>E33149364_1_20251118T212708Z.jpg</t>
  </si>
  <si>
    <t>9 Ангар пилорама\E33149364_1_20251118T212708Z.jpg</t>
  </si>
  <si>
    <t>вт 18.11.2025 — 21:27:08</t>
  </si>
  <si>
    <t>E33149364_1_20251118T220158Z.jpg</t>
  </si>
  <si>
    <t>9 Ангар пилорама\E33149364_1_20251118T220158Z.jpg</t>
  </si>
  <si>
    <t>вт 18.11.2025 — 22:01:58</t>
  </si>
  <si>
    <t>E33149364_1_20251119T005052Z.jpg</t>
  </si>
  <si>
    <t>9 Ангар пилорама\E33149364_1_20251119T005052Z.jpg</t>
  </si>
  <si>
    <t>ср 19.11.2025 — 00:50:52</t>
  </si>
  <si>
    <t>E33149364_1_20251119T110004Z.jpg</t>
  </si>
  <si>
    <t>9 Ангар пилорама\E33149364_1_20251119T110004Z.jpg</t>
  </si>
  <si>
    <t>ср 19.11.2025 — 11:00:04</t>
  </si>
  <si>
    <t>E33149364_1_20251119T110537Z.jpg</t>
  </si>
  <si>
    <t>9 Ангар пилорама\E33149364_1_20251119T110537Z.jpg</t>
  </si>
  <si>
    <t>ср 19.11.2025 — 11:05:37</t>
  </si>
  <si>
    <t>E33149364_1_20251119T111257Z.jpg</t>
  </si>
  <si>
    <t>9 Ангар пилорама\E33149364_1_20251119T111257Z.jpg</t>
  </si>
  <si>
    <t>ср 19.11.2025 — 11:12:57</t>
  </si>
  <si>
    <t>E33149364_1_20251119T111900Z.jpg</t>
  </si>
  <si>
    <t>9 Ангар пилорама\E33149364_1_20251119T111900Z.jpg</t>
  </si>
  <si>
    <t>ср 19.11.2025 — 11:19:00</t>
  </si>
  <si>
    <t>E33149364_1_20251119T113032Z.jpg</t>
  </si>
  <si>
    <t>9 Ангар пилорама\E33149364_1_20251119T113032Z.jpg</t>
  </si>
  <si>
    <t>ср 19.11.2025 — 11:30:32</t>
  </si>
  <si>
    <t>E33149364_1_20251119T124143Z.jpg</t>
  </si>
  <si>
    <t>9 Ангар пилорама\E33149364_1_20251119T124143Z.jpg</t>
  </si>
  <si>
    <t>ср 19.11.2025 — 12:41:43</t>
  </si>
  <si>
    <t>E33149364_1_20251119T124525Z.jpg</t>
  </si>
  <si>
    <t>9 Ангар пилорама\E33149364_1_20251119T124525Z.jpg</t>
  </si>
  <si>
    <t>ср 19.11.2025 — 12:45:25</t>
  </si>
  <si>
    <t>E33149364_1_20251119T124638Z.jpg</t>
  </si>
  <si>
    <t>9 Ангар пилорама\E33149364_1_20251119T124638Z.jpg</t>
  </si>
  <si>
    <t>ср 19.11.2025 — 12:46:38</t>
  </si>
  <si>
    <t>E33149364_1_20251119T124816Z.jpg</t>
  </si>
  <si>
    <t>9 Ангар пилорама\E33149364_1_20251119T124816Z.jpg</t>
  </si>
  <si>
    <t>ср 19.11.2025 — 12:48:16</t>
  </si>
  <si>
    <t>E33149364_1_20251119T125427Z.jpg</t>
  </si>
  <si>
    <t>9 Ангар пилорама\E33149364_1_20251119T125427Z.jpg</t>
  </si>
  <si>
    <t>ср 19.11.2025 — 12:54:27</t>
  </si>
  <si>
    <t>E33149364_1_20251119T130117Z.jpg</t>
  </si>
  <si>
    <t>9 Ангар пилорама\E33149364_1_20251119T130117Z.jpg</t>
  </si>
  <si>
    <t>ср 19.11.2025 — 13:01:17</t>
  </si>
  <si>
    <t>E33149364_1_20251120T113713Z.jpg</t>
  </si>
  <si>
    <t>9 Ангар пилорама\E33149364_1_20251120T113713Z.jpg</t>
  </si>
  <si>
    <t>чт 20.11.2025 — 11:37:13</t>
  </si>
  <si>
    <t>E33149364_1_20251120T142732Z.jpg</t>
  </si>
  <si>
    <t>9 Ангар пилорама\E33149364_1_20251120T142732Z.jpg</t>
  </si>
  <si>
    <t>чт 20.11.2025 — 14:27:32</t>
  </si>
  <si>
    <t>E33149364_1_20251120T165735Z.jpg</t>
  </si>
  <si>
    <t>9 Ангар пилорама\E33149364_1_20251120T165735Z.jpg</t>
  </si>
  <si>
    <t>чт 20.11.2025 — 16:57:35</t>
  </si>
  <si>
    <t>E33149364_1_20251121T090117Z.jpg</t>
  </si>
  <si>
    <t>9 Ангар пилорама\E33149364_1_20251121T090117Z.jpg</t>
  </si>
  <si>
    <t>пт 21.11.2025 — 09:01:17</t>
  </si>
  <si>
    <t>E33149364_1_20251121T090807Z.jpg</t>
  </si>
  <si>
    <t>9 Ангар пилорама\E33149364_1_20251121T090807Z.jpg</t>
  </si>
  <si>
    <t>пт 21.11.2025 — 09:08:07</t>
  </si>
  <si>
    <t>E33149364_1_20251121T091525Z.jpg</t>
  </si>
  <si>
    <t>9 Ангар пилорама\E33149364_1_20251121T091525Z.jpg</t>
  </si>
  <si>
    <t>пт 21.11.2025 — 09:15:25</t>
  </si>
  <si>
    <t>E33149364_1_20251121T144920Z.jpg</t>
  </si>
  <si>
    <t>9 Ангар пилорама\E33149364_1_20251121T144920Z.jpg</t>
  </si>
  <si>
    <t>пт 21.11.2025 — 14:49:20</t>
  </si>
  <si>
    <t>E33149364_1_20251121T145604Z.jpg</t>
  </si>
  <si>
    <t>9 Ангар пилорама\E33149364_1_20251121T145604Z.jpg</t>
  </si>
  <si>
    <t>пт 21.11.2025 — 14:56:04</t>
  </si>
  <si>
    <t>E33149364_1_20251121T150758Z.jpg</t>
  </si>
  <si>
    <t>9 Ангар пилорама\E33149364_1_20251121T150758Z.jpg</t>
  </si>
  <si>
    <t>пт 21.11.2025 — 15:07:58</t>
  </si>
  <si>
    <t>E33149364_1_20251121T161222Z.jpg</t>
  </si>
  <si>
    <t>9 Ангар пилорама\E33149364_1_20251121T161222Z.jpg</t>
  </si>
  <si>
    <t>пт 21.11.2025 — 16:12:22</t>
  </si>
  <si>
    <t>E33149364_1_20251121T162919Z.jpg</t>
  </si>
  <si>
    <t>9 Ангар пилорама\E33149364_1_20251121T162919Z.jpg</t>
  </si>
  <si>
    <t>пт 21.11.2025 — 16:29:19</t>
  </si>
  <si>
    <t>E33149364_1_20251122T164454Z.jpg</t>
  </si>
  <si>
    <t>9 Ангар пилорама\E33149364_1_20251122T164454Z.jpg</t>
  </si>
  <si>
    <t>сб 22.11.2025 — 16:44:54</t>
  </si>
  <si>
    <t>E33149364_1_20251123T155936Z.jpg</t>
  </si>
  <si>
    <t>9 Ангар пилорама\E33149364_1_20251123T155936Z.jpg</t>
  </si>
  <si>
    <t>вс 23.11.2025 — 15:59:36</t>
  </si>
  <si>
    <t>E33149364_4_20251117T155244Z.jpg</t>
  </si>
  <si>
    <t>11 С ангара на базу\E33149364_4_20251117T155244Z.jpg</t>
  </si>
  <si>
    <t>пн 17.11.2025 — 15:52:44</t>
  </si>
  <si>
    <t>E33149364_4_20251117T170635Z.jpg</t>
  </si>
  <si>
    <t>11 С ангара на базу\E33149364_4_20251117T170635Z.jpg</t>
  </si>
  <si>
    <t>пн 17.11.2025 — 17:06:35</t>
  </si>
  <si>
    <t>E33149364_4_20251118T102320Z.jpg</t>
  </si>
  <si>
    <t>11 С ангара на базу\E33149364_4_20251118T102320Z.jpg</t>
  </si>
  <si>
    <t>вт 18.11.2025 — 10:23:20</t>
  </si>
  <si>
    <t>E33149364_4_20251118T102337Z.jpg</t>
  </si>
  <si>
    <t>11 С ангара на базу\E33149364_4_20251118T102337Z.jpg</t>
  </si>
  <si>
    <t>вт 18.11.2025 — 10:23:37</t>
  </si>
  <si>
    <t>E33149364_4_20251118T102353Z.jpg</t>
  </si>
  <si>
    <t>11 С ангара на базу\E33149364_4_20251118T102353Z.jpg</t>
  </si>
  <si>
    <t>вт 18.11.2025 — 10:23:53</t>
  </si>
  <si>
    <t>E33149364_4_20251118T102407Z.jpg</t>
  </si>
  <si>
    <t>11 С ангара на базу\E33149364_4_20251118T102407Z.jpg</t>
  </si>
  <si>
    <t>вт 18.11.2025 — 10:24:07</t>
  </si>
  <si>
    <t>E33149364_4_20251118T102419Z.jpg</t>
  </si>
  <si>
    <t>11 С ангара на базу\E33149364_4_20251118T102419Z.jpg</t>
  </si>
  <si>
    <t>вт 18.11.2025 — 10:24:19</t>
  </si>
  <si>
    <t>E33149364_4_20251118T102435Z.jpg</t>
  </si>
  <si>
    <t>11 С ангара на базу\E33149364_4_20251118T102435Z.jpg</t>
  </si>
  <si>
    <t>вт 18.11.2025 — 10:24:35</t>
  </si>
  <si>
    <t>E33149364_4_20251118T102446Z.jpg</t>
  </si>
  <si>
    <t>11 С ангара на базу\E33149364_4_20251118T102446Z.jpg</t>
  </si>
  <si>
    <t>вт 18.11.2025 — 10:24:46</t>
  </si>
  <si>
    <t>E33149364_4_20251118T102531Z.jpg</t>
  </si>
  <si>
    <t>11 С ангара на базу\E33149364_4_20251118T102531Z.jpg</t>
  </si>
  <si>
    <t>вт 18.11.2025 — 10:25:31</t>
  </si>
  <si>
    <t>E33149364_4_20251118T103759Z.jpg</t>
  </si>
  <si>
    <t>11 С ангара на базу\E33149364_4_20251118T103759Z.jpg</t>
  </si>
  <si>
    <t>вт 18.11.2025 — 10:37:59</t>
  </si>
  <si>
    <t>E33149364_4_20251118T132218Z.jpg</t>
  </si>
  <si>
    <t>11 С ангара на базу\E33149364_4_20251118T132218Z.jpg</t>
  </si>
  <si>
    <t>вт 18.11.2025 — 13:22:18</t>
  </si>
  <si>
    <t>E33149364_4_20251118T132428Z.jpg</t>
  </si>
  <si>
    <t>11 С ангара на базу\E33149364_4_20251118T132428Z.jpg</t>
  </si>
  <si>
    <t>вт 18.11.2025 — 13:24:28</t>
  </si>
  <si>
    <t>E33149364_4_20251119T085741Z.jpg</t>
  </si>
  <si>
    <t>11 С ангара на базу\E33149364_4_20251119T085741Z.jpg</t>
  </si>
  <si>
    <t>ср 19.11.2025 — 08:57:41</t>
  </si>
  <si>
    <t>E33149364_4_20251119T173340Z.jpg</t>
  </si>
  <si>
    <t>11 С ангара на базу\E33149364_4_20251119T173340Z.jpg</t>
  </si>
  <si>
    <t>ср 19.11.2025 — 17:33:40</t>
  </si>
  <si>
    <t>E33149364_4_20251120T110648Z.jpg</t>
  </si>
  <si>
    <t>11 С ангара на базу\E33149364_4_20251120T110648Z.jpg</t>
  </si>
  <si>
    <t>чт 20.11.2025 — 11:06:48</t>
  </si>
  <si>
    <t>E33149364_4_20251120T170340Z.jpg</t>
  </si>
  <si>
    <t>11 С ангара на базу\E33149364_4_20251120T170340Z.jpg</t>
  </si>
  <si>
    <t>чт 20.11.2025 — 17:03:40</t>
  </si>
  <si>
    <t>E33149364_4_20251121T144550Z.jpg</t>
  </si>
  <si>
    <t>11 С ангара на базу\E33149364_4_20251121T144550Z.jpg</t>
  </si>
  <si>
    <t>пт 21.11.2025 — 14:45:50</t>
  </si>
  <si>
    <t>E33149364_4_20251122T090357Z.jpg</t>
  </si>
  <si>
    <t>11 С ангара на базу\E33149364_4_20251122T090357Z.jpg</t>
  </si>
  <si>
    <t>сб 22.11.2025 — 09:03:57</t>
  </si>
  <si>
    <t>E33149364_4_20251122T171847Z.jpg</t>
  </si>
  <si>
    <t>11 С ангара на базу\E33149364_4_20251122T171847Z.jpg</t>
  </si>
  <si>
    <t>сб 22.11.2025 — 17:18:47</t>
  </si>
  <si>
    <t>E33149364_4_20251123T161920Z.jpg</t>
  </si>
  <si>
    <t>11 С ангара на базу\E33149364_4_20251123T161920Z.jpg</t>
  </si>
  <si>
    <t>вс 23.11.2025 — 16:19:20</t>
  </si>
  <si>
    <t>K07156189_20_20251117T114252Z.jpg</t>
  </si>
  <si>
    <t>12 Площадка 3 кран\K07156189_20_20251117T114252Z.jpg</t>
  </si>
  <si>
    <t>пн 17.11.2025 — 11:42:52</t>
  </si>
  <si>
    <t>K07156189_20_20251118T094207Z.jpg</t>
  </si>
  <si>
    <t>12 Площадка 3 кран\K07156189_20_20251118T094207Z.jpg</t>
  </si>
  <si>
    <t>вт 18.11.2025 — 09:42:07</t>
  </si>
  <si>
    <t>K07156189_20_20251118T112602Z.jpg</t>
  </si>
  <si>
    <t>12 Площадка 3 кран\K07156189_20_20251118T112602Z.jpg</t>
  </si>
  <si>
    <t>вт 18.11.2025 — 11:26:02</t>
  </si>
  <si>
    <t>K07156189_20_20251118T112641Z.jpg</t>
  </si>
  <si>
    <t>12 Площадка 3 кран\K07156189_20_20251118T112641Z.jpg</t>
  </si>
  <si>
    <t>вт 18.11.2025 — 11:26:41</t>
  </si>
  <si>
    <t>K07156189_20_20251118T142256Z.jpg</t>
  </si>
  <si>
    <t>12 Площадка 3 кран\K07156189_20_20251118T142256Z.jpg</t>
  </si>
  <si>
    <t>вт 18.11.2025 — 14:22:56</t>
  </si>
  <si>
    <t>K07156189_20_20251119T102549Z.jpg</t>
  </si>
  <si>
    <t>12 Площадка 3 кран\K07156189_20_20251119T102549Z.jpg</t>
  </si>
  <si>
    <t>ср 19.11.2025 — 10:25:49</t>
  </si>
  <si>
    <t>K07156189_20_20251120T101538Z.jpg</t>
  </si>
  <si>
    <t>12 Площадка 3 кран\K07156189_20_20251120T101538Z.jpg</t>
  </si>
  <si>
    <t>чт 20.11.2025 — 10:15:38</t>
  </si>
  <si>
    <t>K07156189_20_20251120T133859Z.jpg</t>
  </si>
  <si>
    <t>12 Площадка 3 кран\K07156189_20_20251120T133859Z.jpg</t>
  </si>
  <si>
    <t>чт 20.11.2025 — 13:38:59</t>
  </si>
  <si>
    <t>K07156189_20_20251121T081734Z.jpg</t>
  </si>
  <si>
    <t>12 Площадка 3 кран\K07156189_20_20251121T081734Z.jpg</t>
  </si>
  <si>
    <t>пт 21.11.2025 — 08:17:34</t>
  </si>
  <si>
    <t>K07156189_20_20251121T175452Z.jpg</t>
  </si>
  <si>
    <t>12 Площадка 3 кран\K07156189_20_20251121T175452Z.jpg</t>
  </si>
  <si>
    <t>пт 21.11.2025 — 17:54:52</t>
  </si>
  <si>
    <t>K07156189_20_20251122T094230Z.jpg</t>
  </si>
  <si>
    <t>12 Площадка 3 кран\K07156189_20_20251122T094230Z.jpg</t>
  </si>
  <si>
    <t>сб 22.11.2025 — 09:42:30</t>
  </si>
  <si>
    <t>K07156189_20_20251122T174734Z.jpg</t>
  </si>
  <si>
    <t>12 Площадка 3 кран\K07156189_20_20251122T174734Z.jpg</t>
  </si>
  <si>
    <t>сб 22.11.2025 — 17:47:34</t>
  </si>
  <si>
    <t>K07156189_20_20251123T093513Z.jpg</t>
  </si>
  <si>
    <t>12 Площадка 3 кран\K07156189_20_20251123T093513Z.jpg</t>
  </si>
  <si>
    <t>вс 23.11.2025 — 09:35:13</t>
  </si>
  <si>
    <t>K07156189_20_20251123T172521Z.jpg</t>
  </si>
  <si>
    <t>12 Площадка 3 кран\K07156189_20_20251123T172521Z.jpg</t>
  </si>
  <si>
    <t>вс 23.11.2025 — 17:25:21</t>
  </si>
  <si>
    <t>E33149364_3_20251117T084817Z.jpg</t>
  </si>
  <si>
    <t>10 Сушилка навес\E33149364_3_20251117T084817Z.jpg</t>
  </si>
  <si>
    <t>пн 17.11.2025 — 08:48:17</t>
  </si>
  <si>
    <t>E33149364_3_20251117T085845Z.jpg</t>
  </si>
  <si>
    <t>10 Сушилка навес\E33149364_3_20251117T085845Z.jpg</t>
  </si>
  <si>
    <t>пн 17.11.2025 — 08:58:45</t>
  </si>
  <si>
    <t>E33149364_3_20251117T153504Z.jpg</t>
  </si>
  <si>
    <t>10 Сушилка навес\E33149364_3_20251117T153504Z.jpg</t>
  </si>
  <si>
    <t>пн 17.11.2025 — 15:35:04</t>
  </si>
  <si>
    <t>E33149364_3_20251117T155233Z.jpg</t>
  </si>
  <si>
    <t>10 Сушилка навес\E33149364_3_20251117T155233Z.jpg</t>
  </si>
  <si>
    <t>пн 17.11.2025 — 15:52:33</t>
  </si>
  <si>
    <t>E33149364_3_20251117T162349Z.jpg</t>
  </si>
  <si>
    <t>10 Сушилка навес\E33149364_3_20251117T162349Z.jpg</t>
  </si>
  <si>
    <t>пн 17.11.2025 — 16:23:49</t>
  </si>
  <si>
    <t>E33149364_3_20251117T162525Z.jpg</t>
  </si>
  <si>
    <t>10 Сушилка навес\E33149364_3_20251117T162525Z.jpg</t>
  </si>
  <si>
    <t>пн 17.11.2025 — 16:25:25</t>
  </si>
  <si>
    <t>E33149364_3_20251117T170003Z.jpg</t>
  </si>
  <si>
    <t>10 Сушилка навес\E33149364_3_20251117T170003Z.jpg</t>
  </si>
  <si>
    <t>пн 17.11.2025 — 17:00:03</t>
  </si>
  <si>
    <t>E33149364_3_20251118T083947Z.jpg</t>
  </si>
  <si>
    <t>10 Сушилка навес\E33149364_3_20251118T083947Z.jpg</t>
  </si>
  <si>
    <t>вт 18.11.2025 — 08:39:47</t>
  </si>
  <si>
    <t>E33149364_3_20251118T090753Z.jpg</t>
  </si>
  <si>
    <t>10 Сушилка навес\E33149364_3_20251118T090753Z.jpg</t>
  </si>
  <si>
    <t>вт 18.11.2025 — 09:07:53</t>
  </si>
  <si>
    <t>E33149364_3_20251118T090833Z.jpg</t>
  </si>
  <si>
    <t>10 Сушилка навес\E33149364_3_20251118T090833Z.jpg</t>
  </si>
  <si>
    <t>вт 18.11.2025 — 09:08:33</t>
  </si>
  <si>
    <t>E33149364_3_20251118T090841Z.jpg</t>
  </si>
  <si>
    <t>10 Сушилка навес\E33149364_3_20251118T090841Z.jpg</t>
  </si>
  <si>
    <t>вт 18.11.2025 — 09:08:41</t>
  </si>
  <si>
    <t>E33149364_3_20251118T090849Z.jpg</t>
  </si>
  <si>
    <t>10 Сушилка навес\E33149364_3_20251118T090849Z.jpg</t>
  </si>
  <si>
    <t>вт 18.11.2025 — 09:08:49</t>
  </si>
  <si>
    <t>E33149364_3_20251118T090921Z.jpg</t>
  </si>
  <si>
    <t>10 Сушилка навес\E33149364_3_20251118T090921Z.jpg</t>
  </si>
  <si>
    <t>вт 18.11.2025 — 09:09:21</t>
  </si>
  <si>
    <t>E33149364_3_20251118T091647Z.jpg</t>
  </si>
  <si>
    <t>10 Сушилка навес\E33149364_3_20251118T091647Z.jpg</t>
  </si>
  <si>
    <t>вт 18.11.2025 — 09:16:47</t>
  </si>
  <si>
    <t>E33149364_3_20251118T091813Z.jpg</t>
  </si>
  <si>
    <t>10 Сушилка навес\E33149364_3_20251118T091813Z.jpg</t>
  </si>
  <si>
    <t>вт 18.11.2025 — 09:18:13</t>
  </si>
  <si>
    <t>E33149364_3_20251118T091853Z.jpg</t>
  </si>
  <si>
    <t>10 Сушилка навес\E33149364_3_20251118T091853Z.jpg</t>
  </si>
  <si>
    <t>вт 18.11.2025 — 09:18:53</t>
  </si>
  <si>
    <t>E33149364_3_20251118T092006Z.jpg</t>
  </si>
  <si>
    <t>10 Сушилка навес\E33149364_3_20251118T092006Z.jpg</t>
  </si>
  <si>
    <t>вт 18.11.2025 — 09:20:06</t>
  </si>
  <si>
    <t>E33149364_3_20251118T092036Z.jpg</t>
  </si>
  <si>
    <t>10 Сушилка навес\E33149364_3_20251118T092036Z.jpg</t>
  </si>
  <si>
    <t>вт 18.11.2025 — 09:20:36</t>
  </si>
  <si>
    <t>E33149364_3_20251118T094925Z.jpg</t>
  </si>
  <si>
    <t>10 Сушилка навес\E33149364_3_20251118T094925Z.jpg</t>
  </si>
  <si>
    <t>вт 18.11.2025 — 09:49:25</t>
  </si>
  <si>
    <t>E33149364_3_20251118T094937Z.jpg</t>
  </si>
  <si>
    <t>10 Сушилка навес\E33149364_3_20251118T094937Z.jpg</t>
  </si>
  <si>
    <t>вт 18.11.2025 — 09:49:37</t>
  </si>
  <si>
    <t>E33149364_3_20251118T102216Z.jpg</t>
  </si>
  <si>
    <t>10 Сушилка навес\E33149364_3_20251118T102216Z.jpg</t>
  </si>
  <si>
    <t>вт 18.11.2025 — 10:22:16</t>
  </si>
  <si>
    <t>E33149364_3_20251118T102249Z.jpg</t>
  </si>
  <si>
    <t>10 Сушилка навес\E33149364_3_20251118T102249Z.jpg</t>
  </si>
  <si>
    <t>вт 18.11.2025 — 10:22:49</t>
  </si>
  <si>
    <t>E33149364_3_20251118T102320Z.jpg</t>
  </si>
  <si>
    <t>10 Сушилка навес\E33149364_3_20251118T102320Z.jpg</t>
  </si>
  <si>
    <t>E33149364_3_20251118T102419Z.jpg</t>
  </si>
  <si>
    <t>10 Сушилка навес\E33149364_3_20251118T102419Z.jpg</t>
  </si>
  <si>
    <t>E33149364_3_20251118T102444Z.jpg</t>
  </si>
  <si>
    <t>10 Сушилка навес\E33149364_3_20251118T102444Z.jpg</t>
  </si>
  <si>
    <t>вт 18.11.2025 — 10:24:44</t>
  </si>
  <si>
    <t>E33149364_3_20251118T103716Z.jpg</t>
  </si>
  <si>
    <t>10 Сушилка навес\E33149364_3_20251118T103716Z.jpg</t>
  </si>
  <si>
    <t>вт 18.11.2025 — 10:37:16</t>
  </si>
  <si>
    <t>E33149364_3_20251118T103753Z.jpg</t>
  </si>
  <si>
    <t>10 Сушилка навес\E33149364_3_20251118T103753Z.jpg</t>
  </si>
  <si>
    <t>вт 18.11.2025 — 10:37:53</t>
  </si>
  <si>
    <t>E33149364_3_20251118T132413Z.jpg</t>
  </si>
  <si>
    <t>10 Сушилка навес\E33149364_3_20251118T132413Z.jpg</t>
  </si>
  <si>
    <t>вт 18.11.2025 — 13:24:13</t>
  </si>
  <si>
    <t>E33149364_3_20251118T155340Z.jpg</t>
  </si>
  <si>
    <t>10 Сушилка навес\E33149364_3_20251118T155340Z.jpg</t>
  </si>
  <si>
    <t>вт 18.11.2025 — 15:53:40</t>
  </si>
  <si>
    <t>E33149364_3_20251119T090847Z.jpg</t>
  </si>
  <si>
    <t>10 Сушилка навес\E33149364_3_20251119T090847Z.jpg</t>
  </si>
  <si>
    <t>ср 19.11.2025 — 09:08:47</t>
  </si>
  <si>
    <t>E33149364_3_20251119T091934Z.jpg</t>
  </si>
  <si>
    <t>10 Сушилка навес\E33149364_3_20251119T091934Z.jpg</t>
  </si>
  <si>
    <t>ср 19.11.2025 — 09:19:34</t>
  </si>
  <si>
    <t>E33149364_3_20251119T091940Z.jpg</t>
  </si>
  <si>
    <t>10 Сушилка навес\E33149364_3_20251119T091940Z.jpg</t>
  </si>
  <si>
    <t>ср 19.11.2025 — 09:19:40</t>
  </si>
  <si>
    <t>E33149364_3_20251119T091955Z.jpg</t>
  </si>
  <si>
    <t>10 Сушилка навес\E33149364_3_20251119T091955Z.jpg</t>
  </si>
  <si>
    <t>ср 19.11.2025 — 09:19:55</t>
  </si>
  <si>
    <t>E33149364_3_20251119T110313Z.jpg</t>
  </si>
  <si>
    <t>10 Сушилка навес\E33149364_3_20251119T110313Z.jpg</t>
  </si>
  <si>
    <t>ср 19.11.2025 — 11:03:13</t>
  </si>
  <si>
    <t>E33149364_3_20251119T110457Z.jpg</t>
  </si>
  <si>
    <t>10 Сушилка навес\E33149364_3_20251119T110457Z.jpg</t>
  </si>
  <si>
    <t>ср 19.11.2025 — 11:04:57</t>
  </si>
  <si>
    <t>E33149364_3_20251119T110522Z.jpg</t>
  </si>
  <si>
    <t>10 Сушилка навес\E33149364_3_20251119T110522Z.jpg</t>
  </si>
  <si>
    <t>ср 19.11.2025 — 11:05:22</t>
  </si>
  <si>
    <t>E33149364_3_20251119T110720Z.jpg</t>
  </si>
  <si>
    <t>10 Сушилка навес\E33149364_3_20251119T110720Z.jpg</t>
  </si>
  <si>
    <t>ср 19.11.2025 — 11:07:20</t>
  </si>
  <si>
    <t>E33149364_3_20251119T110929Z.jpg</t>
  </si>
  <si>
    <t>10 Сушилка навес\E33149364_3_20251119T110929Z.jpg</t>
  </si>
  <si>
    <t>ср 19.11.2025 — 11:09:29</t>
  </si>
  <si>
    <t>E33149364_3_20251119T111154Z.jpg</t>
  </si>
  <si>
    <t>10 Сушилка навес\E33149364_3_20251119T111154Z.jpg</t>
  </si>
  <si>
    <t>ср 19.11.2025 — 11:11:54</t>
  </si>
  <si>
    <t>E33149364_3_20251119T111206Z.jpg</t>
  </si>
  <si>
    <t>10 Сушилка навес\E33149364_3_20251119T111206Z.jpg</t>
  </si>
  <si>
    <t>ср 19.11.2025 — 11:12:06</t>
  </si>
  <si>
    <t>E33149364_3_20251119T111219Z.jpg</t>
  </si>
  <si>
    <t>10 Сушилка навес\E33149364_3_20251119T111219Z.jpg</t>
  </si>
  <si>
    <t>ср 19.11.2025 — 11:12:19</t>
  </si>
  <si>
    <t>E33149364_3_20251119T111317Z.jpg</t>
  </si>
  <si>
    <t>10 Сушилка навес\E33149364_3_20251119T111317Z.jpg</t>
  </si>
  <si>
    <t>ср 19.11.2025 — 11:13:17</t>
  </si>
  <si>
    <t>E33149364_3_20251119T111627Z.jpg</t>
  </si>
  <si>
    <t>10 Сушилка навес\E33149364_3_20251119T111627Z.jpg</t>
  </si>
  <si>
    <t>ср 19.11.2025 — 11:16:27</t>
  </si>
  <si>
    <t>E33149364_3_20251119T111859Z.jpg</t>
  </si>
  <si>
    <t>10 Сушилка навес\E33149364_3_20251119T111859Z.jpg</t>
  </si>
  <si>
    <t>ср 19.11.2025 — 11:18:59</t>
  </si>
  <si>
    <t>E33149364_3_20251119T112221Z.jpg</t>
  </si>
  <si>
    <t>10 Сушилка навес\E33149364_3_20251119T112221Z.jpg</t>
  </si>
  <si>
    <t>ср 19.11.2025 — 11:22:21</t>
  </si>
  <si>
    <t>E33149364_3_20251119T112324Z.jpg</t>
  </si>
  <si>
    <t>10 Сушилка навес\E33149364_3_20251119T112324Z.jpg</t>
  </si>
  <si>
    <t>ср 19.11.2025 — 11:23:24</t>
  </si>
  <si>
    <t>E33149364_3_20251119T112501Z.jpg</t>
  </si>
  <si>
    <t>10 Сушилка навес\E33149364_3_20251119T112501Z.jpg</t>
  </si>
  <si>
    <t>ср 19.11.2025 — 11:25:01</t>
  </si>
  <si>
    <t>E33149364_3_20251119T112514Z.jpg</t>
  </si>
  <si>
    <t>10 Сушилка навес\E33149364_3_20251119T112514Z.jpg</t>
  </si>
  <si>
    <t>ср 19.11.2025 — 11:25:14</t>
  </si>
  <si>
    <t>E33149364_3_20251119T112814Z.jpg</t>
  </si>
  <si>
    <t>10 Сушилка навес\E33149364_3_20251119T112814Z.jpg</t>
  </si>
  <si>
    <t>ср 19.11.2025 — 11:28:14</t>
  </si>
  <si>
    <t>E33149364_3_20251119T112915Z.jpg</t>
  </si>
  <si>
    <t>10 Сушилка навес\E33149364_3_20251119T112915Z.jpg</t>
  </si>
  <si>
    <t>ср 19.11.2025 — 11:29:15</t>
  </si>
  <si>
    <t>E33149364_3_20251119T112936Z.jpg</t>
  </si>
  <si>
    <t>10 Сушилка навес\E33149364_3_20251119T112936Z.jpg</t>
  </si>
  <si>
    <t>ср 19.11.2025 — 11:29:36</t>
  </si>
  <si>
    <t>E33149364_3_20251119T112951Z.jpg</t>
  </si>
  <si>
    <t>10 Сушилка навес\E33149364_3_20251119T112951Z.jpg</t>
  </si>
  <si>
    <t>ср 19.11.2025 — 11:29:51</t>
  </si>
  <si>
    <t>E33149364_3_20251119T113021Z.jpg</t>
  </si>
  <si>
    <t>10 Сушилка навес\E33149364_3_20251119T113021Z.jpg</t>
  </si>
  <si>
    <t>ср 19.11.2025 — 11:30:21</t>
  </si>
  <si>
    <t>E33149364_3_20251119T113029Z.jpg</t>
  </si>
  <si>
    <t>10 Сушилка навес\E33149364_3_20251119T113029Z.jpg</t>
  </si>
  <si>
    <t>ср 19.11.2025 — 11:30:29</t>
  </si>
  <si>
    <t>E33149364_3_20251119T113035Z.jpg</t>
  </si>
  <si>
    <t>10 Сушилка навес\E33149364_3_20251119T113035Z.jpg</t>
  </si>
  <si>
    <t>ср 19.11.2025 — 11:30:35</t>
  </si>
  <si>
    <t>E33149364_3_20251119T113057Z.jpg</t>
  </si>
  <si>
    <t>10 Сушилка навес\E33149364_3_20251119T113057Z.jpg</t>
  </si>
  <si>
    <t>ср 19.11.2025 — 11:30:57</t>
  </si>
  <si>
    <t>E33149364_3_20251119T130126Z.jpg</t>
  </si>
  <si>
    <t>10 Сушилка навес\E33149364_3_20251119T130126Z.jpg</t>
  </si>
  <si>
    <t>ср 19.11.2025 — 13:01:26</t>
  </si>
  <si>
    <t>E33149364_3_20251119T130134Z.jpg</t>
  </si>
  <si>
    <t>10 Сушилка навес\E33149364_3_20251119T130134Z.jpg</t>
  </si>
  <si>
    <t>ср 19.11.2025 — 13:01:34</t>
  </si>
  <si>
    <t>E33149364_3_20251119T130252Z.jpg</t>
  </si>
  <si>
    <t>10 Сушилка навес\E33149364_3_20251119T130252Z.jpg</t>
  </si>
  <si>
    <t>ср 19.11.2025 — 13:02:52</t>
  </si>
  <si>
    <t>E33149364_3_20251119T145623Z.jpg</t>
  </si>
  <si>
    <t>10 Сушилка навес\E33149364_3_20251119T145623Z.jpg</t>
  </si>
  <si>
    <t>ср 19.11.2025 — 14:56:23</t>
  </si>
  <si>
    <t>E33149364_3_20251119T173319Z.jpg</t>
  </si>
  <si>
    <t>10 Сушилка навес\E33149364_3_20251119T173319Z.jpg</t>
  </si>
  <si>
    <t>ср 19.11.2025 — 17:33:19</t>
  </si>
  <si>
    <t>E33149364_3_20251119T173328Z.jpg</t>
  </si>
  <si>
    <t>10 Сушилка навес\E33149364_3_20251119T173328Z.jpg</t>
  </si>
  <si>
    <t>ср 19.11.2025 — 17:33:28</t>
  </si>
  <si>
    <t>E33149364_3_20251119T173332Z.jpg</t>
  </si>
  <si>
    <t>10 Сушилка навес\E33149364_3_20251119T173332Z.jpg</t>
  </si>
  <si>
    <t>ср 19.11.2025 — 17:33:32</t>
  </si>
  <si>
    <t>E33149364_3_20251120T113929Z.jpg</t>
  </si>
  <si>
    <t>10 Сушилка навес\E33149364_3_20251120T113929Z.jpg</t>
  </si>
  <si>
    <t>чт 20.11.2025 — 11:39:29</t>
  </si>
  <si>
    <t>E33149364_3_20251120T113930Z.jpg</t>
  </si>
  <si>
    <t>10 Сушилка навес\E33149364_3_20251120T113930Z.jpg</t>
  </si>
  <si>
    <t>чт 20.11.2025 — 11:39:30</t>
  </si>
  <si>
    <t>E33149364_3_20251120T121213Z.jpg</t>
  </si>
  <si>
    <t>10 Сушилка навес\E33149364_3_20251120T121213Z.jpg</t>
  </si>
  <si>
    <t>чт 20.11.2025 — 12:12:13</t>
  </si>
  <si>
    <t>E33149364_3_20251120T142709Z.jpg</t>
  </si>
  <si>
    <t>10 Сушилка навес\E33149364_3_20251120T142709Z.jpg</t>
  </si>
  <si>
    <t>чт 20.11.2025 — 14:27:09</t>
  </si>
  <si>
    <t>E33149364_3_20251120T142718Z.jpg</t>
  </si>
  <si>
    <t>10 Сушилка навес\E33149364_3_20251120T142718Z.jpg</t>
  </si>
  <si>
    <t>чт 20.11.2025 — 14:27:18</t>
  </si>
  <si>
    <t>E33149364_3_20251120T144153Z.jpg</t>
  </si>
  <si>
    <t>10 Сушилка навес\E33149364_3_20251120T144153Z.jpg</t>
  </si>
  <si>
    <t>чт 20.11.2025 — 14:41:53</t>
  </si>
  <si>
    <t>E33149364_3_20251120T145648Z.jpg</t>
  </si>
  <si>
    <t>10 Сушилка навес\E33149364_3_20251120T145648Z.jpg</t>
  </si>
  <si>
    <t>чт 20.11.2025 — 14:56:48</t>
  </si>
  <si>
    <t>E33149364_3_20251120T153513Z.jpg</t>
  </si>
  <si>
    <t>10 Сушилка навес\E33149364_3_20251120T153513Z.jpg</t>
  </si>
  <si>
    <t>чт 20.11.2025 — 15:35:13</t>
  </si>
  <si>
    <t>E33149364_3_20251121T085615Z.jpg</t>
  </si>
  <si>
    <t>10 Сушилка навес\E33149364_3_20251121T085615Z.jpg</t>
  </si>
  <si>
    <t>пт 21.11.2025 — 08:56:15</t>
  </si>
  <si>
    <t>E33149364_3_20251121T090229Z.jpg</t>
  </si>
  <si>
    <t>10 Сушилка навес\E33149364_3_20251121T090229Z.jpg</t>
  </si>
  <si>
    <t>пт 21.11.2025 — 09:02:29</t>
  </si>
  <si>
    <t>E33149364_3_20251121T091506Z.jpg</t>
  </si>
  <si>
    <t>10 Сушилка навес\E33149364_3_20251121T091506Z.jpg</t>
  </si>
  <si>
    <t>пт 21.11.2025 — 09:15:06</t>
  </si>
  <si>
    <t>E33149364_3_20251121T095429Z.jpg</t>
  </si>
  <si>
    <t>10 Сушилка навес\E33149364_3_20251121T095429Z.jpg</t>
  </si>
  <si>
    <t>пт 21.11.2025 — 09:54:29</t>
  </si>
  <si>
    <t>E33149364_3_20251121T102434Z.jpg</t>
  </si>
  <si>
    <t>10 Сушилка навес\E33149364_3_20251121T102434Z.jpg</t>
  </si>
  <si>
    <t>пт 21.11.2025 — 10:24:34</t>
  </si>
  <si>
    <t>E33149364_3_20251121T103222Z.jpg</t>
  </si>
  <si>
    <t>10 Сушилка навес\E33149364_3_20251121T103222Z.jpg</t>
  </si>
  <si>
    <t>пт 21.11.2025 — 10:32:22</t>
  </si>
  <si>
    <t>E33149364_3_20251121T103230Z.jpg</t>
  </si>
  <si>
    <t>10 Сушилка навес\E33149364_3_20251121T103230Z.jpg</t>
  </si>
  <si>
    <t>пт 21.11.2025 — 10:32:30</t>
  </si>
  <si>
    <t>E33149364_3_20251121T144436Z.jpg</t>
  </si>
  <si>
    <t>10 Сушилка навес\E33149364_3_20251121T144436Z.jpg</t>
  </si>
  <si>
    <t>пт 21.11.2025 — 14:44:36</t>
  </si>
  <si>
    <t>E33149364_3_20251121T144454Z.jpg</t>
  </si>
  <si>
    <t>10 Сушилка навес\E33149364_3_20251121T144454Z.jpg</t>
  </si>
  <si>
    <t>пт 21.11.2025 — 14:44:54</t>
  </si>
  <si>
    <t>E33149364_3_20251121T144516Z.jpg</t>
  </si>
  <si>
    <t>10 Сушилка навес\E33149364_3_20251121T144516Z.jpg</t>
  </si>
  <si>
    <t>пт 21.11.2025 — 14:45:16</t>
  </si>
  <si>
    <t>E33149364_3_20251121T145109Z.jpg</t>
  </si>
  <si>
    <t>10 Сушилка навес\E33149364_3_20251121T145109Z.jpg</t>
  </si>
  <si>
    <t>пт 21.11.2025 — 14:51:09</t>
  </si>
  <si>
    <t>E33149364_3_20251121T160914Z.jpg</t>
  </si>
  <si>
    <t>10 Сушилка навес\E33149364_3_20251121T160914Z.jpg</t>
  </si>
  <si>
    <t>пт 21.11.2025 — 16:09:14</t>
  </si>
  <si>
    <t>E33149364_3_20251121T160958Z.jpg</t>
  </si>
  <si>
    <t>10 Сушилка навес\E33149364_3_20251121T160958Z.jpg</t>
  </si>
  <si>
    <t>пт 21.11.2025 — 16:09:58</t>
  </si>
  <si>
    <t>E33149364_3_20251121T161126Z.jpg</t>
  </si>
  <si>
    <t>10 Сушилка навес\E33149364_3_20251121T161126Z.jpg</t>
  </si>
  <si>
    <t>пт 21.11.2025 — 16:11:26</t>
  </si>
  <si>
    <t>E33149364_3_20251122T100845Z.jpg</t>
  </si>
  <si>
    <t>10 Сушилка навес\E33149364_3_20251122T100845Z.jpg</t>
  </si>
  <si>
    <t>сб 22.11.2025 — 10:08:45</t>
  </si>
  <si>
    <t>E33149364_3_20251122T172943Z.jpg</t>
  </si>
  <si>
    <t>10 Сушилка навес\E33149364_3_20251122T172943Z.jpg</t>
  </si>
  <si>
    <t>сб 22.11.2025 — 17:29:43</t>
  </si>
  <si>
    <t>E33149364_3_20251123T104452Z.jpg</t>
  </si>
  <si>
    <t>10 Сушилка навес\E33149364_3_20251123T104452Z.jpg</t>
  </si>
  <si>
    <t>вс 23.11.2025 — 10:44:52</t>
  </si>
  <si>
    <t>E33149364_3_20251123T155953Z.jpg</t>
  </si>
  <si>
    <t>10 Сушилка навес\E33149364_3_20251123T155953Z.jpg</t>
  </si>
  <si>
    <t>вс 23.11.2025 — 15:59:53</t>
  </si>
  <si>
    <t>K07156189_23_20251118T103814Z.jpg</t>
  </si>
  <si>
    <t>13 Склад хол\K07156189_23_20251118T103814Z.jpg</t>
  </si>
  <si>
    <t>вт 18.11.2025 — 10:38:14</t>
  </si>
  <si>
    <t>K07156189_23_20251118T103825Z.jpg</t>
  </si>
  <si>
    <t>13 Склад хол\K07156189_23_20251118T103825Z.jpg</t>
  </si>
  <si>
    <t>вт 18.11.2025 — 10:38:25</t>
  </si>
  <si>
    <t>K07156189_23_20251118T103836Z.jpg</t>
  </si>
  <si>
    <t>13 Склад хол\K07156189_23_20251118T103836Z.jpg</t>
  </si>
  <si>
    <t>вт 18.11.2025 — 10:38:36</t>
  </si>
  <si>
    <t>K07156189_23_20251119T173408Z.jpg</t>
  </si>
  <si>
    <t>13 Склад хол\K07156189_23_20251119T173408Z.jpg</t>
  </si>
  <si>
    <t>ср 19.11.2025 — 17:34:08</t>
  </si>
  <si>
    <t>K07156189_23_20251120T161757Z.jpg</t>
  </si>
  <si>
    <t>13 Склад хол\K07156189_23_20251120T161757Z.jpg</t>
  </si>
  <si>
    <t>чт 20.11.2025 — 16:17:57</t>
  </si>
  <si>
    <t>K07156189_23_20251121T074207Z.jpg</t>
  </si>
  <si>
    <t>13 Склад хол\K07156189_23_20251121T074207Z.jpg</t>
  </si>
  <si>
    <t>пт 21.11.2025 — 07:42:07</t>
  </si>
  <si>
    <t>K07156189_23_20251122T173609Z.jpg</t>
  </si>
  <si>
    <t>13 Склад хол\K07156189_23_20251122T173609Z.jpg</t>
  </si>
  <si>
    <t>сб 22.11.2025 — 17:36:09</t>
  </si>
  <si>
    <t>K07156189_23_20251123T170403Z.jpg</t>
  </si>
  <si>
    <t>13 Склад хол\K07156189_23_20251123T170403Z.jpg</t>
  </si>
  <si>
    <t>вс 23.11.2025 — 17:04:03</t>
  </si>
  <si>
    <t>Грузовая бортовая</t>
  </si>
  <si>
    <t>металлические балки</t>
  </si>
  <si>
    <t>доски, металлические балки</t>
  </si>
  <si>
    <t xml:space="preserve">Легковая </t>
  </si>
  <si>
    <t>без погрузки</t>
  </si>
  <si>
    <t>Камера</t>
  </si>
  <si>
    <t>Очистка места для выгрузки бревен</t>
  </si>
  <si>
    <t>Легковая</t>
  </si>
  <si>
    <t>на крыше</t>
  </si>
  <si>
    <t>доска</t>
  </si>
  <si>
    <t>бакажник</t>
  </si>
  <si>
    <t>утрамбовка щебня</t>
  </si>
  <si>
    <t>работа крана</t>
  </si>
  <si>
    <t>вт 18.11.2025 — 12:02:34</t>
  </si>
  <si>
    <t>826398429_1_20251118T120234Z.jpg</t>
  </si>
  <si>
    <t>6 Площадка 1 общага\826398429_1_20251118T120234Z.jpg</t>
  </si>
  <si>
    <t>динамика</t>
  </si>
  <si>
    <t>Выемка мешка</t>
  </si>
  <si>
    <t>опилки</t>
  </si>
  <si>
    <t>Перенос с улицы</t>
  </si>
  <si>
    <t>Два сотрудника</t>
  </si>
  <si>
    <t>на кромкорез</t>
  </si>
  <si>
    <t>для погрузки</t>
  </si>
  <si>
    <t>Отрезка материала от рулона</t>
  </si>
  <si>
    <t>брус</t>
  </si>
  <si>
    <t>Замер доски</t>
  </si>
  <si>
    <t>Распиловка доски пилой</t>
  </si>
  <si>
    <t>Гуппа сотрудников</t>
  </si>
  <si>
    <t>из сушилки</t>
  </si>
  <si>
    <t>в ангар</t>
  </si>
  <si>
    <t>отрез материала</t>
  </si>
  <si>
    <t>старый поролон</t>
  </si>
  <si>
    <t>рулон чего-то</t>
  </si>
  <si>
    <t>Окончание погрузки, убытие</t>
  </si>
  <si>
    <t>под навес</t>
  </si>
  <si>
    <t>для погрузки у навеса</t>
  </si>
  <si>
    <t>ангар</t>
  </si>
  <si>
    <t>навес</t>
  </si>
  <si>
    <t>на территорию</t>
  </si>
  <si>
    <t>E33149364_3_20251118T155148Z.jpg</t>
  </si>
  <si>
    <t>10 Сушилка навес\E33149364_3_20251118T155148Z.jpg</t>
  </si>
  <si>
    <t>вт 18.11.2025 — 15:51:48</t>
  </si>
  <si>
    <t>рейки</t>
  </si>
  <si>
    <t>сушилка</t>
  </si>
  <si>
    <t>рейка</t>
  </si>
  <si>
    <t>Работа под навесом</t>
  </si>
  <si>
    <t>Перенос этап</t>
  </si>
  <si>
    <t>динамика - нет записи перемещения этих досок</t>
  </si>
  <si>
    <t>со склада хол</t>
  </si>
  <si>
    <t>E33149364_4_20251121T115217Z.jpg</t>
  </si>
  <si>
    <t>11 С ангара на базу\E33149364_4_20251121T115217Z.jpg</t>
  </si>
  <si>
    <t>пт 21.11.2025 — 11:52:17</t>
  </si>
  <si>
    <t>E33149364_4_20251121T135542Z.jpg</t>
  </si>
  <si>
    <t>11 С ангара на базу\E33149364_4_20251121T135542Z.jpg</t>
  </si>
  <si>
    <t>пт 21.11.2025 — 13:55:42</t>
  </si>
  <si>
    <t>динамика (доски справа)</t>
  </si>
  <si>
    <t>K07156189_23_20251117T104259Z.jpg</t>
  </si>
  <si>
    <t>13 Склад хол\K07156189_23_20251117T104259Z.jpg</t>
  </si>
  <si>
    <t>пн 17.11.2025 — 10:42:59</t>
  </si>
  <si>
    <t>на сруб</t>
  </si>
  <si>
    <t>Загрузка (другой ракурс)</t>
  </si>
  <si>
    <t>C:\ВИДЕОНАБЛЮДЕНИЕ\1 Ангар Склад 2 въезд\</t>
  </si>
  <si>
    <t>C:\ВИДЕОНАБЛЮДЕНИЕ\5 Крыльцо общага\</t>
  </si>
  <si>
    <t>C:\ВИДЕОНАБЛЮДЕНИЕ\6 Площадка 1 общага\</t>
  </si>
  <si>
    <t>C:\ВИДЕОНАБЛЮДЕНИЕ\7 Площадка 2 бетонщики\</t>
  </si>
  <si>
    <t>C:\ВИДЕОНАБЛЮДЕНИЕ\10 Сушилка навес\</t>
  </si>
  <si>
    <t>C:\ВИДЕОНАБЛЮДЕНИЕ\11 С ангара на базу\</t>
  </si>
  <si>
    <t>C:\ВИДЕОНАБЛЮДЕНИЕ\12 Площадка 3 кран\</t>
  </si>
  <si>
    <t>C:\ВИДЕОНАБЛЮДЕНИЕ\13 Склад хол\</t>
  </si>
  <si>
    <t>C:\ВИДЕОНАБЛЮДЕНИЕ\2 Пилорама поката\</t>
  </si>
  <si>
    <t>C:\ВИДЕОНАБЛЮДЕНИЕ\3 Въезд на базу\</t>
  </si>
  <si>
    <t>C:\ВИДЕОНАБЛЮДЕНИЕ\4 Крыльцо офиса\</t>
  </si>
  <si>
    <t>C:\ВИДЕОНАБЛЮДЕНИЕ\8 Рейсмус\</t>
  </si>
  <si>
    <t>C:\ВИДЕОНАБЛЮДЕНИЕ\9 Ангар пилорама\</t>
  </si>
  <si>
    <t>E33149364_6_20251124T133115Z.jpg</t>
  </si>
  <si>
    <t>1 Ангар Склад 2 въезд\E33149364_6_20251124T133115Z.jpg</t>
  </si>
  <si>
    <t>пн 24.11.2025 — 13:31:15</t>
  </si>
  <si>
    <t>E33149364_6_20251124T134043Z.jpg</t>
  </si>
  <si>
    <t>1 Ангар Склад 2 въезд\E33149364_6_20251124T134043Z.jpg</t>
  </si>
  <si>
    <t>пн 24.11.2025 — 13:40:43</t>
  </si>
  <si>
    <t>E33149364_6_20251124T165934Z.jpg</t>
  </si>
  <si>
    <t>1 Ангар Склад 2 въезд\E33149364_6_20251124T165934Z.jpg</t>
  </si>
  <si>
    <t>пн 24.11.2025 — 16:59:34</t>
  </si>
  <si>
    <t>E33149364_6_20251124T173635Z.jpg</t>
  </si>
  <si>
    <t>1 Ангар Склад 2 въезд\E33149364_6_20251124T173635Z.jpg</t>
  </si>
  <si>
    <t>пн 24.11.2025 — 17:36:35</t>
  </si>
  <si>
    <t>E33149364_6_20251124T181141Z.jpg</t>
  </si>
  <si>
    <t>1 Ангар Склад 2 въезд\E33149364_6_20251124T181141Z.jpg</t>
  </si>
  <si>
    <t>пн 24.11.2025 — 18:11:41</t>
  </si>
  <si>
    <t>E33149364_6_20251125T152935Z.jpg</t>
  </si>
  <si>
    <t>1 Ангар Склад 2 въезд\E33149364_6_20251125T152935Z.jpg</t>
  </si>
  <si>
    <t>вт 25.11.2025 — 15:29:35</t>
  </si>
  <si>
    <t>E33149364_6_20251125T153508Z.jpg</t>
  </si>
  <si>
    <t>1 Ангар Склад 2 въезд\E33149364_6_20251125T153508Z.jpg</t>
  </si>
  <si>
    <t>вт 25.11.2025 — 15:35:08</t>
  </si>
  <si>
    <t>E33149364_6_20251125T153528Z.jpg</t>
  </si>
  <si>
    <t>1 Ангар Склад 2 въезд\E33149364_6_20251125T153528Z.jpg</t>
  </si>
  <si>
    <t>вт 25.11.2025 — 15:35:28</t>
  </si>
  <si>
    <t>Выход с территории</t>
  </si>
  <si>
    <t>Задний ход, выезд с территории</t>
  </si>
  <si>
    <t>E33149364_7_20251124T143854Z.jpg</t>
  </si>
  <si>
    <t>2 Пилорама поката\E33149364_7_20251124T143854Z.jpg</t>
  </si>
  <si>
    <t>пн 24.11.2025 — 14:38:54</t>
  </si>
  <si>
    <t>E33149364_7_20251124T144037Z.jpg</t>
  </si>
  <si>
    <t>2 Пилорама поката\E33149364_7_20251124T144037Z.jpg</t>
  </si>
  <si>
    <t>пн 24.11.2025 — 14:40:37</t>
  </si>
  <si>
    <t>E33149364_7_20251124T144256Z.jpg</t>
  </si>
  <si>
    <t>2 Пилорама поката\E33149364_7_20251124T144256Z.jpg</t>
  </si>
  <si>
    <t>пн 24.11.2025 — 14:42:56</t>
  </si>
  <si>
    <t>E33149364_7_20251124T144328Z.jpg</t>
  </si>
  <si>
    <t>2 Пилорама поката\E33149364_7_20251124T144328Z.jpg</t>
  </si>
  <si>
    <t>пн 24.11.2025 — 14:43:28</t>
  </si>
  <si>
    <t>E33149364_7_20251124T165640Z.jpg</t>
  </si>
  <si>
    <t>2 Пилорама поката\E33149364_7_20251124T165640Z.jpg</t>
  </si>
  <si>
    <t>пн 24.11.2025 — 16:56:40</t>
  </si>
  <si>
    <t>E33149364_7_20251125T102613Z.jpg</t>
  </si>
  <si>
    <t>2 Пилорама поката\E33149364_7_20251125T102613Z.jpg</t>
  </si>
  <si>
    <t>вт 25.11.2025 — 10:26:13</t>
  </si>
  <si>
    <t>E33149364_7_20251125T102635Z.jpg</t>
  </si>
  <si>
    <t>2 Пилорама поката\E33149364_7_20251125T102635Z.jpg</t>
  </si>
  <si>
    <t>вт 25.11.2025 — 10:26:35</t>
  </si>
  <si>
    <t>E33149364_7_20251125T104144Z.jpg</t>
  </si>
  <si>
    <t>2 Пилорама поката\E33149364_7_20251125T104144Z.jpg</t>
  </si>
  <si>
    <t>вт 25.11.2025 — 10:41:44</t>
  </si>
  <si>
    <t>E33149364_7_20251125T104224Z.jpg</t>
  </si>
  <si>
    <t>2 Пилорама поката\E33149364_7_20251125T104224Z.jpg</t>
  </si>
  <si>
    <t>вт 25.11.2025 — 10:42:24</t>
  </si>
  <si>
    <t>E33149364_7_20251125T105445Z.jpg</t>
  </si>
  <si>
    <t>2 Пилорама поката\E33149364_7_20251125T105445Z.jpg</t>
  </si>
  <si>
    <t>вт 25.11.2025 — 10:54:45</t>
  </si>
  <si>
    <t>E33149364_7_20251125T105508Z.jpg</t>
  </si>
  <si>
    <t>2 Пилорама поката\E33149364_7_20251125T105508Z.jpg</t>
  </si>
  <si>
    <t>вт 25.11.2025 — 10:55:08</t>
  </si>
  <si>
    <t>E33149364_7_20251125T121855Z.jpg</t>
  </si>
  <si>
    <t>2 Пилорама поката\E33149364_7_20251125T121855Z.jpg</t>
  </si>
  <si>
    <t>вт 25.11.2025 — 12:18:55</t>
  </si>
  <si>
    <t>E33149364_7_20251125T121942Z.jpg</t>
  </si>
  <si>
    <t>2 Пилорама поката\E33149364_7_20251125T121942Z.jpg</t>
  </si>
  <si>
    <t>вт 25.11.2025 — 12:19:42</t>
  </si>
  <si>
    <t>E33149364_7_20251125T122059Z.jpg</t>
  </si>
  <si>
    <t>2 Пилорама поката\E33149364_7_20251125T122059Z.jpg</t>
  </si>
  <si>
    <t>вт 25.11.2025 — 12:20:59</t>
  </si>
  <si>
    <t>E33149364_7_20251125T122130Z.jpg</t>
  </si>
  <si>
    <t>2 Пилорама поката\E33149364_7_20251125T122130Z.jpg</t>
  </si>
  <si>
    <t>вт 25.11.2025 — 12:21:30</t>
  </si>
  <si>
    <t>E33149364_7_20251125T122935Z.jpg</t>
  </si>
  <si>
    <t>2 Пилорама поката\E33149364_7_20251125T122935Z.jpg</t>
  </si>
  <si>
    <t>вт 25.11.2025 — 12:29:35</t>
  </si>
  <si>
    <t>E33149364_7_20251125T162523Z.jpg</t>
  </si>
  <si>
    <t>2 Пилорама поката\E33149364_7_20251125T162523Z.jpg</t>
  </si>
  <si>
    <t>вт 25.11.2025 — 16:25:23</t>
  </si>
  <si>
    <t>отходы распиловки</t>
  </si>
  <si>
    <t>около окна приема бревен</t>
  </si>
  <si>
    <t>Выгрузка</t>
  </si>
  <si>
    <t>за кадром</t>
  </si>
  <si>
    <t>окно приема бревен</t>
  </si>
  <si>
    <t>мешок опилок</t>
  </si>
  <si>
    <t>около второго ангара</t>
  </si>
  <si>
    <t>в конце дня</t>
  </si>
  <si>
    <t>K07156189_22_20251124T160809Z.jpg</t>
  </si>
  <si>
    <t>5 Крыльцо общага\K07156189_22_20251124T160809Z.jpg</t>
  </si>
  <si>
    <t>пн 24.11.2025 — 16:08:09</t>
  </si>
  <si>
    <t>K07156189_22_20251124T163410Z.jpg</t>
  </si>
  <si>
    <t>5 Крыльцо общага\K07156189_22_20251124T163410Z.jpg</t>
  </si>
  <si>
    <t>пн 24.11.2025 — 16:34:10</t>
  </si>
  <si>
    <t>K07156189_22_20251125T144045Z.jpg</t>
  </si>
  <si>
    <t>5 Крыльцо общага\K07156189_22_20251125T144045Z.jpg</t>
  </si>
  <si>
    <t>вт 25.11.2025 — 14:40:45</t>
  </si>
  <si>
    <t>K07156189_22_20251125T170245Z.jpg</t>
  </si>
  <si>
    <t>5 Крыльцо общага\K07156189_22_20251125T170245Z.jpg</t>
  </si>
  <si>
    <t>вт 25.11.2025 — 17:02:45</t>
  </si>
  <si>
    <t>K07156189_22_20251126T095445Z.jpg</t>
  </si>
  <si>
    <t>5 Крыльцо общага\K07156189_22_20251126T095445Z.jpg</t>
  </si>
  <si>
    <t>ср 26.11.2025 — 09:54:45</t>
  </si>
  <si>
    <t>K07156189_22_20251127T152324Z.jpg</t>
  </si>
  <si>
    <t>5 Крыльцо общага\K07156189_22_20251127T152324Z.jpg</t>
  </si>
  <si>
    <t>чт 27.11.2025 — 15:23:24</t>
  </si>
  <si>
    <t>K07156189_22_20251128T170347Z.jpg</t>
  </si>
  <si>
    <t>5 Крыльцо общага\K07156189_22_20251128T170347Z.jpg</t>
  </si>
  <si>
    <t>пт 28.11.2025 — 17:03:47</t>
  </si>
  <si>
    <t>K07156189_22_20251129T113716Z.jpg</t>
  </si>
  <si>
    <t>5 Крыльцо общага\K07156189_22_20251129T113716Z.jpg</t>
  </si>
  <si>
    <t>сб 29.11.2025 — 11:37:16</t>
  </si>
  <si>
    <t>1 Ангар Склад 2 въезд\E33149364_6_20251110T115231Z.jpg</t>
  </si>
  <si>
    <t>пн 10.11.2025 — 11:52:31</t>
  </si>
  <si>
    <t>1 Ангар Склад 2 въезд\E33149364_6_20251110T120047Z.jpg</t>
  </si>
  <si>
    <t>пн 10.11.2025 — 12:00:47</t>
  </si>
  <si>
    <t>1 Ангар Склад 2 въезд\E33149364_6_20251110T120052Z.jpg</t>
  </si>
  <si>
    <t>пн 10.11.2025 — 12:00:52</t>
  </si>
  <si>
    <t>1 Ангар Склад 2 въезд\E33149364_6_20251110T122835Z.jpg</t>
  </si>
  <si>
    <t>пн 10.11.2025 — 12:28:35</t>
  </si>
  <si>
    <t>1 Ангар Склад 2 въезд\E33149364_6_20251110T134029Z.jpg</t>
  </si>
  <si>
    <t>пн 10.11.2025 — 13:40:29</t>
  </si>
  <si>
    <t>1 Ангар Склад 2 въезд\E33149364_6_20251110T134540Z.jpg</t>
  </si>
  <si>
    <t>пн 10.11.2025 — 13:45:40</t>
  </si>
  <si>
    <t>1 Ангар Склад 2 въезд\E33149364_6_20251110T143236Z.jpg</t>
  </si>
  <si>
    <t>пн 10.11.2025 — 14:32:36</t>
  </si>
  <si>
    <t>1 Ангар Склад 2 въезд\E33149364_6_20251111T092327Z.jpg</t>
  </si>
  <si>
    <t>вт 11.11.2025 — 09:23:27</t>
  </si>
  <si>
    <t>1 Ангар Склад 2 въезд\E33149364_6_20251111T104437Z.jpg</t>
  </si>
  <si>
    <t>вт 11.11.2025 — 10:44:37</t>
  </si>
  <si>
    <t>1 Ангар Склад 2 въезд\E33149364_6_20251111T104712Z.jpg</t>
  </si>
  <si>
    <t>вт 11.11.2025 — 10:47:12</t>
  </si>
  <si>
    <t>1 Ангар Склад 2 въезд\E33149364_6_20251111T104942Z.jpg</t>
  </si>
  <si>
    <t>вт 11.11.2025 — 10:49:42</t>
  </si>
  <si>
    <t>1 Ангар Склад 2 въезд\E33149364_6_20251111T104958Z.jpg</t>
  </si>
  <si>
    <t>вт 11.11.2025 — 10:49:58</t>
  </si>
  <si>
    <t>1 Ангар Склад 2 въезд\E33149364_6_20251111T113804Z.jpg</t>
  </si>
  <si>
    <t>вт 11.11.2025 — 11:38:04</t>
  </si>
  <si>
    <t>1 Ангар Склад 2 въезд\E33149364_6_20251111T125226Z.jpg</t>
  </si>
  <si>
    <t>вт 11.11.2025 — 12:52:26</t>
  </si>
  <si>
    <t>1 Ангар Склад 2 въезд\E33149364_6_20251111T154349Z.jpg</t>
  </si>
  <si>
    <t>вт 11.11.2025 — 15:43:49</t>
  </si>
  <si>
    <t>1 Ангар Склад 2 въезд\E33149364_6_20251112T161438Z.jpg</t>
  </si>
  <si>
    <t>ср 12.11.2025 — 16:14:38</t>
  </si>
  <si>
    <t>1 Ангар Склад 2 въезд\E33149364_6_20251112T170242Z.jpg</t>
  </si>
  <si>
    <t>ср 12.11.2025 — 17:02:42</t>
  </si>
  <si>
    <t>1 Ангар Склад 2 въезд\E33149364_6_20251113T084904Z.jpg</t>
  </si>
  <si>
    <t>чт 13.11.2025 — 08:49:04</t>
  </si>
  <si>
    <t>1 Ангар Склад 2 въезд\E33149364_6_20251113T085509Z.jpg</t>
  </si>
  <si>
    <t>чт 13.11.2025 — 08:55:09</t>
  </si>
  <si>
    <t>1 Ангар Склад 2 въезд\E33149364_6_20251113T090456Z.jpg</t>
  </si>
  <si>
    <t>чт 13.11.2025 — 09:04:56</t>
  </si>
  <si>
    <t>1 Ангар Склад 2 въезд\E33149364_6_20251113T090500Z.jpg</t>
  </si>
  <si>
    <t>чт 13.11.2025 — 09:05:00</t>
  </si>
  <si>
    <t>1 Ангар Склад 2 въезд\E33149364_6_20251113T092918Z.jpg</t>
  </si>
  <si>
    <t>чт 13.11.2025 — 09:29:18</t>
  </si>
  <si>
    <t>1 Ангар Склад 2 въезд\E33149364_6_20251113T093428Z.jpg</t>
  </si>
  <si>
    <t>чт 13.11.2025 — 09:34:28</t>
  </si>
  <si>
    <t>1 Ангар Склад 2 въезд\E33149364_6_20251113T123446Z.jpg</t>
  </si>
  <si>
    <t>чт 13.11.2025 — 12:34:46</t>
  </si>
  <si>
    <t>1 Ангар Склад 2 въезд\E33149364_6_20251114T084700Z.jpg</t>
  </si>
  <si>
    <t>пт 14.11.2025 — 08:47:00</t>
  </si>
  <si>
    <t>1 Ангар Склад 2 въезд\E33149364_6_20251114T124506Z.jpg</t>
  </si>
  <si>
    <t>пт 14.11.2025 — 12:45:06</t>
  </si>
  <si>
    <t>1 Ангар Склад 2 въезд\E33149364_6_20251114T125035Z.jpg</t>
  </si>
  <si>
    <t>пт 14.11.2025 — 12:50:35</t>
  </si>
  <si>
    <t>1 Ангар Склад 2 въезд\E33149364_6_20251114T125414Z.jpg</t>
  </si>
  <si>
    <t>пт 14.11.2025 — 12:54:14</t>
  </si>
  <si>
    <t>1 Ангар Склад 2 въезд\E33149364_6_20251114T125702Z.jpg</t>
  </si>
  <si>
    <t>пт 14.11.2025 — 12:57:02</t>
  </si>
  <si>
    <t>1 Ангар Склад 2 въезд\E33149364_6_20251114T125754Z.jpg</t>
  </si>
  <si>
    <t>пт 14.11.2025 — 12:57:54</t>
  </si>
  <si>
    <t>1 Ангар Склад 2 въезд\E33149364_6_20251114T130033Z.jpg</t>
  </si>
  <si>
    <t>пт 14.11.2025 — 13:00:33</t>
  </si>
  <si>
    <t>1 Ангар Склад 2 въезд\E33149364_6_20251114T131318Z.jpg</t>
  </si>
  <si>
    <t>пт 14.11.2025 — 13:13:18</t>
  </si>
  <si>
    <t>1 Ангар Склад 2 въезд\E33149364_6_20251114T131619Z.jpg</t>
  </si>
  <si>
    <t>пт 14.11.2025 — 13:16:19</t>
  </si>
  <si>
    <t>1 Ангар Склад 2 въезд\E33149364_6_20251114T132811Z.jpg</t>
  </si>
  <si>
    <t>пт 14.11.2025 — 13:28:11</t>
  </si>
  <si>
    <t>1 Ангар Склад 2 въезд\E33149364_6_20251114T133038Z.jpg</t>
  </si>
  <si>
    <t>пт 14.11.2025 — 13:30:38</t>
  </si>
  <si>
    <t>1 Ангар Склад 2 въезд\E33149364_6_20251114T134227Z.jpg</t>
  </si>
  <si>
    <t>пт 14.11.2025 — 13:42:27</t>
  </si>
  <si>
    <t>1 Ангар Склад 2 въезд\E33149364_6_20251114T134639Z.jpg</t>
  </si>
  <si>
    <t>пт 14.11.2025 — 13:46:39</t>
  </si>
  <si>
    <t>1 Ангар Склад 2 въезд\E33149364_6_20251114T142453Z.jpg</t>
  </si>
  <si>
    <t>пт 14.11.2025 — 14:24:53</t>
  </si>
  <si>
    <t>1 Ангар Склад 2 въезд\E33149364_6_20251115T102817Z.jpg</t>
  </si>
  <si>
    <t>сб 15.11.2025 — 10:28:17</t>
  </si>
  <si>
    <t>1 Ангар Склад 2 въезд\E33149364_6_20251115T103838Z.jpg</t>
  </si>
  <si>
    <t>сб 15.11.2025 — 10:38:38</t>
  </si>
  <si>
    <t>1 Ангар Склад 2 въезд\E33149364_6_20251115T111407Z.jpg</t>
  </si>
  <si>
    <t>сб 15.11.2025 — 11:14:07</t>
  </si>
  <si>
    <t>1 Ангар Склад 2 въезд\E33149364_6_20251115T115633Z.jpg</t>
  </si>
  <si>
    <t>сб 15.11.2025 — 11:56:33</t>
  </si>
  <si>
    <t>1 Ангар Склад 2 въезд\E33149364_6_20251115T145651Z.jpg</t>
  </si>
  <si>
    <t>сб 15.11.2025 — 14:56:51</t>
  </si>
  <si>
    <t>1 Ангар Склад 2 въезд\E33149364_6_20251115T150734Z.jpg</t>
  </si>
  <si>
    <t>сб 15.11.2025 — 15:07:34</t>
  </si>
  <si>
    <t>1 Ангар Склад 2 въезд\E33149364_6_20251115T152654Z.jpg</t>
  </si>
  <si>
    <t>сб 15.11.2025 — 15:26:54</t>
  </si>
  <si>
    <t>1 Ангар Склад 2 въезд\E33149364_6_20251115T151813Z.jpg</t>
  </si>
  <si>
    <t>сб 15.11.2025 — 15:18:13</t>
  </si>
  <si>
    <t>1 Ангар Склад 2 въезд\E33149364_6_20251117T173330Z.jpg</t>
  </si>
  <si>
    <t>пн 17.11.2025 — 17:33:30</t>
  </si>
  <si>
    <t>1 Ангар Склад 2 въезд\E33149364_6_20251118T090558Z.jpg</t>
  </si>
  <si>
    <t>вт 18.11.2025 — 09:05:58</t>
  </si>
  <si>
    <t>1 Ангар Склад 2 въезд\E33149364_6_20251118T094148Z.jpg</t>
  </si>
  <si>
    <t>вт 18.11.2025 — 09:41:48</t>
  </si>
  <si>
    <t>1 Ангар Склад 2 въезд\E33149364_6_20251118T102134Z.jpg</t>
  </si>
  <si>
    <t>вт 18.11.2025 — 10:21:34</t>
  </si>
  <si>
    <t>1 Ангар Склад 2 въезд\E33149364_6_20251118T102612Z.jpg</t>
  </si>
  <si>
    <t>вт 18.11.2025 — 10:26:12</t>
  </si>
  <si>
    <t>1 Ангар Склад 2 въезд\E33149364_6_20251118T143628Z.jpg</t>
  </si>
  <si>
    <t>вт 18.11.2025 — 14:36:28</t>
  </si>
  <si>
    <t>1 Ангар Склад 2 въезд\E33149364_6_20251119T105917Z.jpg</t>
  </si>
  <si>
    <t>ср 19.11.2025 — 10:59:17</t>
  </si>
  <si>
    <t>1 Ангар Склад 2 въезд\E33149364_6_20251119T113819Z.jpg</t>
  </si>
  <si>
    <t>ср 19.11.2025 — 11:38:19</t>
  </si>
  <si>
    <t>1 Ангар Склад 2 въезд\E33149364_6_20251119T114703Z.jpg</t>
  </si>
  <si>
    <t>ср 19.11.2025 — 11:47:03</t>
  </si>
  <si>
    <t>1 Ангар Склад 2 въезд\E33149364_6_20251119T115240Z.jpg</t>
  </si>
  <si>
    <t>ср 19.11.2025 — 11:52:40</t>
  </si>
  <si>
    <t>1 Ангар Склад 2 въезд\E33149364_6_20251120T164933Z.jpg</t>
  </si>
  <si>
    <t>чт 20.11.2025 — 16:49:33</t>
  </si>
  <si>
    <t>1 Ангар Склад 2 въезд\E33149364_6_20251121T105828Z.jpg</t>
  </si>
  <si>
    <t>пт 21.11.2025 — 10:58:28</t>
  </si>
  <si>
    <t>1 Ангар Склад 2 въезд\E33149364_6_20251121T110048Z.jpg</t>
  </si>
  <si>
    <t>пт 21.11.2025 — 11:00:48</t>
  </si>
  <si>
    <t>1 Ангар Склад 2 въезд\E33149364_6_20251122T135731Z.jpg</t>
  </si>
  <si>
    <t>сб 22.11.2025 — 13:57:31</t>
  </si>
  <si>
    <t>1 Ангар Склад 2 въезд\E33149364_6_20251123T154552Z.jpg</t>
  </si>
  <si>
    <t>вс 23.11.2025 — 15:45:52</t>
  </si>
  <si>
    <t>E33149364_6_20251126T102402Z.jpg</t>
  </si>
  <si>
    <t>1 Ангар Склад 2 въезд\E33149364_6_20251126T102402Z.jpg</t>
  </si>
  <si>
    <t>ср 26.11.2025 — 10:24:02</t>
  </si>
  <si>
    <t>E33149364_6_20251126T105128Z.jpg</t>
  </si>
  <si>
    <t>1 Ангар Склад 2 въезд\E33149364_6_20251126T105128Z.jpg</t>
  </si>
  <si>
    <t>ср 26.11.2025 — 10:51:28</t>
  </si>
  <si>
    <t>E33149364_6_20251126T105132Z.jpg</t>
  </si>
  <si>
    <t>1 Ангар Склад 2 въезд\E33149364_6_20251126T105132Z.jpg</t>
  </si>
  <si>
    <t>ср 26.11.2025 — 10:51:32</t>
  </si>
  <si>
    <t>E33149364_6_20251126T105446Z.jpg</t>
  </si>
  <si>
    <t>1 Ангар Склад 2 въезд\E33149364_6_20251126T105446Z.jpg</t>
  </si>
  <si>
    <t>ср 26.11.2025 — 10:54:46</t>
  </si>
  <si>
    <t>E33149364_6_20251127T120210Z.jpg</t>
  </si>
  <si>
    <t>1 Ангар Склад 2 въезд\E33149364_6_20251127T120210Z.jpg</t>
  </si>
  <si>
    <t>чт 27.11.2025 — 12:02:10</t>
  </si>
  <si>
    <t>E33149364_6_20251127T130109Z.jpg</t>
  </si>
  <si>
    <t>1 Ангар Склад 2 въезд\E33149364_6_20251127T130109Z.jpg</t>
  </si>
  <si>
    <t>чт 27.11.2025 — 13:01:09</t>
  </si>
  <si>
    <t>E33149364_6_20251128T105521Z.jpg</t>
  </si>
  <si>
    <t>1 Ангар Склад 2 въезд\E33149364_6_20251128T105521Z.jpg</t>
  </si>
  <si>
    <t>пт 28.11.2025 — 10:55:21</t>
  </si>
  <si>
    <t>E33149364_6_20251128T121005Z.jpg</t>
  </si>
  <si>
    <t>1 Ангар Склад 2 въезд\E33149364_6_20251128T121005Z.jpg</t>
  </si>
  <si>
    <t>пт 28.11.2025 — 12:10:05</t>
  </si>
  <si>
    <t>E33149364_6_20251129T125411Z.jpg</t>
  </si>
  <si>
    <t>1 Ангар Склад 2 въезд\E33149364_6_20251129T125411Z.jpg</t>
  </si>
  <si>
    <t>сб 29.11.2025 — 12:54:11</t>
  </si>
  <si>
    <t>E33149364_6_20251129T153400Z.jpg</t>
  </si>
  <si>
    <t>1 Ангар Склад 2 въезд\E33149364_6_20251129T153400Z.jpg</t>
  </si>
  <si>
    <t>сб 29.11.2025 — 15:34:00</t>
  </si>
  <si>
    <t>E33149364_6_20251129T165257Z.jpg</t>
  </si>
  <si>
    <t>1 Ангар Склад 2 въезд\E33149364_6_20251129T165257Z.jpg</t>
  </si>
  <si>
    <t>сб 29.11.2025 — 16:52:57</t>
  </si>
  <si>
    <t>E33149364_6_20251129T173803Z.jpg</t>
  </si>
  <si>
    <t>1 Ангар Склад 2 въезд\E33149364_6_20251129T173803Z.jpg</t>
  </si>
  <si>
    <t>сб 29.11.2025 — 17:38:03</t>
  </si>
  <si>
    <t>E33149364_7_20251126T102620Z.jpg</t>
  </si>
  <si>
    <t>2 Пилорама поката\E33149364_7_20251126T102620Z.jpg</t>
  </si>
  <si>
    <t>ср 26.11.2025 — 10:26:20</t>
  </si>
  <si>
    <t>E33149364_7_20251126T104938Z.jpg</t>
  </si>
  <si>
    <t>2 Пилорама поката\E33149364_7_20251126T104938Z.jpg</t>
  </si>
  <si>
    <t>ср 26.11.2025 — 10:49:38</t>
  </si>
  <si>
    <t>E33149364_7_20251126T115114Z.jpg</t>
  </si>
  <si>
    <t>2 Пилорама поката\E33149364_7_20251126T115114Z.jpg</t>
  </si>
  <si>
    <t>ср 26.11.2025 — 11:51:14</t>
  </si>
  <si>
    <t>E33149364_7_20251126T143547Z.jpg</t>
  </si>
  <si>
    <t>2 Пилорама поката\E33149364_7_20251126T143547Z.jpg</t>
  </si>
  <si>
    <t>ср 26.11.2025 — 14:35:47</t>
  </si>
  <si>
    <t>E33149364_7_20251126T143600Z.jpg</t>
  </si>
  <si>
    <t>2 Пилорама поката\E33149364_7_20251126T143600Z.jpg</t>
  </si>
  <si>
    <t>ср 26.11.2025 — 14:36:00</t>
  </si>
  <si>
    <t>E33149364_7_20251126T150432Z.jpg</t>
  </si>
  <si>
    <t>2 Пилорама поката\E33149364_7_20251126T150432Z.jpg</t>
  </si>
  <si>
    <t>ср 26.11.2025 — 15:04:32</t>
  </si>
  <si>
    <t>E33149364_7_20251126T160122Z.jpg</t>
  </si>
  <si>
    <t>2 Пилорама поката\E33149364_7_20251126T160122Z.jpg</t>
  </si>
  <si>
    <t>ср 26.11.2025 — 16:01:22</t>
  </si>
  <si>
    <t>E33149364_7_20251126T164903Z.jpg</t>
  </si>
  <si>
    <t>2 Пилорама поката\E33149364_7_20251126T164903Z.jpg</t>
  </si>
  <si>
    <t>ср 26.11.2025 — 16:49:03</t>
  </si>
  <si>
    <t>E33149364_7_20251127T092418Z.jpg</t>
  </si>
  <si>
    <t>2 Пилорама поката\E33149364_7_20251127T092418Z.jpg</t>
  </si>
  <si>
    <t>чт 27.11.2025 — 09:24:18</t>
  </si>
  <si>
    <t>E33149364_7_20251127T104741Z.jpg</t>
  </si>
  <si>
    <t>2 Пилорама поката\E33149364_7_20251127T104741Z.jpg</t>
  </si>
  <si>
    <t>чт 27.11.2025 — 10:47:41</t>
  </si>
  <si>
    <t>E33149364_7_20251127T145048Z.jpg</t>
  </si>
  <si>
    <t>2 Пилорама поката\E33149364_7_20251127T145048Z.jpg</t>
  </si>
  <si>
    <t>чт 27.11.2025 — 14:50:48</t>
  </si>
  <si>
    <t>E33149364_7_20251127T152630Z.jpg</t>
  </si>
  <si>
    <t>2 Пилорама поката\E33149364_7_20251127T152630Z.jpg</t>
  </si>
  <si>
    <t>чт 27.11.2025 — 15:26:30</t>
  </si>
  <si>
    <t>E33149364_7_20251127T162626Z.jpg</t>
  </si>
  <si>
    <t>2 Пилорама поката\E33149364_7_20251127T162626Z.jpg</t>
  </si>
  <si>
    <t>чт 27.11.2025 — 16:26:26</t>
  </si>
  <si>
    <t>E33149364_7_20251127T162714Z.jpg</t>
  </si>
  <si>
    <t>2 Пилорама поката\E33149364_7_20251127T162714Z.jpg</t>
  </si>
  <si>
    <t>чт 27.11.2025 — 16:27:14</t>
  </si>
  <si>
    <t>E33149364_7_20251128T092726Z.jpg</t>
  </si>
  <si>
    <t>2 Пилорама поката\E33149364_7_20251128T092726Z.jpg</t>
  </si>
  <si>
    <t>пт 28.11.2025 — 09:27:26</t>
  </si>
  <si>
    <t>E33149364_7_20251128T092800Z.jpg</t>
  </si>
  <si>
    <t>2 Пилорама поката\E33149364_7_20251128T092800Z.jpg</t>
  </si>
  <si>
    <t>пт 28.11.2025 — 09:28:00</t>
  </si>
  <si>
    <t>E33149364_7_20251128T094254Z.jpg</t>
  </si>
  <si>
    <t>2 Пилорама поката\E33149364_7_20251128T094254Z.jpg</t>
  </si>
  <si>
    <t>пт 28.11.2025 — 09:42:54</t>
  </si>
  <si>
    <t>E33149364_7_20251128T094326Z.jpg</t>
  </si>
  <si>
    <t>2 Пилорама поката\E33149364_7_20251128T094326Z.jpg</t>
  </si>
  <si>
    <t>пт 28.11.2025 — 09:43:26</t>
  </si>
  <si>
    <t>E33149364_7_20251128T095852Z.jpg</t>
  </si>
  <si>
    <t>2 Пилорама поката\E33149364_7_20251128T095852Z.jpg</t>
  </si>
  <si>
    <t>пт 28.11.2025 — 09:58:52</t>
  </si>
  <si>
    <t>E33149364_7_20251128T102200Z.jpg</t>
  </si>
  <si>
    <t>2 Пилорама поката\E33149364_7_20251128T102200Z.jpg</t>
  </si>
  <si>
    <t>пт 28.11.2025 — 10:22:00</t>
  </si>
  <si>
    <t>E33149364_7_20251128T105602Z.jpg</t>
  </si>
  <si>
    <t>2 Пилорама поката\E33149364_7_20251128T105602Z.jpg</t>
  </si>
  <si>
    <t>пт 28.11.2025 — 10:56:02</t>
  </si>
  <si>
    <t>E33149364_7_20251128T105625Z.jpg</t>
  </si>
  <si>
    <t>2 Пилорама поката\E33149364_7_20251128T105625Z.jpg</t>
  </si>
  <si>
    <t>пт 28.11.2025 — 10:56:25</t>
  </si>
  <si>
    <t>E33149364_7_20251128T115751Z.jpg</t>
  </si>
  <si>
    <t>2 Пилорама поката\E33149364_7_20251128T115751Z.jpg</t>
  </si>
  <si>
    <t>пт 28.11.2025 — 11:57:51</t>
  </si>
  <si>
    <t>E33149364_7_20251128T120923Z.jpg</t>
  </si>
  <si>
    <t>2 Пилорама поката\E33149364_7_20251128T120923Z.jpg</t>
  </si>
  <si>
    <t>пт 28.11.2025 — 12:09:23</t>
  </si>
  <si>
    <t>E33149364_7_20251129T172021Z.jpg</t>
  </si>
  <si>
    <t>2 Пилорама поката\E33149364_7_20251129T172021Z.jpg</t>
  </si>
  <si>
    <t>сб 29.11.2025 — 17:20:21</t>
  </si>
  <si>
    <t>E33149364_8_20251124T104145Z.jpg</t>
  </si>
  <si>
    <t>пн 24.11.2025 — 10:41:45</t>
  </si>
  <si>
    <t>E33149364_8_20251124T133131Z.jpg</t>
  </si>
  <si>
    <t>пн 24.11.2025 — 13:31:31</t>
  </si>
  <si>
    <t>E33149364_8_20251124T174021Z.jpg</t>
  </si>
  <si>
    <t>пн 24.11.2025 — 17:40:21</t>
  </si>
  <si>
    <t>E33149364_8_20251124T181127Z.jpg</t>
  </si>
  <si>
    <t>пн 24.11.2025 — 18:11:27</t>
  </si>
  <si>
    <t>E33149364_8_20251125T121702Z.jpg</t>
  </si>
  <si>
    <t>вт 25.11.2025 — 12:17:02</t>
  </si>
  <si>
    <t>E33149364_8_20251125T163640Z.jpg</t>
  </si>
  <si>
    <t>вт 25.11.2025 — 16:36:40</t>
  </si>
  <si>
    <t>E33149364_8_20251126T105137Z.jpg</t>
  </si>
  <si>
    <t>ср 26.11.2025 — 10:51:37</t>
  </si>
  <si>
    <t>E33149364_8_20251126T122408Z.jpg</t>
  </si>
  <si>
    <t>ср 26.11.2025 — 12:24:08</t>
  </si>
  <si>
    <t>E33149364_8_20251127T113135Z.jpg</t>
  </si>
  <si>
    <t>чт 27.11.2025 — 11:31:35</t>
  </si>
  <si>
    <t>E33149364_8_20251127T164038Z.jpg</t>
  </si>
  <si>
    <t>чт 27.11.2025 — 16:40:38</t>
  </si>
  <si>
    <t>E33149364_8_20251128T111419Z.jpg</t>
  </si>
  <si>
    <t>пт 28.11.2025 — 11:14:19</t>
  </si>
  <si>
    <t>E33149364_8_20251128T170013Z.jpg</t>
  </si>
  <si>
    <t>пт 28.11.2025 — 17:00:13</t>
  </si>
  <si>
    <t>E33149364_8_20251129T123740Z.jpg</t>
  </si>
  <si>
    <t>сб 29.11.2025 — 12:37:40</t>
  </si>
  <si>
    <t>E33149364_8_20251129T153527Z.jpg</t>
  </si>
  <si>
    <t>3 Въезд на базу\E33149364_8_20251129T153527Z.jpg</t>
  </si>
  <si>
    <t>сб 29.11.2025 — 15:35:27</t>
  </si>
  <si>
    <t>E33149364_8_20251129T171034Z.jpg</t>
  </si>
  <si>
    <t>сб 29.11.2025 — 17:10:34</t>
  </si>
  <si>
    <t>K07156189_21_20251124T165036Z.jpg</t>
  </si>
  <si>
    <t>4 Крыльцо офиса\K07156189_21_20251124T165036Z.jpg</t>
  </si>
  <si>
    <t>пн 24.11.2025 — 16:50:36</t>
  </si>
  <si>
    <t>K07156189_21_20251124T174241Z.jpg</t>
  </si>
  <si>
    <t>4 Крыльцо офиса\K07156189_21_20251124T174241Z.jpg</t>
  </si>
  <si>
    <t>пн 24.11.2025 — 17:42:41</t>
  </si>
  <si>
    <t>K07156189_21_20251124T180948Z.jpg</t>
  </si>
  <si>
    <t>4 Крыльцо офиса\K07156189_21_20251124T180948Z.jpg</t>
  </si>
  <si>
    <t>пн 24.11.2025 — 18:09:48</t>
  </si>
  <si>
    <t>K07156189_21_20251125T171104Z.jpg</t>
  </si>
  <si>
    <t>4 Крыльцо офиса\K07156189_21_20251125T171104Z.jpg</t>
  </si>
  <si>
    <t>вт 25.11.2025 — 17:11:04</t>
  </si>
  <si>
    <t>K07156189_21_20251126T160427Z.jpg</t>
  </si>
  <si>
    <t>4 Крыльцо офиса\K07156189_21_20251126T160427Z.jpg</t>
  </si>
  <si>
    <t>ср 26.11.2025 — 16:04:27</t>
  </si>
  <si>
    <t>K07156189_21_20251127T133657Z.jpg</t>
  </si>
  <si>
    <t>4 Крыльцо офиса\K07156189_21_20251127T133657Z.jpg</t>
  </si>
  <si>
    <t>чт 27.11.2025 — 13:36:57</t>
  </si>
  <si>
    <t>K07156189_21_20251128T170621Z.jpg</t>
  </si>
  <si>
    <t>4 Крыльцо офиса\K07156189_21_20251128T170621Z.jpg</t>
  </si>
  <si>
    <t>пт 28.11.2025 — 17:06:21</t>
  </si>
  <si>
    <t>K07156189_21_20251129T170857Z.jpg</t>
  </si>
  <si>
    <t>4 Крыльцо офиса\K07156189_21_20251129T170857Z.jpg</t>
  </si>
  <si>
    <t>сб 29.11.2025 — 17:08:57</t>
  </si>
  <si>
    <t>826398429_1_20251124T165225Z.jpg</t>
  </si>
  <si>
    <t>6 Площадка 1 общага\826398429_1_20251124T165225Z.jpg</t>
  </si>
  <si>
    <t>пн 24.11.2025 — 16:52:25</t>
  </si>
  <si>
    <t>826398429_1_20251126T093745Z.jpg</t>
  </si>
  <si>
    <t>6 Площадка 1 общага\826398429_1_20251126T093745Z.jpg</t>
  </si>
  <si>
    <t>ср 26.11.2025 — 09:37:45</t>
  </si>
  <si>
    <t>826398429_1_20251127T133213Z.jpg</t>
  </si>
  <si>
    <t>6 Площадка 1 общага\826398429_1_20251127T133213Z.jpg</t>
  </si>
  <si>
    <t>чт 27.11.2025 — 13:32:13</t>
  </si>
  <si>
    <t>826398429_1_20251127T141845Z.jpg</t>
  </si>
  <si>
    <t>6 Площадка 1 общага\826398429_1_20251127T141845Z.jpg</t>
  </si>
  <si>
    <t>чт 27.11.2025 — 14:18:45</t>
  </si>
  <si>
    <t>826398429_1_20251127T143637Z.jpg</t>
  </si>
  <si>
    <t>6 Площадка 1 общага\826398429_1_20251127T143637Z.jpg</t>
  </si>
  <si>
    <t>чт 27.11.2025 — 14:36:37</t>
  </si>
  <si>
    <t>826398429_1_20251127T144733Z.jpg</t>
  </si>
  <si>
    <t>6 Площадка 1 общага\826398429_1_20251127T144733Z.jpg</t>
  </si>
  <si>
    <t>чт 27.11.2025 — 14:47:33</t>
  </si>
  <si>
    <t>826398429_1_20251127T170357Z.jpg</t>
  </si>
  <si>
    <t>6 Площадка 1 общага\826398429_1_20251127T170357Z.jpg</t>
  </si>
  <si>
    <t>чт 27.11.2025 — 17:03:57</t>
  </si>
  <si>
    <t>826398429_1_20251127T175903Z.jpg</t>
  </si>
  <si>
    <t>6 Площадка 1 общага\826398429_1_20251127T175903Z.jpg</t>
  </si>
  <si>
    <t>чт 27.11.2025 — 17:59:03</t>
  </si>
  <si>
    <t>826398429_1_20251127T181639Z.jpg</t>
  </si>
  <si>
    <t>6 Площадка 1 общага\826398429_1_20251127T181639Z.jpg</t>
  </si>
  <si>
    <t>чт 27.11.2025 — 18:16:39</t>
  </si>
  <si>
    <t>826398429_1_20251127T185009Z.jpg</t>
  </si>
  <si>
    <t>6 Площадка 1 общага\826398429_1_20251127T185009Z.jpg</t>
  </si>
  <si>
    <t>чт 27.11.2025 — 18:50:09</t>
  </si>
  <si>
    <t>826398429_1_20251128T112838Z.jpg</t>
  </si>
  <si>
    <t>6 Площадка 1 общага\826398429_1_20251128T112838Z.jpg</t>
  </si>
  <si>
    <t>пт 28.11.2025 — 11:28:38</t>
  </si>
  <si>
    <t>826398429_1_20251128T123538Z.jpg</t>
  </si>
  <si>
    <t>6 Площадка 1 общага\826398429_1_20251128T123538Z.jpg</t>
  </si>
  <si>
    <t>пт 28.11.2025 — 12:35:38</t>
  </si>
  <si>
    <t>826398429_1_20251128T145445Z.jpg</t>
  </si>
  <si>
    <t>6 Площадка 1 общага\826398429_1_20251128T145445Z.jpg</t>
  </si>
  <si>
    <t>пт 28.11.2025 — 14:54:45</t>
  </si>
  <si>
    <t>826398429_1_20251128T183058Z.jpg</t>
  </si>
  <si>
    <t>6 Площадка 1 общага\826398429_1_20251128T183058Z.jpg</t>
  </si>
  <si>
    <t>пт 28.11.2025 — 18:30:58</t>
  </si>
  <si>
    <t>826398429_1_20251129T100126Z.jpg</t>
  </si>
  <si>
    <t>6 Площадка 1 общага\826398429_1_20251129T100126Z.jpg</t>
  </si>
  <si>
    <t>сб 29.11.2025 — 10:01:26</t>
  </si>
  <si>
    <t>826398429_1_20251129T154708Z.jpg</t>
  </si>
  <si>
    <t>6 Площадка 1 общага\826398429_1_20251129T154708Z.jpg</t>
  </si>
  <si>
    <t>сб 29.11.2025 — 15:47:08</t>
  </si>
  <si>
    <t>826398429_1_20251129T160542Z.jpg</t>
  </si>
  <si>
    <t>6 Площадка 1 общага\826398429_1_20251129T160542Z.jpg</t>
  </si>
  <si>
    <t>сб 29.11.2025 — 16:05:42</t>
  </si>
  <si>
    <t>826398429_1_20251129T161007Z.jpg</t>
  </si>
  <si>
    <t>6 Площадка 1 общага\826398429_1_20251129T161007Z.jpg</t>
  </si>
  <si>
    <t>сб 29.11.2025 — 16:10:07</t>
  </si>
  <si>
    <t>826398429_1_20251129T162332Z.jpg</t>
  </si>
  <si>
    <t>6 Площадка 1 общага\826398429_1_20251129T162332Z.jpg</t>
  </si>
  <si>
    <t>сб 29.11.2025 — 16:23:32</t>
  </si>
  <si>
    <t>826398429_1_20251129T163423Z.jpg</t>
  </si>
  <si>
    <t>6 Площадка 1 общага\826398429_1_20251129T163423Z.jpg</t>
  </si>
  <si>
    <t>сб 29.11.2025 — 16:34:23</t>
  </si>
  <si>
    <t>826398429_1_20251129T170324Z.jpg</t>
  </si>
  <si>
    <t>6 Площадка 1 общага\826398429_1_20251129T170324Z.jpg</t>
  </si>
  <si>
    <t>сб 29.11.2025 — 17:03:24</t>
  </si>
  <si>
    <t>K07156189_18_20251121T132138Z.jpg</t>
  </si>
  <si>
    <t>7 Площадка 2 бетонщики\K07156189_18_20251121T132138Z.jpg</t>
  </si>
  <si>
    <t>пт 21.11.2025 — 13:21:38</t>
  </si>
  <si>
    <t>K07156189_18_20251122T171708Z.jpg</t>
  </si>
  <si>
    <t>7 Площадка 2 бетонщики\K07156189_18_20251122T171708Z.jpg</t>
  </si>
  <si>
    <t>сб 22.11.2025 — 17:17:08</t>
  </si>
  <si>
    <t>K07156189_18_20251123T162831Z.jpg</t>
  </si>
  <si>
    <t>7 Площадка 2 бетонщики\K07156189_18_20251123T162831Z.jpg</t>
  </si>
  <si>
    <t>вс 23.11.2025 — 16:28:31</t>
  </si>
  <si>
    <t>K07156189_18_20251125T165320Z.jpg</t>
  </si>
  <si>
    <t>7 Площадка 2 бетонщики\K07156189_18_20251125T165320Z.jpg</t>
  </si>
  <si>
    <t>вт 25.11.2025 — 16:53:20</t>
  </si>
  <si>
    <t>K07156189_18_20251126T160359Z.jpg</t>
  </si>
  <si>
    <t>7 Площадка 2 бетонщики\K07156189_18_20251126T160359Z.jpg</t>
  </si>
  <si>
    <t>ср 26.11.2025 — 16:03:59</t>
  </si>
  <si>
    <t>K07156189_18_20251127T144735Z.jpg</t>
  </si>
  <si>
    <t>7 Площадка 2 бетонщики\K07156189_18_20251127T144735Z.jpg</t>
  </si>
  <si>
    <t>чт 27.11.2025 — 14:47:35</t>
  </si>
  <si>
    <t>K07156189_18_20251127T150433Z.jpg</t>
  </si>
  <si>
    <t>7 Площадка 2 бетонщики\K07156189_18_20251127T150433Z.jpg</t>
  </si>
  <si>
    <t>чт 27.11.2025 — 15:04:33</t>
  </si>
  <si>
    <t>K07156189_18_20251127T162910Z.jpg</t>
  </si>
  <si>
    <t>7 Площадка 2 бетонщики\K07156189_18_20251127T162910Z.jpg</t>
  </si>
  <si>
    <t>чт 27.11.2025 — 16:29:10</t>
  </si>
  <si>
    <t>K07156189_18_20251127T170508Z.jpg</t>
  </si>
  <si>
    <t>7 Площадка 2 бетонщики\K07156189_18_20251127T170508Z.jpg</t>
  </si>
  <si>
    <t>чт 27.11.2025 — 17:05:08</t>
  </si>
  <si>
    <t>K07156189_18_20251127T172201Z.jpg</t>
  </si>
  <si>
    <t>7 Площадка 2 бетонщики\K07156189_18_20251127T172201Z.jpg</t>
  </si>
  <si>
    <t>чт 27.11.2025 — 17:22:01</t>
  </si>
  <si>
    <t>K07156189_18_20251127T180549Z.jpg</t>
  </si>
  <si>
    <t>7 Площадка 2 бетонщики\K07156189_18_20251127T180549Z.jpg</t>
  </si>
  <si>
    <t>чт 27.11.2025 — 18:05:49</t>
  </si>
  <si>
    <t>K07156189_18_20251127T190116Z.jpg</t>
  </si>
  <si>
    <t>7 Площадка 2 бетонщики\K07156189_18_20251127T190116Z.jpg</t>
  </si>
  <si>
    <t>чт 27.11.2025 — 19:01:16</t>
  </si>
  <si>
    <t>K07156189_18_20251127T191112Z.jpg</t>
  </si>
  <si>
    <t>7 Площадка 2 бетонщики\K07156189_18_20251127T191112Z.jpg</t>
  </si>
  <si>
    <t>чт 27.11.2025 — 19:11:12</t>
  </si>
  <si>
    <t>K07156189_18_20251128T085938Z.jpg</t>
  </si>
  <si>
    <t>7 Площадка 2 бетонщики\K07156189_18_20251128T085938Z.jpg</t>
  </si>
  <si>
    <t>пт 28.11.2025 — 08:59:38</t>
  </si>
  <si>
    <t>K07156189_18_20251128T100123Z.jpg</t>
  </si>
  <si>
    <t>7 Площадка 2 бетонщики\K07156189_18_20251128T100123Z.jpg</t>
  </si>
  <si>
    <t>пт 28.11.2025 — 10:01:23</t>
  </si>
  <si>
    <t>K07156189_18_20251128T110448Z.jpg</t>
  </si>
  <si>
    <t>7 Площадка 2 бетонщики\K07156189_18_20251128T110448Z.jpg</t>
  </si>
  <si>
    <t>пт 28.11.2025 — 11:04:48</t>
  </si>
  <si>
    <t>K07156189_18_20251128T114231Z.jpg</t>
  </si>
  <si>
    <t>7 Площадка 2 бетонщики\K07156189_18_20251128T114231Z.jpg</t>
  </si>
  <si>
    <t>пт 28.11.2025 — 11:42:31</t>
  </si>
  <si>
    <t>K07156189_18_20251128T115657Z.jpg</t>
  </si>
  <si>
    <t>7 Площадка 2 бетонщики\K07156189_18_20251128T115657Z.jpg</t>
  </si>
  <si>
    <t>пт 28.11.2025 — 11:56:57</t>
  </si>
  <si>
    <t>K07156189_18_20251128T120838Z.jpg</t>
  </si>
  <si>
    <t>7 Площадка 2 бетонщики\K07156189_18_20251128T120838Z.jpg</t>
  </si>
  <si>
    <t>пт 28.11.2025 — 12:08:38</t>
  </si>
  <si>
    <t>K07156189_18_20251128T122842Z.jpg</t>
  </si>
  <si>
    <t>7 Площадка 2 бетонщики\K07156189_18_20251128T122842Z.jpg</t>
  </si>
  <si>
    <t>пт 28.11.2025 — 12:28:42</t>
  </si>
  <si>
    <t>K07156189_18_20251128T124212Z.jpg</t>
  </si>
  <si>
    <t>7 Площадка 2 бетонщики\K07156189_18_20251128T124212Z.jpg</t>
  </si>
  <si>
    <t>пт 28.11.2025 — 12:42:12</t>
  </si>
  <si>
    <t>K07156189_18_20251128T125041Z.jpg</t>
  </si>
  <si>
    <t>7 Площадка 2 бетонщики\K07156189_18_20251128T125041Z.jpg</t>
  </si>
  <si>
    <t>пт 28.11.2025 — 12:50:41</t>
  </si>
  <si>
    <t>K07156189_18_20251128T133801Z.jpg</t>
  </si>
  <si>
    <t>7 Площадка 2 бетонщики\K07156189_18_20251128T133801Z.jpg</t>
  </si>
  <si>
    <t>пт 28.11.2025 — 13:38:01</t>
  </si>
  <si>
    <t>K07156189_18_20251128T145313Z.jpg</t>
  </si>
  <si>
    <t>7 Площадка 2 бетонщики\K07156189_18_20251128T145313Z.jpg</t>
  </si>
  <si>
    <t>пт 28.11.2025 — 14:53:13</t>
  </si>
  <si>
    <t>K07156189_18_20251128T151424Z.jpg</t>
  </si>
  <si>
    <t>7 Площадка 2 бетонщики\K07156189_18_20251128T151424Z.jpg</t>
  </si>
  <si>
    <t>пт 28.11.2025 — 15:14:24</t>
  </si>
  <si>
    <t>K07156189_18_20251128T152424Z.jpg</t>
  </si>
  <si>
    <t>7 Площадка 2 бетонщики\K07156189_18_20251128T152424Z.jpg</t>
  </si>
  <si>
    <t>пт 28.11.2025 — 15:24:24</t>
  </si>
  <si>
    <t>K07156189_18_20251128T154922Z.jpg</t>
  </si>
  <si>
    <t>7 Площадка 2 бетонщики\K07156189_18_20251128T154922Z.jpg</t>
  </si>
  <si>
    <t>пт 28.11.2025 — 15:49:22</t>
  </si>
  <si>
    <t>K07156189_18_20251128T162845Z.jpg</t>
  </si>
  <si>
    <t>7 Площадка 2 бетонщики\K07156189_18_20251128T162845Z.jpg</t>
  </si>
  <si>
    <t>пт 28.11.2025 — 16:28:45</t>
  </si>
  <si>
    <t>K07156189_18_20251128T174645Z.jpg</t>
  </si>
  <si>
    <t>7 Площадка 2 бетонщики\K07156189_18_20251128T174645Z.jpg</t>
  </si>
  <si>
    <t>пт 28.11.2025 — 17:46:45</t>
  </si>
  <si>
    <t>K07156189_18_20251128T190100Z.jpg</t>
  </si>
  <si>
    <t>7 Площадка 2 бетонщики\K07156189_18_20251128T190100Z.jpg</t>
  </si>
  <si>
    <t>пт 28.11.2025 — 19:01:00</t>
  </si>
  <si>
    <t>K07156189_18_20251129T100209Z.jpg</t>
  </si>
  <si>
    <t>7 Площадка 2 бетонщики\K07156189_18_20251129T100209Z.jpg</t>
  </si>
  <si>
    <t>сб 29.11.2025 — 10:02:09</t>
  </si>
  <si>
    <t>K07156189_18_20251129T125756Z.jpg</t>
  </si>
  <si>
    <t>7 Площадка 2 бетонщики\K07156189_18_20251129T125756Z.jpg</t>
  </si>
  <si>
    <t>сб 29.11.2025 — 12:57:56</t>
  </si>
  <si>
    <t>K07156189_18_20251129T130603Z.jpg</t>
  </si>
  <si>
    <t>7 Площадка 2 бетонщики\K07156189_18_20251129T130603Z.jpg</t>
  </si>
  <si>
    <t>сб 29.11.2025 — 13:06:03</t>
  </si>
  <si>
    <t>K07156189_18_20251129T131535Z.jpg</t>
  </si>
  <si>
    <t>7 Площадка 2 бетонщики\K07156189_18_20251129T131535Z.jpg</t>
  </si>
  <si>
    <t>сб 29.11.2025 — 13:15:35</t>
  </si>
  <si>
    <t>K07156189_18_20251129T131632Z.jpg</t>
  </si>
  <si>
    <t>7 Площадка 2 бетонщики\K07156189_18_20251129T131632Z.jpg</t>
  </si>
  <si>
    <t>сб 29.11.2025 — 13:16:32</t>
  </si>
  <si>
    <t>K07156189_18_20251129T132448Z.jpg</t>
  </si>
  <si>
    <t>7 Площадка 2 бетонщики\K07156189_18_20251129T132448Z.jpg</t>
  </si>
  <si>
    <t>сб 29.11.2025 — 13:24:48</t>
  </si>
  <si>
    <t>K07156189_18_20251129T132729Z.jpg</t>
  </si>
  <si>
    <t>7 Площадка 2 бетонщики\K07156189_18_20251129T132729Z.jpg</t>
  </si>
  <si>
    <t>сб 29.11.2025 — 13:27:29</t>
  </si>
  <si>
    <t>K07156189_18_20251129T133457Z.jpg</t>
  </si>
  <si>
    <t>7 Площадка 2 бетонщики\K07156189_18_20251129T133457Z.jpg</t>
  </si>
  <si>
    <t>сб 29.11.2025 — 13:34:57</t>
  </si>
  <si>
    <t>K07156189_18_20251129T133835Z.jpg</t>
  </si>
  <si>
    <t>7 Площадка 2 бетонщики\K07156189_18_20251129T133835Z.jpg</t>
  </si>
  <si>
    <t>сб 29.11.2025 — 13:38:35</t>
  </si>
  <si>
    <t>K07156189_18_20251129T134314Z.jpg</t>
  </si>
  <si>
    <t>7 Площадка 2 бетонщики\K07156189_18_20251129T134314Z.jpg</t>
  </si>
  <si>
    <t>сб 29.11.2025 — 13:43:14</t>
  </si>
  <si>
    <t>K07156189_18_20251129T134446Z.jpg</t>
  </si>
  <si>
    <t>7 Площадка 2 бетонщики\K07156189_18_20251129T134446Z.jpg</t>
  </si>
  <si>
    <t>сб 29.11.2025 — 13:44:46</t>
  </si>
  <si>
    <t>K07156189_18_20251129T134716Z.jpg</t>
  </si>
  <si>
    <t>7 Площадка 2 бетонщики\K07156189_18_20251129T134716Z.jpg</t>
  </si>
  <si>
    <t>сб 29.11.2025 — 13:47:16</t>
  </si>
  <si>
    <t>K07156189_18_20251129T135033Z.jpg</t>
  </si>
  <si>
    <t>7 Площадка 2 бетонщики\K07156189_18_20251129T135033Z.jpg</t>
  </si>
  <si>
    <t>сб 29.11.2025 — 13:50:33</t>
  </si>
  <si>
    <t>K07156189_18_20251129T135508Z.jpg</t>
  </si>
  <si>
    <t>7 Площадка 2 бетонщики\K07156189_18_20251129T135508Z.jpg</t>
  </si>
  <si>
    <t>сб 29.11.2025 — 13:55:08</t>
  </si>
  <si>
    <t>K07156189_18_20251129T135816Z.jpg</t>
  </si>
  <si>
    <t>7 Площадка 2 бетонщики\K07156189_18_20251129T135816Z.jpg</t>
  </si>
  <si>
    <t>сб 29.11.2025 — 13:58:16</t>
  </si>
  <si>
    <t>K07156189_18_20251129T135913Z.jpg</t>
  </si>
  <si>
    <t>7 Площадка 2 бетонщики\K07156189_18_20251129T135913Z.jpg</t>
  </si>
  <si>
    <t>сб 29.11.2025 — 13:59:13</t>
  </si>
  <si>
    <t>K07156189_18_20251129T140141Z.jpg</t>
  </si>
  <si>
    <t>7 Площадка 2 бетонщики\K07156189_18_20251129T140141Z.jpg</t>
  </si>
  <si>
    <t>сб 29.11.2025 — 14:01:41</t>
  </si>
  <si>
    <t>K07156189_18_20251129T141259Z.jpg</t>
  </si>
  <si>
    <t>7 Площадка 2 бетонщики\K07156189_18_20251129T141259Z.jpg</t>
  </si>
  <si>
    <t>сб 29.11.2025 — 14:12:59</t>
  </si>
  <si>
    <t>K07156189_18_20251129T144348Z.jpg</t>
  </si>
  <si>
    <t>7 Площадка 2 бетонщики\K07156189_18_20251129T144348Z.jpg</t>
  </si>
  <si>
    <t>сб 29.11.2025 — 14:43:48</t>
  </si>
  <si>
    <t>K07156189_18_20251129T144947Z.jpg</t>
  </si>
  <si>
    <t>7 Площадка 2 бетонщики\K07156189_18_20251129T144947Z.jpg</t>
  </si>
  <si>
    <t>сб 29.11.2025 — 14:49:47</t>
  </si>
  <si>
    <t>K07156189_18_20251129T145233Z.jpg</t>
  </si>
  <si>
    <t>7 Площадка 2 бетонщики\K07156189_18_20251129T145233Z.jpg</t>
  </si>
  <si>
    <t>сб 29.11.2025 — 14:52:33</t>
  </si>
  <si>
    <t>K07156189_18_20251129T145512Z.jpg</t>
  </si>
  <si>
    <t>7 Площадка 2 бетонщики\K07156189_18_20251129T145512Z.jpg</t>
  </si>
  <si>
    <t>сб 29.11.2025 — 14:55:12</t>
  </si>
  <si>
    <t>K07156189_18_20251129T145843Z.jpg</t>
  </si>
  <si>
    <t>7 Площадка 2 бетонщики\K07156189_18_20251129T145843Z.jpg</t>
  </si>
  <si>
    <t>сб 29.11.2025 — 14:58:43</t>
  </si>
  <si>
    <t>K07156189_18_20251129T150130Z.jpg</t>
  </si>
  <si>
    <t>7 Площадка 2 бетонщики\K07156189_18_20251129T150130Z.jpg</t>
  </si>
  <si>
    <t>сб 29.11.2025 — 15:01:30</t>
  </si>
  <si>
    <t>K07156189_18_20251129T150900Z.jpg</t>
  </si>
  <si>
    <t>7 Площадка 2 бетонщики\K07156189_18_20251129T150900Z.jpg</t>
  </si>
  <si>
    <t>сб 29.11.2025 — 15:09:00</t>
  </si>
  <si>
    <t>K07156189_18_20251129T151247Z.jpg</t>
  </si>
  <si>
    <t>7 Площадка 2 бетонщики\K07156189_18_20251129T151247Z.jpg</t>
  </si>
  <si>
    <t>сб 29.11.2025 — 15:12:47</t>
  </si>
  <si>
    <t>K07156189_18_20251129T151748Z.jpg</t>
  </si>
  <si>
    <t>7 Площадка 2 бетонщики\K07156189_18_20251129T151748Z.jpg</t>
  </si>
  <si>
    <t>сб 29.11.2025 — 15:17:48</t>
  </si>
  <si>
    <t>K07156189_18_20251129T152022Z.jpg</t>
  </si>
  <si>
    <t>7 Площадка 2 бетонщики\K07156189_18_20251129T152022Z.jpg</t>
  </si>
  <si>
    <t>сб 29.11.2025 — 15:20:22</t>
  </si>
  <si>
    <t>K07156189_18_20251129T152425Z.jpg</t>
  </si>
  <si>
    <t>7 Площадка 2 бетонщики\K07156189_18_20251129T152425Z.jpg</t>
  </si>
  <si>
    <t>сб 29.11.2025 — 15:24:25</t>
  </si>
  <si>
    <t>K07156189_18_20251129T152710Z.jpg</t>
  </si>
  <si>
    <t>7 Площадка 2 бетонщики\K07156189_18_20251129T152710Z.jpg</t>
  </si>
  <si>
    <t>сб 29.11.2025 — 15:27:10</t>
  </si>
  <si>
    <t>K07156189_18_20251129T153527Z.jpg</t>
  </si>
  <si>
    <t>7 Площадка 2 бетонщики\K07156189_18_20251129T153527Z.jpg</t>
  </si>
  <si>
    <t>K07156189_18_20251129T153544Z.jpg</t>
  </si>
  <si>
    <t>7 Площадка 2 бетонщики\K07156189_18_20251129T153544Z.jpg</t>
  </si>
  <si>
    <t>сб 29.11.2025 — 15:35:44</t>
  </si>
  <si>
    <t>K07156189_18_20251129T154030Z.jpg</t>
  </si>
  <si>
    <t>7 Площадка 2 бетонщики\K07156189_18_20251129T154030Z.jpg</t>
  </si>
  <si>
    <t>сб 29.11.2025 — 15:40:30</t>
  </si>
  <si>
    <t>K07156189_18_20251129T154350Z.jpg</t>
  </si>
  <si>
    <t>7 Площадка 2 бетонщики\K07156189_18_20251129T154350Z.jpg</t>
  </si>
  <si>
    <t>сб 29.11.2025 — 15:43:50</t>
  </si>
  <si>
    <t>K07156189_18_20251129T154604Z.jpg</t>
  </si>
  <si>
    <t>7 Площадка 2 бетонщики\K07156189_18_20251129T154604Z.jpg</t>
  </si>
  <si>
    <t>сб 29.11.2025 — 15:46:04</t>
  </si>
  <si>
    <t>K07156189_18_20251129T154921Z.jpg</t>
  </si>
  <si>
    <t>7 Площадка 2 бетонщики\K07156189_18_20251129T154921Z.jpg</t>
  </si>
  <si>
    <t>сб 29.11.2025 — 15:49:21</t>
  </si>
  <si>
    <t>K07156189_18_20251129T155156Z.jpg</t>
  </si>
  <si>
    <t>7 Площадка 2 бетонщики\K07156189_18_20251129T155156Z.jpg</t>
  </si>
  <si>
    <t>сб 29.11.2025 — 15:51:56</t>
  </si>
  <si>
    <t>K07156189_18_20251129T155551Z.jpg</t>
  </si>
  <si>
    <t>7 Площадка 2 бетонщики\K07156189_18_20251129T155551Z.jpg</t>
  </si>
  <si>
    <t>сб 29.11.2025 — 15:55:51</t>
  </si>
  <si>
    <t>K07156189_18_20251129T160058Z.jpg</t>
  </si>
  <si>
    <t>7 Площадка 2 бетонщики\K07156189_18_20251129T160058Z.jpg</t>
  </si>
  <si>
    <t>сб 29.11.2025 — 16:00:58</t>
  </si>
  <si>
    <t>K07156189_18_20251129T160423Z.jpg</t>
  </si>
  <si>
    <t>7 Площадка 2 бетонщики\K07156189_18_20251129T160423Z.jpg</t>
  </si>
  <si>
    <t>сб 29.11.2025 — 16:04:23</t>
  </si>
  <si>
    <t>K07156189_18_20251129T160702Z.jpg</t>
  </si>
  <si>
    <t>7 Площадка 2 бетонщики\K07156189_18_20251129T160702Z.jpg</t>
  </si>
  <si>
    <t>сб 29.11.2025 — 16:07:02</t>
  </si>
  <si>
    <t>K07156189_18_20251129T161038Z.jpg</t>
  </si>
  <si>
    <t>7 Площадка 2 бетонщики\K07156189_18_20251129T161038Z.jpg</t>
  </si>
  <si>
    <t>сб 29.11.2025 — 16:10:38</t>
  </si>
  <si>
    <t>K07156189_18_20251129T161301Z.jpg</t>
  </si>
  <si>
    <t>7 Площадка 2 бетонщики\K07156189_18_20251129T161301Z.jpg</t>
  </si>
  <si>
    <t>сб 29.11.2025 — 16:13:01</t>
  </si>
  <si>
    <t>K07156189_18_20251129T161347Z.jpg</t>
  </si>
  <si>
    <t>7 Площадка 2 бетонщики\K07156189_18_20251129T161347Z.jpg</t>
  </si>
  <si>
    <t>сб 29.11.2025 — 16:13:47</t>
  </si>
  <si>
    <t>K07156189_18_20251129T161539Z.jpg</t>
  </si>
  <si>
    <t>7 Площадка 2 бетонщики\K07156189_18_20251129T161539Z.jpg</t>
  </si>
  <si>
    <t>сб 29.11.2025 — 16:15:39</t>
  </si>
  <si>
    <t>K07156189_18_20251129T161945Z.jpg</t>
  </si>
  <si>
    <t>7 Площадка 2 бетонщики\K07156189_18_20251129T161945Z.jpg</t>
  </si>
  <si>
    <t>сб 29.11.2025 — 16:19:45</t>
  </si>
  <si>
    <t>K07156189_18_20251129T162357Z.jpg</t>
  </si>
  <si>
    <t>7 Площадка 2 бетонщики\K07156189_18_20251129T162357Z.jpg</t>
  </si>
  <si>
    <t>сб 29.11.2025 — 16:23:57</t>
  </si>
  <si>
    <t>K07156189_18_20251129T162437Z.jpg</t>
  </si>
  <si>
    <t>7 Площадка 2 бетонщики\K07156189_18_20251129T162437Z.jpg</t>
  </si>
  <si>
    <t>сб 29.11.2025 — 16:24:37</t>
  </si>
  <si>
    <t>K07156189_18_20251129T162812Z.jpg</t>
  </si>
  <si>
    <t>7 Площадка 2 бетонщики\K07156189_18_20251129T162812Z.jpg</t>
  </si>
  <si>
    <t>сб 29.11.2025 — 16:28:12</t>
  </si>
  <si>
    <t>K07156189_18_20251129T163254Z.jpg</t>
  </si>
  <si>
    <t>7 Площадка 2 бетонщики\K07156189_18_20251129T163254Z.jpg</t>
  </si>
  <si>
    <t>сб 29.11.2025 — 16:32:54</t>
  </si>
  <si>
    <t>K07156189_18_20251129T163608Z.jpg</t>
  </si>
  <si>
    <t>7 Площадка 2 бетонщики\K07156189_18_20251129T163608Z.jpg</t>
  </si>
  <si>
    <t>сб 29.11.2025 — 16:36:08</t>
  </si>
  <si>
    <t>K07156189_18_20251129T163650Z.jpg</t>
  </si>
  <si>
    <t>7 Площадка 2 бетонщики\K07156189_18_20251129T163650Z.jpg</t>
  </si>
  <si>
    <t>сб 29.11.2025 — 16:36:50</t>
  </si>
  <si>
    <t>K07156189_18_20251129T165310Z.jpg</t>
  </si>
  <si>
    <t>7 Площадка 2 бетонщики\K07156189_18_20251129T165310Z.jpg</t>
  </si>
  <si>
    <t>сб 29.11.2025 — 16:53:10</t>
  </si>
  <si>
    <t>K07156189_18_20251129T170324Z.jpg</t>
  </si>
  <si>
    <t>7 Площадка 2 бетонщики\K07156189_18_20251129T170324Z.jpg</t>
  </si>
  <si>
    <t>E33149364_2_20251124T091919Z.jpg</t>
  </si>
  <si>
    <t>8 Рейсмус\E33149364_2_20251124T091919Z.jpg</t>
  </si>
  <si>
    <t>пн 24.11.2025 — 09:19:19</t>
  </si>
  <si>
    <t>E33149364_2_20251125T095346Z.jpg</t>
  </si>
  <si>
    <t>8 Рейсмус\E33149364_2_20251125T095346Z.jpg</t>
  </si>
  <si>
    <t>вт 25.11.2025 — 09:53:46</t>
  </si>
  <si>
    <t>E33149364_2_20251126T122934Z.jpg</t>
  </si>
  <si>
    <t>8 Рейсмус\E33149364_2_20251126T122934Z.jpg</t>
  </si>
  <si>
    <t>ср 26.11.2025 — 12:29:34</t>
  </si>
  <si>
    <t>E33149364_2_20251127T090125Z.jpg</t>
  </si>
  <si>
    <t>8 Рейсмус\E33149364_2_20251127T090125Z.jpg</t>
  </si>
  <si>
    <t>чт 27.11.2025 — 09:01:25</t>
  </si>
  <si>
    <t>E33149364_2_20251128T160840Z.jpg</t>
  </si>
  <si>
    <t>8 Рейсмус\E33149364_2_20251128T160840Z.jpg</t>
  </si>
  <si>
    <t>пт 28.11.2025 — 16:08:40</t>
  </si>
  <si>
    <t>E33149364_2_20251129T153315Z.jpg</t>
  </si>
  <si>
    <t>8 Рейсмус\E33149364_2_20251129T153315Z.jpg</t>
  </si>
  <si>
    <t>сб 29.11.2025 — 15:33:15</t>
  </si>
  <si>
    <t>E33149364_1_20251124T090445Z.jpg</t>
  </si>
  <si>
    <t>9 Ангар пилорама\E33149364_1_20251124T090445Z.jpg</t>
  </si>
  <si>
    <t>пн 24.11.2025 — 09:04:45</t>
  </si>
  <si>
    <t>E33149364_1_20251124T091600Z.jpg</t>
  </si>
  <si>
    <t>9 Ангар пилорама\E33149364_1_20251124T091600Z.jpg</t>
  </si>
  <si>
    <t>пн 24.11.2025 — 09:16:00</t>
  </si>
  <si>
    <t>E33149364_1_20251124T100100Z.jpg</t>
  </si>
  <si>
    <t>9 Ангар пилорама\E33149364_1_20251124T100100Z.jpg</t>
  </si>
  <si>
    <t>пн 24.11.2025 — 10:01:00</t>
  </si>
  <si>
    <t>E33149364_1_20251124T111607Z.jpg</t>
  </si>
  <si>
    <t>9 Ангар пилорама\E33149364_1_20251124T111607Z.jpg</t>
  </si>
  <si>
    <t>пн 24.11.2025 — 11:16:07</t>
  </si>
  <si>
    <t>E33149364_1_20251124T114656Z.jpg</t>
  </si>
  <si>
    <t>9 Ангар пилорама\E33149364_1_20251124T114656Z.jpg</t>
  </si>
  <si>
    <t>пн 24.11.2025 — 11:46:56</t>
  </si>
  <si>
    <t>E33149364_1_20251124T155601Z.jpg</t>
  </si>
  <si>
    <t>9 Ангар пилорама\E33149364_1_20251124T155601Z.jpg</t>
  </si>
  <si>
    <t>пн 24.11.2025 — 15:56:01</t>
  </si>
  <si>
    <t>E33149364_1_20251124T193602Z.jpg</t>
  </si>
  <si>
    <t>9 Ангар пилорама\E33149364_1_20251124T193602Z.jpg</t>
  </si>
  <si>
    <t>пн 24.11.2025 — 19:36:02</t>
  </si>
  <si>
    <t>E33149364_1_20251124T195138Z.jpg</t>
  </si>
  <si>
    <t>9 Ангар пилорама\E33149364_1_20251124T195138Z.jpg</t>
  </si>
  <si>
    <t>пн 24.11.2025 — 19:51:38</t>
  </si>
  <si>
    <t>E33149364_1_20251124T200754Z.jpg</t>
  </si>
  <si>
    <t>9 Ангар пилорама\E33149364_1_20251124T200754Z.jpg</t>
  </si>
  <si>
    <t>пн 24.11.2025 — 20:07:54</t>
  </si>
  <si>
    <t>E33149364_1_20251124T201607Z.jpg</t>
  </si>
  <si>
    <t>9 Ангар пилорама\E33149364_1_20251124T201607Z.jpg</t>
  </si>
  <si>
    <t>пн 24.11.2025 — 20:16:07</t>
  </si>
  <si>
    <t>E33149364_1_20251124T221321Z.jpg</t>
  </si>
  <si>
    <t>9 Ангар пилорама\E33149364_1_20251124T221321Z.jpg</t>
  </si>
  <si>
    <t>пн 24.11.2025 — 22:13:21</t>
  </si>
  <si>
    <t>E33149364_1_20251124T221740Z.jpg</t>
  </si>
  <si>
    <t>9 Ангар пилорама\E33149364_1_20251124T221740Z.jpg</t>
  </si>
  <si>
    <t>пн 24.11.2025 — 22:17:40</t>
  </si>
  <si>
    <t>E33149364_1_20251125T090358Z.jpg</t>
  </si>
  <si>
    <t>9 Ангар пилорама\E33149364_1_20251125T090358Z.jpg</t>
  </si>
  <si>
    <t>вт 25.11.2025 — 09:03:58</t>
  </si>
  <si>
    <t>E33149364_1_20251125T092701Z.jpg</t>
  </si>
  <si>
    <t>9 Ангар пилорама\E33149364_1_20251125T092701Z.jpg</t>
  </si>
  <si>
    <t>вт 25.11.2025 — 09:27:01</t>
  </si>
  <si>
    <t>E33149364_1_20251125T093247Z.jpg</t>
  </si>
  <si>
    <t>9 Ангар пилорама\E33149364_1_20251125T093247Z.jpg</t>
  </si>
  <si>
    <t>вт 25.11.2025 — 09:32:47</t>
  </si>
  <si>
    <t>E33149364_1_20251125T095614Z.jpg</t>
  </si>
  <si>
    <t>9 Ангар пилорама\E33149364_1_20251125T095614Z.jpg</t>
  </si>
  <si>
    <t>вт 25.11.2025 — 09:56:14</t>
  </si>
  <si>
    <t>E33149364_1_20251125T102225Z.jpg</t>
  </si>
  <si>
    <t>9 Ангар пилорама\E33149364_1_20251125T102225Z.jpg</t>
  </si>
  <si>
    <t>вт 25.11.2025 — 10:22:25</t>
  </si>
  <si>
    <t>E33149364_1_20251125T102326Z.jpg</t>
  </si>
  <si>
    <t>9 Ангар пилорама\E33149364_1_20251125T102326Z.jpg</t>
  </si>
  <si>
    <t>вт 25.11.2025 — 10:23:26</t>
  </si>
  <si>
    <t>E33149364_1_20251125T121200Z.jpg</t>
  </si>
  <si>
    <t>9 Ангар пилорама\E33149364_1_20251125T121200Z.jpg</t>
  </si>
  <si>
    <t>вт 25.11.2025 — 12:12:00</t>
  </si>
  <si>
    <t>E33149364_1_20251125T131457Z.jpg</t>
  </si>
  <si>
    <t>9 Ангар пилорама\E33149364_1_20251125T131457Z.jpg</t>
  </si>
  <si>
    <t>вт 25.11.2025 — 13:14:57</t>
  </si>
  <si>
    <t>E33149364_1_20251125T134447Z.jpg</t>
  </si>
  <si>
    <t>9 Ангар пилорама\E33149364_1_20251125T134447Z.jpg</t>
  </si>
  <si>
    <t>вт 25.11.2025 — 13:44:47</t>
  </si>
  <si>
    <t>E33149364_1_20251125T135734Z.jpg</t>
  </si>
  <si>
    <t>9 Ангар пилорама\E33149364_1_20251125T135734Z.jpg</t>
  </si>
  <si>
    <t>вт 25.11.2025 — 13:57:34</t>
  </si>
  <si>
    <t>E33149364_1_20251125T141912Z.jpg</t>
  </si>
  <si>
    <t>9 Ангар пилорама\E33149364_1_20251125T141912Z.jpg</t>
  </si>
  <si>
    <t>вт 25.11.2025 — 14:19:12</t>
  </si>
  <si>
    <t>E33149364_1_20251125T142631Z.jpg</t>
  </si>
  <si>
    <t>9 Ангар пилорама\E33149364_1_20251125T142631Z.jpg</t>
  </si>
  <si>
    <t>вт 25.11.2025 — 14:26:31</t>
  </si>
  <si>
    <t>E33149364_1_20251125T143450Z.jpg</t>
  </si>
  <si>
    <t>9 Ангар пилорама\E33149364_1_20251125T143450Z.jpg</t>
  </si>
  <si>
    <t>вт 25.11.2025 — 14:34:50</t>
  </si>
  <si>
    <t>E33149364_1_20251125T144247Z.jpg</t>
  </si>
  <si>
    <t>9 Ангар пилорама\E33149364_1_20251125T144247Z.jpg</t>
  </si>
  <si>
    <t>вт 25.11.2025 — 14:42:47</t>
  </si>
  <si>
    <t>E33149364_1_20251125T150435Z.jpg</t>
  </si>
  <si>
    <t>9 Ангар пилорама\E33149364_1_20251125T150435Z.jpg</t>
  </si>
  <si>
    <t>вт 25.11.2025 — 15:04:35</t>
  </si>
  <si>
    <t>E33149364_1_20251125T150527Z.jpg</t>
  </si>
  <si>
    <t>9 Ангар пилорама\E33149364_1_20251125T150527Z.jpg</t>
  </si>
  <si>
    <t>вт 25.11.2025 — 15:05:27</t>
  </si>
  <si>
    <t>E33149364_1_20251125T150634Z.jpg</t>
  </si>
  <si>
    <t>9 Ангар пилорама\E33149364_1_20251125T150634Z.jpg</t>
  </si>
  <si>
    <t>вт 25.11.2025 — 15:06:34</t>
  </si>
  <si>
    <t>E33149364_1_20251125T150653Z.jpg</t>
  </si>
  <si>
    <t>9 Ангар пилорама\E33149364_1_20251125T150653Z.jpg</t>
  </si>
  <si>
    <t>вт 25.11.2025 — 15:06:53</t>
  </si>
  <si>
    <t>E33149364_1_20251125T150721Z.jpg</t>
  </si>
  <si>
    <t>9 Ангар пилорама\E33149364_1_20251125T150721Z.jpg</t>
  </si>
  <si>
    <t>вт 25.11.2025 — 15:07:21</t>
  </si>
  <si>
    <t>E33149364_1_20251125T162602Z.jpg</t>
  </si>
  <si>
    <t>9 Ангар пилорама\E33149364_1_20251125T162602Z.jpg</t>
  </si>
  <si>
    <t>вт 25.11.2025 — 16:26:02</t>
  </si>
  <si>
    <t>E33149364_1_20251125T191925Z.jpg</t>
  </si>
  <si>
    <t>9 Ангар пилорама\E33149364_1_20251125T191925Z.jpg</t>
  </si>
  <si>
    <t>вт 25.11.2025 — 19:19:25</t>
  </si>
  <si>
    <t>E33149364_1_20251125T192532Z.jpg</t>
  </si>
  <si>
    <t>9 Ангар пилорама\E33149364_1_20251125T192532Z.jpg</t>
  </si>
  <si>
    <t>вт 25.11.2025 — 19:25:32</t>
  </si>
  <si>
    <t>E33149364_1_20251126T091053Z.jpg</t>
  </si>
  <si>
    <t>9 Ангар пилорама\E33149364_1_20251126T091053Z.jpg</t>
  </si>
  <si>
    <t>ср 26.11.2025 — 09:10:53</t>
  </si>
  <si>
    <t>E33149364_1_20251126T104606Z.jpg</t>
  </si>
  <si>
    <t>9 Ангар пилорама\E33149364_1_20251126T104606Z.jpg</t>
  </si>
  <si>
    <t>ср 26.11.2025 — 10:46:06</t>
  </si>
  <si>
    <t>E33149364_1_20251126T112256Z.jpg</t>
  </si>
  <si>
    <t>9 Ангар пилорама\E33149364_1_20251126T112256Z.jpg</t>
  </si>
  <si>
    <t>ср 26.11.2025 — 11:22:56</t>
  </si>
  <si>
    <t>E33149364_1_20251126T115036Z.jpg</t>
  </si>
  <si>
    <t>9 Ангар пилорама\E33149364_1_20251126T115036Z.jpg</t>
  </si>
  <si>
    <t>ср 26.11.2025 — 11:50:36</t>
  </si>
  <si>
    <t>E33149364_1_20251126T150024Z.jpg</t>
  </si>
  <si>
    <t>9 Ангар пилорама\E33149364_1_20251126T150024Z.jpg</t>
  </si>
  <si>
    <t>ср 26.11.2025 — 15:00:24</t>
  </si>
  <si>
    <t>E33149364_1_20251127T143240Z.jpg</t>
  </si>
  <si>
    <t>9 Ангар пилорама\E33149364_1_20251127T143240Z.jpg</t>
  </si>
  <si>
    <t>чт 27.11.2025 — 14:32:40</t>
  </si>
  <si>
    <t>E33149364_1_20251128T085609Z.jpg</t>
  </si>
  <si>
    <t>9 Ангар пилорама\E33149364_1_20251128T085609Z.jpg</t>
  </si>
  <si>
    <t>пт 28.11.2025 — 08:56:09</t>
  </si>
  <si>
    <t>E33149364_1_20251128T090121Z.jpg</t>
  </si>
  <si>
    <t>9 Ангар пилорама\E33149364_1_20251128T090121Z.jpg</t>
  </si>
  <si>
    <t>пт 28.11.2025 — 09:01:21</t>
  </si>
  <si>
    <t>E33149364_1_20251128T145458Z.jpg</t>
  </si>
  <si>
    <t>9 Ангар пилорама\E33149364_1_20251128T145458Z.jpg</t>
  </si>
  <si>
    <t>пт 28.11.2025 — 14:54:58</t>
  </si>
  <si>
    <t>E33149364_1_20251129T153321Z.jpg</t>
  </si>
  <si>
    <t>9 Ангар пилорама\E33149364_1_20251129T153321Z.jpg</t>
  </si>
  <si>
    <t>сб 29.11.2025 — 15:33:21</t>
  </si>
  <si>
    <t>E33149364_3_20251124T093938Z.jpg</t>
  </si>
  <si>
    <t>10 Сушилка навес\E33149364_3_20251124T093938Z.jpg</t>
  </si>
  <si>
    <t>пн 24.11.2025 — 09:39:38</t>
  </si>
  <si>
    <t>E33149364_3_20251124T102328Z.jpg</t>
  </si>
  <si>
    <t>10 Сушилка навес\E33149364_3_20251124T102328Z.jpg</t>
  </si>
  <si>
    <t>пн 24.11.2025 — 10:23:28</t>
  </si>
  <si>
    <t>E33149364_3_20251124T165607Z.jpg</t>
  </si>
  <si>
    <t>10 Сушилка навес\E33149364_3_20251124T165607Z.jpg</t>
  </si>
  <si>
    <t>пн 24.11.2025 — 16:56:07</t>
  </si>
  <si>
    <t>E33149364_3_20251124T174413Z.jpg</t>
  </si>
  <si>
    <t>10 Сушилка навес\E33149364_3_20251124T174413Z.jpg</t>
  </si>
  <si>
    <t>пн 24.11.2025 — 17:44:13</t>
  </si>
  <si>
    <t>E33149364_3_20251124T175105Z.jpg</t>
  </si>
  <si>
    <t>10 Сушилка навес\E33149364_3_20251124T175105Z.jpg</t>
  </si>
  <si>
    <t>пн 24.11.2025 — 17:51:05</t>
  </si>
  <si>
    <t>E33149364_3_20251124T180846Z.jpg</t>
  </si>
  <si>
    <t>10 Сушилка навес\E33149364_3_20251124T180846Z.jpg</t>
  </si>
  <si>
    <t>пн 24.11.2025 — 18:08:46</t>
  </si>
  <si>
    <t>E33149364_3_20251125T090445Z.jpg</t>
  </si>
  <si>
    <t>10 Сушилка навес\E33149364_3_20251125T090445Z.jpg</t>
  </si>
  <si>
    <t>вт 25.11.2025 — 09:04:45</t>
  </si>
  <si>
    <t>E33149364_3_20251125T091704Z.jpg</t>
  </si>
  <si>
    <t>10 Сушилка навес\E33149364_3_20251125T091704Z.jpg</t>
  </si>
  <si>
    <t>вт 25.11.2025 — 09:17:04</t>
  </si>
  <si>
    <t>E33149364_3_20251125T091836Z.jpg</t>
  </si>
  <si>
    <t>10 Сушилка навес\E33149364_3_20251125T091836Z.jpg</t>
  </si>
  <si>
    <t>вт 25.11.2025 — 09:18:36</t>
  </si>
  <si>
    <t>E33149364_3_20251125T092953Z.jpg</t>
  </si>
  <si>
    <t>10 Сушилка навес\E33149364_3_20251125T092953Z.jpg</t>
  </si>
  <si>
    <t>вт 25.11.2025 — 09:29:53</t>
  </si>
  <si>
    <t>E33149364_3_20251125T094708Z.jpg</t>
  </si>
  <si>
    <t>10 Сушилка навес\E33149364_3_20251125T094708Z.jpg</t>
  </si>
  <si>
    <t>вт 25.11.2025 — 09:47:08</t>
  </si>
  <si>
    <t>E33149364_3_20251125T122853Z.jpg</t>
  </si>
  <si>
    <t>10 Сушилка навес\E33149364_3_20251125T122853Z.jpg</t>
  </si>
  <si>
    <t>вт 25.11.2025 — 12:28:53</t>
  </si>
  <si>
    <t>E33149364_3_20251125T142536Z.jpg</t>
  </si>
  <si>
    <t>10 Сушилка навес\E33149364_3_20251125T142536Z.jpg</t>
  </si>
  <si>
    <t>вт 25.11.2025 — 14:25:36</t>
  </si>
  <si>
    <t>E33149364_3_20251125T142716Z.jpg</t>
  </si>
  <si>
    <t>10 Сушилка навес\E33149364_3_20251125T142716Z.jpg</t>
  </si>
  <si>
    <t>вт 25.11.2025 — 14:27:16</t>
  </si>
  <si>
    <t>E33149364_3_20251125T143008Z.jpg</t>
  </si>
  <si>
    <t>10 Сушилка навес\E33149364_3_20251125T143008Z.jpg</t>
  </si>
  <si>
    <t>вт 25.11.2025 — 14:30:08</t>
  </si>
  <si>
    <t>E33149364_3_20251125T143437Z.jpg</t>
  </si>
  <si>
    <t>10 Сушилка навес\E33149364_3_20251125T143437Z.jpg</t>
  </si>
  <si>
    <t>вт 25.11.2025 — 14:34:37</t>
  </si>
  <si>
    <t>E33149364_3_20251125T144556Z.jpg</t>
  </si>
  <si>
    <t>10 Сушилка навес\E33149364_3_20251125T144556Z.jpg</t>
  </si>
  <si>
    <t>вт 25.11.2025 — 14:45:56</t>
  </si>
  <si>
    <t>E33149364_3_20251125T144606Z.jpg</t>
  </si>
  <si>
    <t>10 Сушилка навес\E33149364_3_20251125T144606Z.jpg</t>
  </si>
  <si>
    <t>вт 25.11.2025 — 14:46:06</t>
  </si>
  <si>
    <t>E33149364_3_20251125T144724Z.jpg</t>
  </si>
  <si>
    <t>10 Сушилка навес\E33149364_3_20251125T144724Z.jpg</t>
  </si>
  <si>
    <t>вт 25.11.2025 — 14:47:24</t>
  </si>
  <si>
    <t>E33149364_3_20251125T144801Z.jpg</t>
  </si>
  <si>
    <t>10 Сушилка навес\E33149364_3_20251125T144801Z.jpg</t>
  </si>
  <si>
    <t>вт 25.11.2025 — 14:48:01</t>
  </si>
  <si>
    <t>E33149364_3_20251125T150442Z.jpg</t>
  </si>
  <si>
    <t>10 Сушилка навес\E33149364_3_20251125T150442Z.jpg</t>
  </si>
  <si>
    <t>вт 25.11.2025 — 15:04:42</t>
  </si>
  <si>
    <t>E33149364_3_20251125T150457Z.jpg</t>
  </si>
  <si>
    <t>10 Сушилка навес\E33149364_3_20251125T150457Z.jpg</t>
  </si>
  <si>
    <t>вт 25.11.2025 — 15:04:57</t>
  </si>
  <si>
    <t>E33149364_3_20251125T150555Z.jpg</t>
  </si>
  <si>
    <t>10 Сушилка навес\E33149364_3_20251125T150555Z.jpg</t>
  </si>
  <si>
    <t>вт 25.11.2025 — 15:05:55</t>
  </si>
  <si>
    <t>E33149364_3_20251125T150656Z.jpg</t>
  </si>
  <si>
    <t>10 Сушилка навес\E33149364_3_20251125T150656Z.jpg</t>
  </si>
  <si>
    <t>вт 25.11.2025 — 15:06:56</t>
  </si>
  <si>
    <t>E33149364_3_20251125T150703Z.jpg</t>
  </si>
  <si>
    <t>10 Сушилка навес\E33149364_3_20251125T150703Z.jpg</t>
  </si>
  <si>
    <t>вт 25.11.2025 — 15:07:03</t>
  </si>
  <si>
    <t>E33149364_3_20251125T150719Z.jpg</t>
  </si>
  <si>
    <t>10 Сушилка навес\E33149364_3_20251125T150719Z.jpg</t>
  </si>
  <si>
    <t>вт 25.11.2025 — 15:07:19</t>
  </si>
  <si>
    <t>E33149364_3_20251125T150732Z.jpg</t>
  </si>
  <si>
    <t>10 Сушилка навес\E33149364_3_20251125T150732Z.jpg</t>
  </si>
  <si>
    <t>вт 25.11.2025 — 15:07:32</t>
  </si>
  <si>
    <t>E33149364_3_20251125T150759Z.jpg</t>
  </si>
  <si>
    <t>10 Сушилка навес\E33149364_3_20251125T150759Z.jpg</t>
  </si>
  <si>
    <t>вт 25.11.2025 — 15:07:59</t>
  </si>
  <si>
    <t>E33149364_3_20251125T150901Z.jpg</t>
  </si>
  <si>
    <t>10 Сушилка навес\E33149364_3_20251125T150901Z.jpg</t>
  </si>
  <si>
    <t>вт 25.11.2025 — 15:09:01</t>
  </si>
  <si>
    <t>E33149364_3_20251125T150950Z.jpg</t>
  </si>
  <si>
    <t>10 Сушилка навес\E33149364_3_20251125T150950Z.jpg</t>
  </si>
  <si>
    <t>вт 25.11.2025 — 15:09:50</t>
  </si>
  <si>
    <t>E33149364_3_20251125T151313Z.jpg</t>
  </si>
  <si>
    <t>10 Сушилка навес\E33149364_3_20251125T151313Z.jpg</t>
  </si>
  <si>
    <t>вт 25.11.2025 — 15:13:13</t>
  </si>
  <si>
    <t>E33149364_3_20251125T151531Z.jpg</t>
  </si>
  <si>
    <t>E33149364_3_20251126T102722Z.jpg</t>
  </si>
  <si>
    <t>10 Сушилка навес\E33149364_3_20251126T102722Z.jpg</t>
  </si>
  <si>
    <t>ср 26.11.2025 — 10:27:22</t>
  </si>
  <si>
    <t>E33149364_3_20251126T103635Z.jpg</t>
  </si>
  <si>
    <t>10 Сушилка навес\E33149364_3_20251126T103635Z.jpg</t>
  </si>
  <si>
    <t>ср 26.11.2025 — 10:36:35</t>
  </si>
  <si>
    <t>E33149364_3_20251126T103643Z.jpg</t>
  </si>
  <si>
    <t>10 Сушилка навес\E33149364_3_20251126T103643Z.jpg</t>
  </si>
  <si>
    <t>ср 26.11.2025 — 10:36:43</t>
  </si>
  <si>
    <t>E33149364_3_20251126T103652Z.jpg</t>
  </si>
  <si>
    <t>10 Сушилка навес\E33149364_3_20251126T103652Z.jpg</t>
  </si>
  <si>
    <t>ср 26.11.2025 — 10:36:52</t>
  </si>
  <si>
    <t>E33149364_3_20251126T103705Z.jpg</t>
  </si>
  <si>
    <t>10 Сушилка навес\E33149364_3_20251126T103705Z.jpg</t>
  </si>
  <si>
    <t>ср 26.11.2025 — 10:37:05</t>
  </si>
  <si>
    <t>E33149364_3_20251126T103717Z.jpg</t>
  </si>
  <si>
    <t>10 Сушилка навес\E33149364_3_20251126T103717Z.jpg</t>
  </si>
  <si>
    <t>ср 26.11.2025 — 10:37:17</t>
  </si>
  <si>
    <t>E33149364_3_20251126T103729Z.jpg</t>
  </si>
  <si>
    <t>10 Сушилка навес\E33149364_3_20251126T103729Z.jpg</t>
  </si>
  <si>
    <t>ср 26.11.2025 — 10:37:29</t>
  </si>
  <si>
    <t>E33149364_3_20251126T103742Z.jpg</t>
  </si>
  <si>
    <t>10 Сушилка навес\E33149364_3_20251126T103742Z.jpg</t>
  </si>
  <si>
    <t>ср 26.11.2025 — 10:37:42</t>
  </si>
  <si>
    <t>E33149364_3_20251126T103847Z.jpg</t>
  </si>
  <si>
    <t>10 Сушилка навес\E33149364_3_20251126T103847Z.jpg</t>
  </si>
  <si>
    <t>ср 26.11.2025 — 10:38:47</t>
  </si>
  <si>
    <t>E33149364_3_20251126T103858Z.jpg</t>
  </si>
  <si>
    <t>10 Сушилка навес\E33149364_3_20251126T103858Z.jpg</t>
  </si>
  <si>
    <t>ср 26.11.2025 — 10:38:58</t>
  </si>
  <si>
    <t>E33149364_3_20251126T104025Z.jpg</t>
  </si>
  <si>
    <t>10 Сушилка навес\E33149364_3_20251126T104025Z.jpg</t>
  </si>
  <si>
    <t>ср 26.11.2025 — 10:40:25</t>
  </si>
  <si>
    <t>E33149364_3_20251126T104044Z.jpg</t>
  </si>
  <si>
    <t>10 Сушилка навес\E33149364_3_20251126T104044Z.jpg</t>
  </si>
  <si>
    <t>ср 26.11.2025 — 10:40:44</t>
  </si>
  <si>
    <t>E33149364_3_20251126T104156Z.jpg</t>
  </si>
  <si>
    <t>10 Сушилка навес\E33149364_3_20251126T104156Z.jpg</t>
  </si>
  <si>
    <t>ср 26.11.2025 — 10:41:56</t>
  </si>
  <si>
    <t>E33149364_3_20251126T104242Z.jpg</t>
  </si>
  <si>
    <t>10 Сушилка навес\E33149364_3_20251126T104242Z.jpg</t>
  </si>
  <si>
    <t>ср 26.11.2025 — 10:42:42</t>
  </si>
  <si>
    <t>E33149364_3_20251126T104432Z.jpg</t>
  </si>
  <si>
    <t>10 Сушилка навес\E33149364_3_20251126T104432Z.jpg</t>
  </si>
  <si>
    <t>ср 26.11.2025 — 10:44:32</t>
  </si>
  <si>
    <t>E33149364_3_20251126T104439Z.jpg</t>
  </si>
  <si>
    <t>10 Сушилка навес\E33149364_3_20251126T104439Z.jpg</t>
  </si>
  <si>
    <t>ср 26.11.2025 — 10:44:39</t>
  </si>
  <si>
    <t>E33149364_3_20251126T104451Z.jpg</t>
  </si>
  <si>
    <t>10 Сушилка навес\E33149364_3_20251126T104451Z.jpg</t>
  </si>
  <si>
    <t>ср 26.11.2025 — 10:44:51</t>
  </si>
  <si>
    <t>E33149364_3_20251126T104849Z.jpg</t>
  </si>
  <si>
    <t>10 Сушилка навес\E33149364_3_20251126T104849Z.jpg</t>
  </si>
  <si>
    <t>ср 26.11.2025 — 10:48:49</t>
  </si>
  <si>
    <t>E33149364_3_20251126T105042Z.jpg</t>
  </si>
  <si>
    <t>10 Сушилка навес\E33149364_3_20251126T105042Z.jpg</t>
  </si>
  <si>
    <t>ср 26.11.2025 — 10:50:42</t>
  </si>
  <si>
    <t>E33149364_3_20251126T164750Z.jpg</t>
  </si>
  <si>
    <t>10 Сушилка навес\E33149364_3_20251126T164750Z.jpg</t>
  </si>
  <si>
    <t>ср 26.11.2025 — 16:47:50</t>
  </si>
  <si>
    <t>E33149364_3_20251128T085204Z.jpg</t>
  </si>
  <si>
    <t>10 Сушилка навес\E33149364_3_20251128T085204Z.jpg</t>
  </si>
  <si>
    <t>пт 28.11.2025 — 08:52:04</t>
  </si>
  <si>
    <t>E33149364_3_20251128T085339Z.jpg</t>
  </si>
  <si>
    <t>10 Сушилка навес\E33149364_3_20251128T085339Z.jpg</t>
  </si>
  <si>
    <t>пт 28.11.2025 — 08:53:39</t>
  </si>
  <si>
    <t>E33149364_3_20251128T090325Z.jpg</t>
  </si>
  <si>
    <t>10 Сушилка навес\E33149364_3_20251128T090325Z.jpg</t>
  </si>
  <si>
    <t>пт 28.11.2025 — 09:03:25</t>
  </si>
  <si>
    <t>E33149364_3_20251128T090346Z.jpg</t>
  </si>
  <si>
    <t>10 Сушилка навес\E33149364_3_20251128T090346Z.jpg</t>
  </si>
  <si>
    <t>пт 28.11.2025 — 09:03:46</t>
  </si>
  <si>
    <t>E33149364_3_20251128T112557Z.jpg</t>
  </si>
  <si>
    <t>10 Сушилка навес\E33149364_3_20251128T112557Z.jpg</t>
  </si>
  <si>
    <t>пт 28.11.2025 — 11:25:57</t>
  </si>
  <si>
    <t>E33149364_3_20251128T112607Z.jpg</t>
  </si>
  <si>
    <t>10 Сушилка навес\E33149364_3_20251128T112607Z.jpg</t>
  </si>
  <si>
    <t>пт 28.11.2025 — 11:26:07</t>
  </si>
  <si>
    <t>E33149364_3_20251128T140732Z.jpg</t>
  </si>
  <si>
    <t>10 Сушилка навес\E33149364_3_20251128T140732Z.jpg</t>
  </si>
  <si>
    <t>пт 28.11.2025 — 14:07:32</t>
  </si>
  <si>
    <t>E33149364_3_20251128T140740Z.jpg</t>
  </si>
  <si>
    <t>10 Сушилка навес\E33149364_3_20251128T140740Z.jpg</t>
  </si>
  <si>
    <t>пт 28.11.2025 — 14:07:40</t>
  </si>
  <si>
    <t>E33149364_3_20251128T141845Z.jpg</t>
  </si>
  <si>
    <t>10 Сушилка навес\E33149364_3_20251128T141845Z.jpg</t>
  </si>
  <si>
    <t>пт 28.11.2025 — 14:18:45</t>
  </si>
  <si>
    <t>E33149364_3_20251128T142325Z.jpg</t>
  </si>
  <si>
    <t>10 Сушилка навес\E33149364_3_20251128T142325Z.jpg</t>
  </si>
  <si>
    <t>пт 28.11.2025 — 14:23:25</t>
  </si>
  <si>
    <t>E33149364_3_20251128T151656Z.jpg</t>
  </si>
  <si>
    <t>10 Сушилка навес\E33149364_3_20251128T151656Z.jpg</t>
  </si>
  <si>
    <t>пт 28.11.2025 — 15:16:56</t>
  </si>
  <si>
    <t>E33149364_3_20251128T151703Z.jpg</t>
  </si>
  <si>
    <t>10 Сушилка навес\E33149364_3_20251128T151703Z.jpg</t>
  </si>
  <si>
    <t>пт 28.11.2025 — 15:17:03</t>
  </si>
  <si>
    <t>E33149364_3_20251128T152130Z.jpg</t>
  </si>
  <si>
    <t>10 Сушилка навес\E33149364_3_20251128T152130Z.jpg</t>
  </si>
  <si>
    <t>пт 28.11.2025 — 15:21:30</t>
  </si>
  <si>
    <t>E33149364_3_20251128T152603Z.jpg</t>
  </si>
  <si>
    <t>10 Сушилка навес\E33149364_3_20251128T152603Z.jpg</t>
  </si>
  <si>
    <t>пт 28.11.2025 — 15:26:03</t>
  </si>
  <si>
    <t>E33149364_3_20251128T163424Z.jpg</t>
  </si>
  <si>
    <t>10 Сушилка навес\E33149364_3_20251128T163424Z.jpg</t>
  </si>
  <si>
    <t>пт 28.11.2025 — 16:34:24</t>
  </si>
  <si>
    <t>E33149364_3_20251129T153410Z.jpg</t>
  </si>
  <si>
    <t>10 Сушилка навес\E33149364_3_20251129T153410Z.jpg</t>
  </si>
  <si>
    <t>сб 29.11.2025 — 15:34:10</t>
  </si>
  <si>
    <t>E33149364_4_20251124T165511Z.jpg</t>
  </si>
  <si>
    <t>11 С ангара на базу\E33149364_4_20251124T165511Z.jpg</t>
  </si>
  <si>
    <t>пн 24.11.2025 — 16:55:11</t>
  </si>
  <si>
    <t>E33149364_4_20251125T094413Z.jpg</t>
  </si>
  <si>
    <t>11 С ангара на базу\E33149364_4_20251125T094413Z.jpg</t>
  </si>
  <si>
    <t>вт 25.11.2025 — 09:44:13</t>
  </si>
  <si>
    <t>E33149364_4_20251125T094538Z.jpg</t>
  </si>
  <si>
    <t>11 С ангара на базу\E33149364_4_20251125T094538Z.jpg</t>
  </si>
  <si>
    <t>вт 25.11.2025 — 09:45:38</t>
  </si>
  <si>
    <t>E33149364_4_20251126T102713Z.jpg</t>
  </si>
  <si>
    <t>11 С ангара на базу\E33149364_4_20251126T102713Z.jpg</t>
  </si>
  <si>
    <t>ср 26.11.2025 — 10:27:13</t>
  </si>
  <si>
    <t>E33149364_4_20251126T102832Z.jpg</t>
  </si>
  <si>
    <t>11 С ангара на базу\E33149364_4_20251126T102832Z.jpg</t>
  </si>
  <si>
    <t>ср 26.11.2025 — 10:28:32</t>
  </si>
  <si>
    <t>E33149364_4_20251126T103142Z.jpg</t>
  </si>
  <si>
    <t>11 С ангара на базу\E33149364_4_20251126T103142Z.jpg</t>
  </si>
  <si>
    <t>ср 26.11.2025 — 10:31:42</t>
  </si>
  <si>
    <t>E33149364_4_20251126T103457Z.jpg</t>
  </si>
  <si>
    <t>11 С ангара на базу\E33149364_4_20251126T103457Z.jpg</t>
  </si>
  <si>
    <t>ср 26.11.2025 — 10:34:57</t>
  </si>
  <si>
    <t>E33149364_4_20251126T103546Z.jpg</t>
  </si>
  <si>
    <t>11 С ангара на базу\E33149364_4_20251126T103546Z.jpg</t>
  </si>
  <si>
    <t>ср 26.11.2025 — 10:35:46</t>
  </si>
  <si>
    <t>E33149364_4_20251126T104401Z.jpg</t>
  </si>
  <si>
    <t>11 С ангара на базу\E33149364_4_20251126T104401Z.jpg</t>
  </si>
  <si>
    <t>ср 26.11.2025 — 10:44:01</t>
  </si>
  <si>
    <t>E33149364_4_20251126T104549Z.jpg</t>
  </si>
  <si>
    <t>11 С ангара на базу\E33149364_4_20251126T104549Z.jpg</t>
  </si>
  <si>
    <t>ср 26.11.2025 — 10:45:49</t>
  </si>
  <si>
    <t>E33149364_4_20251126T104603Z.jpg</t>
  </si>
  <si>
    <t>11 С ангара на базу\E33149364_4_20251126T104603Z.jpg</t>
  </si>
  <si>
    <t>ср 26.11.2025 — 10:46:03</t>
  </si>
  <si>
    <t>E33149364_4_20251126T104715Z.jpg</t>
  </si>
  <si>
    <t>11 С ангара на базу\E33149364_4_20251126T104715Z.jpg</t>
  </si>
  <si>
    <t>ср 26.11.2025 — 10:47:15</t>
  </si>
  <si>
    <t>E33149364_4_20251127T164112Z.jpg</t>
  </si>
  <si>
    <t>11 С ангара на базу\E33149364_4_20251127T164112Z.jpg</t>
  </si>
  <si>
    <t>чт 27.11.2025 — 16:41:12</t>
  </si>
  <si>
    <t>E33149364_4_20251128T090437Z.jpg</t>
  </si>
  <si>
    <t>11 С ангара на базу\E33149364_4_20251128T090437Z.jpg</t>
  </si>
  <si>
    <t>пт 28.11.2025 — 09:04:37</t>
  </si>
  <si>
    <t>E33149364_4_20251128T141557Z.jpg</t>
  </si>
  <si>
    <t>11 С ангара на базу\E33149364_4_20251128T141557Z.jpg</t>
  </si>
  <si>
    <t>пт 28.11.2025 — 14:15:57</t>
  </si>
  <si>
    <t>E33149364_4_20251128T141610Z.jpg</t>
  </si>
  <si>
    <t>11 С ангара на базу\E33149364_4_20251128T141610Z.jpg</t>
  </si>
  <si>
    <t>пт 28.11.2025 — 14:16:10</t>
  </si>
  <si>
    <t>E33149364_4_20251128T141853Z.jpg</t>
  </si>
  <si>
    <t>11 С ангара на базу\E33149364_4_20251128T141853Z.jpg</t>
  </si>
  <si>
    <t>пт 28.11.2025 — 14:18:53</t>
  </si>
  <si>
    <t>E33149364_4_20251128T164644Z.jpg</t>
  </si>
  <si>
    <t>11 С ангара на базу\E33149364_4_20251128T164644Z.jpg</t>
  </si>
  <si>
    <t>пт 28.11.2025 — 16:46:44</t>
  </si>
  <si>
    <t>E33149364_4_20251129T091631Z.jpg</t>
  </si>
  <si>
    <t>11 С ангара на базу\E33149364_4_20251129T091631Z.jpg</t>
  </si>
  <si>
    <t>сб 29.11.2025 — 09:16:31</t>
  </si>
  <si>
    <t>K07156189_20_20251124T164912Z.jpg</t>
  </si>
  <si>
    <t>12 Площадка 3 кран\K07156189_20_20251124T164912Z.jpg</t>
  </si>
  <si>
    <t>пн 24.11.2025 — 16:49:12</t>
  </si>
  <si>
    <t>K07156189_20_20251125T093938Z.jpg</t>
  </si>
  <si>
    <t>12 Площадка 3 кран\K07156189_20_20251125T093938Z.jpg</t>
  </si>
  <si>
    <t>вт 25.11.2025 — 09:39:38</t>
  </si>
  <si>
    <t>K07156189_20_20251125T192328Z.jpg</t>
  </si>
  <si>
    <t>12 Площадка 3 кран\K07156189_20_20251125T192328Z.jpg</t>
  </si>
  <si>
    <t>вт 25.11.2025 — 19:23:28</t>
  </si>
  <si>
    <t>K07156189_20_20251126T095930Z.jpg</t>
  </si>
  <si>
    <t>12 Площадка 3 кран\K07156189_20_20251126T095930Z.jpg</t>
  </si>
  <si>
    <t>ср 26.11.2025 — 09:59:30</t>
  </si>
  <si>
    <t>K07156189_20_20251127T102316Z.jpg</t>
  </si>
  <si>
    <t>12 Площадка 3 кран\K07156189_20_20251127T102316Z.jpg</t>
  </si>
  <si>
    <t>чт 27.11.2025 — 10:23:16</t>
  </si>
  <si>
    <t>K07156189_20_20251127T112434Z.jpg</t>
  </si>
  <si>
    <t>12 Площадка 3 кран\K07156189_20_20251127T112434Z.jpg</t>
  </si>
  <si>
    <t>чт 27.11.2025 — 11:24:34</t>
  </si>
  <si>
    <t>K07156189_20_20251127T191128Z.jpg</t>
  </si>
  <si>
    <t>12 Площадка 3 кран\K07156189_20_20251127T191128Z.jpg</t>
  </si>
  <si>
    <t>чт 27.11.2025 — 19:11:28</t>
  </si>
  <si>
    <t>K07156189_20_20251128T092947Z.jpg</t>
  </si>
  <si>
    <t>12 Площадка 3 кран\K07156189_20_20251128T092947Z.jpg</t>
  </si>
  <si>
    <t>пт 28.11.2025 — 09:29:47</t>
  </si>
  <si>
    <t>K07156189_20_20251128T115341Z.jpg</t>
  </si>
  <si>
    <t>12 Площадка 3 кран\K07156189_20_20251128T115341Z.jpg</t>
  </si>
  <si>
    <t>пт 28.11.2025 — 11:53:41</t>
  </si>
  <si>
    <t>K07156189_20_20251128T152815Z.jpg</t>
  </si>
  <si>
    <t>12 Площадка 3 кран\K07156189_20_20251128T152815Z.jpg</t>
  </si>
  <si>
    <t>пт 28.11.2025 — 15:28:15</t>
  </si>
  <si>
    <t>K07156189_20_20251128T175753Z.jpg</t>
  </si>
  <si>
    <t>12 Площадка 3 кран\K07156189_20_20251128T175753Z.jpg</t>
  </si>
  <si>
    <t>пт 28.11.2025 — 17:57:53</t>
  </si>
  <si>
    <t>K07156189_20_20251128T185638Z.jpg</t>
  </si>
  <si>
    <t>12 Площадка 3 кран\K07156189_20_20251128T185638Z.jpg</t>
  </si>
  <si>
    <t>пт 28.11.2025 — 18:56:38</t>
  </si>
  <si>
    <t>K07156189_20_20251129T131125Z.jpg</t>
  </si>
  <si>
    <t>12 Площадка 3 кран\K07156189_20_20251129T131125Z.jpg</t>
  </si>
  <si>
    <t>сб 29.11.2025 — 13:11:25</t>
  </si>
  <si>
    <t>K07156189_23_20251124T180904Z.jpg</t>
  </si>
  <si>
    <t>13 Склад хол\K07156189_23_20251124T180904Z.jpg</t>
  </si>
  <si>
    <t>пн 24.11.2025 — 18:09:04</t>
  </si>
  <si>
    <t>K07156189_23_20251125T155617Z.jpg</t>
  </si>
  <si>
    <t>13 Склад хол\K07156189_23_20251125T155617Z.jpg</t>
  </si>
  <si>
    <t>вт 25.11.2025 — 15:56:17</t>
  </si>
  <si>
    <t>K07156189_23_20251126T085820Z.jpg</t>
  </si>
  <si>
    <t>13 Склад хол\K07156189_23_20251126T085820Z.jpg</t>
  </si>
  <si>
    <t>ср 26.11.2025 — 08:58:20</t>
  </si>
  <si>
    <t>K07156189_23_20251126T165038Z.jpg</t>
  </si>
  <si>
    <t>13 Склад хол\K07156189_23_20251126T165038Z.jpg</t>
  </si>
  <si>
    <t>ср 26.11.2025 — 16:50:38</t>
  </si>
  <si>
    <t>K07156189_23_20251127T122549Z.jpg</t>
  </si>
  <si>
    <t>13 Склад хол\K07156189_23_20251127T122549Z.jpg</t>
  </si>
  <si>
    <t>чт 27.11.2025 — 12:25:49</t>
  </si>
  <si>
    <t>K07156189_23_20251127T131951Z.jpg</t>
  </si>
  <si>
    <t>13 Склад хол\K07156189_23_20251127T131951Z.jpg</t>
  </si>
  <si>
    <t>чт 27.11.2025 — 13:19:51</t>
  </si>
  <si>
    <t>K07156189_23_20251129T094718Z.jpg</t>
  </si>
  <si>
    <t>13 Склад хол\K07156189_23_20251129T094718Z.jpg</t>
  </si>
  <si>
    <t>сб 29.11.2025 — 09:47:18</t>
  </si>
  <si>
    <t>K07156189_23_20251128T094718Z.jpg</t>
  </si>
  <si>
    <t>13 Склад хол\K07156189_23_20251128T094718Z.jpg</t>
  </si>
  <si>
    <t>пт 28.11.2025 — 09:47:18</t>
  </si>
  <si>
    <t>Задний ход, въезд на второстепенную дорогу</t>
  </si>
  <si>
    <t>Легковая белая</t>
  </si>
  <si>
    <t>Газель фургон, белая кабина, серый тент</t>
  </si>
  <si>
    <t>Газель фургон, голубая кабина, серый тент</t>
  </si>
  <si>
    <t>Оранжевый КАМАЗ лесовоз с краном</t>
  </si>
  <si>
    <t>Синий КАМАЗ бортовой с прицепом</t>
  </si>
  <si>
    <t>бревна сруба</t>
  </si>
  <si>
    <t>после загрузки убыл по дороге без камеры, поэтому повторно въезжает уже с грузом</t>
  </si>
  <si>
    <t xml:space="preserve">Проезд </t>
  </si>
  <si>
    <t>Строительство навеса</t>
  </si>
  <si>
    <t>Ангар</t>
  </si>
  <si>
    <t>Проезд, с территории</t>
  </si>
  <si>
    <t>Проезд, на територию</t>
  </si>
  <si>
    <t>багажник</t>
  </si>
  <si>
    <t>разгрузился на новой площадке около сушилки</t>
  </si>
  <si>
    <t>усиление стяжки груза</t>
  </si>
  <si>
    <t>826398429_1_20251125T154006Z.jpg</t>
  </si>
  <si>
    <t>6 Площадка 1 общага\826398429_1_20251125T154006Z.jpg</t>
  </si>
  <si>
    <t>вт 25.11.2025 — 15:40:06</t>
  </si>
  <si>
    <t>Разбор</t>
  </si>
  <si>
    <t>Сруб</t>
  </si>
  <si>
    <t>Бревна сруба</t>
  </si>
  <si>
    <t>Камера не работала</t>
  </si>
  <si>
    <t>K07156189_18_20251124T162831Z.jpg</t>
  </si>
  <si>
    <t>7 Площадка 2 бетонщики\K07156189_18_20251124T162831Z.jpg</t>
  </si>
  <si>
    <t>пн 24.11.2025 — 16:28:31</t>
  </si>
  <si>
    <t>Подготовка к загрузке</t>
  </si>
  <si>
    <t>Платформа для перевозки бревен</t>
  </si>
  <si>
    <t>уехал, как и прибыл, по дороге без камеры</t>
  </si>
  <si>
    <t>уехал по дороге без камеры</t>
  </si>
  <si>
    <t>Сотрудник и женщина</t>
  </si>
  <si>
    <t>Вывоз</t>
  </si>
  <si>
    <t>Женщина</t>
  </si>
  <si>
    <t>Перевоз</t>
  </si>
  <si>
    <t>на площадку около сушилки</t>
  </si>
  <si>
    <t>Расчистка территории</t>
  </si>
  <si>
    <t>Разгрузкаа</t>
  </si>
  <si>
    <t>Укладка в штабель</t>
  </si>
  <si>
    <t>Новая площадка</t>
  </si>
  <si>
    <t>предположительно разгруженные с газели базы</t>
  </si>
  <si>
    <t>никто не разгружает</t>
  </si>
  <si>
    <t>не видно что это</t>
  </si>
  <si>
    <t>Окончание загрузки</t>
  </si>
  <si>
    <t>красные доски</t>
  </si>
  <si>
    <t>убытие по дороге справа сушилки</t>
  </si>
  <si>
    <t>Окончание загрузки, убытие</t>
  </si>
  <si>
    <t>на новую площадку</t>
  </si>
  <si>
    <t>к левой стене ангара</t>
  </si>
  <si>
    <t>листы</t>
  </si>
  <si>
    <t>остатки с навеса окна приема бревен</t>
  </si>
  <si>
    <t>горбыль</t>
  </si>
  <si>
    <t>Проезд для выгрузки</t>
  </si>
  <si>
    <t>решетки</t>
  </si>
  <si>
    <t>выгружены с газели базы</t>
  </si>
  <si>
    <t>из штабля рядом</t>
  </si>
  <si>
    <t>с территории</t>
  </si>
  <si>
    <t>Ремонт/настройка</t>
  </si>
  <si>
    <t>кран</t>
  </si>
  <si>
    <t>сруб</t>
  </si>
  <si>
    <t>работа тракторов</t>
  </si>
  <si>
    <t>сотрудники, трактор</t>
  </si>
  <si>
    <t>возврат листов</t>
  </si>
  <si>
    <t>E33149364_6_20251130T170331Z.jpg</t>
  </si>
  <si>
    <t>1 Ангар Склад 2 въезд\E33149364_6_20251130T170331Z.jpg</t>
  </si>
  <si>
    <t>вс 30.11.2025 — 17:03:31</t>
  </si>
  <si>
    <t>E33149364_6_20251130T180906Z.jpg</t>
  </si>
  <si>
    <t>1 Ангар Склад 2 въезд\E33149364_6_20251130T180906Z.jpg</t>
  </si>
  <si>
    <t>вс 30.11.2025 — 18:09:06</t>
  </si>
  <si>
    <t>E33149364_7_20251130T114043Z.jpg</t>
  </si>
  <si>
    <t>2 Пилорама поката\E33149364_7_20251130T114043Z.jpg</t>
  </si>
  <si>
    <t>вс 30.11.2025 — 11:40:43</t>
  </si>
  <si>
    <t>E33149364_8_20251130T164529Z.jpg</t>
  </si>
  <si>
    <t>вс 30.11.2025 — 16:45:29</t>
  </si>
  <si>
    <t>K07156189_21_20251130T170325Z.jpg</t>
  </si>
  <si>
    <t>4 Крыльцо офиса\K07156189_21_20251130T170325Z.jpg</t>
  </si>
  <si>
    <t>вс 30.11.2025 — 17:03:25</t>
  </si>
  <si>
    <t>K07156189_21_20251130T180935Z.jpg</t>
  </si>
  <si>
    <t>4 Крыльцо офиса\K07156189_21_20251130T180935Z.jpg</t>
  </si>
  <si>
    <t>вс 30.11.2025 — 18:09:35</t>
  </si>
  <si>
    <t>K07156189_22_20251130T164343Z.jpg</t>
  </si>
  <si>
    <t>5 Крыльцо общага\K07156189_22_20251130T164343Z.jpg</t>
  </si>
  <si>
    <t>вс 30.11.2025 — 16:43:43</t>
  </si>
  <si>
    <t>826398429_1_20251130T144934Z.jpg</t>
  </si>
  <si>
    <t>6 Площадка 1 общага\826398429_1_20251130T144934Z.jpg</t>
  </si>
  <si>
    <t>вс 30.11.2025 — 14:49:34</t>
  </si>
  <si>
    <t>K07156189_18_20251130T170439Z.jpg</t>
  </si>
  <si>
    <t>7 Площадка 2 бетонщики\K07156189_18_20251130T170439Z.jpg</t>
  </si>
  <si>
    <t>вс 30.11.2025 — 17:04:39</t>
  </si>
  <si>
    <t>E33149364_2_20251130T125624Z.jpg</t>
  </si>
  <si>
    <t>8 Рейсмус\E33149364_2_20251130T125624Z.jpg</t>
  </si>
  <si>
    <t>вс 30.11.2025 — 12:56:24</t>
  </si>
  <si>
    <t>E33149364_1_20251130T152647Z.jpg</t>
  </si>
  <si>
    <t>9 Ангар пилорама\E33149364_1_20251130T152647Z.jpg</t>
  </si>
  <si>
    <t>вс 30.11.2025 — 15:26:47</t>
  </si>
  <si>
    <t>E33149364_3_20251130T111823Z.jpg</t>
  </si>
  <si>
    <t>10 Сушилка навес\E33149364_3_20251130T111823Z.jpg</t>
  </si>
  <si>
    <t>вс 30.11.2025 — 11:18:23</t>
  </si>
  <si>
    <t>E33149364_4_20251130T155639Z.jpg</t>
  </si>
  <si>
    <t>11 С ангара на базу\E33149364_4_20251130T155639Z.jpg</t>
  </si>
  <si>
    <t>вс 30.11.2025 — 15:56:39</t>
  </si>
  <si>
    <t>K07156189_20_20251130T175449Z.jpg</t>
  </si>
  <si>
    <t>12 Площадка 3 кран\K07156189_20_20251130T175449Z.jpg</t>
  </si>
  <si>
    <t>вс 30.11.2025 — 17:54:49</t>
  </si>
  <si>
    <t>K07156189_23_20251130T094718Z.jpg</t>
  </si>
  <si>
    <t>13 Склад хол\K07156189_23_20251130T094718Z.jpg</t>
  </si>
  <si>
    <t>вс 30.11.2025 — 09:47:18</t>
  </si>
  <si>
    <t>Проезд влево, около площадки</t>
  </si>
  <si>
    <t>нет записей</t>
  </si>
  <si>
    <t>E33149364_7_20251201T094219Z.jpg</t>
  </si>
  <si>
    <t>2 Пилорама поката\E33149364_7_20251201T094219Z.jpg</t>
  </si>
  <si>
    <t>пн 01.12.2025 — 09:42:19</t>
  </si>
  <si>
    <t>E33149364_7_20251201T095608Z.jpg</t>
  </si>
  <si>
    <t>2 Пилорама поката\E33149364_7_20251201T095608Z.jpg</t>
  </si>
  <si>
    <t>пн 01.12.2025 — 09:56:08</t>
  </si>
  <si>
    <t>E33149364_7_20251201T101916Z.jpg</t>
  </si>
  <si>
    <t>2 Пилорама поката\E33149364_7_20251201T101916Z.jpg</t>
  </si>
  <si>
    <t>пн 01.12.2025 — 10:19:16</t>
  </si>
  <si>
    <t>E33149364_7_20251201T103614Z.jpg</t>
  </si>
  <si>
    <t>2 Пилорама поката\E33149364_7_20251201T103614Z.jpg</t>
  </si>
  <si>
    <t>пн 01.12.2025 — 10:36:14</t>
  </si>
  <si>
    <t>E33149364_7_20251201T103644Z.jpg</t>
  </si>
  <si>
    <t>2 Пилорама поката\E33149364_7_20251201T103644Z.jpg</t>
  </si>
  <si>
    <t>пн 01.12.2025 — 10:36:44</t>
  </si>
  <si>
    <t>E33149364_7_20251201T114905Z.jpg</t>
  </si>
  <si>
    <t>2 Пилорама поката\E33149364_7_20251201T114905Z.jpg</t>
  </si>
  <si>
    <t>пн 01.12.2025 — 11:49:05</t>
  </si>
  <si>
    <t>пн 01.12.2025 — 11:49:15</t>
  </si>
  <si>
    <t>E33149364_7_20251201T115011Z.jpg</t>
  </si>
  <si>
    <t>2 Пилорама поката\E33149364_7_20251201T115011Z.jpg</t>
  </si>
  <si>
    <t>пн 01.12.2025 — 11:50:11</t>
  </si>
  <si>
    <t>E33149364_7_20251201T120029Z.jpg</t>
  </si>
  <si>
    <t>2 Пилорама поката\E33149364_7_20251201T120029Z.jpg</t>
  </si>
  <si>
    <t>пн 01.12.2025 — 12:00:29</t>
  </si>
  <si>
    <t>E33149364_7_20251201T120637Z.jpg</t>
  </si>
  <si>
    <t>2 Пилорама поката\E33149364_7_20251201T120637Z.jpg</t>
  </si>
  <si>
    <t>пн 01.12.2025 — 12:06:37</t>
  </si>
  <si>
    <t>E33149364_7_20251201T121541Z.jpg</t>
  </si>
  <si>
    <t>2 Пилорама поката\E33149364_7_20251201T121541Z.jpg</t>
  </si>
  <si>
    <t>пн 01.12.2025 — 12:15:41</t>
  </si>
  <si>
    <t>E33149364_7_20251201T143904Z.jpg</t>
  </si>
  <si>
    <t>2 Пилорама поката\E33149364_7_20251201T143904Z.jpg</t>
  </si>
  <si>
    <t>пн 01.12.2025 — 14:39:04</t>
  </si>
  <si>
    <t>E33149364_7_20251201T145103Z.jpg</t>
  </si>
  <si>
    <t>2 Пилорама поката\E33149364_7_20251201T145103Z.jpg</t>
  </si>
  <si>
    <t>пн 01.12.2025 — 14:51:03</t>
  </si>
  <si>
    <t>E33149364_7_20251201T152628Z.jpg</t>
  </si>
  <si>
    <t>2 Пилорама поката\E33149364_7_20251201T152628Z.jpg</t>
  </si>
  <si>
    <t>пн 01.12.2025 — 15:26:28</t>
  </si>
  <si>
    <t>E33149364_7_20251202T094919Z.jpg</t>
  </si>
  <si>
    <t>2 Пилорама поката\E33149364_7_20251202T094919Z.jpg</t>
  </si>
  <si>
    <t>вт 02.12.2025 — 09:49:19</t>
  </si>
  <si>
    <t>E33149364_7_20251202T123722Z.jpg</t>
  </si>
  <si>
    <t>2 Пилорама поката\E33149364_7_20251202T123722Z.jpg</t>
  </si>
  <si>
    <t>вт 02.12.2025 — 12:37:22</t>
  </si>
  <si>
    <t>E33149364_7_20251202T151328Z.jpg</t>
  </si>
  <si>
    <t>2 Пилорама поката\E33149364_7_20251202T151328Z.jpg</t>
  </si>
  <si>
    <t>вт 02.12.2025 — 15:13:28</t>
  </si>
  <si>
    <t>E33149364_7_20251202T153035Z.jpg</t>
  </si>
  <si>
    <t>2 Пилорама поката\E33149364_7_20251202T153035Z.jpg</t>
  </si>
  <si>
    <t>вт 02.12.2025 — 15:30:35</t>
  </si>
  <si>
    <t>E33149364_7_20251202T154951Z.jpg</t>
  </si>
  <si>
    <t>2 Пилорама поката\E33149364_7_20251202T154951Z.jpg</t>
  </si>
  <si>
    <t>вт 02.12.2025 — 15:49:51</t>
  </si>
  <si>
    <t>E33149364_7_20251202T155009Z.jpg</t>
  </si>
  <si>
    <t>2 Пилорама поката\E33149364_7_20251202T155009Z.jpg</t>
  </si>
  <si>
    <t>вт 02.12.2025 — 15:50:09</t>
  </si>
  <si>
    <t>E33149364_7_20251203T090606Z.jpg</t>
  </si>
  <si>
    <t>2 Пилорама поката\E33149364_7_20251203T090606Z.jpg</t>
  </si>
  <si>
    <t>ср 03.12.2025 — 09:06:06</t>
  </si>
  <si>
    <t>E33149364_7_20251203T094126Z.jpg</t>
  </si>
  <si>
    <t>2 Пилорама поката\E33149364_7_20251203T094126Z.jpg</t>
  </si>
  <si>
    <t>ср 03.12.2025 — 09:41:26</t>
  </si>
  <si>
    <t>E33149364_7_20251203T103352Z.jpg</t>
  </si>
  <si>
    <t>2 Пилорама поката\E33149364_7_20251203T103352Z.jpg</t>
  </si>
  <si>
    <t>ср 03.12.2025 — 10:33:52</t>
  </si>
  <si>
    <t>E33149364_7_20251203T122910Z.jpg</t>
  </si>
  <si>
    <t>2 Пилорама поката\E33149364_7_20251203T122910Z.jpg</t>
  </si>
  <si>
    <t>ср 03.12.2025 — 12:29:10</t>
  </si>
  <si>
    <t>E33149364_7_20251203T124101Z.jpg</t>
  </si>
  <si>
    <t>2 Пилорама поката\E33149364_7_20251203T124101Z.jpg</t>
  </si>
  <si>
    <t>ср 03.12.2025 — 12:41:01</t>
  </si>
  <si>
    <t>E33149364_7_20251204T154504Z.jpg</t>
  </si>
  <si>
    <t>2 Пилорама поката\E33149364_7_20251204T154504Z.jpg</t>
  </si>
  <si>
    <t>чт 04.12.2025 — 15:45:04</t>
  </si>
  <si>
    <t>E33149364_7_20251204T155726Z.jpg</t>
  </si>
  <si>
    <t>2 Пилорама поката\E33149364_7_20251204T155726Z.jpg</t>
  </si>
  <si>
    <t>чт 04.12.2025 — 15:57:26</t>
  </si>
  <si>
    <t>E33149364_7_20251205T092114Z.jpg</t>
  </si>
  <si>
    <t>2 Пилорама поката\E33149364_7_20251205T092114Z.jpg</t>
  </si>
  <si>
    <t>пт 05.12.2025 — 09:21:14</t>
  </si>
  <si>
    <t>E33149364_7_20251205T092138Z.jpg</t>
  </si>
  <si>
    <t>2 Пилорама поката\E33149364_7_20251205T092138Z.jpg</t>
  </si>
  <si>
    <t>пт 05.12.2025 — 09:21:38</t>
  </si>
  <si>
    <t>E33149364_7_20251205T122442Z.jpg</t>
  </si>
  <si>
    <t>2 Пилорама поката\E33149364_7_20251205T122442Z.jpg</t>
  </si>
  <si>
    <t>пт 05.12.2025 — 12:24:42</t>
  </si>
  <si>
    <t>E33149364_7_20251205T123351Z.jpg</t>
  </si>
  <si>
    <t>2 Пилорама поката\E33149364_7_20251205T123351Z.jpg</t>
  </si>
  <si>
    <t>пт 05.12.2025 — 12:33:51</t>
  </si>
  <si>
    <t>E33149364_7_20251205T142512Z.jpg</t>
  </si>
  <si>
    <t>2 Пилорама поката\E33149364_7_20251205T142512Z.jpg</t>
  </si>
  <si>
    <t>пт 05.12.2025 — 14:25:12</t>
  </si>
  <si>
    <t>E33149364_7_20251205T143549Z.jpg</t>
  </si>
  <si>
    <t>2 Пилорама поката\E33149364_7_20251205T143549Z.jpg</t>
  </si>
  <si>
    <t>пт 05.12.2025 — 14:35:49</t>
  </si>
  <si>
    <t>E33149364_7_20251205T144527Z.jpg</t>
  </si>
  <si>
    <t>2 Пилорама поката\E33149364_7_20251205T144527Z.jpg</t>
  </si>
  <si>
    <t>пт 05.12.2025 — 14:45:27</t>
  </si>
  <si>
    <t>E33149364_7_20251206T121931Z.jpg</t>
  </si>
  <si>
    <t>2 Пилорама поката\E33149364_7_20251206T121931Z.jpg</t>
  </si>
  <si>
    <t>сб 06.12.2025 — 12:19:31</t>
  </si>
  <si>
    <t>E33149364_6_20251201T204942Z.jpg</t>
  </si>
  <si>
    <t>1 Ангар Склад 2 въезд\E33149364_6_20251201T204942Z.jpg</t>
  </si>
  <si>
    <t>пн 01.12.2025 — 20:49:42</t>
  </si>
  <si>
    <t>E33149364_6_20251201T205709Z.jpg</t>
  </si>
  <si>
    <t>1 Ангар Склад 2 въезд\E33149364_6_20251201T205709Z.jpg</t>
  </si>
  <si>
    <t>пн 01.12.2025 — 20:57:09</t>
  </si>
  <si>
    <t>E33149364_6_20251202T083231Z.jpg</t>
  </si>
  <si>
    <t>1 Ангар Склад 2 въезд\E33149364_6_20251202T083231Z.jpg</t>
  </si>
  <si>
    <t>вт 02.12.2025 — 08:32:31</t>
  </si>
  <si>
    <t>E33149364_6_20251202T083819Z.jpg</t>
  </si>
  <si>
    <t>1 Ангар Склад 2 въезд\E33149364_6_20251202T083819Z.jpg</t>
  </si>
  <si>
    <t>вт 02.12.2025 — 08:38:19</t>
  </si>
  <si>
    <t>E33149364_6_20251202T091243Z.jpg</t>
  </si>
  <si>
    <t>1 Ангар Склад 2 въезд\E33149364_6_20251202T091243Z.jpg</t>
  </si>
  <si>
    <t>вт 02.12.2025 — 09:12:43</t>
  </si>
  <si>
    <t>E33149364_6_20251202T094908Z.jpg</t>
  </si>
  <si>
    <t>1 Ангар Склад 2 въезд\E33149364_6_20251202T094908Z.jpg</t>
  </si>
  <si>
    <t>вт 02.12.2025 — 09:49:08</t>
  </si>
  <si>
    <t>E33149364_6_20251203T162423Z.jpg</t>
  </si>
  <si>
    <t>1 Ангар Склад 2 въезд\E33149364_6_20251203T162423Z.jpg</t>
  </si>
  <si>
    <t>ср 03.12.2025 — 16:24:23</t>
  </si>
  <si>
    <t>E33149364_6_20251204T084335Z.jpg</t>
  </si>
  <si>
    <t>1 Ангар Склад 2 въезд\E33149364_6_20251204T084335Z.jpg</t>
  </si>
  <si>
    <t>чт 04.12.2025 — 08:43:35</t>
  </si>
  <si>
    <t>E33149364_6_20251204T091304Z.jpg</t>
  </si>
  <si>
    <t>1 Ангар Склад 2 въезд\E33149364_6_20251204T091304Z.jpg</t>
  </si>
  <si>
    <t>чт 04.12.2025 — 09:13:04</t>
  </si>
  <si>
    <t>E33149364_6_20251204T124548Z.jpg</t>
  </si>
  <si>
    <t>1 Ангар Склад 2 въезд\E33149364_6_20251204T124548Z.jpg</t>
  </si>
  <si>
    <t>чт 04.12.2025 — 12:45:48</t>
  </si>
  <si>
    <t>E33149364_6_20251204T131751Z.jpg</t>
  </si>
  <si>
    <t>1 Ангар Склад 2 въезд\E33149364_6_20251204T131751Z.jpg</t>
  </si>
  <si>
    <t>чт 04.12.2025 — 13:17:51</t>
  </si>
  <si>
    <t>E33149364_6_20251205T105217Z.jpg</t>
  </si>
  <si>
    <t>1 Ангар Склад 2 въезд\E33149364_6_20251205T105217Z.jpg</t>
  </si>
  <si>
    <t>пт 05.12.2025 — 10:52:17</t>
  </si>
  <si>
    <t>E33149364_6_20251205T135240Z.jpg</t>
  </si>
  <si>
    <t>1 Ангар Склад 2 въезд\E33149364_6_20251205T135240Z.jpg</t>
  </si>
  <si>
    <t>пт 05.12.2025 — 13:52:40</t>
  </si>
  <si>
    <t>E33149364_6_20251205T135439Z.jpg</t>
  </si>
  <si>
    <t>1 Ангар Склад 2 въезд\E33149364_6_20251205T135439Z.jpg</t>
  </si>
  <si>
    <t>пт 05.12.2025 — 13:54:39</t>
  </si>
  <si>
    <t>E33149364_6_20251205T143340Z.jpg</t>
  </si>
  <si>
    <t>1 Ангар Склад 2 въезд\E33149364_6_20251205T143340Z.jpg</t>
  </si>
  <si>
    <t>пт 05.12.2025 — 14:33:40</t>
  </si>
  <si>
    <t>E33149364_6_20251206T160009Z.jpg</t>
  </si>
  <si>
    <t>1 Ангар Склад 2 въезд\E33149364_6_20251206T160009Z.jpg</t>
  </si>
  <si>
    <t>сб 06.12.2025 — 16:00:09</t>
  </si>
  <si>
    <t>K07156189_21_20251201T205235Z.jpg</t>
  </si>
  <si>
    <t>4 Крыльцо офиса\K07156189_21_20251201T205235Z.jpg</t>
  </si>
  <si>
    <t>пн 01.12.2025 — 20:52:35</t>
  </si>
  <si>
    <t>K07156189_21_20251201T205254Z.jpg</t>
  </si>
  <si>
    <t>4 Крыльцо офиса\K07156189_21_20251201T205254Z.jpg</t>
  </si>
  <si>
    <t>пн 01.12.2025 — 20:52:54</t>
  </si>
  <si>
    <t>K07156189_21_20251201T205653Z.jpg</t>
  </si>
  <si>
    <t>4 Крыльцо офиса\K07156189_21_20251201T205653Z.jpg</t>
  </si>
  <si>
    <t>пн 01.12.2025 — 20:56:53</t>
  </si>
  <si>
    <t>K07156189_21_20251202T083647Z.jpg</t>
  </si>
  <si>
    <t>4 Крыльцо офиса\K07156189_21_20251202T083647Z.jpg</t>
  </si>
  <si>
    <t>вт 02.12.2025 — 08:36:47</t>
  </si>
  <si>
    <t>K07156189_21_20251202T092330Z.jpg</t>
  </si>
  <si>
    <t>4 Крыльцо офиса\K07156189_21_20251202T092330Z.jpg</t>
  </si>
  <si>
    <t>вт 02.12.2025 — 09:23:30</t>
  </si>
  <si>
    <t>K07156189_21_20251203T171705Z.jpg</t>
  </si>
  <si>
    <t>4 Крыльцо офиса\K07156189_21_20251203T171705Z.jpg</t>
  </si>
  <si>
    <t>ср 03.12.2025 — 17:17:05</t>
  </si>
  <si>
    <t>K07156189_21_20251204T090742Z.jpg</t>
  </si>
  <si>
    <t>4 Крыльцо офиса\K07156189_21_20251204T090742Z.jpg</t>
  </si>
  <si>
    <t>чт 04.12.2025 — 09:07:42</t>
  </si>
  <si>
    <t>K07156189_21_20251204T090752Z.jpg</t>
  </si>
  <si>
    <t>4 Крыльцо офиса\K07156189_21_20251204T090752Z.jpg</t>
  </si>
  <si>
    <t>чт 04.12.2025 — 09:07:52</t>
  </si>
  <si>
    <t>K07156189_21_20251204T090806Z.jpg</t>
  </si>
  <si>
    <t>4 Крыльцо офиса\K07156189_21_20251204T090806Z.jpg</t>
  </si>
  <si>
    <t>чт 04.12.2025 — 09:08:06</t>
  </si>
  <si>
    <t>K07156189_21_20251204T091131Z.jpg</t>
  </si>
  <si>
    <t>4 Крыльцо офиса\K07156189_21_20251204T091131Z.jpg</t>
  </si>
  <si>
    <t>чт 04.12.2025 — 09:11:31</t>
  </si>
  <si>
    <t>K07156189_21_20251204T091138Z.jpg</t>
  </si>
  <si>
    <t>4 Крыльцо офиса\K07156189_21_20251204T091138Z.jpg</t>
  </si>
  <si>
    <t>чт 04.12.2025 — 09:11:38</t>
  </si>
  <si>
    <t>K07156189_21_20251205T171635Z.jpg</t>
  </si>
  <si>
    <t>4 Крыльцо офиса\K07156189_21_20251205T171635Z.jpg</t>
  </si>
  <si>
    <t>пт 05.12.2025 — 17:16:35</t>
  </si>
  <si>
    <t>K07156189_21_20251206T155623Z.jpg</t>
  </si>
  <si>
    <t>4 Крыльцо офиса\K07156189_21_20251206T155623Z.jpg</t>
  </si>
  <si>
    <t>сб 06.12.2025 — 15:56:23</t>
  </si>
  <si>
    <t>K07156189_22_20251201T171327Z.jpg</t>
  </si>
  <si>
    <t>5 Крыльцо общага\K07156189_22_20251201T171327Z.jpg</t>
  </si>
  <si>
    <t>пн 01.12.2025 — 17:13:27</t>
  </si>
  <si>
    <t>K07156189_22_20251202T094630Z.jpg</t>
  </si>
  <si>
    <t>5 Крыльцо общага\K07156189_22_20251202T094630Z.jpg</t>
  </si>
  <si>
    <t>вт 02.12.2025 — 09:46:30</t>
  </si>
  <si>
    <t>K07156189_22_20251202T165509Z.jpg</t>
  </si>
  <si>
    <t>5 Крыльцо общага\K07156189_22_20251202T165509Z.jpg</t>
  </si>
  <si>
    <t>вт 02.12.2025 — 16:55:09</t>
  </si>
  <si>
    <t>K07156189_22_20251203T090222Z.jpg</t>
  </si>
  <si>
    <t>5 Крыльцо общага\K07156189_22_20251203T090222Z.jpg</t>
  </si>
  <si>
    <t>ср 03.12.2025 — 09:02:22</t>
  </si>
  <si>
    <t>K07156189_22_20251203T092932Z.jpg</t>
  </si>
  <si>
    <t>5 Крыльцо общага\K07156189_22_20251203T092932Z.jpg</t>
  </si>
  <si>
    <t>ср 03.12.2025 — 09:29:32</t>
  </si>
  <si>
    <t>K07156189_22_20251203T093943Z.jpg</t>
  </si>
  <si>
    <t>5 Крыльцо общага\K07156189_22_20251203T093943Z.jpg</t>
  </si>
  <si>
    <t>ср 03.12.2025 — 09:39:43</t>
  </si>
  <si>
    <t>K07156189_22_20251203T113252Z.jpg</t>
  </si>
  <si>
    <t>5 Крыльцо общага\K07156189_22_20251203T113252Z.jpg</t>
  </si>
  <si>
    <t>ср 03.12.2025 — 11:32:52</t>
  </si>
  <si>
    <t>K07156189_22_20251203T120234Z.jpg</t>
  </si>
  <si>
    <t>5 Крыльцо общага\K07156189_22_20251203T120234Z.jpg</t>
  </si>
  <si>
    <t>ср 03.12.2025 — 12:02:34</t>
  </si>
  <si>
    <t>K07156189_22_20251203T121522Z.jpg</t>
  </si>
  <si>
    <t>5 Крыльцо общага\K07156189_22_20251203T121522Z.jpg</t>
  </si>
  <si>
    <t>ср 03.12.2025 — 12:15:22</t>
  </si>
  <si>
    <t>K07156189_22_20251203T125630Z.jpg</t>
  </si>
  <si>
    <t>5 Крыльцо общага\K07156189_22_20251203T125630Z.jpg</t>
  </si>
  <si>
    <t>ср 03.12.2025 — 12:56:30</t>
  </si>
  <si>
    <t>K07156189_22_20251203T171220Z.jpg</t>
  </si>
  <si>
    <t>5 Крыльцо общага\K07156189_22_20251203T171220Z.jpg</t>
  </si>
  <si>
    <t>ср 03.12.2025 — 17:12:20</t>
  </si>
  <si>
    <t>K07156189_22_20251204T130031Z.jpg</t>
  </si>
  <si>
    <t>5 Крыльцо общага\K07156189_22_20251204T130031Z.jpg</t>
  </si>
  <si>
    <t>чт 04.12.2025 — 13:00:31</t>
  </si>
  <si>
    <t>K07156189_22_20251204T130128Z.jpg</t>
  </si>
  <si>
    <t>5 Крыльцо общага\K07156189_22_20251204T130128Z.jpg</t>
  </si>
  <si>
    <t>чт 04.12.2025 — 13:01:28</t>
  </si>
  <si>
    <t>K07156189_22_20251204T130306Z.jpg</t>
  </si>
  <si>
    <t>5 Крыльцо общага\K07156189_22_20251204T130306Z.jpg</t>
  </si>
  <si>
    <t>чт 04.12.2025 — 13:03:06</t>
  </si>
  <si>
    <t>K07156189_22_20251204T130337Z.jpg</t>
  </si>
  <si>
    <t>5 Крыльцо общага\K07156189_22_20251204T130337Z.jpg</t>
  </si>
  <si>
    <t>чт 04.12.2025 — 13:03:37</t>
  </si>
  <si>
    <t>K07156189_22_20251204T131629Z.jpg</t>
  </si>
  <si>
    <t>5 Крыльцо общага\K07156189_22_20251204T131629Z.jpg</t>
  </si>
  <si>
    <t>чт 04.12.2025 — 13:16:29</t>
  </si>
  <si>
    <t>K07156189_22_20251204T131721Z.jpg</t>
  </si>
  <si>
    <t>5 Крыльцо общага\K07156189_22_20251204T131721Z.jpg</t>
  </si>
  <si>
    <t>чт 04.12.2025 — 13:17:21</t>
  </si>
  <si>
    <t>K07156189_22_20251204T172217Z.jpg</t>
  </si>
  <si>
    <t>5 Крыльцо общага\K07156189_22_20251204T172217Z.jpg</t>
  </si>
  <si>
    <t>чт 04.12.2025 — 17:22:17</t>
  </si>
  <si>
    <t>K07156189_22_20251205T140021Z.jpg</t>
  </si>
  <si>
    <t>5 Крыльцо общага\K07156189_22_20251205T140021Z.jpg</t>
  </si>
  <si>
    <t>пт 05.12.2025 — 14:00:21</t>
  </si>
  <si>
    <t>K07156189_22_20251205T140734Z.jpg</t>
  </si>
  <si>
    <t>5 Крыльцо общага\K07156189_22_20251205T140734Z.jpg</t>
  </si>
  <si>
    <t>пт 05.12.2025 — 14:07:34</t>
  </si>
  <si>
    <t>K07156189_22_20251205T141749Z.jpg</t>
  </si>
  <si>
    <t>5 Крыльцо общага\K07156189_22_20251205T141749Z.jpg</t>
  </si>
  <si>
    <t>пт 05.12.2025 — 14:17:49</t>
  </si>
  <si>
    <t>K07156189_22_20251205T160535Z.jpg</t>
  </si>
  <si>
    <t>5 Крыльцо общага\K07156189_22_20251205T160535Z.jpg</t>
  </si>
  <si>
    <t>пт 05.12.2025 — 16:05:35</t>
  </si>
  <si>
    <t>K07156189_22_20251206T164429Z.jpg</t>
  </si>
  <si>
    <t>5 Крыльцо общага\K07156189_22_20251206T164429Z.jpg</t>
  </si>
  <si>
    <t>сб 06.12.2025 — 16:44:29</t>
  </si>
  <si>
    <t>E33149364_8_20251201T103424Z.jpg</t>
  </si>
  <si>
    <t>пн 01.12.2025 — 10:34:24</t>
  </si>
  <si>
    <t>E33149364_8_20251201T205154Z.jpg</t>
  </si>
  <si>
    <t>пн 01.12.2025 — 20:51:54</t>
  </si>
  <si>
    <t>E33149364_8_20251202T141514Z.jpg</t>
  </si>
  <si>
    <t>вт 02.12.2025 — 14:15:14</t>
  </si>
  <si>
    <t>E33149364_8_20251203T150957Z.jpg</t>
  </si>
  <si>
    <t>ср 03.12.2025 — 15:09:57</t>
  </si>
  <si>
    <t>E33149364_8_20251205T142318Z.jpg</t>
  </si>
  <si>
    <t>пт 05.12.2025 — 14:23:18</t>
  </si>
  <si>
    <t>E33149364_8_20251206T154538Z.jpg</t>
  </si>
  <si>
    <t>сб 06.12.2025 — 15:45:38</t>
  </si>
  <si>
    <t>826398429_1_20251202T150317Z.jpg</t>
  </si>
  <si>
    <t>6 Площадка 1 общага\826398429_1_20251202T150317Z.jpg</t>
  </si>
  <si>
    <t>вт 02.12.2025 — 15:03:17</t>
  </si>
  <si>
    <t>826398429_1_20251203T095843Z.jpg</t>
  </si>
  <si>
    <t>6 Площадка 1 общага\826398429_1_20251203T095843Z.jpg</t>
  </si>
  <si>
    <t>ср 03.12.2025 — 09:58:43</t>
  </si>
  <si>
    <t>826398429_1_20251203T100054Z.jpg</t>
  </si>
  <si>
    <t>6 Площадка 1 общага\826398429_1_20251203T100054Z.jpg</t>
  </si>
  <si>
    <t>ср 03.12.2025 — 10:00:54</t>
  </si>
  <si>
    <t>826398429_1_20251203T145355Z.jpg</t>
  </si>
  <si>
    <t>6 Площадка 1 общага\826398429_1_20251203T145355Z.jpg</t>
  </si>
  <si>
    <t>ср 03.12.2025 — 14:53:55</t>
  </si>
  <si>
    <t>826398429_1_20251203T163118Z.jpg</t>
  </si>
  <si>
    <t>6 Площадка 1 общага\826398429_1_20251203T163118Z.jpg</t>
  </si>
  <si>
    <t>ср 03.12.2025 — 16:31:18</t>
  </si>
  <si>
    <t>826398429_1_20251204T090614Z.jpg</t>
  </si>
  <si>
    <t>6 Площадка 1 общага\826398429_1_20251204T090614Z.jpg</t>
  </si>
  <si>
    <t>чт 04.12.2025 — 09:06:14</t>
  </si>
  <si>
    <t>826398429_1_20251205T121656Z.jpg</t>
  </si>
  <si>
    <t>6 Площадка 1 общага\826398429_1_20251205T121656Z.jpg</t>
  </si>
  <si>
    <t>пт 05.12.2025 — 12:16:56</t>
  </si>
  <si>
    <t>826398429_1_20251206T154942Z.jpg</t>
  </si>
  <si>
    <t>6 Площадка 1 общага\826398429_1_20251206T154942Z.jpg</t>
  </si>
  <si>
    <t>сб 06.12.2025 — 15:49:42</t>
  </si>
  <si>
    <t>E33149364_2_20251201T120201Z.jpg</t>
  </si>
  <si>
    <t>8 Рейсмус\E33149364_2_20251201T120201Z.jpg</t>
  </si>
  <si>
    <t>пн 01.12.2025 — 12:02:01</t>
  </si>
  <si>
    <t>E33149364_2_20251201T155734Z.jpg</t>
  </si>
  <si>
    <t>8 Рейсмус\E33149364_2_20251201T155734Z.jpg</t>
  </si>
  <si>
    <t>пн 01.12.2025 — 15:57:34</t>
  </si>
  <si>
    <t>E33149364_2_20251201T192545Z.jpg</t>
  </si>
  <si>
    <t>8 Рейсмус\E33149364_2_20251201T192545Z.jpg</t>
  </si>
  <si>
    <t>пн 01.12.2025 — 19:25:45</t>
  </si>
  <si>
    <t>E33149364_2_20251202T115543Z.jpg</t>
  </si>
  <si>
    <t>8 Рейсмус\E33149364_2_20251202T115543Z.jpg</t>
  </si>
  <si>
    <t>вт 02.12.2025 — 11:55:43</t>
  </si>
  <si>
    <t>E33149364_2_20251203T150057Z.jpg</t>
  </si>
  <si>
    <t>8 Рейсмус\E33149364_2_20251203T150057Z.jpg</t>
  </si>
  <si>
    <t>ср 03.12.2025 — 15:00:57</t>
  </si>
  <si>
    <t>E33149364_2_20251204T222631Z.jpg</t>
  </si>
  <si>
    <t>8 Рейсмус\E33149364_2_20251204T222631Z.jpg</t>
  </si>
  <si>
    <t>чт 04.12.2025 — 22:26:31</t>
  </si>
  <si>
    <t>E33149364_2_20251204T223521Z.jpg</t>
  </si>
  <si>
    <t>8 Рейсмус\E33149364_2_20251204T223521Z.jpg</t>
  </si>
  <si>
    <t>чт 04.12.2025 — 22:35:21</t>
  </si>
  <si>
    <t>E33149364_2_20251205T091227Z.jpg</t>
  </si>
  <si>
    <t>8 Рейсмус\E33149364_2_20251205T091227Z.jpg</t>
  </si>
  <si>
    <t>пт 05.12.2025 — 09:12:27</t>
  </si>
  <si>
    <t>E33149364_2_20251206T104959Z.jpg</t>
  </si>
  <si>
    <t>8 Рейсмус\E33149364_2_20251206T104959Z.jpg</t>
  </si>
  <si>
    <t>сб 06.12.2025 — 10:49:59</t>
  </si>
  <si>
    <t>E33149364_1_20251201T102614Z.jpg</t>
  </si>
  <si>
    <t>9 Ангар пилорама\E33149364_1_20251201T102614Z.jpg</t>
  </si>
  <si>
    <t>пн 01.12.2025 — 10:26:14</t>
  </si>
  <si>
    <t>E33149364_1_20251201T123011Z.jpg</t>
  </si>
  <si>
    <t>9 Ангар пилорама\E33149364_1_20251201T123011Z.jpg</t>
  </si>
  <si>
    <t>пн 01.12.2025 — 12:30:11</t>
  </si>
  <si>
    <t>E33149364_1_20251201T144828Z.jpg</t>
  </si>
  <si>
    <t>9 Ангар пилорама\E33149364_1_20251201T144828Z.jpg</t>
  </si>
  <si>
    <t>пн 01.12.2025 — 14:48:28</t>
  </si>
  <si>
    <t>E33149364_1_20251201T150456Z.jpg</t>
  </si>
  <si>
    <t>9 Ангар пилорама\E33149364_1_20251201T150456Z.jpg</t>
  </si>
  <si>
    <t>пн 01.12.2025 — 15:04:56</t>
  </si>
  <si>
    <t>E33149364_1_20251201T152000Z.jpg</t>
  </si>
  <si>
    <t>9 Ангар пилорама\E33149364_1_20251201T152000Z.jpg</t>
  </si>
  <si>
    <t>пн 01.12.2025 — 15:20:00</t>
  </si>
  <si>
    <t>E33149364_1_20251201T152453Z.jpg</t>
  </si>
  <si>
    <t>9 Ангар пилорама\E33149364_1_20251201T152453Z.jpg</t>
  </si>
  <si>
    <t>пн 01.12.2025 — 15:24:53</t>
  </si>
  <si>
    <t>E33149364_1_20251201T153343Z.jpg</t>
  </si>
  <si>
    <t>9 Ангар пилорама\E33149364_1_20251201T153343Z.jpg</t>
  </si>
  <si>
    <t>пн 01.12.2025 — 15:33:43</t>
  </si>
  <si>
    <t>E33149364_1_20251201T154013Z.jpg</t>
  </si>
  <si>
    <t>9 Ангар пилорама\E33149364_1_20251201T154013Z.jpg</t>
  </si>
  <si>
    <t>пн 01.12.2025 — 15:40:13</t>
  </si>
  <si>
    <t>E33149364_1_20251201T155008Z.jpg</t>
  </si>
  <si>
    <t>9 Ангар пилорама\E33149364_1_20251201T155008Z.jpg</t>
  </si>
  <si>
    <t>пн 01.12.2025 — 15:50:08</t>
  </si>
  <si>
    <t>E33149364_1_20251201T163104Z.jpg</t>
  </si>
  <si>
    <t>9 Ангар пилорама\E33149364_1_20251201T163104Z.jpg</t>
  </si>
  <si>
    <t>пн 01.12.2025 — 16:31:04</t>
  </si>
  <si>
    <t>E33149364_1_20251201T192700Z.jpg</t>
  </si>
  <si>
    <t>9 Ангар пилорама\E33149364_1_20251201T192700Z.jpg</t>
  </si>
  <si>
    <t>пн 01.12.2025 — 19:27:00</t>
  </si>
  <si>
    <t>E33149364_1_20251201T210105Z.jpg</t>
  </si>
  <si>
    <t>9 Ангар пилорама\E33149364_1_20251201T210105Z.jpg</t>
  </si>
  <si>
    <t>пн 01.12.2025 — 21:01:05</t>
  </si>
  <si>
    <t>E33149364_1_20251201T222449Z.jpg</t>
  </si>
  <si>
    <t>9 Ангар пилорама\E33149364_1_20251201T222449Z.jpg</t>
  </si>
  <si>
    <t>пн 01.12.2025 — 22:24:49</t>
  </si>
  <si>
    <t>E33149364_1_20251202T004013Z.jpg</t>
  </si>
  <si>
    <t>9 Ангар пилорама\E33149364_1_20251202T004013Z.jpg</t>
  </si>
  <si>
    <t>вт 02.12.2025 — 00:40:13</t>
  </si>
  <si>
    <t>E33149364_1_20251202T065824Z.jpg</t>
  </si>
  <si>
    <t>9 Ангар пилорама\E33149364_1_20251202T065824Z.jpg</t>
  </si>
  <si>
    <t>вт 02.12.2025 — 06:58:24</t>
  </si>
  <si>
    <t>E33149364_1_20251202T083511Z.jpg</t>
  </si>
  <si>
    <t>9 Ангар пилорама\E33149364_1_20251202T083511Z.jpg</t>
  </si>
  <si>
    <t>вт 02.12.2025 — 08:35:11</t>
  </si>
  <si>
    <t>E33149364_1_20251202T085757Z.jpg</t>
  </si>
  <si>
    <t>9 Ангар пилорама\E33149364_1_20251202T085757Z.jpg</t>
  </si>
  <si>
    <t>вт 02.12.2025 — 08:57:57</t>
  </si>
  <si>
    <t>E33149364_1_20251202T094602Z.jpg</t>
  </si>
  <si>
    <t>9 Ангар пилорама\E33149364_1_20251202T094602Z.jpg</t>
  </si>
  <si>
    <t>вт 02.12.2025 — 09:46:02</t>
  </si>
  <si>
    <t>E33149364_1_20251202T105536Z.jpg</t>
  </si>
  <si>
    <t>9 Ангар пилорама\E33149364_1_20251202T105536Z.jpg</t>
  </si>
  <si>
    <t>вт 02.12.2025 — 10:55:36</t>
  </si>
  <si>
    <t>E33149364_1_20251202T114654Z.jpg</t>
  </si>
  <si>
    <t>9 Ангар пилорама\E33149364_1_20251202T114654Z.jpg</t>
  </si>
  <si>
    <t>вт 02.12.2025 — 11:46:54</t>
  </si>
  <si>
    <t>E33149364_1_20251202T124028Z.jpg</t>
  </si>
  <si>
    <t>9 Ангар пилорама\E33149364_1_20251202T124028Z.jpg</t>
  </si>
  <si>
    <t>вт 02.12.2025 — 12:40:28</t>
  </si>
  <si>
    <t>E33149364_1_20251202T151031Z.jpg</t>
  </si>
  <si>
    <t>9 Ангар пилорама\E33149364_1_20251202T151031Z.jpg</t>
  </si>
  <si>
    <t>вт 02.12.2025 — 15:10:31</t>
  </si>
  <si>
    <t>E33149364_1_20251202T154302Z.jpg</t>
  </si>
  <si>
    <t>9 Ангар пилорама\E33149364_1_20251202T154302Z.jpg</t>
  </si>
  <si>
    <t>вт 02.12.2025 — 15:43:02</t>
  </si>
  <si>
    <t>E33149364_1_20251202T162003Z.jpg</t>
  </si>
  <si>
    <t>9 Ангар пилорама\E33149364_1_20251202T162003Z.jpg</t>
  </si>
  <si>
    <t>вт 02.12.2025 — 16:20:03</t>
  </si>
  <si>
    <t>E33149364_1_20251202T204902Z.jpg</t>
  </si>
  <si>
    <t>9 Ангар пилорама\E33149364_1_20251202T204902Z.jpg</t>
  </si>
  <si>
    <t>вт 02.12.2025 — 20:49:02</t>
  </si>
  <si>
    <t>E33149364_1_20251202T213307Z.jpg</t>
  </si>
  <si>
    <t>9 Ангар пилорама\E33149364_1_20251202T213307Z.jpg</t>
  </si>
  <si>
    <t>вт 02.12.2025 — 21:33:07</t>
  </si>
  <si>
    <t>E33149364_1_20251202T222100Z.jpg</t>
  </si>
  <si>
    <t>9 Ангар пилорама\E33149364_1_20251202T222100Z.jpg</t>
  </si>
  <si>
    <t>вт 02.12.2025 — 22:21:00</t>
  </si>
  <si>
    <t>E33149364_1_20251202T224802Z.jpg</t>
  </si>
  <si>
    <t>9 Ангар пилорама\E33149364_1_20251202T224802Z.jpg</t>
  </si>
  <si>
    <t>вт 02.12.2025 — 22:48:02</t>
  </si>
  <si>
    <t>E33149364_1_20251203T055119Z.jpg</t>
  </si>
  <si>
    <t>9 Ангар пилорама\E33149364_1_20251203T055119Z.jpg</t>
  </si>
  <si>
    <t>ср 03.12.2025 — 05:51:19</t>
  </si>
  <si>
    <t>E33149364_1_20251203T071212Z.jpg</t>
  </si>
  <si>
    <t>9 Ангар пилорама\E33149364_1_20251203T071212Z.jpg</t>
  </si>
  <si>
    <t>ср 03.12.2025 — 07:12:12</t>
  </si>
  <si>
    <t>E33149364_1_20251203T091323Z.jpg</t>
  </si>
  <si>
    <t>9 Ангар пилорама\E33149364_1_20251203T091323Z.jpg</t>
  </si>
  <si>
    <t>ср 03.12.2025 — 09:13:23</t>
  </si>
  <si>
    <t>E33149364_1_20251203T113501Z.jpg</t>
  </si>
  <si>
    <t>9 Ангар пилорама\E33149364_1_20251203T113501Z.jpg</t>
  </si>
  <si>
    <t>ср 03.12.2025 — 11:35:01</t>
  </si>
  <si>
    <t>E33149364_1_20251203T142251Z.jpg</t>
  </si>
  <si>
    <t>9 Ангар пилорама\E33149364_1_20251203T142251Z.jpg</t>
  </si>
  <si>
    <t>ср 03.12.2025 — 14:22:51</t>
  </si>
  <si>
    <t>E33149364_1_20251203T155301Z.jpg</t>
  </si>
  <si>
    <t>9 Ангар пилорама\E33149364_1_20251203T155301Z.jpg</t>
  </si>
  <si>
    <t>ср 03.12.2025 — 15:53:01</t>
  </si>
  <si>
    <t>E33149364_1_20251203T155350Z.jpg</t>
  </si>
  <si>
    <t>9 Ангар пилорама\E33149364_1_20251203T155350Z.jpg</t>
  </si>
  <si>
    <t>ср 03.12.2025 — 15:53:50</t>
  </si>
  <si>
    <t>E33149364_1_20251203T193423Z.jpg</t>
  </si>
  <si>
    <t>9 Ангар пилорама\E33149364_1_20251203T193423Z.jpg</t>
  </si>
  <si>
    <t>ср 03.12.2025 — 19:34:23</t>
  </si>
  <si>
    <t>E33149364_1_20251203T202119Z.jpg</t>
  </si>
  <si>
    <t>9 Ангар пилорама\E33149364_1_20251203T202119Z.jpg</t>
  </si>
  <si>
    <t>ср 03.12.2025 — 20:21:19</t>
  </si>
  <si>
    <t>E33149364_1_20251203T204533Z.jpg</t>
  </si>
  <si>
    <t>9 Ангар пилорама\E33149364_1_20251203T204533Z.jpg</t>
  </si>
  <si>
    <t>ср 03.12.2025 — 20:45:33</t>
  </si>
  <si>
    <t>E33149364_1_20251203T213553Z.jpg</t>
  </si>
  <si>
    <t>9 Ангар пилорама\E33149364_1_20251203T213553Z.jpg</t>
  </si>
  <si>
    <t>ср 03.12.2025 — 21:35:53</t>
  </si>
  <si>
    <t>E33149364_1_20251203T231620Z.jpg</t>
  </si>
  <si>
    <t>9 Ангар пилорама\E33149364_1_20251203T231620Z.jpg</t>
  </si>
  <si>
    <t>ср 03.12.2025 — 23:16:20</t>
  </si>
  <si>
    <t>E33149364_1_20251204T061339Z.jpg</t>
  </si>
  <si>
    <t>9 Ангар пилорама\E33149364_1_20251204T061339Z.jpg</t>
  </si>
  <si>
    <t>чт 04.12.2025 — 06:13:39</t>
  </si>
  <si>
    <t>E33149364_1_20251204T095045Z.jpg</t>
  </si>
  <si>
    <t>9 Ангар пилорама\E33149364_1_20251204T095045Z.jpg</t>
  </si>
  <si>
    <t>чт 04.12.2025 — 09:50:45</t>
  </si>
  <si>
    <t>E33149364_1_20251204T122526Z.jpg</t>
  </si>
  <si>
    <t>9 Ангар пилорама\E33149364_1_20251204T122526Z.jpg</t>
  </si>
  <si>
    <t>чт 04.12.2025 — 12:25:26</t>
  </si>
  <si>
    <t>E33149364_1_20251204T154237Z.jpg</t>
  </si>
  <si>
    <t>9 Ангар пилорама\E33149364_1_20251204T154237Z.jpg</t>
  </si>
  <si>
    <t>чт 04.12.2025 — 15:42:37</t>
  </si>
  <si>
    <t>E33149364_1_20251204T155918Z.jpg</t>
  </si>
  <si>
    <t>9 Ангар пилорама\E33149364_1_20251204T155918Z.jpg</t>
  </si>
  <si>
    <t>чт 04.12.2025 — 15:59:18</t>
  </si>
  <si>
    <t>E33149364_1_20251204T162018Z.jpg</t>
  </si>
  <si>
    <t>9 Ангар пилорама\E33149364_1_20251204T162018Z.jpg</t>
  </si>
  <si>
    <t>чт 04.12.2025 — 16:20:18</t>
  </si>
  <si>
    <t>E33149364_1_20251204T162423Z.jpg</t>
  </si>
  <si>
    <t>9 Ангар пилорама\E33149364_1_20251204T162423Z.jpg</t>
  </si>
  <si>
    <t>чт 04.12.2025 — 16:24:23</t>
  </si>
  <si>
    <t>E33149364_1_20251204T213654Z.jpg</t>
  </si>
  <si>
    <t>9 Ангар пилорама\E33149364_1_20251204T213654Z.jpg</t>
  </si>
  <si>
    <t>чт 04.12.2025 — 21:36:54</t>
  </si>
  <si>
    <t>E33149364_1_20251204T220620Z.jpg</t>
  </si>
  <si>
    <t>9 Ангар пилорама\E33149364_1_20251204T220620Z.jpg</t>
  </si>
  <si>
    <t>чт 04.12.2025 — 22:06:20</t>
  </si>
  <si>
    <t>E33149364_1_20251205T065650Z.jpg</t>
  </si>
  <si>
    <t>9 Ангар пилорама\E33149364_1_20251205T065650Z.jpg</t>
  </si>
  <si>
    <t>пт 05.12.2025 — 06:56:50</t>
  </si>
  <si>
    <t>E33149364_1_20251205T071056Z.jpg</t>
  </si>
  <si>
    <t>9 Ангар пилорама\E33149364_1_20251205T071056Z.jpg</t>
  </si>
  <si>
    <t>пт 05.12.2025 — 07:10:56</t>
  </si>
  <si>
    <t>E33149364_1_20251205T074750Z.jpg</t>
  </si>
  <si>
    <t>9 Ангар пилорама\E33149364_1_20251205T074750Z.jpg</t>
  </si>
  <si>
    <t>пт 05.12.2025 — 07:47:50</t>
  </si>
  <si>
    <t>E33149364_1_20251205T092540Z.jpg</t>
  </si>
  <si>
    <t>9 Ангар пилорама\E33149364_1_20251205T092540Z.jpg</t>
  </si>
  <si>
    <t>пт 05.12.2025 — 09:25:40</t>
  </si>
  <si>
    <t>E33149364_1_20251205T093403Z.jpg</t>
  </si>
  <si>
    <t>9 Ангар пилорама\E33149364_1_20251205T093403Z.jpg</t>
  </si>
  <si>
    <t>пт 05.12.2025 — 09:34:03</t>
  </si>
  <si>
    <t>E33149364_1_20251205T112443Z.jpg</t>
  </si>
  <si>
    <t>9 Ангар пилорама\E33149364_1_20251205T112443Z.jpg</t>
  </si>
  <si>
    <t>пт 05.12.2025 — 11:24:43</t>
  </si>
  <si>
    <t>E33149364_1_20251205T145342Z.jpg</t>
  </si>
  <si>
    <t>9 Ангар пилорама\E33149364_1_20251205T145342Z.jpg</t>
  </si>
  <si>
    <t>пт 05.12.2025 — 14:53:42</t>
  </si>
  <si>
    <t>E33149364_1_20251205T205523Z.jpg</t>
  </si>
  <si>
    <t>9 Ангар пилорама\E33149364_1_20251205T205523Z.jpg</t>
  </si>
  <si>
    <t>пт 05.12.2025 — 20:55:23</t>
  </si>
  <si>
    <t>E33149364_1_20251205T213013Z.jpg</t>
  </si>
  <si>
    <t>9 Ангар пилорама\E33149364_1_20251205T213013Z.jpg</t>
  </si>
  <si>
    <t>пт 05.12.2025 — 21:30:13</t>
  </si>
  <si>
    <t>E33149364_1_20251205T235935Z.jpg</t>
  </si>
  <si>
    <t>9 Ангар пилорама\E33149364_1_20251205T235935Z.jpg</t>
  </si>
  <si>
    <t>пт 05.12.2025 — 23:59:35</t>
  </si>
  <si>
    <t>E33149364_1_20251206T110204Z.jpg</t>
  </si>
  <si>
    <t>9 Ангар пилорама\E33149364_1_20251206T110204Z.jpg</t>
  </si>
  <si>
    <t>сб 06.12.2025 — 11:02:04</t>
  </si>
  <si>
    <t>E33149364_1_20251206T152150Z.jpg</t>
  </si>
  <si>
    <t>9 Ангар пилорама\E33149364_1_20251206T152150Z.jpg</t>
  </si>
  <si>
    <t>сб 06.12.2025 — 15:21:50</t>
  </si>
  <si>
    <t>E33149364_1_20251206T160729Z.jpg</t>
  </si>
  <si>
    <t>9 Ангар пилорама\E33149364_1_20251206T160729Z.jpg</t>
  </si>
  <si>
    <t>сб 06.12.2025 — 16:07:29</t>
  </si>
  <si>
    <t>E33149364_1_20251206T164620Z.jpg</t>
  </si>
  <si>
    <t>9 Ангар пилорама\E33149364_1_20251206T164620Z.jpg</t>
  </si>
  <si>
    <t>сб 06.12.2025 — 16:46:20</t>
  </si>
  <si>
    <t>E33149364_1_20251206T171805Z.jpg</t>
  </si>
  <si>
    <t>9 Ангар пилорама\E33149364_1_20251206T171805Z.jpg</t>
  </si>
  <si>
    <t>сб 06.12.2025 — 17:18:05</t>
  </si>
  <si>
    <t>E33149364_1_20251206T190313Z.jpg</t>
  </si>
  <si>
    <t>9 Ангар пилорама\E33149364_1_20251206T190313Z.jpg</t>
  </si>
  <si>
    <t>сб 06.12.2025 — 19:03:13</t>
  </si>
  <si>
    <t>E33149364_1_20251206T193242Z.jpg</t>
  </si>
  <si>
    <t>9 Ангар пилорама\E33149364_1_20251206T193242Z.jpg</t>
  </si>
  <si>
    <t>сб 06.12.2025 — 19:32:42</t>
  </si>
  <si>
    <t>E33149364_1_20251206T203510Z.jpg</t>
  </si>
  <si>
    <t>9 Ангар пилорама\E33149364_1_20251206T203510Z.jpg</t>
  </si>
  <si>
    <t>сб 06.12.2025 — 20:35:10</t>
  </si>
  <si>
    <t>E33149364_1_20251206T210254Z.jpg</t>
  </si>
  <si>
    <t>9 Ангар пилорама\E33149364_1_20251206T210254Z.jpg</t>
  </si>
  <si>
    <t>сб 06.12.2025 — 21:02:54</t>
  </si>
  <si>
    <t>E33149364_3_20251201T150307Z.jpg</t>
  </si>
  <si>
    <t>10 Сушилка навес\E33149364_3_20251201T150307Z.jpg</t>
  </si>
  <si>
    <t>пн 01.12.2025 — 15:03:07</t>
  </si>
  <si>
    <t>E33149364_3_20251201T152144Z.jpg</t>
  </si>
  <si>
    <t>10 Сушилка навес\E33149364_3_20251201T152144Z.jpg</t>
  </si>
  <si>
    <t>пн 01.12.2025 — 15:21:44</t>
  </si>
  <si>
    <t>E33149364_3_20251202T093730Z.jpg</t>
  </si>
  <si>
    <t>10 Сушилка навес\E33149364_3_20251202T093730Z.jpg</t>
  </si>
  <si>
    <t>вт 02.12.2025 — 09:37:30</t>
  </si>
  <si>
    <t>E33149364_3_20251202T103857Z.jpg</t>
  </si>
  <si>
    <t>10 Сушилка навес\E33149364_3_20251202T103857Z.jpg</t>
  </si>
  <si>
    <t>вт 02.12.2025 — 10:38:57</t>
  </si>
  <si>
    <t>E33149364_3_20251202T150901Z.jpg</t>
  </si>
  <si>
    <t>10 Сушилка навес\E33149364_3_20251202T150901Z.jpg</t>
  </si>
  <si>
    <t>вт 02.12.2025 — 15:09:01</t>
  </si>
  <si>
    <t>E33149364_3_20251202T154408Z.jpg</t>
  </si>
  <si>
    <t>10 Сушилка навес\E33149364_3_20251202T154408Z.jpg</t>
  </si>
  <si>
    <t>вт 02.12.2025 — 15:44:08</t>
  </si>
  <si>
    <t>E33149364_3_20251202T154936Z.jpg</t>
  </si>
  <si>
    <t>10 Сушилка навес\E33149364_3_20251202T154936Z.jpg</t>
  </si>
  <si>
    <t>вт 02.12.2025 — 15:49:36</t>
  </si>
  <si>
    <t>E33149364_3_20251203T091612Z.jpg</t>
  </si>
  <si>
    <t>10 Сушилка навес\E33149364_3_20251203T091612Z.jpg</t>
  </si>
  <si>
    <t>ср 03.12.2025 — 09:16:12</t>
  </si>
  <si>
    <t>E33149364_3_20251203T092052Z.jpg</t>
  </si>
  <si>
    <t>10 Сушилка навес\E33149364_3_20251203T092052Z.jpg</t>
  </si>
  <si>
    <t>ср 03.12.2025 — 09:20:52</t>
  </si>
  <si>
    <t>E33149364_3_20251203T094840Z.jpg</t>
  </si>
  <si>
    <t>10 Сушилка навес\E33149364_3_20251203T094840Z.jpg</t>
  </si>
  <si>
    <t>ср 03.12.2025 — 09:48:40</t>
  </si>
  <si>
    <t>E33149364_3_20251203T160743Z.jpg</t>
  </si>
  <si>
    <t>10 Сушилка навес\E33149364_3_20251203T160743Z.jpg</t>
  </si>
  <si>
    <t>ср 03.12.2025 — 16:07:43</t>
  </si>
  <si>
    <t>E33149364_3_20251204T113203Z.jpg</t>
  </si>
  <si>
    <t>10 Сушилка навес\E33149364_3_20251204T113203Z.jpg</t>
  </si>
  <si>
    <t>чт 04.12.2025 — 11:32:03</t>
  </si>
  <si>
    <t>E33149364_3_20251204T161303Z.jpg</t>
  </si>
  <si>
    <t>10 Сушилка навес\E33149364_3_20251204T161303Z.jpg</t>
  </si>
  <si>
    <t>чт 04.12.2025 — 16:13:03</t>
  </si>
  <si>
    <t>E33149364_3_20251204T161331Z.jpg</t>
  </si>
  <si>
    <t>10 Сушилка навес\E33149364_3_20251204T161331Z.jpg</t>
  </si>
  <si>
    <t>чт 04.12.2025 — 16:13:31</t>
  </si>
  <si>
    <t>E33149364_3_20251204T162048Z.jpg</t>
  </si>
  <si>
    <t>10 Сушилка навес\E33149364_3_20251204T162048Z.jpg</t>
  </si>
  <si>
    <t>чт 04.12.2025 — 16:20:48</t>
  </si>
  <si>
    <t>E33149364_3_20251205T091616Z.jpg</t>
  </si>
  <si>
    <t>10 Сушилка навес\E33149364_3_20251205T091616Z.jpg</t>
  </si>
  <si>
    <t>пт 05.12.2025 — 09:16:16</t>
  </si>
  <si>
    <t>E33149364_3_20251205T093014Z.jpg</t>
  </si>
  <si>
    <t>10 Сушилка навес\E33149364_3_20251205T093014Z.jpg</t>
  </si>
  <si>
    <t>пт 05.12.2025 — 09:30:14</t>
  </si>
  <si>
    <t>E33149364_3_20251205T093022Z.jpg</t>
  </si>
  <si>
    <t>10 Сушилка навес\E33149364_3_20251205T093022Z.jpg</t>
  </si>
  <si>
    <t>пт 05.12.2025 — 09:30:22</t>
  </si>
  <si>
    <t>E33149364_3_20251205T094455Z.jpg</t>
  </si>
  <si>
    <t>10 Сушилка навес\E33149364_3_20251205T094455Z.jpg</t>
  </si>
  <si>
    <t>пт 05.12.2025 — 09:44:55</t>
  </si>
  <si>
    <t>E33149364_3_20251205T112650Z.jpg</t>
  </si>
  <si>
    <t>10 Сушилка навес\E33149364_3_20251205T112650Z.jpg</t>
  </si>
  <si>
    <t>пт 05.12.2025 — 11:26:50</t>
  </si>
  <si>
    <t>E33149364_3_20251205T145521Z.jpg</t>
  </si>
  <si>
    <t>10 Сушилка навес\E33149364_3_20251205T145521Z.jpg</t>
  </si>
  <si>
    <t>пт 05.12.2025 — 14:55:21</t>
  </si>
  <si>
    <t>E33149364_3_20251205T162055Z.jpg</t>
  </si>
  <si>
    <t>10 Сушилка навес\E33149364_3_20251205T162055Z.jpg</t>
  </si>
  <si>
    <t>пт 05.12.2025 — 16:20:55</t>
  </si>
  <si>
    <t>E33149364_3_20251206T161854Z.jpg</t>
  </si>
  <si>
    <t>10 Сушилка навес\E33149364_3_20251206T161854Z.jpg</t>
  </si>
  <si>
    <t>сб 06.12.2025 — 16:18:54</t>
  </si>
  <si>
    <t>E33149364_4_20251201T120829Z.jpg</t>
  </si>
  <si>
    <t>11 С ангара на базу\E33149364_4_20251201T120829Z.jpg</t>
  </si>
  <si>
    <t>пн 01.12.2025 — 12:08:29</t>
  </si>
  <si>
    <t>E33149364_4_20251202T170519Z.jpg</t>
  </si>
  <si>
    <t>11 С ангара на базу\E33149364_4_20251202T170519Z.jpg</t>
  </si>
  <si>
    <t>вт 02.12.2025 — 17:05:19</t>
  </si>
  <si>
    <t>E33149364_4_20251203T093002Z.jpg</t>
  </si>
  <si>
    <t>11 С ангара на базу\E33149364_4_20251203T093002Z.jpg</t>
  </si>
  <si>
    <t>ср 03.12.2025 — 09:30:02</t>
  </si>
  <si>
    <t>E33149364_4_20251203T093051Z.jpg</t>
  </si>
  <si>
    <t>11 С ангара на базу\E33149364_4_20251203T093051Z.jpg</t>
  </si>
  <si>
    <t>ср 03.12.2025 — 09:30:51</t>
  </si>
  <si>
    <t>E33149364_4_20251204T164154Z.jpg</t>
  </si>
  <si>
    <t>11 С ангара на базу\E33149364_4_20251204T164154Z.jpg</t>
  </si>
  <si>
    <t>чт 04.12.2025 — 16:41:54</t>
  </si>
  <si>
    <t>E33149364_4_20251205T140137Z.jpg</t>
  </si>
  <si>
    <t>11 С ангара на базу\E33149364_4_20251205T140137Z.jpg</t>
  </si>
  <si>
    <t>пт 05.12.2025 — 14:01:37</t>
  </si>
  <si>
    <t>E33149364_4_20251206T161905Z.jpg</t>
  </si>
  <si>
    <t>11 С ангара на базу\E33149364_4_20251206T161905Z.jpg</t>
  </si>
  <si>
    <t>сб 06.12.2025 — 16:19:05</t>
  </si>
  <si>
    <t>K07156189_20_20251201T100748Z.jpg</t>
  </si>
  <si>
    <t>12 Площадка 3 кран\K07156189_20_20251201T100748Z.jpg</t>
  </si>
  <si>
    <t>пн 01.12.2025 — 10:07:48</t>
  </si>
  <si>
    <t>K07156189_20_20251201T101247Z.jpg</t>
  </si>
  <si>
    <t>12 Площадка 3 кран\K07156189_20_20251201T101247Z.jpg</t>
  </si>
  <si>
    <t>пн 01.12.2025 — 10:12:47</t>
  </si>
  <si>
    <t>K07156189_20_20251201T113700Z.jpg</t>
  </si>
  <si>
    <t>12 Площадка 3 кран\K07156189_20_20251201T113700Z.jpg</t>
  </si>
  <si>
    <t>пн 01.12.2025 — 11:37:00</t>
  </si>
  <si>
    <t>K07156189_20_20251201T140958Z.jpg</t>
  </si>
  <si>
    <t>12 Площадка 3 кран\K07156189_20_20251201T140958Z.jpg</t>
  </si>
  <si>
    <t>пн 01.12.2025 — 14:09:58</t>
  </si>
  <si>
    <t>K07156189_20_20251201T152351Z.jpg</t>
  </si>
  <si>
    <t>12 Площадка 3 кран\K07156189_20_20251201T152351Z.jpg</t>
  </si>
  <si>
    <t>пн 01.12.2025 — 15:23:51</t>
  </si>
  <si>
    <t>K07156189_20_20251201T152530Z.jpg</t>
  </si>
  <si>
    <t>12 Площадка 3 кран\K07156189_20_20251201T152530Z.jpg</t>
  </si>
  <si>
    <t>пн 01.12.2025 — 15:25:30</t>
  </si>
  <si>
    <t>K07156189_20_20251201T172803Z.jpg</t>
  </si>
  <si>
    <t>12 Площадка 3 кран\K07156189_20_20251201T172803Z.jpg</t>
  </si>
  <si>
    <t>пн 01.12.2025 — 17:28:03</t>
  </si>
  <si>
    <t>K07156189_20_20251202T122248Z.jpg</t>
  </si>
  <si>
    <t>12 Площадка 3 кран\K07156189_20_20251202T122248Z.jpg</t>
  </si>
  <si>
    <t>вт 02.12.2025 — 12:22:48</t>
  </si>
  <si>
    <t>K07156189_20_20251202T152442Z.jpg</t>
  </si>
  <si>
    <t>12 Площадка 3 кран\K07156189_20_20251202T152442Z.jpg</t>
  </si>
  <si>
    <t>вт 02.12.2025 — 15:24:42</t>
  </si>
  <si>
    <t>K07156189_20_20251202T174004Z.jpg</t>
  </si>
  <si>
    <t>12 Площадка 3 кран\K07156189_20_20251202T174004Z.jpg</t>
  </si>
  <si>
    <t>вт 02.12.2025 — 17:40:04</t>
  </si>
  <si>
    <t>K07156189_20_20251203T092909Z.jpg</t>
  </si>
  <si>
    <t>12 Площадка 3 кран\K07156189_20_20251203T092909Z.jpg</t>
  </si>
  <si>
    <t>ср 03.12.2025 — 09:29:09</t>
  </si>
  <si>
    <t>K07156189_20_20251203T103242Z.jpg</t>
  </si>
  <si>
    <t>12 Площадка 3 кран\K07156189_20_20251203T103242Z.jpg</t>
  </si>
  <si>
    <t>ср 03.12.2025 — 10:32:42</t>
  </si>
  <si>
    <t>K07156189_20_20251203T112921Z.jpg</t>
  </si>
  <si>
    <t>12 Площадка 3 кран\K07156189_20_20251203T112921Z.jpg</t>
  </si>
  <si>
    <t>ср 03.12.2025 — 11:29:21</t>
  </si>
  <si>
    <t>K07156189_20_20251203T125315Z.jpg</t>
  </si>
  <si>
    <t>12 Площадка 3 кран\K07156189_20_20251203T125315Z.jpg</t>
  </si>
  <si>
    <t>ср 03.12.2025 — 12:53:15</t>
  </si>
  <si>
    <t>K07156189_20_20251203T172831Z.jpg</t>
  </si>
  <si>
    <t>12 Площадка 3 кран\K07156189_20_20251203T172831Z.jpg</t>
  </si>
  <si>
    <t>ср 03.12.2025 — 17:28:31</t>
  </si>
  <si>
    <t>K07156189_20_20251204T172002Z.jpg</t>
  </si>
  <si>
    <t>12 Площадка 3 кран\K07156189_20_20251204T172002Z.jpg</t>
  </si>
  <si>
    <t>чт 04.12.2025 — 17:20:02</t>
  </si>
  <si>
    <t>K07156189_20_20251205T141236Z.jpg</t>
  </si>
  <si>
    <t>12 Площадка 3 кран\K07156189_20_20251205T141236Z.jpg</t>
  </si>
  <si>
    <t>пт 05.12.2025 — 14:12:36</t>
  </si>
  <si>
    <t>K07156189_20_20251205T144311Z.jpg</t>
  </si>
  <si>
    <t>12 Площадка 3 кран\K07156189_20_20251205T144311Z.jpg</t>
  </si>
  <si>
    <t>пт 05.12.2025 — 14:43:11</t>
  </si>
  <si>
    <t>K07156189_20_20251205T172223Z.jpg</t>
  </si>
  <si>
    <t>12 Площадка 3 кран\K07156189_20_20251205T172223Z.jpg</t>
  </si>
  <si>
    <t>пт 05.12.2025 — 17:22:23</t>
  </si>
  <si>
    <t>K07156189_20_20251206T154924Z.jpg</t>
  </si>
  <si>
    <t>12 Площадка 3 кран\K07156189_20_20251206T154924Z.jpg</t>
  </si>
  <si>
    <t>сб 06.12.2025 — 15:49:24</t>
  </si>
  <si>
    <t>K07156189_23_20251201T173138Z.jpg</t>
  </si>
  <si>
    <t>13 Склад хол\K07156189_23_20251201T173138Z.jpg</t>
  </si>
  <si>
    <t>пн 01.12.2025 — 17:31:38</t>
  </si>
  <si>
    <t>K07156189_23_20251202T083805Z.jpg</t>
  </si>
  <si>
    <t>13 Склад хол\K07156189_23_20251202T083805Z.jpg</t>
  </si>
  <si>
    <t>вт 02.12.2025 — 08:38:05</t>
  </si>
  <si>
    <t>K07156189_23_20251203T175848Z.jpg</t>
  </si>
  <si>
    <t>13 Склад хол\K07156189_23_20251203T175848Z.jpg</t>
  </si>
  <si>
    <t>ср 03.12.2025 — 17:58:48</t>
  </si>
  <si>
    <t>K07156189_23_20251204T173508Z.jpg</t>
  </si>
  <si>
    <t>13 Склад хол\K07156189_23_20251204T173508Z.jpg</t>
  </si>
  <si>
    <t>чт 04.12.2025 — 17:35:08</t>
  </si>
  <si>
    <t>K07156189_23_20251205T174335Z.jpg</t>
  </si>
  <si>
    <t>13 Склад хол\K07156189_23_20251205T174335Z.jpg</t>
  </si>
  <si>
    <t>пт 05.12.2025 — 17:43:35</t>
  </si>
  <si>
    <t>K07156189_23_20251206T181237Z.jpg</t>
  </si>
  <si>
    <t>13 Склад хол\K07156189_23_20251206T181237Z.jpg</t>
  </si>
  <si>
    <t>сб 06.12.2025 — 18:12:37</t>
  </si>
  <si>
    <t>K07156189_18_20251201T093309Z.jpg</t>
  </si>
  <si>
    <t>7 Площадка 2 бетонщики\K07156189_18_20251201T093309Z.jpg</t>
  </si>
  <si>
    <t>пн 01.12.2025 — 09:33:09</t>
  </si>
  <si>
    <t>K07156189_18_20251201T093354Z.jpg</t>
  </si>
  <si>
    <t>7 Площадка 2 бетонщики\K07156189_18_20251201T093354Z.jpg</t>
  </si>
  <si>
    <t>пн 01.12.2025 — 09:33:54</t>
  </si>
  <si>
    <t>K07156189_18_20251201T093747Z.jpg</t>
  </si>
  <si>
    <t>7 Площадка 2 бетонщики\K07156189_18_20251201T093747Z.jpg</t>
  </si>
  <si>
    <t>пн 01.12.2025 — 09:37:47</t>
  </si>
  <si>
    <t>K07156189_18_20251201T094619Z.jpg</t>
  </si>
  <si>
    <t>7 Площадка 2 бетонщики\K07156189_18_20251201T094619Z.jpg</t>
  </si>
  <si>
    <t>пн 01.12.2025 — 09:46:19</t>
  </si>
  <si>
    <t>K07156189_18_20251201T095346Z.jpg</t>
  </si>
  <si>
    <t>7 Площадка 2 бетонщики\K07156189_18_20251201T095346Z.jpg</t>
  </si>
  <si>
    <t>пн 01.12.2025 — 09:53:46</t>
  </si>
  <si>
    <t>K07156189_18_20251201T100008Z.jpg</t>
  </si>
  <si>
    <t>7 Площадка 2 бетонщики\K07156189_18_20251201T100008Z.jpg</t>
  </si>
  <si>
    <t>пн 01.12.2025 — 10:00:08</t>
  </si>
  <si>
    <t>K07156189_18_20251201T100644Z.jpg</t>
  </si>
  <si>
    <t>7 Площадка 2 бетонщики\K07156189_18_20251201T100644Z.jpg</t>
  </si>
  <si>
    <t>пн 01.12.2025 — 10:06:44</t>
  </si>
  <si>
    <t>K07156189_18_20251201T101637Z.jpg</t>
  </si>
  <si>
    <t>7 Площадка 2 бетонщики\K07156189_18_20251201T101637Z.jpg</t>
  </si>
  <si>
    <t>пн 01.12.2025 — 10:16:37</t>
  </si>
  <si>
    <t>K07156189_18_20251201T115807Z.jpg</t>
  </si>
  <si>
    <t>7 Площадка 2 бетонщики\K07156189_18_20251201T115807Z.jpg</t>
  </si>
  <si>
    <t>пн 01.12.2025 — 11:58:07</t>
  </si>
  <si>
    <t>K07156189_18_20251201T121231Z.jpg</t>
  </si>
  <si>
    <t>7 Площадка 2 бетонщики\K07156189_18_20251201T121231Z.jpg</t>
  </si>
  <si>
    <t>пн 01.12.2025 — 12:12:31</t>
  </si>
  <si>
    <t>K07156189_18_20251201T152216Z.jpg</t>
  </si>
  <si>
    <t>7 Площадка 2 бетонщики\K07156189_18_20251201T152216Z.jpg</t>
  </si>
  <si>
    <t>пн 01.12.2025 — 15:22:16</t>
  </si>
  <si>
    <t>K07156189_18_20251201T155928Z.jpg</t>
  </si>
  <si>
    <t>7 Площадка 2 бетонщики\K07156189_18_20251201T155928Z.jpg</t>
  </si>
  <si>
    <t>пн 01.12.2025 — 15:59:28</t>
  </si>
  <si>
    <t>K07156189_18_20251202T122847Z.jpg</t>
  </si>
  <si>
    <t>7 Площадка 2 бетонщики\K07156189_18_20251202T122847Z.jpg</t>
  </si>
  <si>
    <t>вт 02.12.2025 — 12:28:47</t>
  </si>
  <si>
    <t>K07156189_18_20251202T150301Z.jpg</t>
  </si>
  <si>
    <t>7 Площадка 2 бетонщики\K07156189_18_20251202T150301Z.jpg</t>
  </si>
  <si>
    <t>вт 02.12.2025 — 15:03:01</t>
  </si>
  <si>
    <t>K07156189_18_20251202T152509Z.jpg</t>
  </si>
  <si>
    <t>7 Площадка 2 бетонщики\K07156189_18_20251202T152509Z.jpg</t>
  </si>
  <si>
    <t>вт 02.12.2025 — 15:25:09</t>
  </si>
  <si>
    <t>K07156189_18_20251204T092229Z.jpg</t>
  </si>
  <si>
    <t>7 Площадка 2 бетонщики\K07156189_18_20251204T092229Z.jpg</t>
  </si>
  <si>
    <t>чт 04.12.2025 — 09:22:29</t>
  </si>
  <si>
    <t>K07156189_18_20251204T113535Z.jpg</t>
  </si>
  <si>
    <t>7 Площадка 2 бетонщики\K07156189_18_20251204T113535Z.jpg</t>
  </si>
  <si>
    <t>чт 04.12.2025 — 11:35:35</t>
  </si>
  <si>
    <t>K07156189_18_20251204T131732Z.jpg</t>
  </si>
  <si>
    <t>7 Площадка 2 бетонщики\K07156189_18_20251204T131732Z.jpg</t>
  </si>
  <si>
    <t>чт 04.12.2025 — 13:17:32</t>
  </si>
  <si>
    <t>K07156189_18_20251205T122038Z.jpg</t>
  </si>
  <si>
    <t>7 Площадка 2 бетонщики\K07156189_18_20251205T122038Z.jpg</t>
  </si>
  <si>
    <t>пт 05.12.2025 — 12:20:38</t>
  </si>
  <si>
    <t>K07156189_18_20251205T123117Z.jpg</t>
  </si>
  <si>
    <t>7 Площадка 2 бетонщики\K07156189_18_20251205T123117Z.jpg</t>
  </si>
  <si>
    <t>пт 05.12.2025 — 12:31:17</t>
  </si>
  <si>
    <t>K07156189_18_20251205T142222Z.jpg</t>
  </si>
  <si>
    <t>7 Площадка 2 бетонщики\K07156189_18_20251205T142222Z.jpg</t>
  </si>
  <si>
    <t>пт 05.12.2025 — 14:22:22</t>
  </si>
  <si>
    <t>K07156189_18_20251205T142936Z.jpg</t>
  </si>
  <si>
    <t>7 Площадка 2 бетонщики\K07156189_18_20251205T142936Z.jpg</t>
  </si>
  <si>
    <t>пт 05.12.2025 — 14:29:36</t>
  </si>
  <si>
    <t>K07156189_18_20251205T144046Z.jpg</t>
  </si>
  <si>
    <t>7 Площадка 2 бетонщики\K07156189_18_20251205T144046Z.jpg</t>
  </si>
  <si>
    <t>пт 05.12.2025 — 14:40:46</t>
  </si>
  <si>
    <t>K07156189_18_20251205T144302Z.jpg</t>
  </si>
  <si>
    <t>7 Площадка 2 бетонщики\K07156189_18_20251205T144302Z.jpg</t>
  </si>
  <si>
    <t>пт 05.12.2025 — 14:43:02</t>
  </si>
  <si>
    <t>K07156189_18_20251206T162337Z.jpg</t>
  </si>
  <si>
    <t>7 Площадка 2 бетонщики\K07156189_18_20251206T162337Z.jpg</t>
  </si>
  <si>
    <t>сб 06.12.2025 — 16:23:37</t>
  </si>
  <si>
    <t>груз не видно</t>
  </si>
  <si>
    <t>разгрузка была у офиса</t>
  </si>
  <si>
    <t>неизвестно</t>
  </si>
  <si>
    <t>разные материалы</t>
  </si>
  <si>
    <t>перемещение</t>
  </si>
  <si>
    <t>ящики</t>
  </si>
  <si>
    <t>около мешков с опилками</t>
  </si>
  <si>
    <t>Проезд, на новую площадку</t>
  </si>
  <si>
    <t>для разгрузки</t>
  </si>
  <si>
    <t>старый брус</t>
  </si>
  <si>
    <t>для разгрузки у второго ангара</t>
  </si>
  <si>
    <t>бревна и отрезки бревен</t>
  </si>
  <si>
    <t>E33149364_8_20251204T122652Z.jpg</t>
  </si>
  <si>
    <t>3 Въезд на базу\E33149364_8_20251204T122652Z.jpg</t>
  </si>
  <si>
    <t>чт 04.12.2025 — 12:26:52</t>
  </si>
  <si>
    <t>разгрузка</t>
  </si>
  <si>
    <t>K07156189_21_20251202T092315Z.jpg</t>
  </si>
  <si>
    <t>4 Крыльцо офиса\K07156189_21_20251202T092315Z.jpg</t>
  </si>
  <si>
    <t>вт 02.12.2025 — 09:23:15</t>
  </si>
  <si>
    <t>материалы</t>
  </si>
  <si>
    <t>что-то наподобие балона</t>
  </si>
  <si>
    <t>канистра, ручная тележка</t>
  </si>
  <si>
    <t>стяжной ремень</t>
  </si>
  <si>
    <t>K07156189_22_20251201T114915Z.jpg</t>
  </si>
  <si>
    <t>5 Крыльцо общага\K07156189_22_20251201T114915Z.jpg</t>
  </si>
  <si>
    <t>K07156189_22_20251204T131325Z.jpg</t>
  </si>
  <si>
    <t>5 Крыльцо общага\K07156189_22_20251204T131325Z.jpg</t>
  </si>
  <si>
    <t>чт 04.12.2025 — 13:13:25</t>
  </si>
  <si>
    <t>на площадке Кран</t>
  </si>
  <si>
    <t>деревяная решетка</t>
  </si>
  <si>
    <t>с площадки Кран</t>
  </si>
  <si>
    <t>Окончание разгрузки</t>
  </si>
  <si>
    <t>пн 01.12.2025 — 09:32:25</t>
  </si>
  <si>
    <t>пн 01.12.2025 — 11:50:46</t>
  </si>
  <si>
    <t>пн 01.12.2025 — 15:25:40</t>
  </si>
  <si>
    <t>Очистка площадки</t>
  </si>
  <si>
    <t>826398429_1_20251201T093225Z.jpg</t>
  </si>
  <si>
    <t>6 Площадка 1 общага\826398429_1_20251201T093225Z.jpg</t>
  </si>
  <si>
    <t>826398429_1_20251201T115046Z.jpg</t>
  </si>
  <si>
    <t>6 Площадка 1 общага\826398429_1_20251201T115046Z.jpg</t>
  </si>
  <si>
    <t>826398429_1_20251201T152540Z.jpg</t>
  </si>
  <si>
    <t>6 Площадка 1 общага\826398429_1_20251201T152540Z.jpg</t>
  </si>
  <si>
    <t>K07156189_18_20251203T113923Z.jpg</t>
  </si>
  <si>
    <t>7 Площадка 2 бетонщики\K07156189_18_20251203T113923Z.jpg</t>
  </si>
  <si>
    <t>ср 03.12.2025 — 11:39:23</t>
  </si>
  <si>
    <t>K07156189_18_20251203T124700Z.jpg</t>
  </si>
  <si>
    <t>7 Площадка 2 бетонщики\K07156189_18_20251203T124700Z.jpg</t>
  </si>
  <si>
    <t>ср 03.12.2025 — 12:47:00</t>
  </si>
  <si>
    <t>K07156189_18_20251203T124820Z.jpg</t>
  </si>
  <si>
    <t>7 Площадка 2 бетонщики\K07156189_18_20251203T124820Z.jpg</t>
  </si>
  <si>
    <t>ср 03.12.2025 — 12:48:20</t>
  </si>
  <si>
    <t>K07156189_18_20251203T151923Z.jpg</t>
  </si>
  <si>
    <t>7 Площадка 2 бетонщики\K07156189_18_20251203T151923Z.jpg</t>
  </si>
  <si>
    <t>ср 03.12.2025 — 15:19:23</t>
  </si>
  <si>
    <t>K07156189_18_20251203T155704Z.jpg</t>
  </si>
  <si>
    <t>7 Площадка 2 бетонщики\K07156189_18_20251203T155704Z.jpg</t>
  </si>
  <si>
    <t>ср 03.12.2025 — 15:57:04</t>
  </si>
  <si>
    <t>K07156189_18_20251203T163434Z.jpg</t>
  </si>
  <si>
    <t>7 Площадка 2 бетонщики\K07156189_18_20251203T163434Z.jpg</t>
  </si>
  <si>
    <t>ср 03.12.2025 — 16:34:34</t>
  </si>
  <si>
    <t>Окончание загрузок</t>
  </si>
  <si>
    <t>площадка ангара</t>
  </si>
  <si>
    <t>Уборка опилок в мешки</t>
  </si>
  <si>
    <t>сотрудники</t>
  </si>
  <si>
    <t>для личного применения</t>
  </si>
  <si>
    <t>погрузчик базы</t>
  </si>
  <si>
    <t>без загрузки/выгрузки</t>
  </si>
  <si>
    <t>E33149364_8_20251207T160921Z.jpg</t>
  </si>
  <si>
    <t>вс 07.12.2025 — 16:09:21</t>
  </si>
  <si>
    <t>E33149364_6_20251207T135449Z.jpg</t>
  </si>
  <si>
    <t>вс 07.12.2025 — 13:54:49</t>
  </si>
  <si>
    <t>E33149364_6_20251207T160931Z.jpg</t>
  </si>
  <si>
    <t>вс 07.12.2025 — 16:09:31</t>
  </si>
  <si>
    <t>K07156189_22_20251207T144613Z.jpg</t>
  </si>
  <si>
    <t>5 Крыльцо общага\K07156189_22_20251207T144613Z.jpg</t>
  </si>
  <si>
    <t>вс 07.12.2025 — 14:46:13</t>
  </si>
  <si>
    <t>K07156189_22_20251207T144918Z.jpg</t>
  </si>
  <si>
    <t>5 Крыльцо общага\K07156189_22_20251207T144918Z.jpg</t>
  </si>
  <si>
    <t>вс 07.12.2025 — 14:49:18</t>
  </si>
  <si>
    <t>K07156189_22_20251207T145349Z.jpg</t>
  </si>
  <si>
    <t>5 Крыльцо общага\K07156189_22_20251207T145349Z.jpg</t>
  </si>
  <si>
    <t>вс 07.12.2025 — 14:53:49</t>
  </si>
  <si>
    <t>K07156189_22_20251207T145713Z.jpg</t>
  </si>
  <si>
    <t>5 Крыльцо общага\K07156189_22_20251207T145713Z.jpg</t>
  </si>
  <si>
    <t>вс 07.12.2025 — 14:57:13</t>
  </si>
  <si>
    <t>K07156189_22_20251207T150226Z.jpg</t>
  </si>
  <si>
    <t>5 Крыльцо общага\K07156189_22_20251207T150226Z.jpg</t>
  </si>
  <si>
    <t>вс 07.12.2025 — 15:02:26</t>
  </si>
  <si>
    <t>K07156189_22_20251207T150604Z.jpg</t>
  </si>
  <si>
    <t>5 Крыльцо общага\K07156189_22_20251207T150604Z.jpg</t>
  </si>
  <si>
    <t>вс 07.12.2025 — 15:06:04</t>
  </si>
  <si>
    <t>K07156189_22_20251207T151708Z.jpg</t>
  </si>
  <si>
    <t>5 Крыльцо общага\K07156189_22_20251207T151708Z.jpg</t>
  </si>
  <si>
    <t>вс 07.12.2025 — 15:17:08</t>
  </si>
  <si>
    <t>K07156189_22_20251207T153906Z.jpg</t>
  </si>
  <si>
    <t>5 Крыльцо общага\K07156189_22_20251207T153906Z.jpg</t>
  </si>
  <si>
    <t>вс 07.12.2025 — 15:39:06</t>
  </si>
  <si>
    <t>K07156189_22_20251207T160838Z.jpg</t>
  </si>
  <si>
    <t>5 Крыльцо общага\K07156189_22_20251207T160838Z.jpg</t>
  </si>
  <si>
    <t>вс 07.12.2025 — 16:08:38</t>
  </si>
  <si>
    <t>826398429_1_20251207T112611Z.jpg</t>
  </si>
  <si>
    <t>6 Площадка 1 общага\826398429_1_20251207T112611Z.jpg</t>
  </si>
  <si>
    <t>вс 07.12.2025 — 11:26:11</t>
  </si>
  <si>
    <t>E33149364_2_20251207T162420Z.jpg</t>
  </si>
  <si>
    <t>8 Рейсмус\E33149364_2_20251207T162420Z.jpg</t>
  </si>
  <si>
    <t>вс 07.12.2025 — 16:24:20</t>
  </si>
  <si>
    <t>E33149364_3_20251207T120059Z.jpg</t>
  </si>
  <si>
    <t>10 Сушилка навес\E33149364_3_20251207T120059Z.jpg</t>
  </si>
  <si>
    <t>вс 07.12.2025 — 12:00:59</t>
  </si>
  <si>
    <t>E33149364_3_20251207T141706Z.jpg</t>
  </si>
  <si>
    <t>10 Сушилка навес\E33149364_3_20251207T141706Z.jpg</t>
  </si>
  <si>
    <t>вс 07.12.2025 — 14:17:06</t>
  </si>
  <si>
    <t>E33149364_3_20251207T142434Z.jpg</t>
  </si>
  <si>
    <t>10 Сушилка навес\E33149364_3_20251207T142434Z.jpg</t>
  </si>
  <si>
    <t>вс 07.12.2025 — 14:24:34</t>
  </si>
  <si>
    <t>E33149364_3_20251207T143320Z.jpg</t>
  </si>
  <si>
    <t>10 Сушилка навес\E33149364_3_20251207T143320Z.jpg</t>
  </si>
  <si>
    <t>вс 07.12.2025 — 14:33:20</t>
  </si>
  <si>
    <t>E33149364_3_20251207T144249Z.jpg</t>
  </si>
  <si>
    <t>10 Сушилка навес\E33149364_3_20251207T144249Z.jpg</t>
  </si>
  <si>
    <t>вс 07.12.2025 — 14:42:49</t>
  </si>
  <si>
    <t>E33149364_7_20251207T172642Z.jpg</t>
  </si>
  <si>
    <t>2 Пилорама поката\E33149364_7_20251207T172642Z.jpg</t>
  </si>
  <si>
    <t>вс 07.12.2025 — 17:26:42</t>
  </si>
  <si>
    <t>E33149364_4_20251207T142145Z.jpg</t>
  </si>
  <si>
    <t>11 С ангара на базу\E33149364_4_20251207T142145Z.jpg</t>
  </si>
  <si>
    <t>вс 07.12.2025 — 14:21:45</t>
  </si>
  <si>
    <t>E33149364_4_20251207T142711Z.jpg</t>
  </si>
  <si>
    <t>11 С ангара на базу\E33149364_4_20251207T142711Z.jpg</t>
  </si>
  <si>
    <t>вс 07.12.2025 — 14:27:11</t>
  </si>
  <si>
    <t>E33149364_4_20251207T142719Z.jpg</t>
  </si>
  <si>
    <t>11 С ангара на базу\E33149364_4_20251207T142719Z.jpg</t>
  </si>
  <si>
    <t>вс 07.12.2025 — 14:27:19</t>
  </si>
  <si>
    <t>E33149364_4_20251207T143138Z.jpg</t>
  </si>
  <si>
    <t>11 С ангара на базу\E33149364_4_20251207T143138Z.jpg</t>
  </si>
  <si>
    <t>вс 07.12.2025 — 14:31:38</t>
  </si>
  <si>
    <t>E33149364_4_20251207T143202Z.jpg</t>
  </si>
  <si>
    <t>11 С ангара на базу\E33149364_4_20251207T143202Z.jpg</t>
  </si>
  <si>
    <t>вс 07.12.2025 — 14:32:02</t>
  </si>
  <si>
    <t>E33149364_4_20251207T144324Z.jpg</t>
  </si>
  <si>
    <t>11 С ангара на базу\E33149364_4_20251207T144324Z.jpg</t>
  </si>
  <si>
    <t>вс 07.12.2025 — 14:43:24</t>
  </si>
  <si>
    <t>K07156189_20_20251207T152825Z.jpg</t>
  </si>
  <si>
    <t>12 Площадка 3 кран\K07156189_20_20251207T152825Z.jpg</t>
  </si>
  <si>
    <t>вс 07.12.2025 — 15:28:25</t>
  </si>
  <si>
    <t>K07156189_23_20251207T135531Z.jpg</t>
  </si>
  <si>
    <t>13 Склад хол\K07156189_23_20251207T135531Z.jpg</t>
  </si>
  <si>
    <t>вс 07.12.2025 — 13:55:31</t>
  </si>
  <si>
    <t>K07156189_23_20251207T162847Z.jpg</t>
  </si>
  <si>
    <t>13 Склад хол\K07156189_23_20251207T162847Z.jpg</t>
  </si>
  <si>
    <t>вс 07.12.2025 — 16:28:47</t>
  </si>
  <si>
    <t>K07156189_21_20251207T151441Z.jpg</t>
  </si>
  <si>
    <t>4 Крыльцо офиса\K07156189_21_20251207T151441Z.jpg</t>
  </si>
  <si>
    <t>вс 07.12.2025 — 15:14:41</t>
  </si>
  <si>
    <t>K07156189_18_20251207T152819Z.jpg</t>
  </si>
  <si>
    <t>7 Площадка 2 бетонщики\K07156189_18_20251207T152819Z.jpg</t>
  </si>
  <si>
    <t>вс 07.12.2025 — 15:28:19</t>
  </si>
  <si>
    <t>E33149364_1_20251207T094713Z.jpg</t>
  </si>
  <si>
    <t>9 Ангар пилорама\E33149364_1_20251207T094713Z.jpg</t>
  </si>
  <si>
    <t>вс 07.12.2025 — 09:47:13</t>
  </si>
  <si>
    <t>E33149364_1_20251207T145037Z.jpg</t>
  </si>
  <si>
    <t>9 Ангар пилорама\E33149364_1_20251207T145037Z.jpg</t>
  </si>
  <si>
    <t>вс 07.12.2025 — 14:50:37</t>
  </si>
  <si>
    <t>E33149364_1_20251207T153424Z.jpg</t>
  </si>
  <si>
    <t>9 Ангар пилорама\E33149364_1_20251207T153424Z.jpg</t>
  </si>
  <si>
    <t>вс 07.12.2025 — 15:34:24</t>
  </si>
  <si>
    <t>E33149364_1_20251207T161232Z.jpg</t>
  </si>
  <si>
    <t>9 Ангар пилорама\E33149364_1_20251207T161232Z.jpg</t>
  </si>
  <si>
    <t>вс 07.12.2025 — 16:12:32</t>
  </si>
  <si>
    <t>E33149364_1_20251207T172141Z.jpg</t>
  </si>
  <si>
    <t>9 Ангар пилорама\E33149364_1_20251207T172141Z.jpg</t>
  </si>
  <si>
    <t>вс 07.12.2025 — 17:21:41</t>
  </si>
  <si>
    <t>E33149364_1_20251207T180222Z.jpg</t>
  </si>
  <si>
    <t>9 Ангар пилорама\E33149364_1_20251207T180222Z.jpg</t>
  </si>
  <si>
    <t>вс 07.12.2025 — 18:02:22</t>
  </si>
  <si>
    <t>E33149364_1_20251207T185854Z.jpg</t>
  </si>
  <si>
    <t>9 Ангар пилорама\E33149364_1_20251207T185854Z.jpg</t>
  </si>
  <si>
    <t>вс 07.12.2025 — 18:58:54</t>
  </si>
  <si>
    <t>E33149364_1_20251207T205214Z.jpg</t>
  </si>
  <si>
    <t>9 Ангар пилорама\E33149364_1_20251207T205214Z.jpg</t>
  </si>
  <si>
    <t>вс 07.12.2025 — 20:52:14</t>
  </si>
  <si>
    <t>E33149364_1_20251207T214851Z.jpg</t>
  </si>
  <si>
    <t>9 Ангар пилорама\E33149364_1_20251207T214851Z.jpg</t>
  </si>
  <si>
    <t>вс 07.12.2025 — 21:48:51</t>
  </si>
  <si>
    <t>КамАЗ с КМУ</t>
  </si>
  <si>
    <t>доски, материалы</t>
  </si>
  <si>
    <t>загрузка с площадок навес и кран</t>
  </si>
  <si>
    <t>Выезд КАМАЗА с КМУ</t>
  </si>
  <si>
    <t>КАМАЗ с КМУ</t>
  </si>
  <si>
    <t>вынос досок у дверей на улицу</t>
  </si>
  <si>
    <t>Загрузка, другой ракурс</t>
  </si>
  <si>
    <t>навес, до загрузки</t>
  </si>
  <si>
    <t>навес, после загрузки</t>
  </si>
  <si>
    <t>пн 08.12.2025 — 09:25:22</t>
  </si>
  <si>
    <t>E33149364_7_20251208T145915Z.jpg</t>
  </si>
  <si>
    <t>2 Пилорама поката\E33149364_7_20251208T145915Z.jpg</t>
  </si>
  <si>
    <t>пн 08.12.2025 — 14:59:15</t>
  </si>
  <si>
    <t>E33149364_6_20251208T142216Z.jpg</t>
  </si>
  <si>
    <t>пн 08.12.2025 — 14:22:16</t>
  </si>
  <si>
    <t>E33149364_6_20251208T155849Z.jpg</t>
  </si>
  <si>
    <t>пн 08.12.2025 — 15:58:49</t>
  </si>
  <si>
    <t>E33149364_8_20251208T115423Z.jpg</t>
  </si>
  <si>
    <t>пн 08.12.2025 — 11:54:23</t>
  </si>
  <si>
    <t>E33149364_8_20251208T163559Z.jpg</t>
  </si>
  <si>
    <t>пн 08.12.2025 — 16:35:59</t>
  </si>
  <si>
    <t>E33149364_7_20251208T142248Z.jpg</t>
  </si>
  <si>
    <t>2 Пилорама поката\E33149364_7_20251208T142248Z.jpg</t>
  </si>
  <si>
    <t>пн 08.12.2025 — 14:22:48</t>
  </si>
  <si>
    <t>E33149364_7_20251208T151401Z.jpg</t>
  </si>
  <si>
    <t>2 Пилорама поката\E33149364_7_20251208T151401Z.jpg</t>
  </si>
  <si>
    <t>пн 08.12.2025 — 15:14:01</t>
  </si>
  <si>
    <t>E33149364_7_20251208T152415Z.jpg</t>
  </si>
  <si>
    <t>2 Пилорама поката\E33149364_7_20251208T152415Z.jpg</t>
  </si>
  <si>
    <t>пн 08.12.2025 — 15:24:15</t>
  </si>
  <si>
    <t>E33149364_7_20251208T155255Z.jpg</t>
  </si>
  <si>
    <t>2 Пилорама поката\E33149364_7_20251208T155255Z.jpg</t>
  </si>
  <si>
    <t>пн 08.12.2025 — 15:52:55</t>
  </si>
  <si>
    <t>E33149364_7_20251208T172555Z.jpg</t>
  </si>
  <si>
    <t>2 Пилорама поката\E33149364_7_20251208T172555Z.jpg</t>
  </si>
  <si>
    <t>пн 08.12.2025 — 17:25:55</t>
  </si>
  <si>
    <t>K07156189_21_20251208T165401Z.jpg</t>
  </si>
  <si>
    <t>4 Крыльцо офиса\K07156189_21_20251208T165401Z.jpg</t>
  </si>
  <si>
    <t>пн 08.12.2025 — 16:54:01</t>
  </si>
  <si>
    <t>1 Ангар Склад 2 въезд\E33149364_6_20251207T135449Z.jpg</t>
  </si>
  <si>
    <t>1 Ангар Склад 2 въезд\E33149364_6_20251207T160931Z.jpg</t>
  </si>
  <si>
    <t>1 Ангар Склад 2 въезд\E33149364_6_20251208T142216Z.jpg</t>
  </si>
  <si>
    <t>1 Ангар Склад 2 въезд\E33149364_6_20251208T155849Z.jpg</t>
  </si>
  <si>
    <t>K07156189_22_20251208T131240Z.jpg</t>
  </si>
  <si>
    <t>5 Крыльцо общага\K07156189_22_20251208T131240Z.jpg</t>
  </si>
  <si>
    <t>пн 08.12.2025 — 13:12:40</t>
  </si>
  <si>
    <t>K07156189_22_20251208T173524Z.jpg</t>
  </si>
  <si>
    <t>5 Крыльцо общага\K07156189_22_20251208T173524Z.jpg</t>
  </si>
  <si>
    <t>пн 08.12.2025 — 17:35:24</t>
  </si>
  <si>
    <t>826398429_1_20251208T112932Z.jpg</t>
  </si>
  <si>
    <t>6 Площадка 1 общага\826398429_1_20251208T112932Z.jpg</t>
  </si>
  <si>
    <t>пн 08.12.2025 — 11:29:32</t>
  </si>
  <si>
    <t>826398429_1_20251208T155027Z.jpg</t>
  </si>
  <si>
    <t>6 Площадка 1 общага\826398429_1_20251208T155027Z.jpg</t>
  </si>
  <si>
    <t>пн 08.12.2025 — 15:50:27</t>
  </si>
  <si>
    <t>K07156189_18_20251208T122517Z.jpg</t>
  </si>
  <si>
    <t>7 Площадка 2 бетонщики\K07156189_18_20251208T122517Z.jpg</t>
  </si>
  <si>
    <t>пн 08.12.2025 — 12:25:17</t>
  </si>
  <si>
    <t>K07156189_18_20251208T150801Z.jpg</t>
  </si>
  <si>
    <t>7 Площадка 2 бетонщики\K07156189_18_20251208T150801Z.jpg</t>
  </si>
  <si>
    <t>пн 08.12.2025 — 15:08:01</t>
  </si>
  <si>
    <t>K07156189_18_20251208T150952Z.jpg</t>
  </si>
  <si>
    <t>7 Площадка 2 бетонщики\K07156189_18_20251208T150952Z.jpg</t>
  </si>
  <si>
    <t>пн 08.12.2025 — 15:09:52</t>
  </si>
  <si>
    <t>E33149364_2_20251208T080617Z.jpg</t>
  </si>
  <si>
    <t>8 Рейсмус\E33149364_2_20251208T080617Z.jpg</t>
  </si>
  <si>
    <t>пн 08.12.2025 — 08:06:17</t>
  </si>
  <si>
    <t>E33149364_1_20251208T071219Z.jpg</t>
  </si>
  <si>
    <t>9 Ангар пилорама\E33149364_1_20251208T071219Z.jpg</t>
  </si>
  <si>
    <t>пн 08.12.2025 — 07:12:19</t>
  </si>
  <si>
    <t>E33149364_1_20251208T072909Z.jpg</t>
  </si>
  <si>
    <t>9 Ангар пилорама\E33149364_1_20251208T072909Z.jpg</t>
  </si>
  <si>
    <t>пн 08.12.2025 — 07:29:09</t>
  </si>
  <si>
    <t>E33149364_1_20251208T074333Z.jpg</t>
  </si>
  <si>
    <t>9 Ангар пилорама\E33149364_1_20251208T074333Z.jpg</t>
  </si>
  <si>
    <t>пн 08.12.2025 — 07:43:33</t>
  </si>
  <si>
    <t>E33149364_1_20251208T085008Z.jpg</t>
  </si>
  <si>
    <t>9 Ангар пилорама\E33149364_1_20251208T085008Z.jpg</t>
  </si>
  <si>
    <t>пн 08.12.2025 — 08:50:08</t>
  </si>
  <si>
    <t>E33149364_1_20251208T090846Z.jpg</t>
  </si>
  <si>
    <t>9 Ангар пилорама\E33149364_1_20251208T090846Z.jpg</t>
  </si>
  <si>
    <t>пн 08.12.2025 — 09:08:46</t>
  </si>
  <si>
    <t>E33149364_1_20251208T091722Z.jpg</t>
  </si>
  <si>
    <t>9 Ангар пилорама\E33149364_1_20251208T091722Z.jpg</t>
  </si>
  <si>
    <t>пн 08.12.2025 — 09:17:22</t>
  </si>
  <si>
    <t>E33149364_1_20251208T092944Z.jpg</t>
  </si>
  <si>
    <t>9 Ангар пилорама\E33149364_1_20251208T092944Z.jpg</t>
  </si>
  <si>
    <t>пн 08.12.2025 — 09:29:44</t>
  </si>
  <si>
    <t>E33149364_1_20251208T093349Z.jpg</t>
  </si>
  <si>
    <t>9 Ангар пилорама\E33149364_1_20251208T093349Z.jpg</t>
  </si>
  <si>
    <t>пн 08.12.2025 — 09:33:49</t>
  </si>
  <si>
    <t>E33149364_1_20251208T094253Z.jpg</t>
  </si>
  <si>
    <t>9 Ангар пилорама\E33149364_1_20251208T094253Z.jpg</t>
  </si>
  <si>
    <t>пн 08.12.2025 — 09:42:53</t>
  </si>
  <si>
    <t>E33149364_1_20251208T100027Z.jpg</t>
  </si>
  <si>
    <t>9 Ангар пилорама\E33149364_1_20251208T100027Z.jpg</t>
  </si>
  <si>
    <t>пн 08.12.2025 — 10:00:27</t>
  </si>
  <si>
    <t>E33149364_1_20251208T100335Z.jpg</t>
  </si>
  <si>
    <t>9 Ангар пилорама\E33149364_1_20251208T100335Z.jpg</t>
  </si>
  <si>
    <t>пн 08.12.2025 — 10:03:35</t>
  </si>
  <si>
    <t>E33149364_1_20251208T100917Z.jpg</t>
  </si>
  <si>
    <t>9 Ангар пилорама\E33149364_1_20251208T100917Z.jpg</t>
  </si>
  <si>
    <t>пн 08.12.2025 — 10:09:17</t>
  </si>
  <si>
    <t>E33149364_1_20251208T101634Z.jpg</t>
  </si>
  <si>
    <t>9 Ангар пилорама\E33149364_1_20251208T101634Z.jpg</t>
  </si>
  <si>
    <t>пн 08.12.2025 — 10:16:34</t>
  </si>
  <si>
    <t>E33149364_1_20251208T104102Z.jpg</t>
  </si>
  <si>
    <t>9 Ангар пилорама\E33149364_1_20251208T104102Z.jpg</t>
  </si>
  <si>
    <t>пн 08.12.2025 — 10:41:02</t>
  </si>
  <si>
    <t>E33149364_1_20251208T104850Z.jpg</t>
  </si>
  <si>
    <t>9 Ангар пилорама\E33149364_1_20251208T104850Z.jpg</t>
  </si>
  <si>
    <t>пн 08.12.2025 — 10:48:50</t>
  </si>
  <si>
    <t>E33149364_1_20251208T110316Z.jpg</t>
  </si>
  <si>
    <t>9 Ангар пилорама\E33149364_1_20251208T110316Z.jpg</t>
  </si>
  <si>
    <t>пн 08.12.2025 — 11:03:16</t>
  </si>
  <si>
    <t>E33149364_1_20251208T110504Z.jpg</t>
  </si>
  <si>
    <t>9 Ангар пилорама\E33149364_1_20251208T110504Z.jpg</t>
  </si>
  <si>
    <t>пн 08.12.2025 — 11:05:04</t>
  </si>
  <si>
    <t>E33149364_1_20251208T140050Z.jpg</t>
  </si>
  <si>
    <t>9 Ангар пилорама\E33149364_1_20251208T140050Z.jpg</t>
  </si>
  <si>
    <t>пн 08.12.2025 — 14:00:50</t>
  </si>
  <si>
    <t>E33149364_1_20251208T221822Z.jpg</t>
  </si>
  <si>
    <t>9 Ангар пилорама\E33149364_1_20251208T221822Z.jpg</t>
  </si>
  <si>
    <t>пн 08.12.2025 — 22:18:22</t>
  </si>
  <si>
    <t>E33149364_3_20251208T091125Z.jpg</t>
  </si>
  <si>
    <t>10 Сушилка навес\E33149364_3_20251208T091125Z.jpg</t>
  </si>
  <si>
    <t>пн 08.12.2025 — 09:11:25</t>
  </si>
  <si>
    <t>E33149364_3_20251208T091150Z.jpg</t>
  </si>
  <si>
    <t>10 Сушилка навес\E33149364_3_20251208T091150Z.jpg</t>
  </si>
  <si>
    <t>пн 08.12.2025 — 09:11:50</t>
  </si>
  <si>
    <t>E33149364_3_20251208T091659Z.jpg</t>
  </si>
  <si>
    <t>10 Сушилка навес\E33149364_3_20251208T091659Z.jpg</t>
  </si>
  <si>
    <t>пн 08.12.2025 — 09:16:59</t>
  </si>
  <si>
    <t>E33149364_3_20251208T092522Z.jpg</t>
  </si>
  <si>
    <t>10 Сушилка навес\E33149364_3_20251208T092522Z.jpg</t>
  </si>
  <si>
    <t>E33149364_3_20251208T092553Z.jpg</t>
  </si>
  <si>
    <t>10 Сушилка навес\E33149364_3_20251208T092553Z.jpg</t>
  </si>
  <si>
    <t>пн 08.12.2025 — 09:25:53</t>
  </si>
  <si>
    <t>E33149364_3_20251208T092620Z.jpg</t>
  </si>
  <si>
    <t>10 Сушилка навес\E33149364_3_20251208T092620Z.jpg</t>
  </si>
  <si>
    <t>пн 08.12.2025 — 09:26:20</t>
  </si>
  <si>
    <t>E33149364_3_20251208T092631Z.jpg</t>
  </si>
  <si>
    <t>10 Сушилка навес\E33149364_3_20251208T092631Z.jpg</t>
  </si>
  <si>
    <t>пн 08.12.2025 — 09:26:31</t>
  </si>
  <si>
    <t>E33149364_3_20251208T092639Z.jpg</t>
  </si>
  <si>
    <t>10 Сушилка навес\E33149364_3_20251208T092639Z.jpg</t>
  </si>
  <si>
    <t>пн 08.12.2025 — 09:26:39</t>
  </si>
  <si>
    <t>E33149364_3_20251208T092720Z.jpg</t>
  </si>
  <si>
    <t>10 Сушилка навес\E33149364_3_20251208T092720Z.jpg</t>
  </si>
  <si>
    <t>пн 08.12.2025 — 09:27:20</t>
  </si>
  <si>
    <t>E33149364_3_20251208T095905Z.jpg</t>
  </si>
  <si>
    <t>10 Сушилка навес\E33149364_3_20251208T095905Z.jpg</t>
  </si>
  <si>
    <t>пн 08.12.2025 — 09:59:05</t>
  </si>
  <si>
    <t>E33149364_3_20251208T100034Z.jpg</t>
  </si>
  <si>
    <t>10 Сушилка навес\E33149364_3_20251208T100034Z.jpg</t>
  </si>
  <si>
    <t>пн 08.12.2025 — 10:00:34</t>
  </si>
  <si>
    <t>E33149364_3_20251208T100416Z.jpg</t>
  </si>
  <si>
    <t>10 Сушилка навес\E33149364_3_20251208T100416Z.jpg</t>
  </si>
  <si>
    <t>пн 08.12.2025 — 10:04:16</t>
  </si>
  <si>
    <t>E33149364_3_20251208T100431Z.jpg</t>
  </si>
  <si>
    <t>10 Сушилка навес\E33149364_3_20251208T100431Z.jpg</t>
  </si>
  <si>
    <t>пн 08.12.2025 — 10:04:31</t>
  </si>
  <si>
    <t>E33149364_3_20251208T101134Z.jpg</t>
  </si>
  <si>
    <t>10 Сушилка навес\E33149364_3_20251208T101134Z.jpg</t>
  </si>
  <si>
    <t>пн 08.12.2025 — 10:11:34</t>
  </si>
  <si>
    <t>E33149364_3_20251208T101227Z.jpg</t>
  </si>
  <si>
    <t>10 Сушилка навес\E33149364_3_20251208T101227Z.jpg</t>
  </si>
  <si>
    <t>пн 08.12.2025 — 10:12:27</t>
  </si>
  <si>
    <t>E33149364_3_20251208T101253Z.jpg</t>
  </si>
  <si>
    <t>10 Сушилка навес\E33149364_3_20251208T101253Z.jpg</t>
  </si>
  <si>
    <t>пн 08.12.2025 — 10:12:53</t>
  </si>
  <si>
    <t>E33149364_3_20251208T110517Z.jpg</t>
  </si>
  <si>
    <t>10 Сушилка навес\E33149364_3_20251208T110517Z.jpg</t>
  </si>
  <si>
    <t>пн 08.12.2025 — 11:05:17</t>
  </si>
  <si>
    <t>E33149364_3_20251208T110539Z.jpg</t>
  </si>
  <si>
    <t>10 Сушилка навес\E33149364_3_20251208T110539Z.jpg</t>
  </si>
  <si>
    <t>пн 08.12.2025 — 11:05:39</t>
  </si>
  <si>
    <t>E33149364_3_20251208T111458Z.jpg</t>
  </si>
  <si>
    <t>10 Сушилка навес\E33149364_3_20251208T111458Z.jpg</t>
  </si>
  <si>
    <t>пн 08.12.2025 — 11:14:58</t>
  </si>
  <si>
    <t>E33149364_3_20251208T142549Z.jpg</t>
  </si>
  <si>
    <t>10 Сушилка навес\E33149364_3_20251208T142549Z.jpg</t>
  </si>
  <si>
    <t>пн 08.12.2025 — 14:25:49</t>
  </si>
  <si>
    <t>E33149364_3_20251208T151329Z.jpg</t>
  </si>
  <si>
    <t>10 Сушилка навес\E33149364_3_20251208T151329Z.jpg</t>
  </si>
  <si>
    <t>пн 08.12.2025 — 15:13:29</t>
  </si>
  <si>
    <t>E33149364_3_20251208T152332Z.jpg</t>
  </si>
  <si>
    <t>10 Сушилка навес\E33149364_3_20251208T152332Z.jpg</t>
  </si>
  <si>
    <t>пн 08.12.2025 — 15:23:32</t>
  </si>
  <si>
    <t>E33149364_3_20251208T172344Z.jpg</t>
  </si>
  <si>
    <t>10 Сушилка навес\E33149364_3_20251208T172344Z.jpg</t>
  </si>
  <si>
    <t>пн 08.12.2025 — 17:23:44</t>
  </si>
  <si>
    <t>E33149364_4_20251208T100527Z.jpg</t>
  </si>
  <si>
    <t>11 С ангара на базу\E33149364_4_20251208T100527Z.jpg</t>
  </si>
  <si>
    <t>пн 08.12.2025 — 10:05:27</t>
  </si>
  <si>
    <t>E33149364_4_20251208T110553Z.jpg</t>
  </si>
  <si>
    <t>11 С ангара на базу\E33149364_4_20251208T110553Z.jpg</t>
  </si>
  <si>
    <t>пн 08.12.2025 — 11:05:53</t>
  </si>
  <si>
    <t>K07156189_20_20251208T083934Z.jpg</t>
  </si>
  <si>
    <t>12 Площадка 3 кран\K07156189_20_20251208T083934Z.jpg</t>
  </si>
  <si>
    <t>пн 08.12.2025 — 08:39:34</t>
  </si>
  <si>
    <t>K07156189_20_20251208T102342Z.jpg</t>
  </si>
  <si>
    <t>12 Площадка 3 кран\K07156189_20_20251208T102342Z.jpg</t>
  </si>
  <si>
    <t>пн 08.12.2025 — 10:23:42</t>
  </si>
  <si>
    <t>K07156189_20_20251208T171258Z.jpg</t>
  </si>
  <si>
    <t>12 Площадка 3 кран\K07156189_20_20251208T171258Z.jpg</t>
  </si>
  <si>
    <t>пн 08.12.2025 — 17:12:58</t>
  </si>
  <si>
    <t>K07156189_23_20251208T091434Z.jpg</t>
  </si>
  <si>
    <t>13 Склад хол\K07156189_23_20251208T091434Z.jpg</t>
  </si>
  <si>
    <t>пн 08.12.2025 — 09:14:34</t>
  </si>
  <si>
    <t>K07156189_23_20251208T170359Z.jpg</t>
  </si>
  <si>
    <t>13 Склад хол\K07156189_23_20251208T170359Z.jpg</t>
  </si>
  <si>
    <t>пн 08.12.2025 — 17:03:59</t>
  </si>
  <si>
    <t>стоит в слепой зоне</t>
  </si>
  <si>
    <t>Сотрудники и Газель фургон, голубая кабина, серый тент</t>
  </si>
  <si>
    <t>Вывоз на улицу</t>
  </si>
  <si>
    <t>Пиломатериалы, сотрудники</t>
  </si>
  <si>
    <t>трактор и КАМАЗ базы</t>
  </si>
  <si>
    <t>стоянка</t>
  </si>
  <si>
    <t>трактор базы</t>
  </si>
  <si>
    <t>E33149364_6_20251209T101406Z.jpg</t>
  </si>
  <si>
    <t>1 Ангар Склад 2 въезд\E33149364_6_20251209T101406Z.jpg</t>
  </si>
  <si>
    <t>вт 09.12.2025 — 10:14:06</t>
  </si>
  <si>
    <t>E33149364_6_20251209T113012Z.jpg</t>
  </si>
  <si>
    <t>1 Ангар Склад 2 въезд\E33149364_6_20251209T113012Z.jpg</t>
  </si>
  <si>
    <t>вт 09.12.2025 — 11:30:12</t>
  </si>
  <si>
    <t>E33149364_6_20251209T121518Z.jpg</t>
  </si>
  <si>
    <t>1 Ангар Склад 2 въезд\E33149364_6_20251209T121518Z.jpg</t>
  </si>
  <si>
    <t>вт 09.12.2025 — 12:15:18</t>
  </si>
  <si>
    <t>E33149364_6_20251209T122353Z.jpg</t>
  </si>
  <si>
    <t>1 Ангар Склад 2 въезд\E33149364_6_20251209T122353Z.jpg</t>
  </si>
  <si>
    <t>вт 09.12.2025 — 12:23:53</t>
  </si>
  <si>
    <t>E33149364_6_20251209T151412Z.jpg</t>
  </si>
  <si>
    <t>1 Ангар Склад 2 въезд\E33149364_6_20251209T151412Z.jpg</t>
  </si>
  <si>
    <t>вт 09.12.2025 — 15:14:12</t>
  </si>
  <si>
    <t>E33149364_6_20251209T164025Z.jpg</t>
  </si>
  <si>
    <t>1 Ангар Склад 2 въезд\E33149364_6_20251209T164025Z.jpg</t>
  </si>
  <si>
    <t>вт 09.12.2025 — 16:40:25</t>
  </si>
  <si>
    <t>E33149364_6_20251210T124635Z.jpg</t>
  </si>
  <si>
    <t>1 Ангар Склад 2 въезд\E33149364_6_20251210T124635Z.jpg</t>
  </si>
  <si>
    <t>ср 10.12.2025 — 12:46:35</t>
  </si>
  <si>
    <t>E33149364_6_20251210T152006Z.jpg</t>
  </si>
  <si>
    <t>1 Ангар Склад 2 въезд\E33149364_6_20251210T152006Z.jpg</t>
  </si>
  <si>
    <t>ср 10.12.2025 — 15:20:06</t>
  </si>
  <si>
    <t>Грузовик Volvo FH12 с платформой</t>
  </si>
  <si>
    <t>E33149364_7_20251209T100657Z.jpg</t>
  </si>
  <si>
    <t>2 Пилорама поката\E33149364_7_20251209T100657Z.jpg</t>
  </si>
  <si>
    <t>вт 09.12.2025 — 10:06:57</t>
  </si>
  <si>
    <t>E33149364_7_20251209T102454Z.jpg</t>
  </si>
  <si>
    <t>2 Пилорама поката\E33149364_7_20251209T102454Z.jpg</t>
  </si>
  <si>
    <t>вт 09.12.2025 — 10:24:54</t>
  </si>
  <si>
    <t>E33149364_7_20251209T102507Z.jpg</t>
  </si>
  <si>
    <t>2 Пилорама поката\E33149364_7_20251209T102507Z.jpg</t>
  </si>
  <si>
    <t>вт 09.12.2025 — 10:25:07</t>
  </si>
  <si>
    <t>E33149364_7_20251209T151459Z.jpg</t>
  </si>
  <si>
    <t>2 Пилорама поката\E33149364_7_20251209T151459Z.jpg</t>
  </si>
  <si>
    <t>вт 09.12.2025 — 15:14:59</t>
  </si>
  <si>
    <t>E33149364_7_20251209T162901Z.jpg</t>
  </si>
  <si>
    <t>2 Пилорама поката\E33149364_7_20251209T162901Z.jpg</t>
  </si>
  <si>
    <t>вт 09.12.2025 — 16:29:01</t>
  </si>
  <si>
    <t>E33149364_7_20251210T090238Z.jpg</t>
  </si>
  <si>
    <t>2 Пилорама поката\E33149364_7_20251210T090238Z.jpg</t>
  </si>
  <si>
    <t>ср 10.12.2025 — 09:02:38</t>
  </si>
  <si>
    <t>E33149364_7_20251210T090249Z.jpg</t>
  </si>
  <si>
    <t>2 Пилорама поката\E33149364_7_20251210T090249Z.jpg</t>
  </si>
  <si>
    <t>ср 10.12.2025 — 09:02:49</t>
  </si>
  <si>
    <t>E33149364_7_20251210T091115Z.jpg</t>
  </si>
  <si>
    <t>2 Пилорама поката\E33149364_7_20251210T091115Z.jpg</t>
  </si>
  <si>
    <t>ср 10.12.2025 — 09:11:15</t>
  </si>
  <si>
    <t>E33149364_7_20251210T091135Z.jpg</t>
  </si>
  <si>
    <t>2 Пилорама поката\E33149364_7_20251210T091135Z.jpg</t>
  </si>
  <si>
    <t>ср 10.12.2025 — 09:11:35</t>
  </si>
  <si>
    <t>E33149364_7_20251210T124722Z.jpg</t>
  </si>
  <si>
    <t>2 Пилорама поката\E33149364_7_20251210T124722Z.jpg</t>
  </si>
  <si>
    <t>ср 10.12.2025 — 12:47:22</t>
  </si>
  <si>
    <t>E33149364_7_20251210T135133Z.jpg</t>
  </si>
  <si>
    <t>2 Пилорама поката\E33149364_7_20251210T135133Z.jpg</t>
  </si>
  <si>
    <t>ср 10.12.2025 — 13:51:33</t>
  </si>
  <si>
    <t>826398429_1_20251209T174123Z.jpg</t>
  </si>
  <si>
    <t>6 Площадка 1 общага\826398429_1_20251209T174123Z.jpg</t>
  </si>
  <si>
    <t>вт 09.12.2025 — 17:41:23</t>
  </si>
  <si>
    <t>826398429_1_20251210T161005Z.jpg</t>
  </si>
  <si>
    <t>6 Площадка 1 общага\826398429_1_20251210T161005Z.jpg</t>
  </si>
  <si>
    <t>ср 10.12.2025 — 16:10:05</t>
  </si>
  <si>
    <t>826398429_1_20251211T173704Z.jpg</t>
  </si>
  <si>
    <t>6 Площадка 1 общага\826398429_1_20251211T173704Z.jpg</t>
  </si>
  <si>
    <t>чт 11.12.2025 — 17:37:04</t>
  </si>
  <si>
    <t>K07156189_18_20251209T174254Z.jpg</t>
  </si>
  <si>
    <t>7 Площадка 2 бетонщики\K07156189_18_20251209T174254Z.jpg</t>
  </si>
  <si>
    <t>вт 09.12.2025 — 17:42:54</t>
  </si>
  <si>
    <t>K07156189_18_20251210T162643Z.jpg</t>
  </si>
  <si>
    <t>7 Площадка 2 бетонщики\K07156189_18_20251210T162643Z.jpg</t>
  </si>
  <si>
    <t>ср 10.12.2025 — 16:26:43</t>
  </si>
  <si>
    <t>K07156189_18_20251211T143805Z.jpg</t>
  </si>
  <si>
    <t>7 Площадка 2 бетонщики\K07156189_18_20251211T143805Z.jpg</t>
  </si>
  <si>
    <t>чт 11.12.2025 — 14:38:05</t>
  </si>
  <si>
    <t>E33149364_1_20251209T123629Z.jpg</t>
  </si>
  <si>
    <t>9 Ангар пилорама\E33149364_1_20251209T123629Z.jpg</t>
  </si>
  <si>
    <t>вт 09.12.2025 — 12:36:29</t>
  </si>
  <si>
    <t>E33149364_1_20251209T145548Z.jpg</t>
  </si>
  <si>
    <t>9 Ангар пилорама\E33149364_1_20251209T145548Z.jpg</t>
  </si>
  <si>
    <t>вт 09.12.2025 — 14:55:48</t>
  </si>
  <si>
    <t>E33149364_1_20251209T150456Z.jpg</t>
  </si>
  <si>
    <t>9 Ангар пилорама\E33149364_1_20251209T150456Z.jpg</t>
  </si>
  <si>
    <t>вт 09.12.2025 — 15:04:56</t>
  </si>
  <si>
    <t>E33149364_1_20251209T154214Z.jpg</t>
  </si>
  <si>
    <t>9 Ангар пилорама\E33149364_1_20251209T154214Z.jpg</t>
  </si>
  <si>
    <t>вт 09.12.2025 — 15:42:14</t>
  </si>
  <si>
    <t>E33149364_1_20251209T161325Z.jpg</t>
  </si>
  <si>
    <t>9 Ангар пилорама\E33149364_1_20251209T161325Z.jpg</t>
  </si>
  <si>
    <t>вт 09.12.2025 — 16:13:25</t>
  </si>
  <si>
    <t>E33149364_1_20251209T162454Z.jpg</t>
  </si>
  <si>
    <t>9 Ангар пилорама\E33149364_1_20251209T162454Z.jpg</t>
  </si>
  <si>
    <t>вт 09.12.2025 — 16:24:54</t>
  </si>
  <si>
    <t>E33149364_1_20251209T201058Z.jpg</t>
  </si>
  <si>
    <t>9 Ангар пилорама\E33149364_1_20251209T201058Z.jpg</t>
  </si>
  <si>
    <t>вт 09.12.2025 — 20:10:58</t>
  </si>
  <si>
    <t>E33149364_1_20251209T224429Z.jpg</t>
  </si>
  <si>
    <t>9 Ангар пилорама\E33149364_1_20251209T224429Z.jpg</t>
  </si>
  <si>
    <t>вт 09.12.2025 — 22:44:29</t>
  </si>
  <si>
    <t>E33149364_1_20251209T232227Z.jpg</t>
  </si>
  <si>
    <t>9 Ангар пилорама\E33149364_1_20251209T232227Z.jpg</t>
  </si>
  <si>
    <t>вт 09.12.2025 — 23:22:27</t>
  </si>
  <si>
    <t>E33149364_1_20251210T083250Z.jpg</t>
  </si>
  <si>
    <t>9 Ангар пилорама\E33149364_1_20251210T083250Z.jpg</t>
  </si>
  <si>
    <t>ср 10.12.2025 — 08:32:50</t>
  </si>
  <si>
    <t>E33149364_1_20251210T095622Z.jpg</t>
  </si>
  <si>
    <t>9 Ангар пилорама\E33149364_1_20251210T095622Z.jpg</t>
  </si>
  <si>
    <t>ср 10.12.2025 — 09:56:22</t>
  </si>
  <si>
    <t>E33149364_1_20251210T105941Z.jpg</t>
  </si>
  <si>
    <t>9 Ангар пилорама\E33149364_1_20251210T105941Z.jpg</t>
  </si>
  <si>
    <t>ср 10.12.2025 — 10:59:41</t>
  </si>
  <si>
    <t>E33149364_1_20251210T110617Z.jpg</t>
  </si>
  <si>
    <t>9 Ангар пилорама\E33149364_1_20251210T110617Z.jpg</t>
  </si>
  <si>
    <t>ср 10.12.2025 — 11:06:17</t>
  </si>
  <si>
    <t>E33149364_1_20251210T115405Z.jpg</t>
  </si>
  <si>
    <t>9 Ангар пилорама\E33149364_1_20251210T115405Z.jpg</t>
  </si>
  <si>
    <t>ср 10.12.2025 — 11:54:05</t>
  </si>
  <si>
    <t>E33149364_1_20251210T120731Z.jpg</t>
  </si>
  <si>
    <t>9 Ангар пилорама\E33149364_1_20251210T120731Z.jpg</t>
  </si>
  <si>
    <t>ср 10.12.2025 — 12:07:31</t>
  </si>
  <si>
    <t>E33149364_1_20251210T123147Z.jpg</t>
  </si>
  <si>
    <t>9 Ангар пилорама\E33149364_1_20251210T123147Z.jpg</t>
  </si>
  <si>
    <t>ср 10.12.2025 — 12:31:47</t>
  </si>
  <si>
    <t>E33149364_1_20251210T125645Z.jpg</t>
  </si>
  <si>
    <t>9 Ангар пилорама\E33149364_1_20251210T125645Z.jpg</t>
  </si>
  <si>
    <t>ср 10.12.2025 — 12:56:45</t>
  </si>
  <si>
    <t>E33149364_1_20251210T154006Z.jpg</t>
  </si>
  <si>
    <t>9 Ангар пилорама\E33149364_1_20251210T154006Z.jpg</t>
  </si>
  <si>
    <t>ср 10.12.2025 — 15:40:06</t>
  </si>
  <si>
    <t>E33149364_1_20251210T154352Z.jpg</t>
  </si>
  <si>
    <t>9 Ангар пилорама\E33149364_1_20251210T154352Z.jpg</t>
  </si>
  <si>
    <t>ср 10.12.2025 — 15:43:52</t>
  </si>
  <si>
    <t>E33149364_1_20251210T155933Z.jpg</t>
  </si>
  <si>
    <t>9 Ангар пилорама\E33149364_1_20251210T155933Z.jpg</t>
  </si>
  <si>
    <t>ср 10.12.2025 — 15:59:33</t>
  </si>
  <si>
    <t>E33149364_1_20251211T091221Z.jpg</t>
  </si>
  <si>
    <t>9 Ангар пилорама\E33149364_1_20251211T091221Z.jpg</t>
  </si>
  <si>
    <t>чт 11.12.2025 — 09:12:21</t>
  </si>
  <si>
    <t>E33149364_1_20251211T201257Z.jpg</t>
  </si>
  <si>
    <t>9 Ангар пилорама\E33149364_1_20251211T201257Z.jpg</t>
  </si>
  <si>
    <t>чт 11.12.2025 — 20:12:57</t>
  </si>
  <si>
    <t>E33149364_1_20251211T203243Z.jpg</t>
  </si>
  <si>
    <t>9 Ангар пилорама\E33149364_1_20251211T203243Z.jpg</t>
  </si>
  <si>
    <t>чт 11.12.2025 — 20:32:43</t>
  </si>
  <si>
    <t>E33149364_1_20251211T214101Z.jpg</t>
  </si>
  <si>
    <t>9 Ангар пилорама\E33149364_1_20251211T214101Z.jpg</t>
  </si>
  <si>
    <t>чт 11.12.2025 — 21:41:01</t>
  </si>
  <si>
    <t>E33149364_1_20251211T231657Z.jpg</t>
  </si>
  <si>
    <t>9 Ангар пилорама\E33149364_1_20251211T231657Z.jpg</t>
  </si>
  <si>
    <t>чт 11.12.2025 — 23:16:57</t>
  </si>
  <si>
    <t>E33149364_4_20251209T145412Z.jpg</t>
  </si>
  <si>
    <t>C:\ВИДЕОНАБЛЮДЕНИЕ\11 С ангара на базу\captrue\</t>
  </si>
  <si>
    <t>11 С ангара на базу\E33149364_4_20251209T145412Z.jpg</t>
  </si>
  <si>
    <t>вт 09.12.2025 — 14:54:12</t>
  </si>
  <si>
    <t>E33149364_4_20251209T150204Z.jpg</t>
  </si>
  <si>
    <t>11 С ангара на базу\E33149364_4_20251209T150204Z.jpg</t>
  </si>
  <si>
    <t>вт 09.12.2025 — 15:02:04</t>
  </si>
  <si>
    <t>E33149364_4_20251209T151029Z.jpg</t>
  </si>
  <si>
    <t>11 С ангара на базу\E33149364_4_20251209T151029Z.jpg</t>
  </si>
  <si>
    <t>вт 09.12.2025 — 15:10:29</t>
  </si>
  <si>
    <t>E33149364_4_20251210T121206Z.jpg</t>
  </si>
  <si>
    <t>11 С ангара на базу\E33149364_4_20251210T121206Z.jpg</t>
  </si>
  <si>
    <t>ср 10.12.2025 — 12:12:06</t>
  </si>
  <si>
    <t>E33149364_4_20251211T145553Z.jpg</t>
  </si>
  <si>
    <t>11 С ангара на базу\E33149364_4_20251211T145553Z.jpg</t>
  </si>
  <si>
    <t>чт 11.12.2025 — 14:55:53</t>
  </si>
  <si>
    <t>E33149364_4_20251211T145746Z.jpg</t>
  </si>
  <si>
    <t>11 С ангара на базу\E33149364_4_20251211T145746Z.jpg</t>
  </si>
  <si>
    <t>чт 11.12.2025 — 14:57:46</t>
  </si>
  <si>
    <t>E33149364_4_20251211T151503Z.jpg</t>
  </si>
  <si>
    <t>11 С ангара на базу\E33149364_4_20251211T151503Z.jpg</t>
  </si>
  <si>
    <t>чт 11.12.2025 — 15:15:03</t>
  </si>
  <si>
    <t>E33149364_4_20251211T172016Z.jpg</t>
  </si>
  <si>
    <t>11 С ангара на базу\E33149364_4_20251211T172016Z.jpg</t>
  </si>
  <si>
    <t>чт 11.12.2025 — 17:20:16</t>
  </si>
  <si>
    <t>K07156189_20_20251209T175359Z.jpg</t>
  </si>
  <si>
    <t>12 Площадка 3 кран\K07156189_20_20251209T175359Z.jpg</t>
  </si>
  <si>
    <t>вт 09.12.2025 — 17:53:59</t>
  </si>
  <si>
    <t>K07156189_20_20251210T155451Z.jpg</t>
  </si>
  <si>
    <t>12 Площадка 3 кран\K07156189_20_20251210T155451Z.jpg</t>
  </si>
  <si>
    <t>ср 10.12.2025 — 15:54:51</t>
  </si>
  <si>
    <t>K07156189_20_20251211T102226Z.jpg</t>
  </si>
  <si>
    <t>12 Площадка 3 кран\K07156189_20_20251211T102226Z.jpg</t>
  </si>
  <si>
    <t>чт 11.12.2025 — 10:22:26</t>
  </si>
  <si>
    <t>K07156189_23_20251209T101251Z.jpg</t>
  </si>
  <si>
    <t>13 Склад хол\K07156189_23_20251209T101251Z.jpg</t>
  </si>
  <si>
    <t>вт 09.12.2025 — 10:12:51</t>
  </si>
  <si>
    <t>K07156189_23_20251209T101315Z.jpg</t>
  </si>
  <si>
    <t>13 Склад хол\K07156189_23_20251209T101315Z.jpg</t>
  </si>
  <si>
    <t>вт 09.12.2025 — 10:13:15</t>
  </si>
  <si>
    <t>K07156189_23_20251209T154233Z.jpg</t>
  </si>
  <si>
    <t>13 Склад хол\K07156189_23_20251209T154233Z.jpg</t>
  </si>
  <si>
    <t>вт 09.12.2025 — 15:42:33</t>
  </si>
  <si>
    <t>K07156189_23_20251210T120334Z.jpg</t>
  </si>
  <si>
    <t>13 Склад хол\K07156189_23_20251210T120334Z.jpg</t>
  </si>
  <si>
    <t>ср 10.12.2025 — 12:03:34</t>
  </si>
  <si>
    <t>K07156189_23_20251210T121132Z.jpg</t>
  </si>
  <si>
    <t>13 Склад хол\K07156189_23_20251210T121132Z.jpg</t>
  </si>
  <si>
    <t>ср 10.12.2025 — 12:11:32</t>
  </si>
  <si>
    <t>K07156189_23_20251211T204316Z.jpg</t>
  </si>
  <si>
    <t>13 Склад хол\K07156189_23_20251211T204316Z.jpg</t>
  </si>
  <si>
    <t>чт 11.12.2025 — 20:43:16</t>
  </si>
  <si>
    <t>E33149364_8_20251209T121555Z.jpg</t>
  </si>
  <si>
    <t>вт 09.12.2025 — 12:15:55</t>
  </si>
  <si>
    <t>E33149364_8_20251209T125803Z.jpg</t>
  </si>
  <si>
    <t>вт 09.12.2025 — 12:58:03</t>
  </si>
  <si>
    <t>E33149364_8_20251209T170557Z.jpg</t>
  </si>
  <si>
    <t>вт 09.12.2025 — 17:05:57</t>
  </si>
  <si>
    <t>E33149364_8_20251210T151750Z.jpg</t>
  </si>
  <si>
    <t>ср 10.12.2025 — 15:17:50</t>
  </si>
  <si>
    <t>K07156189_21_20251209T121737Z.jpg</t>
  </si>
  <si>
    <t>4 Крыльцо офиса\K07156189_21_20251209T121737Z.jpg</t>
  </si>
  <si>
    <t>вт 09.12.2025 — 12:17:37</t>
  </si>
  <si>
    <t>K07156189_21_20251209T121745Z.jpg</t>
  </si>
  <si>
    <t>4 Крыльцо офиса\K07156189_21_20251209T121745Z.jpg</t>
  </si>
  <si>
    <t>вт 09.12.2025 — 12:17:45</t>
  </si>
  <si>
    <t>K07156189_21_20251209T121915Z.jpg</t>
  </si>
  <si>
    <t>4 Крыльцо офиса\K07156189_21_20251209T121915Z.jpg</t>
  </si>
  <si>
    <t>вт 09.12.2025 — 12:19:15</t>
  </si>
  <si>
    <t>K07156189_21_20251210T150852Z.jpg</t>
  </si>
  <si>
    <t>4 Крыльцо офиса\K07156189_21_20251210T150852Z.jpg</t>
  </si>
  <si>
    <t>ср 10.12.2025 — 15:08:52</t>
  </si>
  <si>
    <t>K07156189_22_20251209T161435Z.jpg</t>
  </si>
  <si>
    <t>5 Крыльцо общага\K07156189_22_20251209T161435Z.jpg</t>
  </si>
  <si>
    <t>вт 09.12.2025 — 16:14:35</t>
  </si>
  <si>
    <t>K07156189_22_20251210T111616Z.jpg</t>
  </si>
  <si>
    <t>5 Крыльцо общага\K07156189_22_20251210T111616Z.jpg</t>
  </si>
  <si>
    <t>ср 10.12.2025 — 11:16:16</t>
  </si>
  <si>
    <t>K07156189_22_20251210T161541Z.jpg</t>
  </si>
  <si>
    <t>5 Крыльцо общага\K07156189_22_20251210T161541Z.jpg</t>
  </si>
  <si>
    <t>ср 10.12.2025 — 16:15:41</t>
  </si>
  <si>
    <t>E33149364_2_20251209T162636Z.jpg</t>
  </si>
  <si>
    <t>8 Рейсмус\E33149364_2_20251209T162636Z.jpg</t>
  </si>
  <si>
    <t>вт 09.12.2025 — 16:26:36</t>
  </si>
  <si>
    <t>E33149364_2_20251210T105719Z.jpg</t>
  </si>
  <si>
    <t>8 Рейсмус\E33149364_2_20251210T105719Z.jpg</t>
  </si>
  <si>
    <t>ср 10.12.2025 — 10:57:19</t>
  </si>
  <si>
    <t>E33149364_2_20251210T144538Z.jpg</t>
  </si>
  <si>
    <t>8 Рейсмус\E33149364_2_20251210T144538Z.jpg</t>
  </si>
  <si>
    <t>ср 10.12.2025 — 14:45:38</t>
  </si>
  <si>
    <t>E33149364_2_20251210T144542Z.jpg</t>
  </si>
  <si>
    <t>8 Рейсмус\E33149364_2_20251210T144542Z.jpg</t>
  </si>
  <si>
    <t>ср 10.12.2025 — 14:45:42</t>
  </si>
  <si>
    <t>E33149364_2_20251210T144651Z.jpg</t>
  </si>
  <si>
    <t>8 Рейсмус\E33149364_2_20251210T144651Z.jpg</t>
  </si>
  <si>
    <t>ср 10.12.2025 — 14:46:51</t>
  </si>
  <si>
    <t>E33149364_2_20251210T152944Z.jpg</t>
  </si>
  <si>
    <t>8 Рейсмус\E33149364_2_20251210T152944Z.jpg</t>
  </si>
  <si>
    <t>ср 10.12.2025 — 15:29:44</t>
  </si>
  <si>
    <t>E33149364_2_20251210T155125Z.jpg</t>
  </si>
  <si>
    <t>8 Рейсмус\E33149364_2_20251210T155125Z.jpg</t>
  </si>
  <si>
    <t>ср 10.12.2025 — 15:51:25</t>
  </si>
  <si>
    <t>E33149364_2_20251210T155629Z.jpg</t>
  </si>
  <si>
    <t>8 Рейсмус\E33149364_2_20251210T155629Z.jpg</t>
  </si>
  <si>
    <t>ср 10.12.2025 — 15:56:29</t>
  </si>
  <si>
    <t>E33149364_2_20251211T233847Z.jpg</t>
  </si>
  <si>
    <t>8 Рейсмус\E33149364_2_20251211T233847Z.jpg</t>
  </si>
  <si>
    <t>чт 11.12.2025 — 23:38:47</t>
  </si>
  <si>
    <t>E33149364_3_20251209T085928Z.jpg</t>
  </si>
  <si>
    <t>10 Сушилка навес\E33149364_3_20251209T085928Z.jpg</t>
  </si>
  <si>
    <t>вт 09.12.2025 — 08:59:28</t>
  </si>
  <si>
    <t>E33149364_3_20251209T100711Z.jpg</t>
  </si>
  <si>
    <t>10 Сушилка навес\E33149364_3_20251209T100711Z.jpg</t>
  </si>
  <si>
    <t>вт 09.12.2025 — 10:07:11</t>
  </si>
  <si>
    <t>E33149364_3_20251209T113832Z.jpg</t>
  </si>
  <si>
    <t>10 Сушилка навес\E33149364_3_20251209T113832Z.jpg</t>
  </si>
  <si>
    <t>вт 09.12.2025 — 11:38:32</t>
  </si>
  <si>
    <t>E33149364_3_20251209T145541Z.jpg</t>
  </si>
  <si>
    <t>10 Сушилка навес\E33149364_3_20251209T145541Z.jpg</t>
  </si>
  <si>
    <t>вт 09.12.2025 — 14:55:41</t>
  </si>
  <si>
    <t>E33149364_3_20251209T150325Z.jpg</t>
  </si>
  <si>
    <t>10 Сушилка навес\E33149364_3_20251209T150325Z.jpg</t>
  </si>
  <si>
    <t>вт 09.12.2025 — 15:03:25</t>
  </si>
  <si>
    <t>E33149364_3_20251209T151206Z.jpg</t>
  </si>
  <si>
    <t>10 Сушилка навес\E33149364_3_20251209T151206Z.jpg</t>
  </si>
  <si>
    <t>вт 09.12.2025 — 15:12:06</t>
  </si>
  <si>
    <t>E33149364_3_20251210T084548Z.jpg</t>
  </si>
  <si>
    <t>10 Сушилка навес\E33149364_3_20251210T084548Z.jpg</t>
  </si>
  <si>
    <t>ср 10.12.2025 — 08:45:48</t>
  </si>
  <si>
    <t>E33149364_3_20251210T090139Z.jpg</t>
  </si>
  <si>
    <t>10 Сушилка навес\E33149364_3_20251210T090139Z.jpg</t>
  </si>
  <si>
    <t>ср 10.12.2025 — 09:01:39</t>
  </si>
  <si>
    <t>E33149364_3_20251210T090149Z.jpg</t>
  </si>
  <si>
    <t>10 Сушилка навес\E33149364_3_20251210T090149Z.jpg</t>
  </si>
  <si>
    <t>ср 10.12.2025 — 09:01:49</t>
  </si>
  <si>
    <t>E33149364_3_20251210T090932Z.jpg</t>
  </si>
  <si>
    <t>10 Сушилка навес\E33149364_3_20251210T090932Z.jpg</t>
  </si>
  <si>
    <t>ср 10.12.2025 — 09:09:32</t>
  </si>
  <si>
    <t>E33149364_3_20251210T091054Z.jpg</t>
  </si>
  <si>
    <t>10 Сушилка навес\E33149364_3_20251210T091054Z.jpg</t>
  </si>
  <si>
    <t>ср 10.12.2025 — 09:10:54</t>
  </si>
  <si>
    <t>E33149364_3_20251210T094520Z.jpg</t>
  </si>
  <si>
    <t>10 Сушилка навес\E33149364_3_20251210T094520Z.jpg</t>
  </si>
  <si>
    <t>ср 10.12.2025 — 09:45:20</t>
  </si>
  <si>
    <t>E33149364_3_20251210T115614Z.jpg</t>
  </si>
  <si>
    <t>10 Сушилка навес\E33149364_3_20251210T115614Z.jpg</t>
  </si>
  <si>
    <t>ср 10.12.2025 — 11:56:14</t>
  </si>
  <si>
    <t>E33149364_3_20251210T115623Z.jpg</t>
  </si>
  <si>
    <t>10 Сушилка навес\E33149364_3_20251210T115623Z.jpg</t>
  </si>
  <si>
    <t>ср 10.12.2025 — 11:56:23</t>
  </si>
  <si>
    <t>E33149364_3_20251210T120511Z.jpg</t>
  </si>
  <si>
    <t>10 Сушилка навес\E33149364_3_20251210T120511Z.jpg</t>
  </si>
  <si>
    <t>ср 10.12.2025 — 12:05:11</t>
  </si>
  <si>
    <t>E33149364_3_20251210T121317Z.jpg</t>
  </si>
  <si>
    <t>10 Сушилка навес\E33149364_3_20251210T121317Z.jpg</t>
  </si>
  <si>
    <t>ср 10.12.2025 — 12:13:17</t>
  </si>
  <si>
    <t>E33149364_3_20251211T091501Z.jpg</t>
  </si>
  <si>
    <t>10 Сушилка навес\E33149364_3_20251211T091501Z.jpg</t>
  </si>
  <si>
    <t>чт 11.12.2025 — 09:15:01</t>
  </si>
  <si>
    <t>E33149364_3_20251211T132030Z.jpg</t>
  </si>
  <si>
    <t>10 Сушилка навес\E33149364_3_20251211T132030Z.jpg</t>
  </si>
  <si>
    <t>чт 11.12.2025 — 13:20:30</t>
  </si>
  <si>
    <t>E33149364_3_20251211T165723Z.jpg</t>
  </si>
  <si>
    <t>10 Сушилка навес\E33149364_3_20251211T165723Z.jpg</t>
  </si>
  <si>
    <t>чт 11.12.2025 — 16:57:23</t>
  </si>
  <si>
    <t>E33149364_7_20251211T145657Z.jpg</t>
  </si>
  <si>
    <t>2 Пилорама поката\E33149364_7_20251211T145657Z.jpg</t>
  </si>
  <si>
    <t>чт 11.12.2025 — 14:56:57</t>
  </si>
  <si>
    <t>E33149364_7_20251212T103754Z.jpg</t>
  </si>
  <si>
    <t>2 Пилорама поката\E33149364_7_20251212T103754Z.jpg</t>
  </si>
  <si>
    <t>пт 12.12.2025 — 10:37:54</t>
  </si>
  <si>
    <t>E33149364_7_20251212T110134Z.jpg</t>
  </si>
  <si>
    <t>2 Пилорама поката\E33149364_7_20251212T110134Z.jpg</t>
  </si>
  <si>
    <t>пт 12.12.2025 — 11:01:34</t>
  </si>
  <si>
    <t>E33149364_7_20251212T111818Z.jpg</t>
  </si>
  <si>
    <t>2 Пилорама поката\E33149364_7_20251212T111818Z.jpg</t>
  </si>
  <si>
    <t>пт 12.12.2025 — 11:18:18</t>
  </si>
  <si>
    <t>E33149364_7_20251212T112745Z.jpg</t>
  </si>
  <si>
    <t>2 Пилорама поката\E33149364_7_20251212T112745Z.jpg</t>
  </si>
  <si>
    <t>пт 12.12.2025 — 11:27:45</t>
  </si>
  <si>
    <t>E33149364_7_20251212T113413Z.jpg</t>
  </si>
  <si>
    <t>2 Пилорама поката\E33149364_7_20251212T113413Z.jpg</t>
  </si>
  <si>
    <t>пт 12.12.2025 — 11:34:13</t>
  </si>
  <si>
    <t>E33149364_7_20251212T114437Z.jpg</t>
  </si>
  <si>
    <t>2 Пилорама поката\E33149364_7_20251212T114437Z.jpg</t>
  </si>
  <si>
    <t>пт 12.12.2025 — 11:44:37</t>
  </si>
  <si>
    <t>E33149364_7_20251212T120819Z.jpg</t>
  </si>
  <si>
    <t>2 Пилорама поката\E33149364_7_20251212T120819Z.jpg</t>
  </si>
  <si>
    <t>пт 12.12.2025 — 12:08:19</t>
  </si>
  <si>
    <t>E33149364_7_20251212T122100Z.jpg</t>
  </si>
  <si>
    <t>2 Пилорама поката\E33149364_7_20251212T122100Z.jpg</t>
  </si>
  <si>
    <t>пт 12.12.2025 — 12:21:00</t>
  </si>
  <si>
    <t>K07156189_21_20251211T113255Z.jpg</t>
  </si>
  <si>
    <t>4 Крыльцо офиса\K07156189_21_20251211T113255Z.jpg</t>
  </si>
  <si>
    <t>чт 11.12.2025 — 11:32:55</t>
  </si>
  <si>
    <t>K07156189_21_20251211T161131Z.jpg</t>
  </si>
  <si>
    <t>4 Крыльцо офиса\K07156189_21_20251211T161131Z.jpg</t>
  </si>
  <si>
    <t>чт 11.12.2025 — 16:11:31</t>
  </si>
  <si>
    <t>K07156189_21_20251212T151252Z.jpg</t>
  </si>
  <si>
    <t>4 Крыльцо офиса\K07156189_21_20251212T151252Z.jpg</t>
  </si>
  <si>
    <t>пт 12.12.2025 — 15:12:52</t>
  </si>
  <si>
    <t>K07156189_21_20251212T174226Z.jpg</t>
  </si>
  <si>
    <t>4 Крыльцо офиса\K07156189_21_20251212T174226Z.jpg</t>
  </si>
  <si>
    <t>пт 12.12.2025 — 17:42:26</t>
  </si>
  <si>
    <t>E33149364_6_20251211T170609Z.jpg</t>
  </si>
  <si>
    <t>1 Ангар Склад 2 въезд\E33149364_6_20251211T170609Z.jpg</t>
  </si>
  <si>
    <t>чт 11.12.2025 — 17:06:09</t>
  </si>
  <si>
    <t>E33149364_6_20251212T174150Z.jpg</t>
  </si>
  <si>
    <t>1 Ангар Склад 2 въезд\E33149364_6_20251212T174150Z.jpg</t>
  </si>
  <si>
    <t>пт 12.12.2025 — 17:41:50</t>
  </si>
  <si>
    <t>E33149364_8_20251211T132921Z.jpg</t>
  </si>
  <si>
    <t>чт 11.12.2025 — 13:29:21</t>
  </si>
  <si>
    <t>E33149364_8_20251211T160622Z.jpg</t>
  </si>
  <si>
    <t>чт 11.12.2025 — 16:06:22</t>
  </si>
  <si>
    <t>E33149364_8_20251212T113525Z.jpg</t>
  </si>
  <si>
    <t>пт 12.12.2025 — 11:35:25</t>
  </si>
  <si>
    <t>K07156189_22_20251211T171045Z.jpg</t>
  </si>
  <si>
    <t>5 Крыльцо общага\K07156189_22_20251211T171045Z.jpg</t>
  </si>
  <si>
    <t>чт 11.12.2025 — 17:10:45</t>
  </si>
  <si>
    <t>K07156189_22_20251212T101437Z.jpg</t>
  </si>
  <si>
    <t>5 Крыльцо общага\K07156189_22_20251212T101437Z.jpg</t>
  </si>
  <si>
    <t>пт 12.12.2025 — 10:14:37</t>
  </si>
  <si>
    <t>K07156189_22_20251212T103657Z.jpg</t>
  </si>
  <si>
    <t>5 Крыльцо общага\K07156189_22_20251212T103657Z.jpg</t>
  </si>
  <si>
    <t>пт 12.12.2025 — 10:36:57</t>
  </si>
  <si>
    <t>K07156189_22_20251212T165922Z.jpg</t>
  </si>
  <si>
    <t>5 Крыльцо общага\K07156189_22_20251212T165922Z.jpg</t>
  </si>
  <si>
    <t>пт 12.12.2025 — 16:59:22</t>
  </si>
  <si>
    <t>826398429_1_20251212T114142Z.jpg</t>
  </si>
  <si>
    <t>6 Площадка 1 общага\826398429_1_20251212T114142Z.jpg</t>
  </si>
  <si>
    <t>пт 12.12.2025 — 11:41:42</t>
  </si>
  <si>
    <t>826398429_1_20251212T120448Z.jpg</t>
  </si>
  <si>
    <t>6 Площадка 1 общага\826398429_1_20251212T120448Z.jpg</t>
  </si>
  <si>
    <t>пт 12.12.2025 — 12:04:48</t>
  </si>
  <si>
    <t>826398429_1_20251212T121831Z.jpg</t>
  </si>
  <si>
    <t>6 Площадка 1 общага\826398429_1_20251212T121831Z.jpg</t>
  </si>
  <si>
    <t>пт 12.12.2025 — 12:18:31</t>
  </si>
  <si>
    <t>E33149364_2_20251212T122335Z.jpg</t>
  </si>
  <si>
    <t>8 Рейсмус\E33149364_2_20251212T122335Z.jpg</t>
  </si>
  <si>
    <t>пт 12.12.2025 — 12:23:35</t>
  </si>
  <si>
    <t>E33149364_3_20251212T090346Z.jpg</t>
  </si>
  <si>
    <t>10 Сушилка навес\E33149364_3_20251212T090346Z.jpg</t>
  </si>
  <si>
    <t>пт 12.12.2025 — 09:03:46</t>
  </si>
  <si>
    <t>E33149364_3_20251212T100840Z.jpg</t>
  </si>
  <si>
    <t>10 Сушилка навес\E33149364_3_20251212T100840Z.jpg</t>
  </si>
  <si>
    <t>пт 12.12.2025 — 10:08:40</t>
  </si>
  <si>
    <t>E33149364_3_20251212T103736Z.jpg</t>
  </si>
  <si>
    <t>10 Сушилка навес\E33149364_3_20251212T103736Z.jpg</t>
  </si>
  <si>
    <t>пт 12.12.2025 — 10:37:36</t>
  </si>
  <si>
    <t>E33149364_3_20251212T104151Z.jpg</t>
  </si>
  <si>
    <t>10 Сушилка навес\E33149364_3_20251212T104151Z.jpg</t>
  </si>
  <si>
    <t>пт 12.12.2025 — 10:41:51</t>
  </si>
  <si>
    <t>E33149364_3_20251212T104200Z.jpg</t>
  </si>
  <si>
    <t>10 Сушилка навес\E33149364_3_20251212T104200Z.jpg</t>
  </si>
  <si>
    <t>пт 12.12.2025 — 10:42:00</t>
  </si>
  <si>
    <t>E33149364_3_20251212T104711Z.jpg</t>
  </si>
  <si>
    <t>10 Сушилка навес\E33149364_3_20251212T104711Z.jpg</t>
  </si>
  <si>
    <t>пт 12.12.2025 — 10:47:11</t>
  </si>
  <si>
    <t>E33149364_3_20251212T104833Z.jpg</t>
  </si>
  <si>
    <t>10 Сушилка навес\E33149364_3_20251212T104833Z.jpg</t>
  </si>
  <si>
    <t>пт 12.12.2025 — 10:48:33</t>
  </si>
  <si>
    <t>E33149364_3_20251212T110052Z.jpg</t>
  </si>
  <si>
    <t>10 Сушилка навес\E33149364_3_20251212T110052Z.jpg</t>
  </si>
  <si>
    <t>пт 12.12.2025 — 11:00:52</t>
  </si>
  <si>
    <t>E33149364_3_20251212T111741Z.jpg</t>
  </si>
  <si>
    <t>10 Сушилка навес\E33149364_3_20251212T111741Z.jpg</t>
  </si>
  <si>
    <t>пт 12.12.2025 — 11:17:41</t>
  </si>
  <si>
    <t>E33149364_3_20251212T112701Z.jpg</t>
  </si>
  <si>
    <t>10 Сушилка навес\E33149364_3_20251212T112701Z.jpg</t>
  </si>
  <si>
    <t>пт 12.12.2025 — 11:27:01</t>
  </si>
  <si>
    <t>E33149364_3_20251212T113333Z.jpg</t>
  </si>
  <si>
    <t>10 Сушилка навес\E33149364_3_20251212T113333Z.jpg</t>
  </si>
  <si>
    <t>пт 12.12.2025 — 11:33:33</t>
  </si>
  <si>
    <t>E33149364_3_20251212T114400Z.jpg</t>
  </si>
  <si>
    <t>10 Сушилка навес\E33149364_3_20251212T114400Z.jpg</t>
  </si>
  <si>
    <t>пт 12.12.2025 — 11:44:00</t>
  </si>
  <si>
    <t>E33149364_3_20251212T120737Z.jpg</t>
  </si>
  <si>
    <t>10 Сушилка навес\E33149364_3_20251212T120737Z.jpg</t>
  </si>
  <si>
    <t>пт 12.12.2025 — 12:07:37</t>
  </si>
  <si>
    <t>E33149364_3_20251212T122024Z.jpg</t>
  </si>
  <si>
    <t>10 Сушилка навес\E33149364_3_20251212T122024Z.jpg</t>
  </si>
  <si>
    <t>пт 12.12.2025 — 12:20:24</t>
  </si>
  <si>
    <t>E33149364_3_20251212T161944Z.jpg</t>
  </si>
  <si>
    <t>10 Сушилка навес\E33149364_3_20251212T161944Z.jpg</t>
  </si>
  <si>
    <t>пт 12.12.2025 — 16:19:44</t>
  </si>
  <si>
    <t>E33149364_4_20251212T104310Z.jpg</t>
  </si>
  <si>
    <t>11 С ангара на базу\E33149364_4_20251212T104310Z.jpg</t>
  </si>
  <si>
    <t>пт 12.12.2025 — 10:43:10</t>
  </si>
  <si>
    <t>E33149364_4_20251212T143646Z.jpg</t>
  </si>
  <si>
    <t>11 С ангара на базу\E33149364_4_20251212T143646Z.jpg</t>
  </si>
  <si>
    <t>пт 12.12.2025 — 14:36:46</t>
  </si>
  <si>
    <t>E33149364_4_20251212T165109Z.jpg</t>
  </si>
  <si>
    <t>11 С ангара на базу\E33149364_4_20251212T165109Z.jpg</t>
  </si>
  <si>
    <t>пт 12.12.2025 — 16:51:09</t>
  </si>
  <si>
    <t>E33149364_1_20251212T002648Z.jpg</t>
  </si>
  <si>
    <t>9 Ангар пилорама\E33149364_1_20251212T002648Z.jpg</t>
  </si>
  <si>
    <t>пт 12.12.2025 — 00:26:48</t>
  </si>
  <si>
    <t>E33149364_1_20251212T004421Z.jpg</t>
  </si>
  <si>
    <t>9 Ангар пилорама\E33149364_1_20251212T004421Z.jpg</t>
  </si>
  <si>
    <t>пт 12.12.2025 — 00:44:21</t>
  </si>
  <si>
    <t>E33149364_1_20251212T005907Z.jpg</t>
  </si>
  <si>
    <t>9 Ангар пилорама\E33149364_1_20251212T005907Z.jpg</t>
  </si>
  <si>
    <t>пт 12.12.2025 — 00:59:07</t>
  </si>
  <si>
    <t>E33149364_1_20251212T071338Z.jpg</t>
  </si>
  <si>
    <t>9 Ангар пилорама\E33149364_1_20251212T071338Z.jpg</t>
  </si>
  <si>
    <t>пт 12.12.2025 — 07:13:38</t>
  </si>
  <si>
    <t>E33149364_1_20251212T074050Z.jpg</t>
  </si>
  <si>
    <t>9 Ангар пилорама\E33149364_1_20251212T074050Z.jpg</t>
  </si>
  <si>
    <t>пт 12.12.2025 — 07:40:50</t>
  </si>
  <si>
    <t>E33149364_1_20251212T082706Z.jpg</t>
  </si>
  <si>
    <t>9 Ангар пилорама\E33149364_1_20251212T082706Z.jpg</t>
  </si>
  <si>
    <t>пт 12.12.2025 — 08:27:06</t>
  </si>
  <si>
    <t>E33149364_1_20251212T083357Z.jpg</t>
  </si>
  <si>
    <t>9 Ангар пилорама\E33149364_1_20251212T083357Z.jpg</t>
  </si>
  <si>
    <t>пт 12.12.2025 — 08:33:57</t>
  </si>
  <si>
    <t>E33149364_1_20251212T084503Z.jpg</t>
  </si>
  <si>
    <t>9 Ангар пилорама\E33149364_1_20251212T084503Z.jpg</t>
  </si>
  <si>
    <t>пт 12.12.2025 — 08:45:03</t>
  </si>
  <si>
    <t>E33149364_1_20251212T084933Z.jpg</t>
  </si>
  <si>
    <t>9 Ангар пилорама\E33149364_1_20251212T084933Z.jpg</t>
  </si>
  <si>
    <t>пт 12.12.2025 — 08:49:33</t>
  </si>
  <si>
    <t>E33149364_1_20251212T090335Z.jpg</t>
  </si>
  <si>
    <t>9 Ангар пилорама\E33149364_1_20251212T090335Z.jpg</t>
  </si>
  <si>
    <t>пт 12.12.2025 — 09:03:35</t>
  </si>
  <si>
    <t>E33149364_1_20251212T091806Z.jpg</t>
  </si>
  <si>
    <t>9 Ангар пилорама\E33149364_1_20251212T091806Z.jpg</t>
  </si>
  <si>
    <t>пт 12.12.2025 — 09:18:06</t>
  </si>
  <si>
    <t>E33149364_1_20251212T100937Z.jpg</t>
  </si>
  <si>
    <t>9 Ангар пилорама\E33149364_1_20251212T100937Z.jpg</t>
  </si>
  <si>
    <t>пт 12.12.2025 — 10:09:37</t>
  </si>
  <si>
    <t>E33149364_1_20251212T104324Z.jpg</t>
  </si>
  <si>
    <t>9 Ангар пилорама\E33149364_1_20251212T104324Z.jpg</t>
  </si>
  <si>
    <t>пт 12.12.2025 — 10:43:24</t>
  </si>
  <si>
    <t>E33149364_1_20251212T122354Z.jpg</t>
  </si>
  <si>
    <t>9 Ангар пилорама\E33149364_1_20251212T122354Z.jpg</t>
  </si>
  <si>
    <t>пт 12.12.2025 — 12:23:54</t>
  </si>
  <si>
    <t>E33149364_1_20251212T194305Z.jpg</t>
  </si>
  <si>
    <t>9 Ангар пилорама\E33149364_1_20251212T194305Z.jpg</t>
  </si>
  <si>
    <t>пт 12.12.2025 — 19:43:05</t>
  </si>
  <si>
    <t>E33149364_1_20251212T202356Z.jpg</t>
  </si>
  <si>
    <t>9 Ангар пилорама\E33149364_1_20251212T202356Z.jpg</t>
  </si>
  <si>
    <t>пт 12.12.2025 — 20:23:56</t>
  </si>
  <si>
    <t>E33149364_1_20251212T210351Z.jpg</t>
  </si>
  <si>
    <t>9 Ангар пилорама\E33149364_1_20251212T210351Z.jpg</t>
  </si>
  <si>
    <t>пт 12.12.2025 — 21:03:51</t>
  </si>
  <si>
    <t>E33149364_1_20251212T222522Z.jpg</t>
  </si>
  <si>
    <t>9 Ангар пилорама\E33149364_1_20251212T222522Z.jpg</t>
  </si>
  <si>
    <t>пт 12.12.2025 — 22:25:22</t>
  </si>
  <si>
    <t>E33149364_1_20251212T230011Z.jpg</t>
  </si>
  <si>
    <t>9 Ангар пилорама\E33149364_1_20251212T230011Z.jpg</t>
  </si>
  <si>
    <t>пт 12.12.2025 — 23:00:11</t>
  </si>
  <si>
    <t>K07156189_23_20251212T101415Z.jpg</t>
  </si>
  <si>
    <t>13 Склад хол\K07156189_23_20251212T101415Z.jpg</t>
  </si>
  <si>
    <t>пт 12.12.2025 — 10:14:15</t>
  </si>
  <si>
    <t>K07156189_23_20251212T112535Z.jpg</t>
  </si>
  <si>
    <t>13 Склад хол\K07156189_23_20251212T112535Z.jpg</t>
  </si>
  <si>
    <t>пт 12.12.2025 — 11:25:35</t>
  </si>
  <si>
    <t>K07156189_23_20251212T114222Z.jpg</t>
  </si>
  <si>
    <t>13 Склад хол\K07156189_23_20251212T114222Z.jpg</t>
  </si>
  <si>
    <t>пт 12.12.2025 — 11:42:22</t>
  </si>
  <si>
    <t>K07156189_23_20251213T131512Z.jpg</t>
  </si>
  <si>
    <t>13 Склад хол\K07156189_23_20251213T131512Z.jpg</t>
  </si>
  <si>
    <t>сб 13.12.2025 — 13:15:12</t>
  </si>
  <si>
    <t>K07156189_23_20251213T135952Z.jpg</t>
  </si>
  <si>
    <t>13 Склад хол\K07156189_23_20251213T135952Z.jpg</t>
  </si>
  <si>
    <t>сб 13.12.2025 — 13:59:52</t>
  </si>
  <si>
    <t>K07156189_20_20251212T093952Z.jpg</t>
  </si>
  <si>
    <t>12 Площадка 3 кран\K07156189_20_20251212T093952Z.jpg</t>
  </si>
  <si>
    <t>пт 12.12.2025 — 09:39:52</t>
  </si>
  <si>
    <t>K07156189_20_20251212T103652Z.jpg</t>
  </si>
  <si>
    <t>12 Площадка 3 кран\K07156189_20_20251212T103652Z.jpg</t>
  </si>
  <si>
    <t>пт 12.12.2025 — 10:36:52</t>
  </si>
  <si>
    <t>K07156189_20_20251212T103702Z.jpg</t>
  </si>
  <si>
    <t>12 Площадка 3 кран\K07156189_20_20251212T103702Z.jpg</t>
  </si>
  <si>
    <t>пт 12.12.2025 — 10:37:02</t>
  </si>
  <si>
    <t>K07156189_20_20251212T173713Z.jpg</t>
  </si>
  <si>
    <t>12 Площадка 3 кран\K07156189_20_20251212T173713Z.jpg</t>
  </si>
  <si>
    <t>пт 12.12.2025 — 17:37:13</t>
  </si>
  <si>
    <t>K07156189_20_20251213T173539Z.jpg</t>
  </si>
  <si>
    <t>12 Площадка 3 кран\K07156189_20_20251213T173539Z.jpg</t>
  </si>
  <si>
    <t>сб 13.12.2025 — 17:35:39</t>
  </si>
  <si>
    <t>E33149364_7_20251213T173441Z.jpg</t>
  </si>
  <si>
    <t>2 Пилорама поката\E33149364_7_20251213T173441Z.jpg</t>
  </si>
  <si>
    <t>сб 13.12.2025 — 17:34:41</t>
  </si>
  <si>
    <t>E33149364_6_20251213T095058Z.jpg</t>
  </si>
  <si>
    <t>1 Ангар Склад 2 въезд\E33149364_6_20251213T095058Z.jpg</t>
  </si>
  <si>
    <t>сб 13.12.2025 — 09:50:58</t>
  </si>
  <si>
    <t>E33149364_6_20251213T124230Z.jpg</t>
  </si>
  <si>
    <t>1 Ангар Склад 2 въезд\E33149364_6_20251213T124230Z.jpg</t>
  </si>
  <si>
    <t>сб 13.12.2025 — 12:42:30</t>
  </si>
  <si>
    <t>E33149364_6_20251213T124254Z.jpg</t>
  </si>
  <si>
    <t>1 Ангар Склад 2 въезд\E33149364_6_20251213T124254Z.jpg</t>
  </si>
  <si>
    <t>сб 13.12.2025 — 12:42:54</t>
  </si>
  <si>
    <t>E33149364_6_20251213T125310Z.jpg</t>
  </si>
  <si>
    <t>1 Ангар Склад 2 въезд\E33149364_6_20251213T125310Z.jpg</t>
  </si>
  <si>
    <t>сб 13.12.2025 — 12:53:10</t>
  </si>
  <si>
    <t>E33149364_6_20251213T125340Z.jpg</t>
  </si>
  <si>
    <t>1 Ангар Склад 2 въезд\E33149364_6_20251213T125340Z.jpg</t>
  </si>
  <si>
    <t>сб 13.12.2025 — 12:53:40</t>
  </si>
  <si>
    <t>E33149364_6_20251213T125657Z.jpg</t>
  </si>
  <si>
    <t>1 Ангар Склад 2 въезд\E33149364_6_20251213T125657Z.jpg</t>
  </si>
  <si>
    <t>сб 13.12.2025 — 12:56:57</t>
  </si>
  <si>
    <t>E33149364_6_20251213T132821Z.jpg</t>
  </si>
  <si>
    <t>1 Ангар Склад 2 въезд\E33149364_6_20251213T132821Z.jpg</t>
  </si>
  <si>
    <t>сб 13.12.2025 — 13:28:21</t>
  </si>
  <si>
    <t>K07156189_21_20251213T094612Z.jpg</t>
  </si>
  <si>
    <t>4 Крыльцо офиса\K07156189_21_20251213T094612Z.jpg</t>
  </si>
  <si>
    <t>сб 13.12.2025 — 09:46:12</t>
  </si>
  <si>
    <t>K07156189_21_20251213T094846Z.jpg</t>
  </si>
  <si>
    <t>4 Крыльцо офиса\K07156189_21_20251213T094846Z.jpg</t>
  </si>
  <si>
    <t>сб 13.12.2025 — 09:48:46</t>
  </si>
  <si>
    <t>K07156189_21_20251213T124242Z.jpg</t>
  </si>
  <si>
    <t>4 Крыльцо офиса\K07156189_21_20251213T124242Z.jpg</t>
  </si>
  <si>
    <t>сб 13.12.2025 — 12:42:42</t>
  </si>
  <si>
    <t>K07156189_21_20251213T124305Z.jpg</t>
  </si>
  <si>
    <t>4 Крыльцо офиса\K07156189_21_20251213T124305Z.jpg</t>
  </si>
  <si>
    <t>сб 13.12.2025 — 12:43:05</t>
  </si>
  <si>
    <t>K07156189_21_20251213T125306Z.jpg</t>
  </si>
  <si>
    <t>4 Крыльцо офиса\K07156189_21_20251213T125306Z.jpg</t>
  </si>
  <si>
    <t>сб 13.12.2025 — 12:53:06</t>
  </si>
  <si>
    <t>K07156189_21_20251213T125325Z.jpg</t>
  </si>
  <si>
    <t>4 Крыльцо офиса\K07156189_21_20251213T125325Z.jpg</t>
  </si>
  <si>
    <t>сб 13.12.2025 — 12:53:25</t>
  </si>
  <si>
    <t>K07156189_21_20251213T125714Z.jpg</t>
  </si>
  <si>
    <t>4 Крыльцо офиса\K07156189_21_20251213T125714Z.jpg</t>
  </si>
  <si>
    <t>сб 13.12.2025 — 12:57:14</t>
  </si>
  <si>
    <t>E33149364_8_20251213T094752Z.jpg</t>
  </si>
  <si>
    <t>сб 13.12.2025 — 09:47:52</t>
  </si>
  <si>
    <t>E33149364_8_20251213T124738Z.jpg</t>
  </si>
  <si>
    <t>сб 13.12.2025 — 12:47:38</t>
  </si>
  <si>
    <t>E33149364_8_20251213T170414Z.jpg</t>
  </si>
  <si>
    <t>сб 13.12.2025 — 17:04:14</t>
  </si>
  <si>
    <t>K07156189_22_20251213T172533Z.jpg</t>
  </si>
  <si>
    <t>5 Крыльцо общага\K07156189_22_20251213T172533Z.jpg</t>
  </si>
  <si>
    <t>сб 13.12.2025 — 17:25:33</t>
  </si>
  <si>
    <t>826398429_1_20251213T172513Z.jpg</t>
  </si>
  <si>
    <t>6 Площадка 1 общага\826398429_1_20251213T172513Z.jpg</t>
  </si>
  <si>
    <t>сб 13.12.2025 — 17:25:13</t>
  </si>
  <si>
    <t>E33149364_2_20251213T113003Z.jpg</t>
  </si>
  <si>
    <t>8 Рейсмус\E33149364_2_20251213T113003Z.jpg</t>
  </si>
  <si>
    <t>сб 13.12.2025 — 11:30:03</t>
  </si>
  <si>
    <t>E33149364_1_20251213T083002Z.jpg</t>
  </si>
  <si>
    <t>9 Ангар пилорама\E33149364_1_20251213T083002Z.jpg</t>
  </si>
  <si>
    <t>сб 13.12.2025 — 08:30:02</t>
  </si>
  <si>
    <t>E33149364_1_20251213T085806Z.jpg</t>
  </si>
  <si>
    <t>9 Ангар пилорама\E33149364_1_20251213T085806Z.jpg</t>
  </si>
  <si>
    <t>сб 13.12.2025 — 08:58:06</t>
  </si>
  <si>
    <t>E33149364_1_20251213T100353Z.jpg</t>
  </si>
  <si>
    <t>9 Ангар пилорама\E33149364_1_20251213T100353Z.jpg</t>
  </si>
  <si>
    <t>сб 13.12.2025 — 10:03:53</t>
  </si>
  <si>
    <t>E33149364_1_20251213T162351Z.jpg</t>
  </si>
  <si>
    <t>9 Ангар пилорама\E33149364_1_20251213T162351Z.jpg</t>
  </si>
  <si>
    <t>сб 13.12.2025 — 16:23:51</t>
  </si>
  <si>
    <t>E33149364_3_20251213T091811Z.jpg</t>
  </si>
  <si>
    <t>10 Сушилка навес\E33149364_3_20251213T091811Z.jpg</t>
  </si>
  <si>
    <t>сб 13.12.2025 — 09:18:11</t>
  </si>
  <si>
    <t>E33149364_3_20251213T095738Z.jpg</t>
  </si>
  <si>
    <t>10 Сушилка навес\E33149364_3_20251213T095738Z.jpg</t>
  </si>
  <si>
    <t>сб 13.12.2025 — 09:57:38</t>
  </si>
  <si>
    <t>E33149364_3_20251213T131200Z.jpg</t>
  </si>
  <si>
    <t>10 Сушилка навес\E33149364_3_20251213T131200Z.jpg</t>
  </si>
  <si>
    <t>сб 13.12.2025 — 13:12:00</t>
  </si>
  <si>
    <t>E33149364_3_20251213T171104Z.jpg</t>
  </si>
  <si>
    <t>10 Сушилка навес\E33149364_3_20251213T171104Z.jpg</t>
  </si>
  <si>
    <t>сб 13.12.2025 — 17:11:04</t>
  </si>
  <si>
    <t>E33149364_4_20251213T091533Z.jpg</t>
  </si>
  <si>
    <t>11 С ангара на базу\E33149364_4_20251213T091533Z.jpg</t>
  </si>
  <si>
    <t>сб 13.12.2025 — 09:15:33</t>
  </si>
  <si>
    <t>E33149364_4_20251213T091609Z.jpg</t>
  </si>
  <si>
    <t>11 С ангара на базу\E33149364_4_20251213T091609Z.jpg</t>
  </si>
  <si>
    <t>сб 13.12.2025 — 09:16:09</t>
  </si>
  <si>
    <t>E33149364_4_20251213T092548Z.jpg</t>
  </si>
  <si>
    <t>11 С ангара на базу\E33149364_4_20251213T092548Z.jpg</t>
  </si>
  <si>
    <t>сб 13.12.2025 — 09:25:48</t>
  </si>
  <si>
    <t>E33149364_4_20251213T093052Z.jpg</t>
  </si>
  <si>
    <t>11 С ангара на базу\E33149364_4_20251213T093052Z.jpg</t>
  </si>
  <si>
    <t>сб 13.12.2025 — 09:30:52</t>
  </si>
  <si>
    <t>E33149364_4_20251213T093128Z.jpg</t>
  </si>
  <si>
    <t>11 С ангара на базу\E33149364_4_20251213T093128Z.jpg</t>
  </si>
  <si>
    <t>сб 13.12.2025 — 09:31:28</t>
  </si>
  <si>
    <t>E33149364_4_20251213T093200Z.jpg</t>
  </si>
  <si>
    <t>11 С ангара на базу\E33149364_4_20251213T093200Z.jpg</t>
  </si>
  <si>
    <t>сб 13.12.2025 — 09:32:00</t>
  </si>
  <si>
    <t>E33149364_4_20251213T093527Z.jpg</t>
  </si>
  <si>
    <t>11 С ангара на базу\E33149364_4_20251213T093527Z.jpg</t>
  </si>
  <si>
    <t>сб 13.12.2025 — 09:35:27</t>
  </si>
  <si>
    <t>E33149364_4_20251213T093558Z.jpg</t>
  </si>
  <si>
    <t>11 С ангара на базу\E33149364_4_20251213T093558Z.jpg</t>
  </si>
  <si>
    <t>сб 13.12.2025 — 09:35:58</t>
  </si>
  <si>
    <t>E33149364_4_20251213T093825Z.jpg</t>
  </si>
  <si>
    <t>11 С ангара на базу\E33149364_4_20251213T093825Z.jpg</t>
  </si>
  <si>
    <t>сб 13.12.2025 — 09:38:25</t>
  </si>
  <si>
    <t>E33149364_4_20251213T093918Z.jpg</t>
  </si>
  <si>
    <t>11 С ангара на базу\E33149364_4_20251213T093918Z.jpg</t>
  </si>
  <si>
    <t>сб 13.12.2025 — 09:39:18</t>
  </si>
  <si>
    <t>E33149364_4_20251213T094242Z.jpg</t>
  </si>
  <si>
    <t>11 С ангара на базу\E33149364_4_20251213T094242Z.jpg</t>
  </si>
  <si>
    <t>сб 13.12.2025 — 09:42:42</t>
  </si>
  <si>
    <t>E33149364_4_20251213T130837Z.jpg</t>
  </si>
  <si>
    <t>11 С ангара на базу\E33149364_4_20251213T130837Z.jpg</t>
  </si>
  <si>
    <t>сб 13.12.2025 — 13:08:37</t>
  </si>
  <si>
    <t>E33149364_4_20251213T131040Z.jpg</t>
  </si>
  <si>
    <t>11 С ангара на базу\E33149364_4_20251213T131040Z.jpg</t>
  </si>
  <si>
    <t>сб 13.12.2025 — 13:10:40</t>
  </si>
  <si>
    <t>E33149364_4_20251213T131053Z.jpg</t>
  </si>
  <si>
    <t>11 С ангара на базу\E33149364_4_20251213T131053Z.jpg</t>
  </si>
  <si>
    <t>сб 13.12.2025 — 13:10:53</t>
  </si>
  <si>
    <t>E33149364_4_20251213T131327Z.jpg</t>
  </si>
  <si>
    <t>11 С ангара на базу\E33149364_4_20251213T131327Z.jpg</t>
  </si>
  <si>
    <t>сб 13.12.2025 — 13:13:27</t>
  </si>
  <si>
    <t>E33149364_4_20251213T131336Z.jpg</t>
  </si>
  <si>
    <t>11 С ангара на базу\E33149364_4_20251213T131336Z.jpg</t>
  </si>
  <si>
    <t>сб 13.12.2025 — 13:13:36</t>
  </si>
  <si>
    <t>E33149364_4_20251213T131736Z.jpg</t>
  </si>
  <si>
    <t>11 С ангара на базу\E33149364_4_20251213T131736Z.jpg</t>
  </si>
  <si>
    <t>сб 13.12.2025 — 13:17:36</t>
  </si>
  <si>
    <t>E33149364_4_20251213T171029Z.jpg</t>
  </si>
  <si>
    <t>11 С ангара на базу\E33149364_4_20251213T171029Z.jpg</t>
  </si>
  <si>
    <t>сб 13.12.2025 — 17:10:29</t>
  </si>
  <si>
    <t>K07156189_21_20251213T130609Z.jpg</t>
  </si>
  <si>
    <t>4 Крыльцо офиса\K07156189_21_20251213T130609Z.jpg</t>
  </si>
  <si>
    <t>сб 13.12.2025 — 13:06:09</t>
  </si>
  <si>
    <t>въезд на базу по дороге без камеры</t>
  </si>
  <si>
    <t>самосвал КамАЗ-65115 зеленый</t>
  </si>
  <si>
    <t>самосвал КамАЗ-55111 красный</t>
  </si>
  <si>
    <t>бортовой КамАЗ желтый с UNIC</t>
  </si>
  <si>
    <t>ремни, чурки</t>
  </si>
  <si>
    <t>загрузки не было - осталось после разгрузки</t>
  </si>
  <si>
    <t>обрезки пиломатериалов</t>
  </si>
  <si>
    <t>Стоянка</t>
  </si>
  <si>
    <t>ветки</t>
  </si>
  <si>
    <t>металлическая рама</t>
  </si>
  <si>
    <t>Убытие на територию</t>
  </si>
  <si>
    <t>коробка</t>
  </si>
  <si>
    <t>выезд с територии по дороге без камеры</t>
  </si>
  <si>
    <t>доставка в ангар</t>
  </si>
  <si>
    <t>Распиливание горбыля</t>
  </si>
  <si>
    <t>обрезки горбыля</t>
  </si>
  <si>
    <t>Згрузка в трактор базы</t>
  </si>
  <si>
    <t>рулон материалов</t>
  </si>
  <si>
    <t>чурки</t>
  </si>
  <si>
    <t>бруса из ангара</t>
  </si>
  <si>
    <t>Разбор штабеля</t>
  </si>
  <si>
    <t>около стены ангара</t>
  </si>
  <si>
    <t>предположительно порожний</t>
  </si>
  <si>
    <t>Начало загрузки</t>
  </si>
  <si>
    <t>пиломатериалы</t>
  </si>
  <si>
    <t>чурки, ремень</t>
  </si>
  <si>
    <t>КАМАЗ базы</t>
  </si>
  <si>
    <t>Провоз</t>
  </si>
  <si>
    <t>E33149364_7_20251214T174342Z.jpg</t>
  </si>
  <si>
    <t>2 Пилорама поката\E33149364_7_20251214T174342Z.jpg</t>
  </si>
  <si>
    <t>вс 14.12.2025 — 17:43:42</t>
  </si>
  <si>
    <t>E33149364_8_20251214T162604Z.jpg</t>
  </si>
  <si>
    <t>вс 14.12.2025 — 16:26:04</t>
  </si>
  <si>
    <t>E33149364_6_20251214T120447Z.jpg</t>
  </si>
  <si>
    <t>1 Ангар Склад 2 въезд\E33149364_6_20251214T120447Z.jpg</t>
  </si>
  <si>
    <t>вс 14.12.2025 — 12:04:47</t>
  </si>
  <si>
    <t>K07156189_21_20251214T164305Z.jpg</t>
  </si>
  <si>
    <t>4 Крыльцо офиса\K07156189_21_20251214T164305Z.jpg</t>
  </si>
  <si>
    <t>вс 14.12.2025 — 16:43:05</t>
  </si>
  <si>
    <t>K07156189_22_20251214T164147Z.jpg</t>
  </si>
  <si>
    <t>5 Крыльцо общага\K07156189_22_20251214T164147Z.jpg</t>
  </si>
  <si>
    <t>вс 14.12.2025 — 16:41:47</t>
  </si>
  <si>
    <t>826398429_1_20251214T162243Z.jpg</t>
  </si>
  <si>
    <t>6 Площадка 1 общага\826398429_1_20251214T162243Z.jpg</t>
  </si>
  <si>
    <t>вс 14.12.2025 — 16:22:43</t>
  </si>
  <si>
    <t>E33149364_2_20251214T161553Z.jpg</t>
  </si>
  <si>
    <t>8 Рейсмус\E33149364_2_20251214T161553Z.jpg</t>
  </si>
  <si>
    <t>вс 14.12.2025 — 16:15:53</t>
  </si>
  <si>
    <t>E33149364_1_20251214T085135Z.jpg</t>
  </si>
  <si>
    <t>9 Ангар пилорама\E33149364_1_20251214T085135Z.jpg</t>
  </si>
  <si>
    <t>вс 14.12.2025 — 08:51:35</t>
  </si>
  <si>
    <t>E33149364_1_20251214T094954Z.jpg</t>
  </si>
  <si>
    <t>9 Ангар пилорама\E33149364_1_20251214T094954Z.jpg</t>
  </si>
  <si>
    <t>вс 14.12.2025 — 09:49:54</t>
  </si>
  <si>
    <t>E33149364_1_20251214T101031Z.jpg</t>
  </si>
  <si>
    <t>9 Ангар пилорама\E33149364_1_20251214T101031Z.jpg</t>
  </si>
  <si>
    <t>вс 14.12.2025 — 10:10:31</t>
  </si>
  <si>
    <t>E33149364_1_20251214T135519Z.jpg</t>
  </si>
  <si>
    <t>9 Ангар пилорама\E33149364_1_20251214T135519Z.jpg</t>
  </si>
  <si>
    <t>вс 14.12.2025 — 13:55:19</t>
  </si>
  <si>
    <t>E33149364_1_20251214T142831Z.jpg</t>
  </si>
  <si>
    <t>9 Ангар пилорама\E33149364_1_20251214T142831Z.jpg</t>
  </si>
  <si>
    <t>вс 14.12.2025 — 14:28:31</t>
  </si>
  <si>
    <t>E33149364_1_20251214T150638Z.jpg</t>
  </si>
  <si>
    <t>9 Ангар пилорама\E33149364_1_20251214T150638Z.jpg</t>
  </si>
  <si>
    <t>вс 14.12.2025 — 15:06:38</t>
  </si>
  <si>
    <t>E33149364_1_20251214T155710Z.jpg</t>
  </si>
  <si>
    <t>9 Ангар пилорама\E33149364_1_20251214T155710Z.jpg</t>
  </si>
  <si>
    <t>вс 14.12.2025 — 15:57:10</t>
  </si>
  <si>
    <t>E33149364_1_20251214T165634Z.jpg</t>
  </si>
  <si>
    <t>9 Ангар пилорама\E33149364_1_20251214T165634Z.jpg</t>
  </si>
  <si>
    <t>вс 14.12.2025 — 16:56:34</t>
  </si>
  <si>
    <t>E33149364_1_20251214T174632Z.jpg</t>
  </si>
  <si>
    <t>9 Ангар пилорама\E33149364_1_20251214T174632Z.jpg</t>
  </si>
  <si>
    <t>вс 14.12.2025 — 17:46:32</t>
  </si>
  <si>
    <t>E33149364_1_20251214T191235Z.jpg</t>
  </si>
  <si>
    <t>9 Ангар пилорама\E33149364_1_20251214T191235Z.jpg</t>
  </si>
  <si>
    <t>вс 14.12.2025 — 19:12:35</t>
  </si>
  <si>
    <t>E33149364_1_20251214T202746Z.jpg</t>
  </si>
  <si>
    <t>9 Ангар пилорама\E33149364_1_20251214T202746Z.jpg</t>
  </si>
  <si>
    <t>вс 14.12.2025 — 20:27:46</t>
  </si>
  <si>
    <t>E33149364_1_20251214T212400Z.jpg</t>
  </si>
  <si>
    <t>9 Ангар пилорама\E33149364_1_20251214T212400Z.jpg</t>
  </si>
  <si>
    <t>вс 14.12.2025 — 21:24:00</t>
  </si>
  <si>
    <t>E33149364_3_20251214T165345Z.jpg</t>
  </si>
  <si>
    <t>10 Сушилка навес\E33149364_3_20251214T165345Z.jpg</t>
  </si>
  <si>
    <t>вс 14.12.2025 — 16:53:45</t>
  </si>
  <si>
    <t>K07156189_20_20251214T180822Z.jpg</t>
  </si>
  <si>
    <t>12 Площадка 3 кран\K07156189_20_20251214T180822Z.jpg</t>
  </si>
  <si>
    <t>вс 14.12.2025 — 18:08:22</t>
  </si>
  <si>
    <t>K07156189_23_20251214T172203Z.jpg</t>
  </si>
  <si>
    <t>13 Склад хол\K07156189_23_20251214T172203Z.jpg</t>
  </si>
  <si>
    <t>вс 14.12.2025 — 17:22:03</t>
  </si>
  <si>
    <t>E33149364_4_20251214T165322Z.jpg</t>
  </si>
  <si>
    <t>11 С ангара на базу\E33149364_4_20251214T165322Z.jpg</t>
  </si>
  <si>
    <t>вс 14.12.2025 — 16:53:22</t>
  </si>
  <si>
    <t>ветки перекрывают видимость и не фиксируют события из-за этого</t>
  </si>
  <si>
    <t>ВЕТКИ</t>
  </si>
  <si>
    <t>E33149364_6_20251215T102943Z.jpg</t>
  </si>
  <si>
    <t>1 Ангар Склад 2 въезд\E33149364_6_20251215T102943Z.jpg</t>
  </si>
  <si>
    <t>пн 15.12.2025 — 10:29:43</t>
  </si>
  <si>
    <t>E33149364_6_20251215T113340Z.jpg</t>
  </si>
  <si>
    <t>1 Ангар Склад 2 въезд\E33149364_6_20251215T113340Z.jpg</t>
  </si>
  <si>
    <t>пн 15.12.2025 — 11:33:40</t>
  </si>
  <si>
    <t>E33149364_6_20251215T113358Z.jpg</t>
  </si>
  <si>
    <t>1 Ангар Склад 2 въезд\E33149364_6_20251215T113358Z.jpg</t>
  </si>
  <si>
    <t>пн 15.12.2025 — 11:33:58</t>
  </si>
  <si>
    <t>E33149364_6_20251215T122024Z.jpg</t>
  </si>
  <si>
    <t>1 Ангар Склад 2 въезд\E33149364_6_20251215T122024Z.jpg</t>
  </si>
  <si>
    <t>пн 15.12.2025 — 12:20:24</t>
  </si>
  <si>
    <t>E33149364_6_20251215T125405Z.jpg</t>
  </si>
  <si>
    <t>1 Ангар Склад 2 въезд\E33149364_6_20251215T125405Z.jpg</t>
  </si>
  <si>
    <t>пн 15.12.2025 — 12:54:05</t>
  </si>
  <si>
    <t>E33149364_6_20251215T130219Z.jpg</t>
  </si>
  <si>
    <t>1 Ангар Склад 2 въезд\E33149364_6_20251215T130219Z.jpg</t>
  </si>
  <si>
    <t>пн 15.12.2025 — 13:02:19</t>
  </si>
  <si>
    <t>E33149364_7_20251215T094741Z.jpg</t>
  </si>
  <si>
    <t>2 Пилорама поката\E33149364_7_20251215T094741Z.jpg</t>
  </si>
  <si>
    <t>пн 15.12.2025 — 09:47:41</t>
  </si>
  <si>
    <t>E33149364_7_20251215T094815Z.jpg</t>
  </si>
  <si>
    <t>2 Пилорама поката\E33149364_7_20251215T094815Z.jpg</t>
  </si>
  <si>
    <t>пн 15.12.2025 — 09:48:15</t>
  </si>
  <si>
    <t>E33149364_7_20251215T101716Z.jpg</t>
  </si>
  <si>
    <t>2 Пилорама поката\E33149364_7_20251215T101716Z.jpg</t>
  </si>
  <si>
    <t>пн 15.12.2025 — 10:17:16</t>
  </si>
  <si>
    <t>E33149364_7_20251215T103019Z.jpg</t>
  </si>
  <si>
    <t>2 Пилорама поката\E33149364_7_20251215T103019Z.jpg</t>
  </si>
  <si>
    <t>пн 15.12.2025 — 10:30:19</t>
  </si>
  <si>
    <t>E33149364_7_20251215T104436Z.jpg</t>
  </si>
  <si>
    <t>2 Пилорама поката\E33149364_7_20251215T104436Z.jpg</t>
  </si>
  <si>
    <t>пн 15.12.2025 — 10:44:36</t>
  </si>
  <si>
    <t>E33149364_7_20251215T113308Z.jpg</t>
  </si>
  <si>
    <t>E33149364_7_20251215T130137Z.jpg</t>
  </si>
  <si>
    <t>2 Пилорама поката\E33149364_7_20251215T130137Z.jpg</t>
  </si>
  <si>
    <t>пн 15.12.2025 — 13:01:37</t>
  </si>
  <si>
    <t>E33149364_7_20251215T145618Z.jpg</t>
  </si>
  <si>
    <t>2 Пилорама поката\E33149364_7_20251215T145618Z.jpg</t>
  </si>
  <si>
    <t>пн 15.12.2025 — 14:56:18</t>
  </si>
  <si>
    <t>E33149364_7_20251215T150501Z.jpg</t>
  </si>
  <si>
    <t>2 Пилорама поката\E33149364_7_20251215T150501Z.jpg</t>
  </si>
  <si>
    <t>пн 15.12.2025 — 15:05:01</t>
  </si>
  <si>
    <t>E33149364_7_20251215T151220Z.jpg</t>
  </si>
  <si>
    <t>2 Пилорама поката\E33149364_7_20251215T151220Z.jpg</t>
  </si>
  <si>
    <t>пн 15.12.2025 — 15:12:20</t>
  </si>
  <si>
    <t>C:\ВИДЕОНАБЛЮДЕНИЕ\4 Крыльцо офиса\captrue\</t>
  </si>
  <si>
    <t>K07156189_21_20251215T121821Z.jpg</t>
  </si>
  <si>
    <t>4 Крыльцо офиса\K07156189_21_20251215T121821Z.jpg</t>
  </si>
  <si>
    <t>пн 15.12.2025 — 12:18:21</t>
  </si>
  <si>
    <t>K07156189_22_20251215T125425Z.jpg</t>
  </si>
  <si>
    <t>5 Крыльцо общага\K07156189_22_20251215T125425Z.jpg</t>
  </si>
  <si>
    <t>пн 15.12.2025 — 12:54:25</t>
  </si>
  <si>
    <t>K07156189_22_20251215T125741Z.jpg</t>
  </si>
  <si>
    <t>5 Крыльцо общага\K07156189_22_20251215T125741Z.jpg</t>
  </si>
  <si>
    <t>пн 15.12.2025 — 12:57:41</t>
  </si>
  <si>
    <t>K07156189_22_20251215T145006Z.jpg</t>
  </si>
  <si>
    <t>K07156189_18_20251215T174416Z.jpg</t>
  </si>
  <si>
    <t>7 Площадка 2 бетонщики\K07156189_18_20251215T174416Z.jpg</t>
  </si>
  <si>
    <t>пн 15.12.2025 — 17:44:16</t>
  </si>
  <si>
    <t>E33149364_8_20251215T121806Z.jpg</t>
  </si>
  <si>
    <t>пн 15.12.2025 — 12:18:06</t>
  </si>
  <si>
    <t>826398429_1_20251215T174246Z.jpg</t>
  </si>
  <si>
    <t>6 Площадка 1 общага\826398429_1_20251215T174246Z.jpg</t>
  </si>
  <si>
    <t>пн 15.12.2025 — 17:42:46</t>
  </si>
  <si>
    <t>Легковая с закрытым прицепом</t>
  </si>
  <si>
    <t>K07156189_18_20251212T174416Z.jpg</t>
  </si>
  <si>
    <t>7 Площадка 2 бетонщики\K07156189_18_20251212T174416Z.jpg</t>
  </si>
  <si>
    <t>пт 12.12.2025 — 17:44:16</t>
  </si>
  <si>
    <t>K07156189_18_20251213T174416Z.jpg</t>
  </si>
  <si>
    <t>7 Площадка 2 бетонщики\K07156189_18_20251213T174416Z.jpg</t>
  </si>
  <si>
    <t>сб 13.12.2025 — 17:44:16</t>
  </si>
  <si>
    <t>K07156189_18_20251214T174416Z.jpg</t>
  </si>
  <si>
    <t>7 Площадка 2 бетонщики\K07156189_18_20251214T174416Z.jpg</t>
  </si>
  <si>
    <t>вс 14.12.2025 — 17:44:16</t>
  </si>
  <si>
    <t>с новой площадки</t>
  </si>
  <si>
    <t>балон</t>
  </si>
  <si>
    <t>Газель базы, трактор базы</t>
  </si>
  <si>
    <t>баллон</t>
  </si>
  <si>
    <t>E33149364_6_20251215T110432Z.jpg</t>
  </si>
  <si>
    <t>1 Ангар Склад 2 въезд\E33149364_6_20251215T110432Z.jpg</t>
  </si>
  <si>
    <t>пн 15.12.2025 — 11:04:32</t>
  </si>
  <si>
    <t>K07156189_21_20251215T110448Z.jpg</t>
  </si>
  <si>
    <t>4 Крыльцо офиса\K07156189_21_20251215T110448Z.jpg</t>
  </si>
  <si>
    <t>пн 15.12.2025 — 11:04:48</t>
  </si>
  <si>
    <t>E33149364_2_20251215T145948Z.jpg</t>
  </si>
  <si>
    <t>8 Рейсмус\E33149364_2_20251215T145948Z.jpg</t>
  </si>
  <si>
    <t>пн 15.12.2025 — 14:59:48</t>
  </si>
  <si>
    <t>E33149364_1_20251215T091848Z.jpg</t>
  </si>
  <si>
    <t>9 Ангар пилорама\E33149364_1_20251215T091848Z.jpg</t>
  </si>
  <si>
    <t>пн 15.12.2025 — 09:18:48</t>
  </si>
  <si>
    <t>E33149364_1_20251215T095621Z.jpg</t>
  </si>
  <si>
    <t>9 Ангар пилорама\E33149364_1_20251215T095621Z.jpg</t>
  </si>
  <si>
    <t>пн 15.12.2025 — 09:56:21</t>
  </si>
  <si>
    <t>E33149364_1_20251215T102845Z.jpg</t>
  </si>
  <si>
    <t>9 Ангар пилорама\E33149364_1_20251215T102845Z.jpg</t>
  </si>
  <si>
    <t>пн 15.12.2025 — 10:28:45</t>
  </si>
  <si>
    <t>E33149364_1_20251215T111256Z.jpg</t>
  </si>
  <si>
    <t>9 Ангар пилорама\E33149364_1_20251215T111256Z.jpg</t>
  </si>
  <si>
    <t>пн 15.12.2025 — 11:12:56</t>
  </si>
  <si>
    <t>E33149364_1_20251215T111454Z.jpg</t>
  </si>
  <si>
    <t>9 Ангар пилорама\E33149364_1_20251215T111454Z.jpg</t>
  </si>
  <si>
    <t>пн 15.12.2025 — 11:14:54</t>
  </si>
  <si>
    <t>E33149364_1_20251215T111532Z.jpg</t>
  </si>
  <si>
    <t>9 Ангар пилорама\E33149364_1_20251215T111532Z.jpg</t>
  </si>
  <si>
    <t>пн 15.12.2025 — 11:15:32</t>
  </si>
  <si>
    <t>E33149364_1_20251215T111710Z.jpg</t>
  </si>
  <si>
    <t>9 Ангар пилорама\E33149364_1_20251215T111710Z.jpg</t>
  </si>
  <si>
    <t>пн 15.12.2025 — 11:17:10</t>
  </si>
  <si>
    <t>E33149364_1_20251215T121521Z.jpg</t>
  </si>
  <si>
    <t>9 Ангар пилорама\E33149364_1_20251215T121521Z.jpg</t>
  </si>
  <si>
    <t>пн 15.12.2025 — 12:15:21</t>
  </si>
  <si>
    <t>E33149364_1_20251215T143919Z.jpg</t>
  </si>
  <si>
    <t>9 Ангар пилорама\E33149364_1_20251215T143919Z.jpg</t>
  </si>
  <si>
    <t>пн 15.12.2025 — 14:39:19</t>
  </si>
  <si>
    <t>E33149364_1_20251215T160621Z.jpg</t>
  </si>
  <si>
    <t>9 Ангар пилорама\E33149364_1_20251215T160621Z.jpg</t>
  </si>
  <si>
    <t>пн 15.12.2025 — 16:06:21</t>
  </si>
  <si>
    <t>E33149364_1_20251215T163531Z.jpg</t>
  </si>
  <si>
    <t>9 Ангар пилорама\E33149364_1_20251215T163531Z.jpg</t>
  </si>
  <si>
    <t>пн 15.12.2025 — 16:35:31</t>
  </si>
  <si>
    <t>E33149364_1_20251215T170548Z.jpg</t>
  </si>
  <si>
    <t>9 Ангар пилорама\E33149364_1_20251215T170548Z.jpg</t>
  </si>
  <si>
    <t>пн 15.12.2025 — 17:05:48</t>
  </si>
  <si>
    <t>E33149364_1_20251215T170823Z.jpg</t>
  </si>
  <si>
    <t>9 Ангар пилорама\E33149364_1_20251215T170823Z.jpg</t>
  </si>
  <si>
    <t>пн 15.12.2025 — 17:08:23</t>
  </si>
  <si>
    <t>E33149364_3_20251215T094838Z.jpg</t>
  </si>
  <si>
    <t>C:\ВИДЕОНАБЛЮДЕНИЕ\10 Сушилка навес\captrue\</t>
  </si>
  <si>
    <t>10 Сушилка навес\E33149364_3_20251215T094838Z.jpg</t>
  </si>
  <si>
    <t>пн 15.12.2025 — 09:48:38</t>
  </si>
  <si>
    <t>E33149364_3_20251215T100721Z.jpg</t>
  </si>
  <si>
    <t>10 Сушилка навес\E33149364_3_20251215T100721Z.jpg</t>
  </si>
  <si>
    <t>пн 15.12.2025 — 10:07:21</t>
  </si>
  <si>
    <t>E33149364_3_20251215T101727Z.jpg</t>
  </si>
  <si>
    <t>10 Сушилка навес\E33149364_3_20251215T101727Z.jpg</t>
  </si>
  <si>
    <t>пн 15.12.2025 — 10:17:27</t>
  </si>
  <si>
    <t>E33149364_3_20251215T110741Z.jpg</t>
  </si>
  <si>
    <t>10 Сушилка навес\E33149364_3_20251215T110741Z.jpg</t>
  </si>
  <si>
    <t>пн 15.12.2025 — 11:07:41</t>
  </si>
  <si>
    <t>E33149364_3_20251215T111120Z.jpg</t>
  </si>
  <si>
    <t>10 Сушилка навес\E33149364_3_20251215T111120Z.jpg</t>
  </si>
  <si>
    <t>пн 15.12.2025 — 11:11:20</t>
  </si>
  <si>
    <t>E33149364_3_20251215T111141Z.jpg</t>
  </si>
  <si>
    <t>10 Сушилка навес\E33149364_3_20251215T111141Z.jpg</t>
  </si>
  <si>
    <t>пн 15.12.2025 — 11:11:41</t>
  </si>
  <si>
    <t>E33149364_3_20251215T111146Z.jpg</t>
  </si>
  <si>
    <t>10 Сушилка навес\E33149364_3_20251215T111146Z.jpg</t>
  </si>
  <si>
    <t>пн 15.12.2025 — 11:11:46</t>
  </si>
  <si>
    <t>E33149364_3_20251215T111304Z.jpg</t>
  </si>
  <si>
    <t>10 Сушилка навес\E33149364_3_20251215T111304Z.jpg</t>
  </si>
  <si>
    <t>пн 15.12.2025 — 11:13:04</t>
  </si>
  <si>
    <t>E33149364_3_20251215T111326Z.jpg</t>
  </si>
  <si>
    <t>10 Сушилка навес\E33149364_3_20251215T111326Z.jpg</t>
  </si>
  <si>
    <t>пн 15.12.2025 — 11:13:26</t>
  </si>
  <si>
    <t>E33149364_3_20251215T111330Z.jpg</t>
  </si>
  <si>
    <t>10 Сушилка навес\E33149364_3_20251215T111330Z.jpg</t>
  </si>
  <si>
    <t>пн 15.12.2025 — 11:13:30</t>
  </si>
  <si>
    <t>E33149364_3_20251215T111402Z.jpg</t>
  </si>
  <si>
    <t>10 Сушилка навес\E33149364_3_20251215T111402Z.jpg</t>
  </si>
  <si>
    <t>пн 15.12.2025 — 11:14:02</t>
  </si>
  <si>
    <t>E33149364_3_20251215T111425Z.jpg</t>
  </si>
  <si>
    <t>10 Сушилка навес\E33149364_3_20251215T111425Z.jpg</t>
  </si>
  <si>
    <t>пн 15.12.2025 — 11:14:25</t>
  </si>
  <si>
    <t>E33149364_3_20251215T111539Z.jpg</t>
  </si>
  <si>
    <t>10 Сушилка навес\E33149364_3_20251215T111539Z.jpg</t>
  </si>
  <si>
    <t>пн 15.12.2025 — 11:15:39</t>
  </si>
  <si>
    <t>E33149364_3_20251215T111545Z.jpg</t>
  </si>
  <si>
    <t>10 Сушилка навес\E33149364_3_20251215T111545Z.jpg</t>
  </si>
  <si>
    <t>пн 15.12.2025 — 11:15:45</t>
  </si>
  <si>
    <t>E33149364_3_20251215T111650Z.jpg</t>
  </si>
  <si>
    <t>10 Сушилка навес\E33149364_3_20251215T111650Z.jpg</t>
  </si>
  <si>
    <t>пн 15.12.2025 — 11:16:50</t>
  </si>
  <si>
    <t>E33149364_3_20251215T111717Z.jpg</t>
  </si>
  <si>
    <t>10 Сушилка навес\E33149364_3_20251215T111717Z.jpg</t>
  </si>
  <si>
    <t>пн 15.12.2025 — 11:17:17</t>
  </si>
  <si>
    <t>E33149364_3_20251215T111729Z.jpg</t>
  </si>
  <si>
    <t>10 Сушилка навес\E33149364_3_20251215T111729Z.jpg</t>
  </si>
  <si>
    <t>пн 15.12.2025 — 11:17:29</t>
  </si>
  <si>
    <t>E33149364_3_20251215T111908Z.jpg</t>
  </si>
  <si>
    <t>10 Сушилка навес\E33149364_3_20251215T111908Z.jpg</t>
  </si>
  <si>
    <t>пн 15.12.2025 — 11:19:08</t>
  </si>
  <si>
    <t>E33149364_3_20251215T112432Z.jpg</t>
  </si>
  <si>
    <t>10 Сушилка навес\E33149364_3_20251215T112432Z.jpg</t>
  </si>
  <si>
    <t>пн 15.12.2025 — 11:24:32</t>
  </si>
  <si>
    <t>E33149364_3_20251215T112441Z.jpg</t>
  </si>
  <si>
    <t>10 Сушилка навес\E33149364_3_20251215T112441Z.jpg</t>
  </si>
  <si>
    <t>пн 15.12.2025 — 11:24:41</t>
  </si>
  <si>
    <t>E33149364_3_20251215T112629Z.jpg</t>
  </si>
  <si>
    <t>10 Сушилка навес\E33149364_3_20251215T112629Z.jpg</t>
  </si>
  <si>
    <t>пн 15.12.2025 — 11:26:29</t>
  </si>
  <si>
    <t>E33149364_3_20251215T112718Z.jpg</t>
  </si>
  <si>
    <t>10 Сушилка навес\E33149364_3_20251215T112718Z.jpg</t>
  </si>
  <si>
    <t>пн 15.12.2025 — 11:27:18</t>
  </si>
  <si>
    <t>E33149364_3_20251215T112802Z.jpg</t>
  </si>
  <si>
    <t>10 Сушилка навес\E33149364_3_20251215T112802Z.jpg</t>
  </si>
  <si>
    <t>пн 15.12.2025 — 11:28:02</t>
  </si>
  <si>
    <t>E33149364_3_20251215T112825Z.jpg</t>
  </si>
  <si>
    <t>10 Сушилка навес\E33149364_3_20251215T112825Z.jpg</t>
  </si>
  <si>
    <t>пн 15.12.2025 — 11:28:25</t>
  </si>
  <si>
    <t>E33149364_3_20251215T112846Z.jpg</t>
  </si>
  <si>
    <t>10 Сушилка навес\E33149364_3_20251215T112846Z.jpg</t>
  </si>
  <si>
    <t>пн 15.12.2025 — 11:28:46</t>
  </si>
  <si>
    <t>E33149364_3_20251215T112849Z.jpg</t>
  </si>
  <si>
    <t>10 Сушилка навес\E33149364_3_20251215T112849Z.jpg</t>
  </si>
  <si>
    <t>пн 15.12.2025 — 11:28:49</t>
  </si>
  <si>
    <t>E33149364_3_20251215T113145Z.jpg</t>
  </si>
  <si>
    <t>10 Сушилка навес\E33149364_3_20251215T113145Z.jpg</t>
  </si>
  <si>
    <t>пн 15.12.2025 — 11:31:45</t>
  </si>
  <si>
    <t>E33149364_3_20251215T143327Z.jpg</t>
  </si>
  <si>
    <t>10 Сушилка навес\E33149364_3_20251215T143327Z.jpg</t>
  </si>
  <si>
    <t>пн 15.12.2025 — 14:33:27</t>
  </si>
  <si>
    <t>E33149364_3_20251215T143341Z.jpg</t>
  </si>
  <si>
    <t>10 Сушилка навес\E33149364_3_20251215T143341Z.jpg</t>
  </si>
  <si>
    <t>пн 15.12.2025 — 14:33:41</t>
  </si>
  <si>
    <t>E33149364_3_20251215T143941Z.jpg</t>
  </si>
  <si>
    <t>10 Сушилка навес\E33149364_3_20251215T143941Z.jpg</t>
  </si>
  <si>
    <t>пн 15.12.2025 — 14:39:41</t>
  </si>
  <si>
    <t>E33149364_3_20251215T144053Z.jpg</t>
  </si>
  <si>
    <t>10 Сушилка навес\E33149364_3_20251215T144053Z.jpg</t>
  </si>
  <si>
    <t>пн 15.12.2025 — 14:40:53</t>
  </si>
  <si>
    <t>E33149364_3_20251215T145544Z.jpg</t>
  </si>
  <si>
    <t>10 Сушилка навес\E33149364_3_20251215T145544Z.jpg</t>
  </si>
  <si>
    <t>пн 15.12.2025 — 14:55:44</t>
  </si>
  <si>
    <t>E33149364_3_20251215T150426Z.jpg</t>
  </si>
  <si>
    <t>10 Сушилка навес\E33149364_3_20251215T150426Z.jpg</t>
  </si>
  <si>
    <t>пн 15.12.2025 — 15:04:26</t>
  </si>
  <si>
    <t>E33149364_3_20251215T151152Z.jpg</t>
  </si>
  <si>
    <t>10 Сушилка навес\E33149364_3_20251215T151152Z.jpg</t>
  </si>
  <si>
    <t>пн 15.12.2025 — 15:11:52</t>
  </si>
  <si>
    <t>E33149364_3_20251215T164354Z.jpg</t>
  </si>
  <si>
    <t>10 Сушилка навес\E33149364_3_20251215T164354Z.jpg</t>
  </si>
  <si>
    <t>пн 15.12.2025 — 16:43:54</t>
  </si>
  <si>
    <t>E33149364_3_20251215T165944Z.jpg</t>
  </si>
  <si>
    <t>10 Сушилка навес\E33149364_3_20251215T165944Z.jpg</t>
  </si>
  <si>
    <t>пн 15.12.2025 — 16:59:44</t>
  </si>
  <si>
    <t>K07156189_20_20251215T125615Z.jpg</t>
  </si>
  <si>
    <t>12 Площадка 3 кран\K07156189_20_20251215T125615Z.jpg</t>
  </si>
  <si>
    <t>пн 15.12.2025 — 12:56:15</t>
  </si>
  <si>
    <t>K07156189_20_20251215T174142Z.jpg</t>
  </si>
  <si>
    <t>12 Площадка 3 кран\K07156189_20_20251215T174142Z.jpg</t>
  </si>
  <si>
    <t>пн 15.12.2025 — 17:41:42</t>
  </si>
  <si>
    <t>E33149364_4_20251215T110705Z.jpg</t>
  </si>
  <si>
    <t>11 С ангара на базу\E33149364_4_20251215T110705Z.jpg</t>
  </si>
  <si>
    <t>пн 15.12.2025 — 11:07:05</t>
  </si>
  <si>
    <t>E33149364_4_20251215T112355Z.jpg</t>
  </si>
  <si>
    <t>11 С ангара на базу\E33149364_4_20251215T112355Z.jpg</t>
  </si>
  <si>
    <t>пн 15.12.2025 — 11:23:55</t>
  </si>
  <si>
    <t>E33149364_4_20251215T160510Z.jpg</t>
  </si>
  <si>
    <t>11 С ангара на базу\E33149364_4_20251215T160510Z.jpg</t>
  </si>
  <si>
    <t>пн 15.12.2025 — 16:05:10</t>
  </si>
  <si>
    <t>K07156189_23_20251215T145341Z.jpg</t>
  </si>
  <si>
    <t>13 Склад хол\K07156189_23_20251215T145341Z.jpg</t>
  </si>
  <si>
    <t>пн 15.12.2025 — 14:53:41</t>
  </si>
  <si>
    <t>K07156189_23_20251215T150223Z.jpg</t>
  </si>
  <si>
    <t>13 Склад хол\K07156189_23_20251215T150223Z.jpg</t>
  </si>
  <si>
    <t>пн 15.12.2025 — 15:02:23</t>
  </si>
  <si>
    <t>K07156189_23_20251215T150838Z.jpg</t>
  </si>
  <si>
    <t>13 Склад хол\K07156189_23_20251215T150838Z.jpg</t>
  </si>
  <si>
    <t>пн 15.12.2025 — 15:08:38</t>
  </si>
  <si>
    <t>с окна приема бревен</t>
  </si>
  <si>
    <t>разнокалиберные доски</t>
  </si>
  <si>
    <t>с трактора</t>
  </si>
  <si>
    <t>Лековая белая</t>
  </si>
  <si>
    <t>человек с мешками</t>
  </si>
  <si>
    <t>Сотрудники с листом</t>
  </si>
  <si>
    <t>Сотрудник с листом</t>
  </si>
  <si>
    <t>дальний план</t>
  </si>
  <si>
    <t>для загрузки в легковую с прицепом</t>
  </si>
  <si>
    <t>E33149364_6_20251216T104431Z.jpg</t>
  </si>
  <si>
    <t>1 Ангар Склад 2 въезд\E33149364_6_20251216T104431Z.jpg</t>
  </si>
  <si>
    <t>вт 16.12.2025 — 10:44:31</t>
  </si>
  <si>
    <t>E33149364_6_20251216T110520Z.jpg</t>
  </si>
  <si>
    <t>1 Ангар Склад 2 въезд\E33149364_6_20251216T110520Z.jpg</t>
  </si>
  <si>
    <t>вт 16.12.2025 — 11:05:20</t>
  </si>
  <si>
    <t>E33149364_6_20251216T115438Z.jpg</t>
  </si>
  <si>
    <t>1 Ангар Склад 2 въезд\E33149364_6_20251216T115438Z.jpg</t>
  </si>
  <si>
    <t>вт 16.12.2025 — 11:54:38</t>
  </si>
  <si>
    <t>E33149364_6_20251216T140112Z.jpg</t>
  </si>
  <si>
    <t>1 Ангар Склад 2 въезд\E33149364_6_20251216T140112Z.jpg</t>
  </si>
  <si>
    <t>вт 16.12.2025 — 14:01:12</t>
  </si>
  <si>
    <t>K07156189_21_20251216T104518Z.jpg</t>
  </si>
  <si>
    <t>4 Крыльцо офиса\K07156189_21_20251216T104518Z.jpg</t>
  </si>
  <si>
    <t>вт 16.12.2025 — 10:45:18</t>
  </si>
  <si>
    <t>K07156189_21_20251216T105003Z.jpg</t>
  </si>
  <si>
    <t>4 Крыльцо офиса\K07156189_21_20251216T105003Z.jpg</t>
  </si>
  <si>
    <t>вт 16.12.2025 — 10:50:03</t>
  </si>
  <si>
    <t>E33149364_7_20251216T115745Z.jpg</t>
  </si>
  <si>
    <t>2 Пилорама поката\E33149364_7_20251216T115745Z.jpg</t>
  </si>
  <si>
    <t>вт 16.12.2025 — 11:57:45</t>
  </si>
  <si>
    <t>E33149364_7_20251216T140033Z.jpg</t>
  </si>
  <si>
    <t>2 Пилорама поката\E33149364_7_20251216T140033Z.jpg</t>
  </si>
  <si>
    <t>вт 16.12.2025 — 14:00:33</t>
  </si>
  <si>
    <t>E33149364_8_20251216T110426Z.jpg</t>
  </si>
  <si>
    <t>вт 16.12.2025 — 11:04:26</t>
  </si>
  <si>
    <t>K07156189_18_20251216T165252Z.jpg</t>
  </si>
  <si>
    <t>7 Площадка 2 бетонщики\K07156189_18_20251216T165252Z.jpg</t>
  </si>
  <si>
    <t>вт 16.12.2025 — 16:52:52</t>
  </si>
  <si>
    <t>K07156189_22_20251216T173121Z.jpg</t>
  </si>
  <si>
    <t>5 Крыльцо общага\K07156189_22_20251216T173121Z.jpg</t>
  </si>
  <si>
    <t>вт 16.12.2025 — 17:31:21</t>
  </si>
  <si>
    <t>826398429_1_20251216T171229Z.jpg</t>
  </si>
  <si>
    <t>6 Площадка 1 общага\826398429_1_20251216T171229Z.jpg</t>
  </si>
  <si>
    <t>вт 16.12.2025 — 17:12:29</t>
  </si>
  <si>
    <t>E33149364_2_20251216T100314Z.jpg</t>
  </si>
  <si>
    <t>8 Рейсмус\E33149364_2_20251216T100314Z.jpg</t>
  </si>
  <si>
    <t>вт 16.12.2025 — 10:03:14</t>
  </si>
  <si>
    <t>E33149364_2_20251216T100655Z.jpg</t>
  </si>
  <si>
    <t>8 Рейсмус\E33149364_2_20251216T100655Z.jpg</t>
  </si>
  <si>
    <t>вт 16.12.2025 — 10:06:55</t>
  </si>
  <si>
    <t>E33149364_2_20251216T100836Z.jpg</t>
  </si>
  <si>
    <t>8 Рейсмус\E33149364_2_20251216T100836Z.jpg</t>
  </si>
  <si>
    <t>вт 16.12.2025 — 10:08:36</t>
  </si>
  <si>
    <t>E33149364_2_20251216T103011Z.jpg</t>
  </si>
  <si>
    <t>8 Рейсмус\E33149364_2_20251216T103011Z.jpg</t>
  </si>
  <si>
    <t>вт 16.12.2025 — 10:30:11</t>
  </si>
  <si>
    <t>E33149364_2_20251216T115912Z.jpg</t>
  </si>
  <si>
    <t>8 Рейсмус\E33149364_2_20251216T115912Z.jpg</t>
  </si>
  <si>
    <t>вт 16.12.2025 — 11:59:12</t>
  </si>
  <si>
    <t>E33149364_1_20251216T060105Z.jpg</t>
  </si>
  <si>
    <t>9 Ангар пилорама\E33149364_1_20251216T060105Z.jpg</t>
  </si>
  <si>
    <t>вт 16.12.2025 — 06:01:05</t>
  </si>
  <si>
    <t>E33149364_1_20251216T073826Z.jpg</t>
  </si>
  <si>
    <t>9 Ангар пилорама\E33149364_1_20251216T073826Z.jpg</t>
  </si>
  <si>
    <t>вт 16.12.2025 — 07:38:26</t>
  </si>
  <si>
    <t>E33149364_1_20251216T090743Z.jpg</t>
  </si>
  <si>
    <t>9 Ангар пилорама\E33149364_1_20251216T090743Z.jpg</t>
  </si>
  <si>
    <t>вт 16.12.2025 — 09:07:43</t>
  </si>
  <si>
    <t>E33149364_1_20251216T093121Z.jpg</t>
  </si>
  <si>
    <t>9 Ангар пилорама\E33149364_1_20251216T093121Z.jpg</t>
  </si>
  <si>
    <t>вт 16.12.2025 — 09:31:21</t>
  </si>
  <si>
    <t>E33149364_1_20251216T100002Z.jpg</t>
  </si>
  <si>
    <t>9 Ангар пилорама\E33149364_1_20251216T100002Z.jpg</t>
  </si>
  <si>
    <t>вт 16.12.2025 — 10:00:02</t>
  </si>
  <si>
    <t>E33149364_1_20251216T124947Z.jpg</t>
  </si>
  <si>
    <t>9 Ангар пилорама\E33149364_1_20251216T124947Z.jpg</t>
  </si>
  <si>
    <t>вт 16.12.2025 — 12:49:47</t>
  </si>
  <si>
    <t>E33149364_1_20251216T140421Z.jpg</t>
  </si>
  <si>
    <t>9 Ангар пилорама\E33149364_1_20251216T140421Z.jpg</t>
  </si>
  <si>
    <t>вт 16.12.2025 — 14:04:21</t>
  </si>
  <si>
    <t>E33149364_1_20251216T165042Z.jpg</t>
  </si>
  <si>
    <t>9 Ангар пилорама\E33149364_1_20251216T165042Z.jpg</t>
  </si>
  <si>
    <t>вт 16.12.2025 — 16:50:42</t>
  </si>
  <si>
    <t>E33149364_3_20251216T091749Z.jpg</t>
  </si>
  <si>
    <t>10 Сушилка навес\E33149364_3_20251216T091749Z.jpg</t>
  </si>
  <si>
    <t>вт 16.12.2025 — 09:17:49</t>
  </si>
  <si>
    <t>E33149364_3_20251216T093216Z.jpg</t>
  </si>
  <si>
    <t>10 Сушилка навес\E33149364_3_20251216T093216Z.jpg</t>
  </si>
  <si>
    <t>вт 16.12.2025 — 09:32:16</t>
  </si>
  <si>
    <t>E33149364_3_20251216T093655Z.jpg</t>
  </si>
  <si>
    <t>10 Сушилка навес\E33149364_3_20251216T093655Z.jpg</t>
  </si>
  <si>
    <t>вт 16.12.2025 — 09:36:55</t>
  </si>
  <si>
    <t>E33149364_3_20251216T094922Z.jpg</t>
  </si>
  <si>
    <t>10 Сушилка навес\E33149364_3_20251216T094922Z.jpg</t>
  </si>
  <si>
    <t>вт 16.12.2025 — 09:49:22</t>
  </si>
  <si>
    <t>E33149364_3_20251216T110518Z.jpg</t>
  </si>
  <si>
    <t>10 Сушилка навес\E33149364_3_20251216T110518Z.jpg</t>
  </si>
  <si>
    <t>вт 16.12.2025 — 11:05:18</t>
  </si>
  <si>
    <t>E33149364_3_20251216T111332Z.jpg</t>
  </si>
  <si>
    <t>10 Сушилка навес\E33149364_3_20251216T111332Z.jpg</t>
  </si>
  <si>
    <t>вт 16.12.2025 — 11:13:32</t>
  </si>
  <si>
    <t>E33149364_3_20251216T135404Z.jpg</t>
  </si>
  <si>
    <t>10 Сушилка навес\E33149364_3_20251216T135404Z.jpg</t>
  </si>
  <si>
    <t>вт 16.12.2025 — 13:54:04</t>
  </si>
  <si>
    <t>E33149364_3_20251216T153316Z.jpg</t>
  </si>
  <si>
    <t>10 Сушилка навес\E33149364_3_20251216T153316Z.jpg</t>
  </si>
  <si>
    <t>вт 16.12.2025 — 15:33:16</t>
  </si>
  <si>
    <t>E33149364_3_20251216T160946Z.jpg</t>
  </si>
  <si>
    <t>10 Сушилка навес\E33149364_3_20251216T160946Z.jpg</t>
  </si>
  <si>
    <t>вт 16.12.2025 — 16:09:46</t>
  </si>
  <si>
    <t>E33149364_3_20251216T164937Z.jpg</t>
  </si>
  <si>
    <t>10 Сушилка навес\E33149364_3_20251216T164937Z.jpg</t>
  </si>
  <si>
    <t>вт 16.12.2025 — 16:49:37</t>
  </si>
  <si>
    <t>E33149364_4_20251216T172228Z.jpg</t>
  </si>
  <si>
    <t>11 С ангара на базу\E33149364_4_20251216T172228Z.jpg</t>
  </si>
  <si>
    <t>вт 16.12.2025 — 17:22:28</t>
  </si>
  <si>
    <t>K07156189_20_20251216T171240Z.jpg</t>
  </si>
  <si>
    <t>12 Площадка 3 кран\K07156189_20_20251216T171240Z.jpg</t>
  </si>
  <si>
    <t>вт 16.12.2025 — 17:12:40</t>
  </si>
  <si>
    <t>K07156189_23_20251216T093427Z.jpg</t>
  </si>
  <si>
    <t>13 Склад хол\K07156189_23_20251216T093427Z.jpg</t>
  </si>
  <si>
    <t>вт 16.12.2025 — 09:34:27</t>
  </si>
  <si>
    <t>K07156189_23_20251216T093609Z.jpg</t>
  </si>
  <si>
    <t>13 Склад хол\K07156189_23_20251216T093609Z.jpg</t>
  </si>
  <si>
    <t>вт 16.12.2025 — 09:36:09</t>
  </si>
  <si>
    <t>K07156189_23_20251216T093756Z.jpg</t>
  </si>
  <si>
    <t>13 Склад хол\K07156189_23_20251216T093756Z.jpg</t>
  </si>
  <si>
    <t>вт 16.12.2025 — 09:37:56</t>
  </si>
  <si>
    <t>K07156189_23_20251216T155207Z.jpg</t>
  </si>
  <si>
    <t>13 Склад хол\K07156189_23_20251216T155207Z.jpg</t>
  </si>
  <si>
    <t>вт 16.12.2025 — 15:52:07</t>
  </si>
  <si>
    <t>Легковая с прицепом</t>
  </si>
  <si>
    <t>канистры</t>
  </si>
  <si>
    <t>E33149364_8_20251217T150338Z.jpg</t>
  </si>
  <si>
    <t>ср 17.12.2025 — 15:03:38</t>
  </si>
  <si>
    <t>E33149364_8_20251218T143702Z.jpg</t>
  </si>
  <si>
    <t>чт 18.12.2025 — 14:37:02</t>
  </si>
  <si>
    <t>E33149364_6_20251217T165319Z.jpg</t>
  </si>
  <si>
    <t>1 Ангар Склад 2 въезд\E33149364_6_20251217T165319Z.jpg</t>
  </si>
  <si>
    <t>ср 17.12.2025 — 16:53:19</t>
  </si>
  <si>
    <t>E33149364_6_20251218T121716Z.jpg</t>
  </si>
  <si>
    <t>1 Ангар Склад 2 въезд\E33149364_6_20251218T121716Z.jpg</t>
  </si>
  <si>
    <t>чт 18.12.2025 — 12:17:16</t>
  </si>
  <si>
    <t>E33149364_6_20251218T123344Z.jpg</t>
  </si>
  <si>
    <t>1 Ангар Склад 2 въезд\E33149364_6_20251218T123344Z.jpg</t>
  </si>
  <si>
    <t>чт 18.12.2025 — 12:33:44</t>
  </si>
  <si>
    <t>E33149364_6_20251218T131209Z.jpg</t>
  </si>
  <si>
    <t>1 Ангар Склад 2 въезд\E33149364_6_20251218T131209Z.jpg</t>
  </si>
  <si>
    <t>чт 18.12.2025 — 13:12:09</t>
  </si>
  <si>
    <t>E33149364_6_20251218T140733Z.jpg</t>
  </si>
  <si>
    <t>1 Ангар Склад 2 въезд\E33149364_6_20251218T140733Z.jpg</t>
  </si>
  <si>
    <t>чт 18.12.2025 — 14:07:33</t>
  </si>
  <si>
    <t>E33149364_6_20251218T144551Z.jpg</t>
  </si>
  <si>
    <t>1 Ангар Склад 2 въезд\E33149364_6_20251218T144551Z.jpg</t>
  </si>
  <si>
    <t>чт 18.12.2025 — 14:45:51</t>
  </si>
  <si>
    <t>E33149364_7_20251217T112848Z.jpg</t>
  </si>
  <si>
    <t>2 Пилорама поката\E33149364_7_20251217T112848Z.jpg</t>
  </si>
  <si>
    <t>ср 17.12.2025 — 11:28:48</t>
  </si>
  <si>
    <t>E33149364_7_20251218T095450Z.jpg</t>
  </si>
  <si>
    <t>2 Пилорама поката\E33149364_7_20251218T095450Z.jpg</t>
  </si>
  <si>
    <t>чт 18.12.2025 — 09:54:50</t>
  </si>
  <si>
    <t>E33149364_7_20251218T095522Z.jpg</t>
  </si>
  <si>
    <t>2 Пилорама поката\E33149364_7_20251218T095522Z.jpg</t>
  </si>
  <si>
    <t>чт 18.12.2025 — 09:55:22</t>
  </si>
  <si>
    <t>E33149364_7_20251218T101321Z.jpg</t>
  </si>
  <si>
    <t>2 Пилорама поката\E33149364_7_20251218T101321Z.jpg</t>
  </si>
  <si>
    <t>чт 18.12.2025 — 10:13:21</t>
  </si>
  <si>
    <t>E33149364_7_20251218T121734Z.jpg</t>
  </si>
  <si>
    <t>2 Пилорама поката\E33149364_7_20251218T121734Z.jpg</t>
  </si>
  <si>
    <t>чт 18.12.2025 — 12:17:34</t>
  </si>
  <si>
    <t>E33149364_7_20251218T122303Z.jpg</t>
  </si>
  <si>
    <t>2 Пилорама поката\E33149364_7_20251218T122303Z.jpg</t>
  </si>
  <si>
    <t>чт 18.12.2025 — 12:23:03</t>
  </si>
  <si>
    <t>E33149364_7_20251218T144502Z.jpg</t>
  </si>
  <si>
    <t>2 Пилорама поката\E33149364_7_20251218T144502Z.jpg</t>
  </si>
  <si>
    <t>чт 18.12.2025 — 14:45:02</t>
  </si>
  <si>
    <t>K07156189_21_20251217T171345Z.jpg</t>
  </si>
  <si>
    <t>4 Крыльцо офиса\K07156189_21_20251217T171345Z.jpg</t>
  </si>
  <si>
    <t>ср 17.12.2025 — 17:13:45</t>
  </si>
  <si>
    <t>K07156189_21_20251218T085217Z.jpg</t>
  </si>
  <si>
    <t>4 Крыльцо офиса\K07156189_21_20251218T085217Z.jpg</t>
  </si>
  <si>
    <t>чт 18.12.2025 — 08:52:17</t>
  </si>
  <si>
    <t>K07156189_21_20251218T131232Z.jpg</t>
  </si>
  <si>
    <t>4 Крыльцо офиса\K07156189_21_20251218T131232Z.jpg</t>
  </si>
  <si>
    <t>чт 18.12.2025 — 13:12:32</t>
  </si>
  <si>
    <t>K07156189_22_20251217T161742Z.jpg</t>
  </si>
  <si>
    <t>5 Крыльцо общага\K07156189_22_20251217T161742Z.jpg</t>
  </si>
  <si>
    <t>ср 17.12.2025 — 16:17:42</t>
  </si>
  <si>
    <t>826398429_1_20251217T174445Z.jpg</t>
  </si>
  <si>
    <t>6 Площадка 1 общага\826398429_1_20251217T174445Z.jpg</t>
  </si>
  <si>
    <t>ср 17.12.2025 — 17:44:45</t>
  </si>
  <si>
    <t>E33149364_2_20251217T100725Z.jpg</t>
  </si>
  <si>
    <t>8 Рейсмус\E33149364_2_20251217T100725Z.jpg</t>
  </si>
  <si>
    <t>ср 17.12.2025 — 10:07:25</t>
  </si>
  <si>
    <t>E33149364_2_20251217T153636Z.jpg</t>
  </si>
  <si>
    <t>8 Рейсмус\E33149364_2_20251217T153636Z.jpg</t>
  </si>
  <si>
    <t>ср 17.12.2025 — 15:36:36</t>
  </si>
  <si>
    <t>E33149364_1_20251217T090044Z.jpg</t>
  </si>
  <si>
    <t>9 Ангар пилорама\E33149364_1_20251217T090044Z.jpg</t>
  </si>
  <si>
    <t>ср 17.12.2025 — 09:00:44</t>
  </si>
  <si>
    <t>E33149364_1_20251217T101535Z.jpg</t>
  </si>
  <si>
    <t>9 Ангар пилорама\E33149364_1_20251217T101535Z.jpg</t>
  </si>
  <si>
    <t>ср 17.12.2025 — 10:15:35</t>
  </si>
  <si>
    <t>E33149364_1_20251217T102007Z.jpg</t>
  </si>
  <si>
    <t>9 Ангар пилорама\E33149364_1_20251217T102007Z.jpg</t>
  </si>
  <si>
    <t>ср 17.12.2025 — 10:20:07</t>
  </si>
  <si>
    <t>E33149364_1_20251217T110121Z.jpg</t>
  </si>
  <si>
    <t>9 Ангар пилорама\E33149364_1_20251217T110121Z.jpg</t>
  </si>
  <si>
    <t>ср 17.12.2025 — 11:01:21</t>
  </si>
  <si>
    <t>E33149364_1_20251217T112139Z.jpg</t>
  </si>
  <si>
    <t>9 Ангар пилорама\E33149364_1_20251217T112139Z.jpg</t>
  </si>
  <si>
    <t>ср 17.12.2025 — 11:21:39</t>
  </si>
  <si>
    <t>E33149364_1_20251217T113750Z.jpg</t>
  </si>
  <si>
    <t>9 Ангар пилорама\E33149364_1_20251217T113750Z.jpg</t>
  </si>
  <si>
    <t>ср 17.12.2025 — 11:37:50</t>
  </si>
  <si>
    <t>E33149364_1_20251217T114025Z.jpg</t>
  </si>
  <si>
    <t>9 Ангар пилорама\E33149364_1_20251217T114025Z.jpg</t>
  </si>
  <si>
    <t>ср 17.12.2025 — 11:40:25</t>
  </si>
  <si>
    <t>E33149364_1_20251217T122212Z.jpg</t>
  </si>
  <si>
    <t>9 Ангар пилорама\E33149364_1_20251217T122212Z.jpg</t>
  </si>
  <si>
    <t>ср 17.12.2025 — 12:22:12</t>
  </si>
  <si>
    <t>E33149364_1_20251217T122638Z.jpg</t>
  </si>
  <si>
    <t>9 Ангар пилорама\E33149364_1_20251217T122638Z.jpg</t>
  </si>
  <si>
    <t>ср 17.12.2025 — 12:26:38</t>
  </si>
  <si>
    <t>E33149364_1_20251217T124523Z.jpg</t>
  </si>
  <si>
    <t>9 Ангар пилорама\E33149364_1_20251217T124523Z.jpg</t>
  </si>
  <si>
    <t>ср 17.12.2025 — 12:45:23</t>
  </si>
  <si>
    <t>E33149364_1_20251217T145302Z.jpg</t>
  </si>
  <si>
    <t>9 Ангар пилорама\E33149364_1_20251217T145302Z.jpg</t>
  </si>
  <si>
    <t>ср 17.12.2025 — 14:53:02</t>
  </si>
  <si>
    <t>E33149364_1_20251217T145320Z.jpg</t>
  </si>
  <si>
    <t>9 Ангар пилорама\E33149364_1_20251217T145320Z.jpg</t>
  </si>
  <si>
    <t>ср 17.12.2025 — 14:53:20</t>
  </si>
  <si>
    <t>E33149364_1_20251217T145419Z.jpg</t>
  </si>
  <si>
    <t>9 Ангар пилорама\E33149364_1_20251217T145419Z.jpg</t>
  </si>
  <si>
    <t>ср 17.12.2025 — 14:54:19</t>
  </si>
  <si>
    <t>E33149364_1_20251217T154301Z.jpg</t>
  </si>
  <si>
    <t>9 Ангар пилорама\E33149364_1_20251217T154301Z.jpg</t>
  </si>
  <si>
    <t>ср 17.12.2025 — 15:43:01</t>
  </si>
  <si>
    <t>E33149364_1_20251217T154548Z.jpg</t>
  </si>
  <si>
    <t>9 Ангар пилорама\E33149364_1_20251217T154548Z.jpg</t>
  </si>
  <si>
    <t>ср 17.12.2025 — 15:45:48</t>
  </si>
  <si>
    <t>E33149364_1_20251217T162453Z.jpg</t>
  </si>
  <si>
    <t>9 Ангар пилорама\E33149364_1_20251217T162453Z.jpg</t>
  </si>
  <si>
    <t>ср 17.12.2025 — 16:24:53</t>
  </si>
  <si>
    <t>E33149364_1_20251217T163226Z.jpg</t>
  </si>
  <si>
    <t>9 Ангар пилорама\E33149364_1_20251217T163226Z.jpg</t>
  </si>
  <si>
    <t>ср 17.12.2025 — 16:32:26</t>
  </si>
  <si>
    <t>E33149364_1_20251217T163441Z.jpg</t>
  </si>
  <si>
    <t>9 Ангар пилорама\E33149364_1_20251217T163441Z.jpg</t>
  </si>
  <si>
    <t>ср 17.12.2025 — 16:34:41</t>
  </si>
  <si>
    <t>E33149364_1_20251217T165330Z.jpg</t>
  </si>
  <si>
    <t>9 Ангар пилорама\E33149364_1_20251217T165330Z.jpg</t>
  </si>
  <si>
    <t>ср 17.12.2025 — 16:53:30</t>
  </si>
  <si>
    <t>E33149364_3_20251217T094144Z.jpg</t>
  </si>
  <si>
    <t>10 Сушилка навес\E33149364_3_20251217T094144Z.jpg</t>
  </si>
  <si>
    <t>ср 17.12.2025 — 09:41:44</t>
  </si>
  <si>
    <t>E33149364_3_20251217T101005Z.jpg</t>
  </si>
  <si>
    <t>10 Сушилка навес\E33149364_3_20251217T101005Z.jpg</t>
  </si>
  <si>
    <t>ср 17.12.2025 — 10:10:05</t>
  </si>
  <si>
    <t>E33149364_3_20251217T102017Z.jpg</t>
  </si>
  <si>
    <t>10 Сушилка навес\E33149364_3_20251217T102017Z.jpg</t>
  </si>
  <si>
    <t>ср 17.12.2025 — 10:20:17</t>
  </si>
  <si>
    <t>E33149364_3_20251217T110237Z.jpg</t>
  </si>
  <si>
    <t>10 Сушилка навес\E33149364_3_20251217T110237Z.jpg</t>
  </si>
  <si>
    <t>ср 17.12.2025 — 11:02:37</t>
  </si>
  <si>
    <t>E33149364_3_20251217T112143Z.jpg</t>
  </si>
  <si>
    <t>10 Сушилка навес\E33149364_3_20251217T112143Z.jpg</t>
  </si>
  <si>
    <t>ср 17.12.2025 — 11:21:43</t>
  </si>
  <si>
    <t>E33149364_3_20251217T114039Z.jpg</t>
  </si>
  <si>
    <t>10 Сушилка навес\E33149364_3_20251217T114039Z.jpg</t>
  </si>
  <si>
    <t>ср 17.12.2025 — 11:40:39</t>
  </si>
  <si>
    <t>E33149364_3_20251217T115521Z.jpg</t>
  </si>
  <si>
    <t>10 Сушилка навес\E33149364_3_20251217T115521Z.jpg</t>
  </si>
  <si>
    <t>ср 17.12.2025 — 11:55:21</t>
  </si>
  <si>
    <t>E33149364_3_20251217T122221Z.jpg</t>
  </si>
  <si>
    <t>10 Сушилка навес\E33149364_3_20251217T122221Z.jpg</t>
  </si>
  <si>
    <t>ср 17.12.2025 — 12:22:21</t>
  </si>
  <si>
    <t>E33149364_3_20251217T141850Z.jpg</t>
  </si>
  <si>
    <t>10 Сушилка навес\E33149364_3_20251217T141850Z.jpg</t>
  </si>
  <si>
    <t>ср 17.12.2025 — 14:18:50</t>
  </si>
  <si>
    <t>E33149364_3_20251217T142606Z.jpg</t>
  </si>
  <si>
    <t>10 Сушилка навес\E33149364_3_20251217T142606Z.jpg</t>
  </si>
  <si>
    <t>ср 17.12.2025 — 14:26:06</t>
  </si>
  <si>
    <t>E33149364_3_20251217T143304Z.jpg</t>
  </si>
  <si>
    <t>10 Сушилка навес\E33149364_3_20251217T143304Z.jpg</t>
  </si>
  <si>
    <t>ср 17.12.2025 — 14:33:04</t>
  </si>
  <si>
    <t>E33149364_3_20251217T152529Z.jpg</t>
  </si>
  <si>
    <t>10 Сушилка навес\E33149364_3_20251217T152529Z.jpg</t>
  </si>
  <si>
    <t>ср 17.12.2025 — 15:25:29</t>
  </si>
  <si>
    <t>E33149364_3_20251217T162222Z.jpg</t>
  </si>
  <si>
    <t>10 Сушилка навес\E33149364_3_20251217T162222Z.jpg</t>
  </si>
  <si>
    <t>ср 17.12.2025 — 16:22:22</t>
  </si>
  <si>
    <t>E33149364_4_20251217T160515Z.jpg</t>
  </si>
  <si>
    <t>11 С ангара на базу\E33149364_4_20251217T160515Z.jpg</t>
  </si>
  <si>
    <t>ср 17.12.2025 — 16:05:15</t>
  </si>
  <si>
    <t>K07156189_20_20251217T144619Z.jpg</t>
  </si>
  <si>
    <t>12 Площадка 3 кран\K07156189_20_20251217T144619Z.jpg</t>
  </si>
  <si>
    <t>ср 17.12.2025 — 14:46:19</t>
  </si>
  <si>
    <t>K07156189_20_20251217T174104Z.jpg</t>
  </si>
  <si>
    <t>12 Площадка 3 кран\K07156189_20_20251217T174104Z.jpg</t>
  </si>
  <si>
    <t>ср 17.12.2025 — 17:41:04</t>
  </si>
  <si>
    <t>K07156189_23_20251217T161831Z.jpg</t>
  </si>
  <si>
    <t>13 Склад хол\K07156189_23_20251217T161831Z.jpg</t>
  </si>
  <si>
    <t>ср 17.12.2025 — 16:18:31</t>
  </si>
  <si>
    <t>K07156189_23_20251217T162014Z.jpg</t>
  </si>
  <si>
    <t>13 Склад хол\K07156189_23_20251217T162014Z.jpg</t>
  </si>
  <si>
    <t>ср 17.12.2025 — 16:20:14</t>
  </si>
  <si>
    <t>K07156189_23_20251217T162117Z.jpg</t>
  </si>
  <si>
    <t>13 Склад хол\K07156189_23_20251217T162117Z.jpg</t>
  </si>
  <si>
    <t>ср 17.12.2025 — 16:21:17</t>
  </si>
  <si>
    <t>K07156189_23_20251217T162536Z.jpg</t>
  </si>
  <si>
    <t>13 Склад хол\K07156189_23_20251217T162536Z.jpg</t>
  </si>
  <si>
    <t>ср 17.12.2025 — 16:25:36</t>
  </si>
  <si>
    <t>K07156189_23_20251217T162648Z.jpg</t>
  </si>
  <si>
    <t>13 Склад хол\K07156189_23_20251217T162648Z.jpg</t>
  </si>
  <si>
    <t>ср 17.12.2025 — 16:26:48</t>
  </si>
  <si>
    <t>K07156189_23_20251218T103941Z.jpg</t>
  </si>
  <si>
    <t>13 Склад хол\K07156189_23_20251218T103941Z.jpg</t>
  </si>
  <si>
    <t>чт 18.12.2025 — 10:39:41</t>
  </si>
  <si>
    <t>K07156189_23_20251218T104131Z.jpg</t>
  </si>
  <si>
    <t>13 Склад хол\K07156189_23_20251218T104131Z.jpg</t>
  </si>
  <si>
    <t>чт 18.12.2025 — 10:41:31</t>
  </si>
  <si>
    <t>K07156189_23_20251218T104310Z.jpg</t>
  </si>
  <si>
    <t>13 Склад хол\K07156189_23_20251218T104310Z.jpg</t>
  </si>
  <si>
    <t>чт 18.12.2025 — 10:43:10</t>
  </si>
  <si>
    <t>K07156189_23_20251218T133531Z.jpg</t>
  </si>
  <si>
    <t>13 Склад хол\K07156189_23_20251218T133531Z.jpg</t>
  </si>
  <si>
    <t>чт 18.12.2025 — 13:35:31</t>
  </si>
  <si>
    <t>K07156189_23_20251218T140924Z.jpg</t>
  </si>
  <si>
    <t>13 Склад хол\K07156189_23_20251218T140924Z.jpg</t>
  </si>
  <si>
    <t>чт 18.12.2025 — 14:09:24</t>
  </si>
  <si>
    <t>K07156189_23_20251218T141242Z.jpg</t>
  </si>
  <si>
    <t>13 Склад хол\K07156189_23_20251218T141242Z.jpg</t>
  </si>
  <si>
    <t>чт 18.12.2025 — 14:12:42</t>
  </si>
  <si>
    <t>K07156189_23_20251218T163915Z.jpg</t>
  </si>
  <si>
    <t>13 Склад хол\K07156189_23_20251218T163915Z.jpg</t>
  </si>
  <si>
    <t>чт 18.12.2025 — 16:39:15</t>
  </si>
  <si>
    <t>спилили дерево у камеры</t>
  </si>
  <si>
    <t>Уборка спиленного дерева</t>
  </si>
  <si>
    <t>Доставка досок на легковой</t>
  </si>
  <si>
    <t>проезд трактора базы</t>
  </si>
  <si>
    <t>Пиломатериалы, материал (типа утеплителя)</t>
  </si>
  <si>
    <t>Пиломатериалы, пустые мешки</t>
  </si>
  <si>
    <t>лист</t>
  </si>
  <si>
    <t>деталь сруба</t>
  </si>
  <si>
    <t>трактор базы, самосвал</t>
  </si>
  <si>
    <t>провоз срубленного дерева</t>
  </si>
  <si>
    <t>K07156189_18_20251217T154339Z.jpg</t>
  </si>
  <si>
    <t>7 Площадка 2 бетонщики\K07156189_18_20251217T154339Z.jpg</t>
  </si>
  <si>
    <t>ср 17.12.2025 — 15:43:39</t>
  </si>
  <si>
    <t>E33149364_7_20251219T110844Z.jpg</t>
  </si>
  <si>
    <t>2 Пилорама поката\E33149364_7_20251219T110844Z.jpg</t>
  </si>
  <si>
    <t>пт 19.12.2025 — 11:08:44</t>
  </si>
  <si>
    <t>E33149364_7_20251219T110920Z.jpg</t>
  </si>
  <si>
    <t>2 Пилорама поката\E33149364_7_20251219T110920Z.jpg</t>
  </si>
  <si>
    <t>пт 19.12.2025 — 11:09:20</t>
  </si>
  <si>
    <t>E33149364_7_20251219T110933Z.jpg</t>
  </si>
  <si>
    <t>2 Пилорама поката\E33149364_7_20251219T110933Z.jpg</t>
  </si>
  <si>
    <t>пт 19.12.2025 — 11:09:33</t>
  </si>
  <si>
    <t>E33149364_7_20251219T111408Z.jpg</t>
  </si>
  <si>
    <t>2 Пилорама поката\E33149364_7_20251219T111408Z.jpg</t>
  </si>
  <si>
    <t>пт 19.12.2025 — 11:14:08</t>
  </si>
  <si>
    <t>E33149364_7_20251219T112008Z.jpg</t>
  </si>
  <si>
    <t>2 Пилорама поката\E33149364_7_20251219T112008Z.jpg</t>
  </si>
  <si>
    <t>пт 19.12.2025 — 11:20:08</t>
  </si>
  <si>
    <t>E33149364_7_20251219T112241Z.jpg</t>
  </si>
  <si>
    <t>2 Пилорама поката\E33149364_7_20251219T112241Z.jpg</t>
  </si>
  <si>
    <t>пт 19.12.2025 — 11:22:41</t>
  </si>
  <si>
    <t>E33149364_7_20251220T154823Z.jpg</t>
  </si>
  <si>
    <t>2 Пилорама поката\E33149364_7_20251220T154823Z.jpg</t>
  </si>
  <si>
    <t>сб 20.12.2025 — 15:48:23</t>
  </si>
  <si>
    <t>E33149364_6_20251219T155120Z.jpg</t>
  </si>
  <si>
    <t>1 Ангар Склад 2 въезд\E33149364_6_20251219T155120Z.jpg</t>
  </si>
  <si>
    <t>пт 19.12.2025 — 15:51:20</t>
  </si>
  <si>
    <t>E33149364_6_20251220T162258Z.jpg</t>
  </si>
  <si>
    <t>1 Ангар Склад 2 въезд\E33149364_6_20251220T162258Z.jpg</t>
  </si>
  <si>
    <t>сб 20.12.2025 — 16:22:58</t>
  </si>
  <si>
    <t>K07156189_21_20251219T171302Z.jpg</t>
  </si>
  <si>
    <t>4 Крыльцо офиса\K07156189_21_20251219T171302Z.jpg</t>
  </si>
  <si>
    <t>пт 19.12.2025 — 17:13:02</t>
  </si>
  <si>
    <t>K07156189_21_20251220T133455Z.jpg</t>
  </si>
  <si>
    <t>4 Крыльцо офиса\K07156189_21_20251220T133455Z.jpg</t>
  </si>
  <si>
    <t>сб 20.12.2025 — 13:34:55</t>
  </si>
  <si>
    <t>E33149364_8_20251219T161320Z.jpg</t>
  </si>
  <si>
    <t>пт 19.12.2025 — 16:13:20</t>
  </si>
  <si>
    <t>E33149364_8_20251220T162309Z.jpg</t>
  </si>
  <si>
    <t>сб 20.12.2025 — 16:23:09</t>
  </si>
  <si>
    <t>826398429_1_20251218T122419Z.jpg</t>
  </si>
  <si>
    <t>6 Площадка 1 общага\826398429_1_20251218T122419Z.jpg</t>
  </si>
  <si>
    <t>чт 18.12.2025 — 12:24:19</t>
  </si>
  <si>
    <t>826398429_1_20251219T172245Z.jpg</t>
  </si>
  <si>
    <t>6 Площадка 1 общага\826398429_1_20251219T172245Z.jpg</t>
  </si>
  <si>
    <t>пт 19.12.2025 — 17:22:45</t>
  </si>
  <si>
    <t>826398429_1_20251220T173606Z.jpg</t>
  </si>
  <si>
    <t>6 Площадка 1 общага\826398429_1_20251220T173606Z.jpg</t>
  </si>
  <si>
    <t>сб 20.12.2025 — 17:36:06</t>
  </si>
  <si>
    <t>K07156189_18_20251218T133427Z.jpg</t>
  </si>
  <si>
    <t>7 Площадка 2 бетонщики\K07156189_18_20251218T133427Z.jpg</t>
  </si>
  <si>
    <t>чт 18.12.2025 — 13:34:27</t>
  </si>
  <si>
    <t>K07156189_18_20251220T173444Z.jpg</t>
  </si>
  <si>
    <t>7 Площадка 2 бетонщики\K07156189_18_20251220T173444Z.jpg</t>
  </si>
  <si>
    <t>сб 20.12.2025 — 17:34:44</t>
  </si>
  <si>
    <t>E33149364_2_20251218T150902Z.jpg</t>
  </si>
  <si>
    <t>8 Рейсмус\E33149364_2_20251218T150902Z.jpg</t>
  </si>
  <si>
    <t>чт 18.12.2025 — 15:09:02</t>
  </si>
  <si>
    <t>E33149364_2_20251219T090946Z.jpg</t>
  </si>
  <si>
    <t>8 Рейсмус\E33149364_2_20251219T090946Z.jpg</t>
  </si>
  <si>
    <t>пт 19.12.2025 — 09:09:46</t>
  </si>
  <si>
    <t>E33149364_2_20251219T155026Z.jpg</t>
  </si>
  <si>
    <t>8 Рейсмус\E33149364_2_20251219T155026Z.jpg</t>
  </si>
  <si>
    <t>пт 19.12.2025 — 15:50:26</t>
  </si>
  <si>
    <t>E33149364_2_20251219T155244Z.jpg</t>
  </si>
  <si>
    <t>8 Рейсмус\E33149364_2_20251219T155244Z.jpg</t>
  </si>
  <si>
    <t>пт 19.12.2025 — 15:52:44</t>
  </si>
  <si>
    <t>E33149364_2_20251220T162005Z.jpg</t>
  </si>
  <si>
    <t>8 Рейсмус\E33149364_2_20251220T162005Z.jpg</t>
  </si>
  <si>
    <t>сб 20.12.2025 — 16:20:05</t>
  </si>
  <si>
    <t>E33149364_1_20251218T085123Z.jpg</t>
  </si>
  <si>
    <t>9 Ангар пилорама\E33149364_1_20251218T085123Z.jpg</t>
  </si>
  <si>
    <t>чт 18.12.2025 — 08:51:23</t>
  </si>
  <si>
    <t>E33149364_1_20251218T093444Z.jpg</t>
  </si>
  <si>
    <t>9 Ангар пилорама\E33149364_1_20251218T093444Z.jpg</t>
  </si>
  <si>
    <t>чт 18.12.2025 — 09:34:44</t>
  </si>
  <si>
    <t>E33149364_1_20251218T093454Z.jpg</t>
  </si>
  <si>
    <t>9 Ангар пилорама\E33149364_1_20251218T093454Z.jpg</t>
  </si>
  <si>
    <t>чт 18.12.2025 — 09:34:54</t>
  </si>
  <si>
    <t>E33149364_1_20251218T093834Z.jpg</t>
  </si>
  <si>
    <t>9 Ангар пилорама\E33149364_1_20251218T093834Z.jpg</t>
  </si>
  <si>
    <t>чт 18.12.2025 — 09:38:34</t>
  </si>
  <si>
    <t>E33149364_1_20251218T094002Z.jpg</t>
  </si>
  <si>
    <t>9 Ангар пилорама\E33149364_1_20251218T094002Z.jpg</t>
  </si>
  <si>
    <t>чт 18.12.2025 — 09:40:02</t>
  </si>
  <si>
    <t>E33149364_1_20251218T095140Z.jpg</t>
  </si>
  <si>
    <t>9 Ангар пилорама\E33149364_1_20251218T095140Z.jpg</t>
  </si>
  <si>
    <t>чт 18.12.2025 — 09:51:40</t>
  </si>
  <si>
    <t>E33149364_1_20251218T101500Z.jpg</t>
  </si>
  <si>
    <t>9 Ангар пилорама\E33149364_1_20251218T101500Z.jpg</t>
  </si>
  <si>
    <t>чт 18.12.2025 — 10:15:00</t>
  </si>
  <si>
    <t>E33149364_1_20251218T102050Z.jpg</t>
  </si>
  <si>
    <t>9 Ангар пилорама\E33149364_1_20251218T102050Z.jpg</t>
  </si>
  <si>
    <t>чт 18.12.2025 — 10:20:50</t>
  </si>
  <si>
    <t>E33149364_1_20251218T124542Z.jpg</t>
  </si>
  <si>
    <t>9 Ангар пилорама\E33149364_1_20251218T124542Z.jpg</t>
  </si>
  <si>
    <t>чт 18.12.2025 — 12:45:42</t>
  </si>
  <si>
    <t>E33149364_1_20251218T142443Z.jpg</t>
  </si>
  <si>
    <t>9 Ангар пилорама\E33149364_1_20251218T142443Z.jpg</t>
  </si>
  <si>
    <t>чт 18.12.2025 — 14:24:43</t>
  </si>
  <si>
    <t>E33149364_1_20251218T143623Z.jpg</t>
  </si>
  <si>
    <t>9 Ангар пилорама\E33149364_1_20251218T143623Z.jpg</t>
  </si>
  <si>
    <t>чт 18.12.2025 — 14:36:23</t>
  </si>
  <si>
    <t>E33149364_1_20251218T144229Z.jpg</t>
  </si>
  <si>
    <t>9 Ангар пилорама\E33149364_1_20251218T144229Z.jpg</t>
  </si>
  <si>
    <t>чт 18.12.2025 — 14:42:29</t>
  </si>
  <si>
    <t>E33149364_1_20251218T144705Z.jpg</t>
  </si>
  <si>
    <t>9 Ангар пилорама\E33149364_1_20251218T144705Z.jpg</t>
  </si>
  <si>
    <t>чт 18.12.2025 — 14:47:05</t>
  </si>
  <si>
    <t>E33149364_1_20251218T161356Z.jpg</t>
  </si>
  <si>
    <t>9 Ангар пилорама\E33149364_1_20251218T161356Z.jpg</t>
  </si>
  <si>
    <t>чт 18.12.2025 — 16:13:56</t>
  </si>
  <si>
    <t>E33149364_1_20251218T162109Z.jpg</t>
  </si>
  <si>
    <t>9 Ангар пилорама\E33149364_1_20251218T162109Z.jpg</t>
  </si>
  <si>
    <t>чт 18.12.2025 — 16:21:09</t>
  </si>
  <si>
    <t>E33149364_1_20251218T205241Z.jpg</t>
  </si>
  <si>
    <t>9 Ангар пилорама\E33149364_1_20251218T205241Z.jpg</t>
  </si>
  <si>
    <t>чт 18.12.2025 — 20:52:41</t>
  </si>
  <si>
    <t>E33149364_1_20251218T221938Z.jpg</t>
  </si>
  <si>
    <t>9 Ангар пилорама\E33149364_1_20251218T221938Z.jpg</t>
  </si>
  <si>
    <t>чт 18.12.2025 — 22:19:38</t>
  </si>
  <si>
    <t>E33149364_1_20251218T231101Z.jpg</t>
  </si>
  <si>
    <t>9 Ангар пилорама\E33149364_1_20251218T231101Z.jpg</t>
  </si>
  <si>
    <t>чт 18.12.2025 — 23:11:01</t>
  </si>
  <si>
    <t>E33149364_1_20251219T092025Z.jpg</t>
  </si>
  <si>
    <t>9 Ангар пилорама\E33149364_1_20251219T092025Z.jpg</t>
  </si>
  <si>
    <t>пт 19.12.2025 — 09:20:25</t>
  </si>
  <si>
    <t>E33149364_1_20251219T110943Z.jpg</t>
  </si>
  <si>
    <t>9 Ангар пилорама\E33149364_1_20251219T110943Z.jpg</t>
  </si>
  <si>
    <t>пт 19.12.2025 — 11:09:43</t>
  </si>
  <si>
    <t>E33149364_1_20251219T121735Z.jpg</t>
  </si>
  <si>
    <t>9 Ангар пилорама\E33149364_1_20251219T121735Z.jpg</t>
  </si>
  <si>
    <t>пт 19.12.2025 — 12:17:35</t>
  </si>
  <si>
    <t>E33149364_1_20251219T121811Z.jpg</t>
  </si>
  <si>
    <t>9 Ангар пилорама\E33149364_1_20251219T121811Z.jpg</t>
  </si>
  <si>
    <t>пт 19.12.2025 — 12:18:11</t>
  </si>
  <si>
    <t>E33149364_1_20251219T155259Z.jpg</t>
  </si>
  <si>
    <t>9 Ангар пилорама\E33149364_1_20251219T155259Z.jpg</t>
  </si>
  <si>
    <t>пт 19.12.2025 — 15:52:59</t>
  </si>
  <si>
    <t>E33149364_1_20251219T162643Z.jpg</t>
  </si>
  <si>
    <t>9 Ангар пилорама\E33149364_1_20251219T162643Z.jpg</t>
  </si>
  <si>
    <t>пт 19.12.2025 — 16:26:43</t>
  </si>
  <si>
    <t>E33149364_1_20251220T120511Z.jpg</t>
  </si>
  <si>
    <t>9 Ангар пилорама\E33149364_1_20251220T120511Z.jpg</t>
  </si>
  <si>
    <t>сб 20.12.2025 — 12:05:11</t>
  </si>
  <si>
    <t>E33149364_1_20251220T170518Z.jpg</t>
  </si>
  <si>
    <t>9 Ангар пилорама\E33149364_1_20251220T170518Z.jpg</t>
  </si>
  <si>
    <t>сб 20.12.2025 — 17:05:18</t>
  </si>
  <si>
    <t>E33149364_3_20251218T091507Z.jpg</t>
  </si>
  <si>
    <t>10 Сушилка навес\E33149364_3_20251218T091507Z.jpg</t>
  </si>
  <si>
    <t>чт 18.12.2025 — 09:15:07</t>
  </si>
  <si>
    <t>E33149364_3_20251218T093816Z.jpg</t>
  </si>
  <si>
    <t>10 Сушилка навес\E33149364_3_20251218T093816Z.jpg</t>
  </si>
  <si>
    <t>чт 18.12.2025 — 09:38:16</t>
  </si>
  <si>
    <t>E33149364_3_20251218T093824Z.jpg</t>
  </si>
  <si>
    <t>10 Сушилка навес\E33149364_3_20251218T093824Z.jpg</t>
  </si>
  <si>
    <t>чт 18.12.2025 — 09:38:24</t>
  </si>
  <si>
    <t>E33149364_3_20251218T095151Z.jpg</t>
  </si>
  <si>
    <t>10 Сушилка навес\E33149364_3_20251218T095151Z.jpg</t>
  </si>
  <si>
    <t>чт 18.12.2025 — 09:51:51</t>
  </si>
  <si>
    <t>E33149364_3_20251218T095534Z.jpg</t>
  </si>
  <si>
    <t>10 Сушилка навес\E33149364_3_20251218T095534Z.jpg</t>
  </si>
  <si>
    <t>чт 18.12.2025 — 09:55:34</t>
  </si>
  <si>
    <t>E33149364_3_20251218T095639Z.jpg</t>
  </si>
  <si>
    <t>10 Сушилка навес\E33149364_3_20251218T095639Z.jpg</t>
  </si>
  <si>
    <t>чт 18.12.2025 — 09:56:39</t>
  </si>
  <si>
    <t>E33149364_3_20251218T101243Z.jpg</t>
  </si>
  <si>
    <t>10 Сушилка навес\E33149364_3_20251218T101243Z.jpg</t>
  </si>
  <si>
    <t>чт 18.12.2025 — 10:12:43</t>
  </si>
  <si>
    <t>E33149364_3_20251218T103347Z.jpg</t>
  </si>
  <si>
    <t>10 Сушилка навес\E33149364_3_20251218T103347Z.jpg</t>
  </si>
  <si>
    <t>чт 18.12.2025 — 10:33:47</t>
  </si>
  <si>
    <t>E33149364_3_20251218T105357Z.jpg</t>
  </si>
  <si>
    <t>10 Сушилка навес\E33149364_3_20251218T105357Z.jpg</t>
  </si>
  <si>
    <t>чт 18.12.2025 — 10:53:57</t>
  </si>
  <si>
    <t>E33149364_3_20251218T112832Z.jpg</t>
  </si>
  <si>
    <t>10 Сушилка навес\E33149364_3_20251218T112832Z.jpg</t>
  </si>
  <si>
    <t>чт 18.12.2025 — 11:28:32</t>
  </si>
  <si>
    <t>E33149364_3_20251218T113400Z.jpg</t>
  </si>
  <si>
    <t>10 Сушилка навес\E33149364_3_20251218T113400Z.jpg</t>
  </si>
  <si>
    <t>чт 18.12.2025 — 11:34:00</t>
  </si>
  <si>
    <t>E33149364_3_20251218T120309Z.jpg</t>
  </si>
  <si>
    <t>10 Сушилка навес\E33149364_3_20251218T120309Z.jpg</t>
  </si>
  <si>
    <t>чт 18.12.2025 — 12:03:09</t>
  </si>
  <si>
    <t>E33149364_3_20251218T122657Z.jpg</t>
  </si>
  <si>
    <t>10 Сушилка навес\E33149364_3_20251218T122657Z.jpg</t>
  </si>
  <si>
    <t>чт 18.12.2025 — 12:26:57</t>
  </si>
  <si>
    <t>E33149364_3_20251218T123712Z.jpg</t>
  </si>
  <si>
    <t>10 Сушилка навес\E33149364_3_20251218T123712Z.jpg</t>
  </si>
  <si>
    <t>чт 18.12.2025 — 12:37:12</t>
  </si>
  <si>
    <t>E33149364_3_20251218T142707Z.jpg</t>
  </si>
  <si>
    <t>10 Сушилка навес\E33149364_3_20251218T142707Z.jpg</t>
  </si>
  <si>
    <t>чт 18.12.2025 — 14:27:07</t>
  </si>
  <si>
    <t>E33149364_3_20251218T142738Z.jpg</t>
  </si>
  <si>
    <t>10 Сушилка навес\E33149364_3_20251218T142738Z.jpg</t>
  </si>
  <si>
    <t>чт 18.12.2025 — 14:27:38</t>
  </si>
  <si>
    <t>E33149364_3_20251218T144406Z.jpg</t>
  </si>
  <si>
    <t>10 Сушилка навес\E33149364_3_20251218T144406Z.jpg</t>
  </si>
  <si>
    <t>чт 18.12.2025 — 14:44:06</t>
  </si>
  <si>
    <t>E33149364_3_20251218T144420Z.jpg</t>
  </si>
  <si>
    <t>10 Сушилка навес\E33149364_3_20251218T144420Z.jpg</t>
  </si>
  <si>
    <t>чт 18.12.2025 — 14:44:20</t>
  </si>
  <si>
    <t>E33149364_3_20251218T144444Z.jpg</t>
  </si>
  <si>
    <t>10 Сушилка навес\E33149364_3_20251218T144444Z.jpg</t>
  </si>
  <si>
    <t>чт 18.12.2025 — 14:44:44</t>
  </si>
  <si>
    <t>E33149364_3_20251218T163834Z.jpg</t>
  </si>
  <si>
    <t>10 Сушилка навес\E33149364_3_20251218T163834Z.jpg</t>
  </si>
  <si>
    <t>чт 18.12.2025 — 16:38:34</t>
  </si>
  <si>
    <t>E33149364_3_20251219T091346Z.jpg</t>
  </si>
  <si>
    <t>10 Сушилка навес\E33149364_3_20251219T091346Z.jpg</t>
  </si>
  <si>
    <t>пт 19.12.2025 — 09:13:46</t>
  </si>
  <si>
    <t>E33149364_3_20251219T091355Z.jpg</t>
  </si>
  <si>
    <t>10 Сушилка навес\E33149364_3_20251219T091355Z.jpg</t>
  </si>
  <si>
    <t>пт 19.12.2025 — 09:13:55</t>
  </si>
  <si>
    <t>E33149364_3_20251219T092205Z.jpg</t>
  </si>
  <si>
    <t>10 Сушилка навес\E33149364_3_20251219T092205Z.jpg</t>
  </si>
  <si>
    <t>пт 19.12.2025 — 09:22:05</t>
  </si>
  <si>
    <t>E33149364_3_20251219T123117Z.jpg</t>
  </si>
  <si>
    <t>10 Сушилка навес\E33149364_3_20251219T123117Z.jpg</t>
  </si>
  <si>
    <t>пт 19.12.2025 — 12:31:17</t>
  </si>
  <si>
    <t>E33149364_3_20251219T155314Z.jpg</t>
  </si>
  <si>
    <t>10 Сушилка навес\E33149364_3_20251219T155314Z.jpg</t>
  </si>
  <si>
    <t>пт 19.12.2025 — 15:53:14</t>
  </si>
  <si>
    <t>E33149364_3_20251219T160845Z.jpg</t>
  </si>
  <si>
    <t>10 Сушилка навес\E33149364_3_20251219T160845Z.jpg</t>
  </si>
  <si>
    <t>пт 19.12.2025 — 16:08:45</t>
  </si>
  <si>
    <t>E33149364_3_20251220T162816Z.jpg</t>
  </si>
  <si>
    <t>10 Сушилка навес\E33149364_3_20251220T162816Z.jpg</t>
  </si>
  <si>
    <t>сб 20.12.2025 — 16:28:16</t>
  </si>
  <si>
    <t>E33149364_4_20251218T095606Z.jpg</t>
  </si>
  <si>
    <t>11 С ангара на базу\E33149364_4_20251218T095606Z.jpg</t>
  </si>
  <si>
    <t>чт 18.12.2025 — 09:56:06</t>
  </si>
  <si>
    <t>E33149364_4_20251218T095636Z.jpg</t>
  </si>
  <si>
    <t>11 С ангара на базу\E33149364_4_20251218T095636Z.jpg</t>
  </si>
  <si>
    <t>чт 18.12.2025 — 09:56:36</t>
  </si>
  <si>
    <t>E33149364_4_20251218T104027Z.jpg</t>
  </si>
  <si>
    <t>11 С ангара на базу\E33149364_4_20251218T104027Z.jpg</t>
  </si>
  <si>
    <t>чт 18.12.2025 — 10:40:27</t>
  </si>
  <si>
    <t>E33149364_4_20251218T144553Z.jpg</t>
  </si>
  <si>
    <t>11 С ангара на базу\E33149364_4_20251218T144553Z.jpg</t>
  </si>
  <si>
    <t>чт 18.12.2025 — 14:45:53</t>
  </si>
  <si>
    <t>E33149364_4_20251218T144616Z.jpg</t>
  </si>
  <si>
    <t>11 С ангара на базу\E33149364_4_20251218T144616Z.jpg</t>
  </si>
  <si>
    <t>чт 18.12.2025 — 14:46:16</t>
  </si>
  <si>
    <t>E33149364_4_20251219T164556Z.jpg</t>
  </si>
  <si>
    <t>11 С ангара на базу\E33149364_4_20251219T164556Z.jpg</t>
  </si>
  <si>
    <t>пт 19.12.2025 — 16:45:56</t>
  </si>
  <si>
    <t>E33149364_4_20251220T162806Z.jpg</t>
  </si>
  <si>
    <t>11 С ангара на базу\E33149364_4_20251220T162806Z.jpg</t>
  </si>
  <si>
    <t>сб 20.12.2025 — 16:28:06</t>
  </si>
  <si>
    <t>K07156189_20_20251218T101043Z.jpg</t>
  </si>
  <si>
    <t>12 Площадка 3 кран\K07156189_20_20251218T101043Z.jpg</t>
  </si>
  <si>
    <t>чт 18.12.2025 — 10:10:43</t>
  </si>
  <si>
    <t>K07156189_20_20251218T141846Z.jpg</t>
  </si>
  <si>
    <t>12 Площадка 3 кран\K07156189_20_20251218T141846Z.jpg</t>
  </si>
  <si>
    <t>чт 18.12.2025 — 14:18:46</t>
  </si>
  <si>
    <t>K07156189_20_20251219T151240Z.jpg</t>
  </si>
  <si>
    <t>12 Площадка 3 кран\K07156189_20_20251219T151240Z.jpg</t>
  </si>
  <si>
    <t>пт 19.12.2025 — 15:12:40</t>
  </si>
  <si>
    <t>K07156189_20_20251220T180308Z.jpg</t>
  </si>
  <si>
    <t>12 Площадка 3 кран\K07156189_20_20251220T180308Z.jpg</t>
  </si>
  <si>
    <t>сб 20.12.2025 — 18:03:08</t>
  </si>
  <si>
    <t>K07156189_22_20251218T110404Z.jpg</t>
  </si>
  <si>
    <t>5 Крыльцо общага\K07156189_22_20251218T110404Z.jpg</t>
  </si>
  <si>
    <t>чт 18.12.2025 — 11:04:04</t>
  </si>
  <si>
    <t>K07156189_22_20251218T134546Z.jpg</t>
  </si>
  <si>
    <t>5 Крыльцо общага\K07156189_22_20251218T134546Z.jpg</t>
  </si>
  <si>
    <t>чт 18.12.2025 — 13:45:46</t>
  </si>
  <si>
    <t>K07156189_22_20251218T151257Z.jpg</t>
  </si>
  <si>
    <t>5 Крыльцо общага\K07156189_22_20251218T151257Z.jpg</t>
  </si>
  <si>
    <t>чт 18.12.2025 — 15:12:57</t>
  </si>
  <si>
    <t>K07156189_22_20251218T165412Z.jpg</t>
  </si>
  <si>
    <t>5 Крыльцо общага\K07156189_22_20251218T165412Z.jpg</t>
  </si>
  <si>
    <t>чт 18.12.2025 — 16:54:12</t>
  </si>
  <si>
    <t>K07156189_22_20251219T174727Z.jpg</t>
  </si>
  <si>
    <t>5 Крыльцо общага\K07156189_22_20251219T174727Z.jpg</t>
  </si>
  <si>
    <t>пт 19.12.2025 — 17:47:27</t>
  </si>
  <si>
    <t>K07156189_22_20251220T144131Z.jpg</t>
  </si>
  <si>
    <t>5 Крыльцо общага\K07156189_22_20251220T144131Z.jpg</t>
  </si>
  <si>
    <t>сб 20.12.2025 — 14:41:31</t>
  </si>
  <si>
    <t>K07156189_23_20251220T163851Z.jpg</t>
  </si>
  <si>
    <t>13 Склад хол\K07156189_23_20251220T163851Z.jpg</t>
  </si>
  <si>
    <t>сб 20.12.2025 — 16:38:51</t>
  </si>
  <si>
    <t>K07156189_18_20251219T173444Z.jpg</t>
  </si>
  <si>
    <t>7 Площадка 2 бетонщики\K07156189_18_20251219T173444Z.jpg</t>
  </si>
  <si>
    <t>пт 19.12.2025 — 17:34:44</t>
  </si>
  <si>
    <t>K07156189_23_20251219T155722Z.jpg</t>
  </si>
  <si>
    <t>13 Склад хол\K07156189_23_20251219T155722Z.jpg</t>
  </si>
  <si>
    <t>пт 19.12.2025 — 15:57:22</t>
  </si>
  <si>
    <t>Наполнение мешка опилками</t>
  </si>
  <si>
    <t>мешок с опилками</t>
  </si>
  <si>
    <t>пенопласт</t>
  </si>
  <si>
    <t>поленья</t>
  </si>
  <si>
    <t>окно</t>
  </si>
  <si>
    <t>перевоз</t>
  </si>
  <si>
    <t>K07156189_22_20251221T171744Z.jpg</t>
  </si>
  <si>
    <t>5 Крыльцо общага\K07156189_22_20251221T171744Z.jpg</t>
  </si>
  <si>
    <t>вс 21.12.2025 — 17:17:44</t>
  </si>
  <si>
    <t>E33149364_6_20251221T172557Z.jpg</t>
  </si>
  <si>
    <t>1 Ангар Склад 2 въезд\E33149364_6_20251221T172557Z.jpg</t>
  </si>
  <si>
    <t>вс 21.12.2025 — 17:25:57</t>
  </si>
  <si>
    <t>E33149364_7_20251221T174304Z.jpg</t>
  </si>
  <si>
    <t>2 Пилорама поката\E33149364_7_20251221T174304Z.jpg</t>
  </si>
  <si>
    <t>вс 21.12.2025 — 17:43:04</t>
  </si>
  <si>
    <t>E33149364_8_20251221T170200Z.jpg</t>
  </si>
  <si>
    <t>вс 21.12.2025 — 17:02:00</t>
  </si>
  <si>
    <t>K07156189_21_20251221T170409Z.jpg</t>
  </si>
  <si>
    <t>4 Крыльцо офиса\K07156189_21_20251221T170409Z.jpg</t>
  </si>
  <si>
    <t>вс 21.12.2025 — 17:04:09</t>
  </si>
  <si>
    <t>826398429_1_20251221T174500Z.jpg</t>
  </si>
  <si>
    <t>6 Площадка 1 общага\826398429_1_20251221T174500Z.jpg</t>
  </si>
  <si>
    <t>вс 21.12.2025 — 17:45:00</t>
  </si>
  <si>
    <t>E33149364_2_20251221T124126Z.jpg</t>
  </si>
  <si>
    <t>8 Рейсмус\E33149364_2_20251221T124126Z.jpg</t>
  </si>
  <si>
    <t>вс 21.12.2025 — 12:41:26</t>
  </si>
  <si>
    <t>E33149364_1_20251221T104512Z.jpg</t>
  </si>
  <si>
    <t>9 Ангар пилорама\E33149364_1_20251221T104512Z.jpg</t>
  </si>
  <si>
    <t>вс 21.12.2025 — 10:45:12</t>
  </si>
  <si>
    <t>E33149364_1_20251221T141623Z.jpg</t>
  </si>
  <si>
    <t>9 Ангар пилорама\E33149364_1_20251221T141623Z.jpg</t>
  </si>
  <si>
    <t>вс 21.12.2025 — 14:16:23</t>
  </si>
  <si>
    <t>E33149364_1_20251221T163956Z.jpg</t>
  </si>
  <si>
    <t>9 Ангар пилорама\E33149364_1_20251221T163956Z.jpg</t>
  </si>
  <si>
    <t>вс 21.12.2025 — 16:39:56</t>
  </si>
  <si>
    <t>E33149364_3_20251221T164250Z.jpg</t>
  </si>
  <si>
    <t>10 Сушилка навес\E33149364_3_20251221T164250Z.jpg</t>
  </si>
  <si>
    <t>вс 21.12.2025 — 16:42:50</t>
  </si>
  <si>
    <t>E33149364_4_20251221T165950Z.jpg</t>
  </si>
  <si>
    <t>11 С ангара на базу\E33149364_4_20251221T165950Z.jpg</t>
  </si>
  <si>
    <t>вс 21.12.2025 — 16:59:50</t>
  </si>
  <si>
    <t>K07156189_20_20251221T174352Z.jpg</t>
  </si>
  <si>
    <t>12 Площадка 3 кран\K07156189_20_20251221T174352Z.jpg</t>
  </si>
  <si>
    <t>вс 21.12.2025 — 17:43:52</t>
  </si>
  <si>
    <t>K07156189_23_20251221T165447Z.jpg</t>
  </si>
  <si>
    <t>13 Склад хол\K07156189_23_20251221T165447Z.jpg</t>
  </si>
  <si>
    <t>вс 21.12.2025 — 16:54:47</t>
  </si>
  <si>
    <t>K07156189_18_20251221T173444Z.jpg</t>
  </si>
  <si>
    <t>7 Площадка 2 бетонщики\K07156189_18_20251221T173444Z.jpg</t>
  </si>
  <si>
    <t>вс 21.12.2025 — 17:34:44</t>
  </si>
  <si>
    <t>работа с брусом</t>
  </si>
  <si>
    <t>E33149364_7_20251222T111002Z.jpg</t>
  </si>
  <si>
    <t>2 Пилорама поката\E33149364_7_20251222T111002Z.jpg</t>
  </si>
  <si>
    <t>пн 22.12.2025 — 11:10:02</t>
  </si>
  <si>
    <t>E33149364_7_20251222T131147Z.jpg</t>
  </si>
  <si>
    <t>2 Пилорама поката\E33149364_7_20251222T131147Z.jpg</t>
  </si>
  <si>
    <t>пн 22.12.2025 — 13:11:47</t>
  </si>
  <si>
    <t>E33149364_7_20251223T174651Z.jpg</t>
  </si>
  <si>
    <t>2 Пилорама поката\E33149364_7_20251223T174651Z.jpg</t>
  </si>
  <si>
    <t>вт 23.12.2025 — 17:46:51</t>
  </si>
  <si>
    <t>K07156189_21_20251222T161614Z.jpg</t>
  </si>
  <si>
    <t>4 Крыльцо офиса\K07156189_21_20251222T161614Z.jpg</t>
  </si>
  <si>
    <t>пн 22.12.2025 — 16:16:14</t>
  </si>
  <si>
    <t>K07156189_21_20251223T181313Z.jpg</t>
  </si>
  <si>
    <t>4 Крыльцо офиса\K07156189_21_20251223T181313Z.jpg</t>
  </si>
  <si>
    <t>вт 23.12.2025 — 18:13:13</t>
  </si>
  <si>
    <t>K07156189_21_20251223T184105Z.jpg</t>
  </si>
  <si>
    <t>4 Крыльцо офиса\K07156189_21_20251223T184105Z.jpg</t>
  </si>
  <si>
    <t>вт 23.12.2025 — 18:41:05</t>
  </si>
  <si>
    <t>K07156189_21_20251223T190156Z.jpg</t>
  </si>
  <si>
    <t>4 Крыльцо офиса\K07156189_21_20251223T190156Z.jpg</t>
  </si>
  <si>
    <t>вт 23.12.2025 — 19:01:56</t>
  </si>
  <si>
    <t>K07156189_21_20251223T193139Z.jpg</t>
  </si>
  <si>
    <t>4 Крыльцо офиса\K07156189_21_20251223T193139Z.jpg</t>
  </si>
  <si>
    <t>вт 23.12.2025 — 19:31:39</t>
  </si>
  <si>
    <t>E33149364_6_20251222T110930Z.jpg</t>
  </si>
  <si>
    <t>1 Ангар Склад 2 въезд\E33149364_6_20251222T110930Z.jpg</t>
  </si>
  <si>
    <t>пн 22.12.2025 — 11:09:30</t>
  </si>
  <si>
    <t>E33149364_6_20251222T131820Z.jpg</t>
  </si>
  <si>
    <t>1 Ангар Склад 2 въезд\E33149364_6_20251222T131820Z.jpg</t>
  </si>
  <si>
    <t>пн 22.12.2025 — 13:18:20</t>
  </si>
  <si>
    <t>E33149364_6_20251223T181257Z.jpg</t>
  </si>
  <si>
    <t>1 Ангар Склад 2 въезд\E33149364_6_20251223T181257Z.jpg</t>
  </si>
  <si>
    <t>вт 23.12.2025 — 18:12:57</t>
  </si>
  <si>
    <t>E33149364_6_20251223T193501Z.jpg</t>
  </si>
  <si>
    <t>1 Ангар Склад 2 въезд\E33149364_6_20251223T193501Z.jpg</t>
  </si>
  <si>
    <t>вт 23.12.2025 — 19:35:01</t>
  </si>
  <si>
    <t>826398429_1_20251222T174406Z.jpg</t>
  </si>
  <si>
    <t>6 Площадка 1 общага\826398429_1_20251222T174406Z.jpg</t>
  </si>
  <si>
    <t>пн 22.12.2025 — 17:44:06</t>
  </si>
  <si>
    <t>826398429_1_20251223T100054Z.jpg</t>
  </si>
  <si>
    <t>6 Площадка 1 общага\826398429_1_20251223T100054Z.jpg</t>
  </si>
  <si>
    <t>вт 23.12.2025 — 10:00:54</t>
  </si>
  <si>
    <t>E33149364_8_20251222T163200Z.jpg</t>
  </si>
  <si>
    <t>пн 22.12.2025 — 16:32:00</t>
  </si>
  <si>
    <t>E33149364_8_20251223T170929Z.jpg</t>
  </si>
  <si>
    <t>вт 23.12.2025 — 17:09:29</t>
  </si>
  <si>
    <t>E33149364_8_20251223T193452Z.jpg</t>
  </si>
  <si>
    <t>вт 23.12.2025 — 19:34:52</t>
  </si>
  <si>
    <t>E33149364_1_20251222T095535Z.jpg</t>
  </si>
  <si>
    <t>9 Ангар пилорама\E33149364_1_20251222T095535Z.jpg</t>
  </si>
  <si>
    <t>пн 22.12.2025 — 09:55:35</t>
  </si>
  <si>
    <t>E33149364_1_20251222T103703Z.jpg</t>
  </si>
  <si>
    <t>9 Ангар пилорама\E33149364_1_20251222T103703Z.jpg</t>
  </si>
  <si>
    <t>пн 22.12.2025 — 10:37:03</t>
  </si>
  <si>
    <t>E33149364_1_20251222T105855Z.jpg</t>
  </si>
  <si>
    <t>9 Ангар пилорама\E33149364_1_20251222T105855Z.jpg</t>
  </si>
  <si>
    <t>пн 22.12.2025 — 10:58:55</t>
  </si>
  <si>
    <t>E33149364_1_20251222T123129Z.jpg</t>
  </si>
  <si>
    <t>9 Ангар пилорама\E33149364_1_20251222T123129Z.jpg</t>
  </si>
  <si>
    <t>пн 22.12.2025 — 12:31:29</t>
  </si>
  <si>
    <t>E33149364_1_20251222T123809Z.jpg</t>
  </si>
  <si>
    <t>9 Ангар пилорама\E33149364_1_20251222T123809Z.jpg</t>
  </si>
  <si>
    <t>пн 22.12.2025 — 12:38:09</t>
  </si>
  <si>
    <t>E33149364_1_20251222T135437Z.jpg</t>
  </si>
  <si>
    <t>9 Ангар пилорама\E33149364_1_20251222T135437Z.jpg</t>
  </si>
  <si>
    <t>пн 22.12.2025 — 13:54:37</t>
  </si>
  <si>
    <t>E33149364_1_20251222T140332Z.jpg</t>
  </si>
  <si>
    <t>9 Ангар пилорама\E33149364_1_20251222T140332Z.jpg</t>
  </si>
  <si>
    <t>пн 22.12.2025 — 14:03:32</t>
  </si>
  <si>
    <t>E33149364_1_20251222T145347Z.jpg</t>
  </si>
  <si>
    <t>9 Ангар пилорама\E33149364_1_20251222T145347Z.jpg</t>
  </si>
  <si>
    <t>пн 22.12.2025 — 14:53:47</t>
  </si>
  <si>
    <t>E33149364_1_20251223T085746Z.jpg</t>
  </si>
  <si>
    <t>9 Ангар пилорама\E33149364_1_20251223T085746Z.jpg</t>
  </si>
  <si>
    <t>вт 23.12.2025 — 08:57:46</t>
  </si>
  <si>
    <t>E33149364_1_20251223T194256Z.jpg</t>
  </si>
  <si>
    <t>9 Ангар пилорама\E33149364_1_20251223T194256Z.jpg</t>
  </si>
  <si>
    <t>вт 23.12.2025 — 19:42:56</t>
  </si>
  <si>
    <t>E33149364_3_20251222T170048Z.jpg</t>
  </si>
  <si>
    <t>10 Сушилка навес\E33149364_3_20251222T170048Z.jpg</t>
  </si>
  <si>
    <t>пн 22.12.2025 — 17:00:48</t>
  </si>
  <si>
    <t>E33149364_3_20251223T104739Z.jpg</t>
  </si>
  <si>
    <t>10 Сушилка навес\E33149364_3_20251223T104739Z.jpg</t>
  </si>
  <si>
    <t>вт 23.12.2025 — 10:47:39</t>
  </si>
  <si>
    <t>E33149364_4_20251222T171004Z.jpg</t>
  </si>
  <si>
    <t>11 С ангара на базу\E33149364_4_20251222T171004Z.jpg</t>
  </si>
  <si>
    <t>пн 22.12.2025 — 17:10:04</t>
  </si>
  <si>
    <t>E33149364_4_20251223T172523Z.jpg</t>
  </si>
  <si>
    <t>11 С ангара на базу\E33149364_4_20251223T172523Z.jpg</t>
  </si>
  <si>
    <t>вт 23.12.2025 — 17:25:23</t>
  </si>
  <si>
    <t>K07156189_23_20251222T170218Z.jpg</t>
  </si>
  <si>
    <t>13 Склад хол\K07156189_23_20251222T170218Z.jpg</t>
  </si>
  <si>
    <t>пн 22.12.2025 — 17:02:18</t>
  </si>
  <si>
    <t>K07156189_23_20251223T174730Z.jpg</t>
  </si>
  <si>
    <t>13 Склад хол\K07156189_23_20251223T174730Z.jpg</t>
  </si>
  <si>
    <t>вт 23.12.2025 — 17:47:30</t>
  </si>
  <si>
    <t>K07156189_22_20251222T133430Z.jpg</t>
  </si>
  <si>
    <t>5 Крыльцо общага\K07156189_22_20251222T133430Z.jpg</t>
  </si>
  <si>
    <t>пн 22.12.2025 — 13:34:30</t>
  </si>
  <si>
    <t>K07156189_22_20251222T174011Z.jpg</t>
  </si>
  <si>
    <t>5 Крыльцо общага\K07156189_22_20251222T174011Z.jpg</t>
  </si>
  <si>
    <t>пн 22.12.2025 — 17:40:11</t>
  </si>
  <si>
    <t>K07156189_22_20251223T170653Z.jpg</t>
  </si>
  <si>
    <t>5 Крыльцо общага\K07156189_22_20251223T170653Z.jpg</t>
  </si>
  <si>
    <t>вт 23.12.2025 — 17:06:53</t>
  </si>
  <si>
    <t>K07156189_22_20251223T181638Z.jpg</t>
  </si>
  <si>
    <t>5 Крыльцо общага\K07156189_22_20251223T181638Z.jpg</t>
  </si>
  <si>
    <t>вт 23.12.2025 — 18:16:38</t>
  </si>
  <si>
    <t>K07156189_22_20251223T181709Z.jpg</t>
  </si>
  <si>
    <t>5 Крыльцо общага\K07156189_22_20251223T181709Z.jpg</t>
  </si>
  <si>
    <t>вт 23.12.2025 — 18:17:09</t>
  </si>
  <si>
    <t>K07156189_22_20251223T183038Z.jpg</t>
  </si>
  <si>
    <t>5 Крыльцо общага\K07156189_22_20251223T183038Z.jpg</t>
  </si>
  <si>
    <t>вт 23.12.2025 — 18:30:38</t>
  </si>
  <si>
    <t>K07156189_22_20251223T183124Z.jpg</t>
  </si>
  <si>
    <t>5 Крыльцо общага\K07156189_22_20251223T183124Z.jpg</t>
  </si>
  <si>
    <t>вт 23.12.2025 — 18:31:24</t>
  </si>
  <si>
    <t>K07156189_22_20251223T183405Z.jpg</t>
  </si>
  <si>
    <t>5 Крыльцо общага\K07156189_22_20251223T183405Z.jpg</t>
  </si>
  <si>
    <t>вт 23.12.2025 — 18:34:05</t>
  </si>
  <si>
    <t>K07156189_22_20251223T183659Z.jpg</t>
  </si>
  <si>
    <t>5 Крыльцо общага\K07156189_22_20251223T183659Z.jpg</t>
  </si>
  <si>
    <t>вт 23.12.2025 — 18:36:59</t>
  </si>
  <si>
    <t>K07156189_22_20251223T183951Z.jpg</t>
  </si>
  <si>
    <t>5 Крыльцо общага\K07156189_22_20251223T183951Z.jpg</t>
  </si>
  <si>
    <t>вт 23.12.2025 — 18:39:51</t>
  </si>
  <si>
    <t>K07156189_22_20251223T184301Z.jpg</t>
  </si>
  <si>
    <t>5 Крыльцо общага\K07156189_22_20251223T184301Z.jpg</t>
  </si>
  <si>
    <t>вт 23.12.2025 — 18:43:01</t>
  </si>
  <si>
    <t>K07156189_22_20251223T184526Z.jpg</t>
  </si>
  <si>
    <t>5 Крыльцо общага\K07156189_22_20251223T184526Z.jpg</t>
  </si>
  <si>
    <t>вт 23.12.2025 — 18:45:26</t>
  </si>
  <si>
    <t>K07156189_22_20251223T184828Z.jpg</t>
  </si>
  <si>
    <t>5 Крыльцо общага\K07156189_22_20251223T184828Z.jpg</t>
  </si>
  <si>
    <t>вт 23.12.2025 — 18:48:28</t>
  </si>
  <si>
    <t>K07156189_22_20251223T185106Z.jpg</t>
  </si>
  <si>
    <t>5 Крыльцо общага\K07156189_22_20251223T185106Z.jpg</t>
  </si>
  <si>
    <t>вт 23.12.2025 — 18:51:06</t>
  </si>
  <si>
    <t>K07156189_22_20251223T185425Z.jpg</t>
  </si>
  <si>
    <t>5 Крыльцо общага\K07156189_22_20251223T185425Z.jpg</t>
  </si>
  <si>
    <t>вт 23.12.2025 — 18:54:25</t>
  </si>
  <si>
    <t>K07156189_22_20251223T185636Z.jpg</t>
  </si>
  <si>
    <t>5 Крыльцо общага\K07156189_22_20251223T185636Z.jpg</t>
  </si>
  <si>
    <t>вт 23.12.2025 — 18:56:36</t>
  </si>
  <si>
    <t>K07156189_22_20251223T185854Z.jpg</t>
  </si>
  <si>
    <t>5 Крыльцо общага\K07156189_22_20251223T185854Z.jpg</t>
  </si>
  <si>
    <t>вт 23.12.2025 — 18:58:54</t>
  </si>
  <si>
    <t>K07156189_22_20251223T190218Z.jpg</t>
  </si>
  <si>
    <t>5 Крыльцо общага\K07156189_22_20251223T190218Z.jpg</t>
  </si>
  <si>
    <t>вт 23.12.2025 — 19:02:18</t>
  </si>
  <si>
    <t>K07156189_22_20251223T190443Z.jpg</t>
  </si>
  <si>
    <t>5 Крыльцо общага\K07156189_22_20251223T190443Z.jpg</t>
  </si>
  <si>
    <t>вт 23.12.2025 — 19:04:43</t>
  </si>
  <si>
    <t>K07156189_22_20251223T190746Z.jpg</t>
  </si>
  <si>
    <t>5 Крыльцо общага\K07156189_22_20251223T190746Z.jpg</t>
  </si>
  <si>
    <t>вт 23.12.2025 — 19:07:46</t>
  </si>
  <si>
    <t>K07156189_22_20251223T190959Z.jpg</t>
  </si>
  <si>
    <t>5 Крыльцо общага\K07156189_22_20251223T190959Z.jpg</t>
  </si>
  <si>
    <t>вт 23.12.2025 — 19:09:59</t>
  </si>
  <si>
    <t>K07156189_22_20251223T191219Z.jpg</t>
  </si>
  <si>
    <t>5 Крыльцо общага\K07156189_22_20251223T191219Z.jpg</t>
  </si>
  <si>
    <t>вт 23.12.2025 — 19:12:19</t>
  </si>
  <si>
    <t>K07156189_22_20251223T191447Z.jpg</t>
  </si>
  <si>
    <t>5 Крыльцо общага\K07156189_22_20251223T191447Z.jpg</t>
  </si>
  <si>
    <t>вт 23.12.2025 — 19:14:47</t>
  </si>
  <si>
    <t>K07156189_22_20251223T191706Z.jpg</t>
  </si>
  <si>
    <t>5 Крыльцо общага\K07156189_22_20251223T191706Z.jpg</t>
  </si>
  <si>
    <t>вт 23.12.2025 — 19:17:06</t>
  </si>
  <si>
    <t>K07156189_22_20251223T191939Z.jpg</t>
  </si>
  <si>
    <t>5 Крыльцо общага\K07156189_22_20251223T191939Z.jpg</t>
  </si>
  <si>
    <t>вт 23.12.2025 — 19:19:39</t>
  </si>
  <si>
    <t>K07156189_22_20251223T192220Z.jpg</t>
  </si>
  <si>
    <t>5 Крыльцо общага\K07156189_22_20251223T192220Z.jpg</t>
  </si>
  <si>
    <t>вт 23.12.2025 — 19:22:20</t>
  </si>
  <si>
    <t>E33149364_2_20251222T143251Z.jpg</t>
  </si>
  <si>
    <t>8 Рейсмус\E33149364_2_20251222T143251Z.jpg</t>
  </si>
  <si>
    <t>пн 22.12.2025 — 14:32:51</t>
  </si>
  <si>
    <t>E33149364_2_20251223T180336Z.jpg</t>
  </si>
  <si>
    <t>8 Рейсмус\E33149364_2_20251223T180336Z.jpg</t>
  </si>
  <si>
    <t>вт 23.12.2025 — 18:03:36</t>
  </si>
  <si>
    <t>K07156189_20_20251222T174100Z.jpg</t>
  </si>
  <si>
    <t>12 Площадка 3 кран\K07156189_20_20251222T174100Z.jpg</t>
  </si>
  <si>
    <t>пн 22.12.2025 — 17:41:00</t>
  </si>
  <si>
    <t>K07156189_20_20251223T101403Z.jpg</t>
  </si>
  <si>
    <t>12 Площадка 3 кран\K07156189_20_20251223T101403Z.jpg</t>
  </si>
  <si>
    <t>вт 23.12.2025 — 10:14:03</t>
  </si>
  <si>
    <t>K07156189_20_20251223T193133Z.jpg</t>
  </si>
  <si>
    <t>12 Площадка 3 кран\K07156189_20_20251223T193133Z.jpg</t>
  </si>
  <si>
    <t>вт 23.12.2025 — 19:31:33</t>
  </si>
  <si>
    <t>Лесовоз</t>
  </si>
  <si>
    <t>K07156189_18_20251222T161631Z.jpg</t>
  </si>
  <si>
    <t>7 Площадка 2 бетонщики\K07156189_18_20251222T161631Z.jpg</t>
  </si>
  <si>
    <t>пн 22.12.2025 — 16:16:31</t>
  </si>
  <si>
    <t>K07156189_18_20251223T100021Z.jpg</t>
  </si>
  <si>
    <t>7 Площадка 2 бетонщики\K07156189_18_20251223T100021Z.jpg</t>
  </si>
  <si>
    <t>вт 23.12.2025 — 10:00:21</t>
  </si>
  <si>
    <t>бревна с лесовоза</t>
  </si>
  <si>
    <t>E33149364_6_20251224T171054Z.jpg</t>
  </si>
  <si>
    <t>1 Ангар Склад 2 въезд\E33149364_6_20251224T171054Z.jpg</t>
  </si>
  <si>
    <t>ср 24.12.2025 — 17:10:54</t>
  </si>
  <si>
    <t>E33149364_6_20251224T211527Z.jpg</t>
  </si>
  <si>
    <t>1 Ангар Склад 2 въезд\E33149364_6_20251224T211527Z.jpg</t>
  </si>
  <si>
    <t>ср 24.12.2025 — 21:15:27</t>
  </si>
  <si>
    <t>E33149364_6_20251225T114910Z.jpg</t>
  </si>
  <si>
    <t>1 Ангар Склад 2 въезд\E33149364_6_20251225T114910Z.jpg</t>
  </si>
  <si>
    <t>чт 25.12.2025 — 11:49:10</t>
  </si>
  <si>
    <t>E33149364_6_20251225T115604Z.jpg</t>
  </si>
  <si>
    <t>1 Ангар Склад 2 въезд\E33149364_6_20251225T115604Z.jpg</t>
  </si>
  <si>
    <t>чт 25.12.2025 — 11:56:04</t>
  </si>
  <si>
    <t>E33149364_6_20251225T121541Z.jpg</t>
  </si>
  <si>
    <t>1 Ангар Склад 2 въезд\E33149364_6_20251225T121541Z.jpg</t>
  </si>
  <si>
    <t>чт 25.12.2025 — 12:15:41</t>
  </si>
  <si>
    <t>E33149364_6_20251225T121604Z.jpg</t>
  </si>
  <si>
    <t>1 Ангар Склад 2 въезд\E33149364_6_20251225T121604Z.jpg</t>
  </si>
  <si>
    <t>чт 25.12.2025 — 12:16:04</t>
  </si>
  <si>
    <t>E33149364_6_20251225T145721Z.jpg</t>
  </si>
  <si>
    <t>1 Ангар Склад 2 въезд\E33149364_6_20251225T145721Z.jpg</t>
  </si>
  <si>
    <t>чт 25.12.2025 — 14:57:21</t>
  </si>
  <si>
    <t>E33149364_7_20251224T164641Z.jpg</t>
  </si>
  <si>
    <t>2 Пилорама поката\E33149364_7_20251224T164641Z.jpg</t>
  </si>
  <si>
    <t>ср 24.12.2025 — 16:46:41</t>
  </si>
  <si>
    <t>E33149364_7_20251225T174802Z.jpg</t>
  </si>
  <si>
    <t>2 Пилорама поката\E33149364_7_20251225T174802Z.jpg</t>
  </si>
  <si>
    <t>чт 25.12.2025 — 17:48:02</t>
  </si>
  <si>
    <t>E33149364_2_20251224T114643Z.jpg</t>
  </si>
  <si>
    <t>8 Рейсмус\E33149364_2_20251224T114643Z.jpg</t>
  </si>
  <si>
    <t>ср 24.12.2025 — 11:46:43</t>
  </si>
  <si>
    <t>E33149364_2_20251225T095936Z.jpg</t>
  </si>
  <si>
    <t>8 Рейсмус\E33149364_2_20251225T095936Z.jpg</t>
  </si>
  <si>
    <t>чт 25.12.2025 — 09:59:36</t>
  </si>
  <si>
    <t>E33149364_1_20251224T100751Z.jpg</t>
  </si>
  <si>
    <t>9 Ангар пилорама\E33149364_1_20251224T100751Z.jpg</t>
  </si>
  <si>
    <t>ср 24.12.2025 — 10:07:51</t>
  </si>
  <si>
    <t>E33149364_1_20251224T164454Z.jpg</t>
  </si>
  <si>
    <t>9 Ангар пилорама\E33149364_1_20251224T164454Z.jpg</t>
  </si>
  <si>
    <t>ср 24.12.2025 — 16:44:54</t>
  </si>
  <si>
    <t>E33149364_1_20251224T220505Z.jpg</t>
  </si>
  <si>
    <t>9 Ангар пилорама\E33149364_1_20251224T220505Z.jpg</t>
  </si>
  <si>
    <t>ср 24.12.2025 — 22:05:05</t>
  </si>
  <si>
    <t>E33149364_1_20251225T032907Z.jpg</t>
  </si>
  <si>
    <t>9 Ангар пилорама\E33149364_1_20251225T032907Z.jpg</t>
  </si>
  <si>
    <t>чт 25.12.2025 — 03:29:07</t>
  </si>
  <si>
    <t>E33149364_1_20251225T094257Z.jpg</t>
  </si>
  <si>
    <t>9 Ангар пилорама\E33149364_1_20251225T094257Z.jpg</t>
  </si>
  <si>
    <t>чт 25.12.2025 — 09:42:57</t>
  </si>
  <si>
    <t>E33149364_1_20251225T101234Z.jpg</t>
  </si>
  <si>
    <t>9 Ангар пилорама\E33149364_1_20251225T101234Z.jpg</t>
  </si>
  <si>
    <t>чт 25.12.2025 — 10:12:34</t>
  </si>
  <si>
    <t>E33149364_1_20251225T114315Z.jpg</t>
  </si>
  <si>
    <t>9 Ангар пилорама\E33149364_1_20251225T114315Z.jpg</t>
  </si>
  <si>
    <t>чт 25.12.2025 — 11:43:15</t>
  </si>
  <si>
    <t>E33149364_1_20251225T154643Z.jpg</t>
  </si>
  <si>
    <t>9 Ангар пилорама\E33149364_1_20251225T154643Z.jpg</t>
  </si>
  <si>
    <t>чт 25.12.2025 — 15:46:43</t>
  </si>
  <si>
    <t>E33149364_1_20251225T170109Z.jpg</t>
  </si>
  <si>
    <t>9 Ангар пилорама\E33149364_1_20251225T170109Z.jpg</t>
  </si>
  <si>
    <t>чт 25.12.2025 — 17:01:09</t>
  </si>
  <si>
    <t>E33149364_8_20251224T120857Z.jpg</t>
  </si>
  <si>
    <t>ср 24.12.2025 — 12:08:57</t>
  </si>
  <si>
    <t>E33149364_8_20251225T090811Z.jpg</t>
  </si>
  <si>
    <t>чт 25.12.2025 — 09:08:11</t>
  </si>
  <si>
    <t>E33149364_8_20251225T111058Z.jpg</t>
  </si>
  <si>
    <t>чт 25.12.2025 — 11:10:58</t>
  </si>
  <si>
    <t>E33149364_8_20251225T162713Z.jpg</t>
  </si>
  <si>
    <t>чт 25.12.2025 — 16:27:13</t>
  </si>
  <si>
    <t>E33149364_3_20251224T103624Z.jpg</t>
  </si>
  <si>
    <t>10 Сушилка навес\E33149364_3_20251224T103624Z.jpg</t>
  </si>
  <si>
    <t>ср 24.12.2025 — 10:36:24</t>
  </si>
  <si>
    <t>E33149364_3_20251224T143603Z.jpg</t>
  </si>
  <si>
    <t>10 Сушилка навес\E33149364_3_20251224T143603Z.jpg</t>
  </si>
  <si>
    <t>ср 24.12.2025 — 14:36:03</t>
  </si>
  <si>
    <t>E33149364_3_20251224T145623Z.jpg</t>
  </si>
  <si>
    <t>10 Сушилка навес\E33149364_3_20251224T145623Z.jpg</t>
  </si>
  <si>
    <t>ср 24.12.2025 — 14:56:23</t>
  </si>
  <si>
    <t>E33149364_3_20251224T165754Z.jpg</t>
  </si>
  <si>
    <t>10 Сушилка навес\E33149364_3_20251224T165754Z.jpg</t>
  </si>
  <si>
    <t>ср 24.12.2025 — 16:57:54</t>
  </si>
  <si>
    <t>E33149364_3_20251225T120039Z.jpg</t>
  </si>
  <si>
    <t>10 Сушилка навес\E33149364_3_20251225T120039Z.jpg</t>
  </si>
  <si>
    <t>чт 25.12.2025 — 12:00:39</t>
  </si>
  <si>
    <t>E33149364_3_20251225T120109Z.jpg</t>
  </si>
  <si>
    <t>10 Сушилка навес\E33149364_3_20251225T120109Z.jpg</t>
  </si>
  <si>
    <t>чт 25.12.2025 — 12:01:09</t>
  </si>
  <si>
    <t>E33149364_3_20251225T120226Z.jpg</t>
  </si>
  <si>
    <t>10 Сушилка навес\E33149364_3_20251225T120226Z.jpg</t>
  </si>
  <si>
    <t>чт 25.12.2025 — 12:02:26</t>
  </si>
  <si>
    <t>E33149364_3_20251225T120244Z.jpg</t>
  </si>
  <si>
    <t>10 Сушилка навес\E33149364_3_20251225T120244Z.jpg</t>
  </si>
  <si>
    <t>чт 25.12.2025 — 12:02:44</t>
  </si>
  <si>
    <t>E33149364_3_20251225T120606Z.jpg</t>
  </si>
  <si>
    <t>10 Сушилка навес\E33149364_3_20251225T120606Z.jpg</t>
  </si>
  <si>
    <t>чт 25.12.2025 — 12:06:06</t>
  </si>
  <si>
    <t>E33149364_3_20251225T120938Z.jpg</t>
  </si>
  <si>
    <t>10 Сушилка навес\E33149364_3_20251225T120938Z.jpg</t>
  </si>
  <si>
    <t>чт 25.12.2025 — 12:09:38</t>
  </si>
  <si>
    <t>E33149364_3_20251225T121615Z.jpg</t>
  </si>
  <si>
    <t>10 Сушилка навес\E33149364_3_20251225T121615Z.jpg</t>
  </si>
  <si>
    <t>чт 25.12.2025 — 12:16:15</t>
  </si>
  <si>
    <t>E33149364_3_20251225T123456Z.jpg</t>
  </si>
  <si>
    <t>10 Сушилка навес\E33149364_3_20251225T123456Z.jpg</t>
  </si>
  <si>
    <t>чт 25.12.2025 — 12:34:56</t>
  </si>
  <si>
    <t>E33149364_3_20251225T123530Z.jpg</t>
  </si>
  <si>
    <t>10 Сушилка навес\E33149364_3_20251225T123530Z.jpg</t>
  </si>
  <si>
    <t>чт 25.12.2025 — 12:35:30</t>
  </si>
  <si>
    <t>E33149364_3_20251225T124918Z.jpg</t>
  </si>
  <si>
    <t>10 Сушилка навес\E33149364_3_20251225T124918Z.jpg</t>
  </si>
  <si>
    <t>чт 25.12.2025 — 12:49:18</t>
  </si>
  <si>
    <t>E33149364_3_20251225T151934Z.jpg</t>
  </si>
  <si>
    <t>10 Сушилка навес\E33149364_3_20251225T151934Z.jpg</t>
  </si>
  <si>
    <t>чт 25.12.2025 — 15:19:34</t>
  </si>
  <si>
    <t>E33149364_3_20251225T165820Z.jpg</t>
  </si>
  <si>
    <t>10 Сушилка навес\E33149364_3_20251225T165820Z.jpg</t>
  </si>
  <si>
    <t>чт 25.12.2025 — 16:58:20</t>
  </si>
  <si>
    <t>E33149364_4_20251224T150756Z.jpg</t>
  </si>
  <si>
    <t>11 С ангара на базу\E33149364_4_20251224T150756Z.jpg</t>
  </si>
  <si>
    <t>ср 24.12.2025 — 15:07:56</t>
  </si>
  <si>
    <t>E33149364_4_20251224T152449Z.jpg</t>
  </si>
  <si>
    <t>11 С ангара на базу\E33149364_4_20251224T152449Z.jpg</t>
  </si>
  <si>
    <t>ср 24.12.2025 — 15:24:49</t>
  </si>
  <si>
    <t>E33149364_4_20251224T162449Z.jpg</t>
  </si>
  <si>
    <t>11 С ангара на базу\E33149364_4_20251224T162449Z.jpg</t>
  </si>
  <si>
    <t>ср 24.12.2025 — 16:24:49</t>
  </si>
  <si>
    <t>E33149364_4_20251224T165822Z.jpg</t>
  </si>
  <si>
    <t>11 С ангара на базу\E33149364_4_20251224T165822Z.jpg</t>
  </si>
  <si>
    <t>ср 24.12.2025 — 16:58:22</t>
  </si>
  <si>
    <t>E33149364_4_20251225T092040Z.jpg</t>
  </si>
  <si>
    <t>11 С ангара на базу\E33149364_4_20251225T092040Z.jpg</t>
  </si>
  <si>
    <t>чт 25.12.2025 — 09:20:40</t>
  </si>
  <si>
    <t>E33149364_4_20251225T092108Z.jpg</t>
  </si>
  <si>
    <t>11 С ангара на базу\E33149364_4_20251225T092108Z.jpg</t>
  </si>
  <si>
    <t>чт 25.12.2025 — 09:21:08</t>
  </si>
  <si>
    <t>E33149364_4_20251225T123710Z.jpg</t>
  </si>
  <si>
    <t>11 С ангара на базу\E33149364_4_20251225T123710Z.jpg</t>
  </si>
  <si>
    <t>чт 25.12.2025 — 12:37:10</t>
  </si>
  <si>
    <t>E33149364_4_20251225T130044Z.jpg</t>
  </si>
  <si>
    <t>11 С ангара на базу\E33149364_4_20251225T130044Z.jpg</t>
  </si>
  <si>
    <t>чт 25.12.2025 — 13:00:44</t>
  </si>
  <si>
    <t>E33149364_4_20251225T145131Z.jpg</t>
  </si>
  <si>
    <t>11 С ангара на базу\E33149364_4_20251225T145131Z.jpg</t>
  </si>
  <si>
    <t>чт 25.12.2025 — 14:51:31</t>
  </si>
  <si>
    <t>E33149364_4_20251225T145610Z.jpg</t>
  </si>
  <si>
    <t>11 С ангара на базу\E33149364_4_20251225T145610Z.jpg</t>
  </si>
  <si>
    <t>чт 25.12.2025 — 14:56:10</t>
  </si>
  <si>
    <t>K07156189_21_20251224T162743Z.jpg</t>
  </si>
  <si>
    <t>4 Крыльцо офиса\K07156189_21_20251224T162743Z.jpg</t>
  </si>
  <si>
    <t>ср 24.12.2025 — 16:27:43</t>
  </si>
  <si>
    <t>K07156189_21_20251224T211547Z.jpg</t>
  </si>
  <si>
    <t>4 Крыльцо офиса\K07156189_21_20251224T211547Z.jpg</t>
  </si>
  <si>
    <t>ср 24.12.2025 — 21:15:47</t>
  </si>
  <si>
    <t>K07156189_21_20251224T214231Z.jpg</t>
  </si>
  <si>
    <t>4 Крыльцо офиса\K07156189_21_20251224T214231Z.jpg</t>
  </si>
  <si>
    <t>ср 24.12.2025 — 21:42:31</t>
  </si>
  <si>
    <t>K07156189_21_20251225T114701Z.jpg</t>
  </si>
  <si>
    <t>4 Крыльцо офиса\K07156189_21_20251225T114701Z.jpg</t>
  </si>
  <si>
    <t>чт 25.12.2025 — 11:47:01</t>
  </si>
  <si>
    <t>K07156189_21_20251225T170100Z.jpg</t>
  </si>
  <si>
    <t>4 Крыльцо офиса\K07156189_21_20251225T170100Z.jpg</t>
  </si>
  <si>
    <t>чт 25.12.2025 — 17:01:00</t>
  </si>
  <si>
    <t>K07156189_20_20251224T114814Z.jpg</t>
  </si>
  <si>
    <t>12 Площадка 3 кран\K07156189_20_20251224T114814Z.jpg</t>
  </si>
  <si>
    <t>ср 24.12.2025 — 11:48:14</t>
  </si>
  <si>
    <t>K07156189_20_20251224T175306Z.jpg</t>
  </si>
  <si>
    <t>12 Площадка 3 кран\K07156189_20_20251224T175306Z.jpg</t>
  </si>
  <si>
    <t>ср 24.12.2025 — 17:53:06</t>
  </si>
  <si>
    <t>K07156189_20_20251225T115220Z.jpg</t>
  </si>
  <si>
    <t>12 Площадка 3 кран\K07156189_20_20251225T115220Z.jpg</t>
  </si>
  <si>
    <t>чт 25.12.2025 — 11:52:20</t>
  </si>
  <si>
    <t>K07156189_20_20251225T174355Z.jpg</t>
  </si>
  <si>
    <t>12 Площадка 3 кран\K07156189_20_20251225T174355Z.jpg</t>
  </si>
  <si>
    <t>чт 25.12.2025 — 17:43:55</t>
  </si>
  <si>
    <t>K07156189_22_20251224T154224Z.jpg</t>
  </si>
  <si>
    <t>5 Крыльцо общага\K07156189_22_20251224T154224Z.jpg</t>
  </si>
  <si>
    <t>ср 24.12.2025 — 15:42:24</t>
  </si>
  <si>
    <t>K07156189_22_20251224T164257Z.jpg</t>
  </si>
  <si>
    <t>5 Крыльцо общага\K07156189_22_20251224T164257Z.jpg</t>
  </si>
  <si>
    <t>ср 24.12.2025 — 16:42:57</t>
  </si>
  <si>
    <t>K07156189_22_20251224T214021Z.jpg</t>
  </si>
  <si>
    <t>5 Крыльцо общага\K07156189_22_20251224T214021Z.jpg</t>
  </si>
  <si>
    <t>ср 24.12.2025 — 21:40:21</t>
  </si>
  <si>
    <t>K07156189_22_20251225T092930Z.jpg</t>
  </si>
  <si>
    <t>5 Крыльцо общага\K07156189_22_20251225T092930Z.jpg</t>
  </si>
  <si>
    <t>чт 25.12.2025 — 09:29:30</t>
  </si>
  <si>
    <t>K07156189_22_20251225T093249Z.jpg</t>
  </si>
  <si>
    <t>5 Крыльцо общага\K07156189_22_20251225T093249Z.jpg</t>
  </si>
  <si>
    <t>чт 25.12.2025 — 09:32:49</t>
  </si>
  <si>
    <t>K07156189_22_20251225T093457Z.jpg</t>
  </si>
  <si>
    <t>5 Крыльцо общага\K07156189_22_20251225T093457Z.jpg</t>
  </si>
  <si>
    <t>чт 25.12.2025 — 09:34:57</t>
  </si>
  <si>
    <t>K07156189_22_20251225T093746Z.jpg</t>
  </si>
  <si>
    <t>5 Крыльцо общага\K07156189_22_20251225T093746Z.jpg</t>
  </si>
  <si>
    <t>чт 25.12.2025 — 09:37:46</t>
  </si>
  <si>
    <t>K07156189_22_20251225T094040Z.jpg</t>
  </si>
  <si>
    <t>5 Крыльцо общага\K07156189_22_20251225T094040Z.jpg</t>
  </si>
  <si>
    <t>чт 25.12.2025 — 09:40:40</t>
  </si>
  <si>
    <t>K07156189_22_20251225T094353Z.jpg</t>
  </si>
  <si>
    <t>5 Крыльцо общага\K07156189_22_20251225T094353Z.jpg</t>
  </si>
  <si>
    <t>чт 25.12.2025 — 09:43:53</t>
  </si>
  <si>
    <t>K07156189_22_20251225T094755Z.jpg</t>
  </si>
  <si>
    <t>5 Крыльцо общага\K07156189_22_20251225T094755Z.jpg</t>
  </si>
  <si>
    <t>чт 25.12.2025 — 09:47:55</t>
  </si>
  <si>
    <t>K07156189_22_20251225T095041Z.jpg</t>
  </si>
  <si>
    <t>5 Крыльцо общага\K07156189_22_20251225T095041Z.jpg</t>
  </si>
  <si>
    <t>чт 25.12.2025 — 09:50:41</t>
  </si>
  <si>
    <t>K07156189_22_20251225T095326Z.jpg</t>
  </si>
  <si>
    <t>5 Крыльцо общага\K07156189_22_20251225T095326Z.jpg</t>
  </si>
  <si>
    <t>чт 25.12.2025 — 09:53:26</t>
  </si>
  <si>
    <t>K07156189_22_20251225T095636Z.jpg</t>
  </si>
  <si>
    <t>5 Крыльцо общага\K07156189_22_20251225T095636Z.jpg</t>
  </si>
  <si>
    <t>чт 25.12.2025 — 09:56:36</t>
  </si>
  <si>
    <t>K07156189_22_20251225T095947Z.jpg</t>
  </si>
  <si>
    <t>5 Крыльцо общага\K07156189_22_20251225T095947Z.jpg</t>
  </si>
  <si>
    <t>чт 25.12.2025 — 09:59:47</t>
  </si>
  <si>
    <t>K07156189_22_20251225T100228Z.jpg</t>
  </si>
  <si>
    <t>5 Крыльцо общага\K07156189_22_20251225T100228Z.jpg</t>
  </si>
  <si>
    <t>чт 25.12.2025 — 10:02:28</t>
  </si>
  <si>
    <t>K07156189_22_20251225T100912Z.jpg</t>
  </si>
  <si>
    <t>5 Крыльцо общага\K07156189_22_20251225T100912Z.jpg</t>
  </si>
  <si>
    <t>чт 25.12.2025 — 10:09:12</t>
  </si>
  <si>
    <t>K07156189_22_20251225T101145Z.jpg</t>
  </si>
  <si>
    <t>5 Крыльцо общага\K07156189_22_20251225T101145Z.jpg</t>
  </si>
  <si>
    <t>чт 25.12.2025 — 10:11:45</t>
  </si>
  <si>
    <t>K07156189_22_20251225T101429Z.jpg</t>
  </si>
  <si>
    <t>5 Крыльцо общага\K07156189_22_20251225T101429Z.jpg</t>
  </si>
  <si>
    <t>чт 25.12.2025 — 10:14:29</t>
  </si>
  <si>
    <t>K07156189_22_20251225T101652Z.jpg</t>
  </si>
  <si>
    <t>5 Крыльцо общага\K07156189_22_20251225T101652Z.jpg</t>
  </si>
  <si>
    <t>чт 25.12.2025 — 10:16:52</t>
  </si>
  <si>
    <t>K07156189_22_20251225T101932Z.jpg</t>
  </si>
  <si>
    <t>5 Крыльцо общага\K07156189_22_20251225T101932Z.jpg</t>
  </si>
  <si>
    <t>чт 25.12.2025 — 10:19:32</t>
  </si>
  <si>
    <t>K07156189_22_20251225T102212Z.jpg</t>
  </si>
  <si>
    <t>5 Крыльцо общага\K07156189_22_20251225T102212Z.jpg</t>
  </si>
  <si>
    <t>чт 25.12.2025 — 10:22:12</t>
  </si>
  <si>
    <t>K07156189_22_20251225T102455Z.jpg</t>
  </si>
  <si>
    <t>5 Крыльцо общага\K07156189_22_20251225T102455Z.jpg</t>
  </si>
  <si>
    <t>чт 25.12.2025 — 10:24:55</t>
  </si>
  <si>
    <t>K07156189_22_20251225T102753Z.jpg</t>
  </si>
  <si>
    <t>5 Крыльцо общага\K07156189_22_20251225T102753Z.jpg</t>
  </si>
  <si>
    <t>чт 25.12.2025 — 10:27:53</t>
  </si>
  <si>
    <t>K07156189_22_20251225T103057Z.jpg</t>
  </si>
  <si>
    <t>5 Крыльцо общага\K07156189_22_20251225T103057Z.jpg</t>
  </si>
  <si>
    <t>чт 25.12.2025 — 10:30:57</t>
  </si>
  <si>
    <t>K07156189_22_20251225T103340Z.jpg</t>
  </si>
  <si>
    <t>5 Крыльцо общага\K07156189_22_20251225T103340Z.jpg</t>
  </si>
  <si>
    <t>чт 25.12.2025 — 10:33:40</t>
  </si>
  <si>
    <t>K07156189_22_20251225T103625Z.jpg</t>
  </si>
  <si>
    <t>5 Крыльцо общага\K07156189_22_20251225T103625Z.jpg</t>
  </si>
  <si>
    <t>чт 25.12.2025 — 10:36:25</t>
  </si>
  <si>
    <t>K07156189_22_20251225T121710Z.jpg</t>
  </si>
  <si>
    <t>5 Крыльцо общага\K07156189_22_20251225T121710Z.jpg</t>
  </si>
  <si>
    <t>чт 25.12.2025 — 12:17:10</t>
  </si>
  <si>
    <t>K07156189_22_20251225T172233Z.jpg</t>
  </si>
  <si>
    <t>5 Крыльцо общага\K07156189_22_20251225T172233Z.jpg</t>
  </si>
  <si>
    <t>чт 25.12.2025 — 17:22:33</t>
  </si>
  <si>
    <t>K07156189_23_20251224T155641Z.jpg</t>
  </si>
  <si>
    <t>13 Склад хол\K07156189_23_20251224T155641Z.jpg</t>
  </si>
  <si>
    <t>ср 24.12.2025 — 15:56:41</t>
  </si>
  <si>
    <t>K07156189_23_20251224T165850Z.jpg</t>
  </si>
  <si>
    <t>13 Склад хол\K07156189_23_20251224T165850Z.jpg</t>
  </si>
  <si>
    <t>ср 24.12.2025 — 16:58:50</t>
  </si>
  <si>
    <t>K07156189_23_20251225T123634Z.jpg</t>
  </si>
  <si>
    <t>13 Склад хол\K07156189_23_20251225T123634Z.jpg</t>
  </si>
  <si>
    <t>чт 25.12.2025 — 12:36:34</t>
  </si>
  <si>
    <t>K07156189_23_20251225T123752Z.jpg</t>
  </si>
  <si>
    <t>13 Склад хол\K07156189_23_20251225T123752Z.jpg</t>
  </si>
  <si>
    <t>чт 25.12.2025 — 12:37:52</t>
  </si>
  <si>
    <t>K07156189_23_20251225T162309Z.jpg</t>
  </si>
  <si>
    <t>13 Склад хол\K07156189_23_20251225T162309Z.jpg</t>
  </si>
  <si>
    <t>чт 25.12.2025 — 16:23:09</t>
  </si>
  <si>
    <t>826398429_1_20251224T175147Z.jpg</t>
  </si>
  <si>
    <t>6 Площадка 1 общага\826398429_1_20251224T175147Z.jpg</t>
  </si>
  <si>
    <t>ср 24.12.2025 — 17:51:47</t>
  </si>
  <si>
    <t>826398429_1_20251225T171511Z.jpg</t>
  </si>
  <si>
    <t>6 Площадка 1 общага\826398429_1_20251225T171511Z.jpg</t>
  </si>
  <si>
    <t>чт 25.12.2025 — 17:15:11</t>
  </si>
  <si>
    <t>K07156189_18_20251224T173229Z.jpg</t>
  </si>
  <si>
    <t>7 Площадка 2 бетонщики\K07156189_18_20251224T173229Z.jpg</t>
  </si>
  <si>
    <t>ср 24.12.2025 — 17:32:29</t>
  </si>
  <si>
    <t>K07156189_18_20251225T174936Z.jpg</t>
  </si>
  <si>
    <t>7 Площадка 2 бетонщики\K07156189_18_20251225T174936Z.jpg</t>
  </si>
  <si>
    <t>чт 25.12.2025 — 17:49:36</t>
  </si>
  <si>
    <t>MAN TGA лесовоз с прицепом</t>
  </si>
  <si>
    <t>на площадку С ангара на базу</t>
  </si>
  <si>
    <t>заключительный этап</t>
  </si>
  <si>
    <t>Часть ангара</t>
  </si>
  <si>
    <t>внутри ангара</t>
  </si>
  <si>
    <t>перемещение мешков</t>
  </si>
  <si>
    <t>Наполнение мешка обрезками досок</t>
  </si>
  <si>
    <t>мешки с обрезками досок</t>
  </si>
  <si>
    <t>пустой контейнер</t>
  </si>
  <si>
    <t>Территория с бревнами</t>
  </si>
  <si>
    <t>Территория без бревен</t>
  </si>
  <si>
    <t>в начале дня</t>
  </si>
  <si>
    <t>уехал за навес для загрузки</t>
  </si>
  <si>
    <t>контейнер с обрезками досок</t>
  </si>
  <si>
    <t>E33149364_7_20251226T174620Z.jpg</t>
  </si>
  <si>
    <t>2 Пилорама поката\E33149364_7_20251226T174620Z.jpg</t>
  </si>
  <si>
    <t>пт 26.12.2025 — 17:46:20</t>
  </si>
  <si>
    <t>E33149364_6_20251226T100324Z.jpg</t>
  </si>
  <si>
    <t>1 Ангар Склад 2 въезд\E33149364_6_20251226T100324Z.jpg</t>
  </si>
  <si>
    <t>пт 26.12.2025 — 10:03:24</t>
  </si>
  <si>
    <t>E33149364_6_20251226T114846Z.jpg</t>
  </si>
  <si>
    <t>1 Ангар Склад 2 въезд\E33149364_6_20251226T114846Z.jpg</t>
  </si>
  <si>
    <t>пт 26.12.2025 — 11:48:46</t>
  </si>
  <si>
    <t>E33149364_1_20251226T085058Z.jpg</t>
  </si>
  <si>
    <t>9 Ангар пилорама\E33149364_1_20251226T085058Z.jpg</t>
  </si>
  <si>
    <t>пт 26.12.2025 — 08:50:58</t>
  </si>
  <si>
    <t>E33149364_1_20251226T100030Z.jpg</t>
  </si>
  <si>
    <t>9 Ангар пилорама\E33149364_1_20251226T100030Z.jpg</t>
  </si>
  <si>
    <t>пт 26.12.2025 — 10:00:30</t>
  </si>
  <si>
    <t>E33149364_1_20251226T124640Z.jpg</t>
  </si>
  <si>
    <t>9 Ангар пилорама\E33149364_1_20251226T124640Z.jpg</t>
  </si>
  <si>
    <t>пт 26.12.2025 — 12:46:40</t>
  </si>
  <si>
    <t>E33149364_1_20251226T141800Z.jpg</t>
  </si>
  <si>
    <t>9 Ангар пилорама\E33149364_1_20251226T141800Z.jpg</t>
  </si>
  <si>
    <t>пт 26.12.2025 — 14:18:00</t>
  </si>
  <si>
    <t>E33149364_1_20251226T233812Z.jpg</t>
  </si>
  <si>
    <t>9 Ангар пилорама\E33149364_1_20251226T233812Z.jpg</t>
  </si>
  <si>
    <t>пт 26.12.2025 — 23:38:12</t>
  </si>
  <si>
    <t>E33149364_3_20251226T160456Z.jpg</t>
  </si>
  <si>
    <t>10 Сушилка навес\E33149364_3_20251226T160456Z.jpg</t>
  </si>
  <si>
    <t>пт 26.12.2025 — 16:04:56</t>
  </si>
  <si>
    <t>E33149364_4_20251226T094359Z.jpg</t>
  </si>
  <si>
    <t>11 С ангара на базу\E33149364_4_20251226T094359Z.jpg</t>
  </si>
  <si>
    <t>пт 26.12.2025 — 09:43:59</t>
  </si>
  <si>
    <t>E33149364_4_20251226T095205Z.jpg</t>
  </si>
  <si>
    <t>11 С ангара на базу\E33149364_4_20251226T095205Z.jpg</t>
  </si>
  <si>
    <t>пт 26.12.2025 — 09:52:05</t>
  </si>
  <si>
    <t>E33149364_4_20251226T100421Z.jpg</t>
  </si>
  <si>
    <t>11 С ангара на базу\E33149364_4_20251226T100421Z.jpg</t>
  </si>
  <si>
    <t>пт 26.12.2025 — 10:04:21</t>
  </si>
  <si>
    <t>E33149364_4_20251226T100506Z.jpg</t>
  </si>
  <si>
    <t>11 С ангара на базу\E33149364_4_20251226T100506Z.jpg</t>
  </si>
  <si>
    <t>пт 26.12.2025 — 10:05:06</t>
  </si>
  <si>
    <t>E33149364_4_20251226T102622Z.jpg</t>
  </si>
  <si>
    <t>11 С ангара на базу\E33149364_4_20251226T102622Z.jpg</t>
  </si>
  <si>
    <t>пт 26.12.2025 — 10:26:22</t>
  </si>
  <si>
    <t>E33149364_4_20251226T102707Z.jpg</t>
  </si>
  <si>
    <t>11 С ангара на базу\E33149364_4_20251226T102707Z.jpg</t>
  </si>
  <si>
    <t>пт 26.12.2025 — 10:27:07</t>
  </si>
  <si>
    <t>E33149364_4_20251226T104640Z.jpg</t>
  </si>
  <si>
    <t>11 С ангара на базу\E33149364_4_20251226T104640Z.jpg</t>
  </si>
  <si>
    <t>пт 26.12.2025 — 10:46:40</t>
  </si>
  <si>
    <t>E33149364_4_20251226T114744Z.jpg</t>
  </si>
  <si>
    <t>11 С ангара на базу\E33149364_4_20251226T114744Z.jpg</t>
  </si>
  <si>
    <t>пт 26.12.2025 — 11:47:44</t>
  </si>
  <si>
    <t>E33149364_4_20251226T121252Z.jpg</t>
  </si>
  <si>
    <t>11 С ангара на базу\E33149364_4_20251226T121252Z.jpg</t>
  </si>
  <si>
    <t>пт 26.12.2025 — 12:12:52</t>
  </si>
  <si>
    <t>E33149364_4_20251226T144505Z.jpg</t>
  </si>
  <si>
    <t>11 С ангара на базу\E33149364_4_20251226T144505Z.jpg</t>
  </si>
  <si>
    <t>пт 26.12.2025 — 14:45:05</t>
  </si>
  <si>
    <t>K07156189_20_20251226T100551Z.jpg</t>
  </si>
  <si>
    <t>12 Площадка 3 кран\K07156189_20_20251226T100551Z.jpg</t>
  </si>
  <si>
    <t>пт 26.12.2025 — 10:05:51</t>
  </si>
  <si>
    <t>K07156189_20_20251226T102544Z.jpg</t>
  </si>
  <si>
    <t>12 Площадка 3 кран\K07156189_20_20251226T102544Z.jpg</t>
  </si>
  <si>
    <t>пт 26.12.2025 — 10:25:44</t>
  </si>
  <si>
    <t>K07156189_20_20251226T120731Z.jpg</t>
  </si>
  <si>
    <t>12 Площадка 3 кран\K07156189_20_20251226T120731Z.jpg</t>
  </si>
  <si>
    <t>пт 26.12.2025 — 12:07:31</t>
  </si>
  <si>
    <t>K07156189_20_20251226T140450Z.jpg</t>
  </si>
  <si>
    <t>12 Площадка 3 кран\K07156189_20_20251226T140450Z.jpg</t>
  </si>
  <si>
    <t>пт 26.12.2025 — 14:04:50</t>
  </si>
  <si>
    <t>K07156189_20_20251226T174617Z.jpg</t>
  </si>
  <si>
    <t>12 Площадка 3 кран\K07156189_20_20251226T174617Z.jpg</t>
  </si>
  <si>
    <t>пт 26.12.2025 — 17:46:17</t>
  </si>
  <si>
    <t>K07156189_23_20251226T093340Z.jpg</t>
  </si>
  <si>
    <t>13 Склад хол\K07156189_23_20251226T093340Z.jpg</t>
  </si>
  <si>
    <t>пт 26.12.2025 — 09:33:40</t>
  </si>
  <si>
    <t>K07156189_23_20251226T093359Z.jpg</t>
  </si>
  <si>
    <t>13 Склад хол\K07156189_23_20251226T093359Z.jpg</t>
  </si>
  <si>
    <t>пт 26.12.2025 — 09:33:59</t>
  </si>
  <si>
    <t>K07156189_23_20251226T094639Z.jpg</t>
  </si>
  <si>
    <t>13 Склад хол\K07156189_23_20251226T094639Z.jpg</t>
  </si>
  <si>
    <t>пт 26.12.2025 — 09:46:39</t>
  </si>
  <si>
    <t>K07156189_23_20251226T100512Z.jpg</t>
  </si>
  <si>
    <t>13 Склад хол\K07156189_23_20251226T100512Z.jpg</t>
  </si>
  <si>
    <t>пт 26.12.2025 — 10:05:12</t>
  </si>
  <si>
    <t>K07156189_23_20251226T103432Z.jpg</t>
  </si>
  <si>
    <t>13 Склад хол\K07156189_23_20251226T103432Z.jpg</t>
  </si>
  <si>
    <t>пт 26.12.2025 — 10:34:32</t>
  </si>
  <si>
    <t>K07156189_23_20251226T104036Z.jpg</t>
  </si>
  <si>
    <t>13 Склад хол\K07156189_23_20251226T104036Z.jpg</t>
  </si>
  <si>
    <t>пт 26.12.2025 — 10:40:36</t>
  </si>
  <si>
    <t>K07156189_23_20251226T105607Z.jpg</t>
  </si>
  <si>
    <t>13 Склад хол\K07156189_23_20251226T105607Z.jpg</t>
  </si>
  <si>
    <t>пт 26.12.2025 — 10:56:07</t>
  </si>
  <si>
    <t>K07156189_23_20251226T122215Z.jpg</t>
  </si>
  <si>
    <t>13 Склад хол\K07156189_23_20251226T122215Z.jpg</t>
  </si>
  <si>
    <t>пт 26.12.2025 — 12:22:15</t>
  </si>
  <si>
    <t>K07156189_23_20251226T165345Z.jpg</t>
  </si>
  <si>
    <t>13 Склад хол\K07156189_23_20251226T165345Z.jpg</t>
  </si>
  <si>
    <t>пт 26.12.2025 — 16:53:45</t>
  </si>
  <si>
    <t>E33149364_8_20251226T094614Z.jpg</t>
  </si>
  <si>
    <t>3 Въезд на базу\E33149364_8_20251226T094614Z.jpg</t>
  </si>
  <si>
    <t>пт 26.12.2025 — 09:46:14</t>
  </si>
  <si>
    <t>E33149364_8_20251226T094702Z.jpg</t>
  </si>
  <si>
    <t>3 Въезд на базу\E33149364_8_20251226T094702Z.jpg</t>
  </si>
  <si>
    <t>пт 26.12.2025 — 09:47:02</t>
  </si>
  <si>
    <t>E33149364_8_20251226T094704Z.jpg</t>
  </si>
  <si>
    <t>3 Въезд на базу\E33149364_8_20251226T094704Z.jpg</t>
  </si>
  <si>
    <t>пт 26.12.2025 — 09:47:04</t>
  </si>
  <si>
    <t>K07156189_21_20251226T164716Z.jpg</t>
  </si>
  <si>
    <t>4 Крыльцо офиса\K07156189_21_20251226T164716Z.jpg</t>
  </si>
  <si>
    <t>пт 26.12.2025 — 16:47:16</t>
  </si>
  <si>
    <t>K07156189_22_20251226T103941Z.jpg</t>
  </si>
  <si>
    <t>5 Крыльцо общага\K07156189_22_20251226T103941Z.jpg</t>
  </si>
  <si>
    <t>пт 26.12.2025 — 10:39:41</t>
  </si>
  <si>
    <t>K07156189_22_20251226T104442Z.jpg</t>
  </si>
  <si>
    <t>5 Крыльцо общага\K07156189_22_20251226T104442Z.jpg</t>
  </si>
  <si>
    <t>пт 26.12.2025 — 10:44:42</t>
  </si>
  <si>
    <t>K07156189_22_20251226T104624Z.jpg</t>
  </si>
  <si>
    <t>5 Крыльцо общага\K07156189_22_20251226T104624Z.jpg</t>
  </si>
  <si>
    <t>пт 26.12.2025 — 10:46:24</t>
  </si>
  <si>
    <t>K07156189_22_20251226T104639Z.jpg</t>
  </si>
  <si>
    <t>5 Крыльцо общага\K07156189_22_20251226T104639Z.jpg</t>
  </si>
  <si>
    <t>пт 26.12.2025 — 10:46:39</t>
  </si>
  <si>
    <t>K07156189_22_20251226T104722Z.jpg</t>
  </si>
  <si>
    <t>5 Крыльцо общага\K07156189_22_20251226T104722Z.jpg</t>
  </si>
  <si>
    <t>пт 26.12.2025 — 10:47:22</t>
  </si>
  <si>
    <t>K07156189_22_20251226T121205Z.jpg</t>
  </si>
  <si>
    <t>5 Крыльцо общага\K07156189_22_20251226T121205Z.jpg</t>
  </si>
  <si>
    <t>пт 26.12.2025 — 12:12:05</t>
  </si>
  <si>
    <t>K07156189_22_20251226T123351Z.jpg</t>
  </si>
  <si>
    <t>5 Крыльцо общага\K07156189_22_20251226T123351Z.jpg</t>
  </si>
  <si>
    <t>пт 26.12.2025 — 12:33:51</t>
  </si>
  <si>
    <t>K07156189_22_20251226T150153Z.jpg</t>
  </si>
  <si>
    <t>5 Крыльцо общага\K07156189_22_20251226T150153Z.jpg</t>
  </si>
  <si>
    <t>пт 26.12.2025 — 15:01:53</t>
  </si>
  <si>
    <t>826398429_1_20251226T101454Z.jpg</t>
  </si>
  <si>
    <t>6 Площадка 1 общага\826398429_1_20251226T101454Z.jpg</t>
  </si>
  <si>
    <t>пт 26.12.2025 — 10:14:54</t>
  </si>
  <si>
    <t>826398429_1_20251226T102900Z.jpg</t>
  </si>
  <si>
    <t>6 Площадка 1 общага\826398429_1_20251226T102900Z.jpg</t>
  </si>
  <si>
    <t>пт 26.12.2025 — 10:29:00</t>
  </si>
  <si>
    <t>826398429_1_20251226T110828Z.jpg</t>
  </si>
  <si>
    <t>6 Площадка 1 общага\826398429_1_20251226T110828Z.jpg</t>
  </si>
  <si>
    <t>пт 26.12.2025 — 11:08:28</t>
  </si>
  <si>
    <t>E33149364_2_20251226T150727Z.jpg</t>
  </si>
  <si>
    <t>8 Рейсмус\E33149364_2_20251226T150727Z.jpg</t>
  </si>
  <si>
    <t>пт 26.12.2025 — 15:07:27</t>
  </si>
  <si>
    <t>K07156189_18_20251226T174936Z.jpg</t>
  </si>
  <si>
    <t>7 Площадка 2 бетонщики\K07156189_18_20251226T174936Z.jpg</t>
  </si>
  <si>
    <t>пт 26.12.2025 — 17:49:36</t>
  </si>
  <si>
    <t>с площадки Кран на другие площадки</t>
  </si>
  <si>
    <t>Заполнение контейнера обрезками досок</t>
  </si>
  <si>
    <t>E33149364_7_20251227T102329Z.jpg</t>
  </si>
  <si>
    <t>2 Пилорама поката\E33149364_7_20251227T102329Z.jpg</t>
  </si>
  <si>
    <t>сб 27.12.2025 — 10:23:29</t>
  </si>
  <si>
    <t>E33149364_7_20251227T103628Z.jpg</t>
  </si>
  <si>
    <t>2 Пилорама поката\E33149364_7_20251227T103628Z.jpg</t>
  </si>
  <si>
    <t>сб 27.12.2025 — 10:36:28</t>
  </si>
  <si>
    <t>E33149364_7_20251227T135541Z.jpg</t>
  </si>
  <si>
    <t>2 Пилорама поката\E33149364_7_20251227T135541Z.jpg</t>
  </si>
  <si>
    <t>сб 27.12.2025 — 13:55:41</t>
  </si>
  <si>
    <t>E33149364_7_20251227T143528Z.jpg</t>
  </si>
  <si>
    <t>2 Пилорама поката\E33149364_7_20251227T143528Z.jpg</t>
  </si>
  <si>
    <t>сб 27.12.2025 — 14:35:28</t>
  </si>
  <si>
    <t>E33149364_7_20251228T141209Z.jpg</t>
  </si>
  <si>
    <t>2 Пилорама поката\E33149364_7_20251228T141209Z.jpg</t>
  </si>
  <si>
    <t>вс 28.12.2025 — 14:12:09</t>
  </si>
  <si>
    <t>E33149364_7_20251228T152141Z.jpg</t>
  </si>
  <si>
    <t>2 Пилорама поката\E33149364_7_20251228T152141Z.jpg</t>
  </si>
  <si>
    <t>вс 28.12.2025 — 15:21:41</t>
  </si>
  <si>
    <t>E33149364_6_20251227T102302Z.jpg</t>
  </si>
  <si>
    <t>1 Ангар Склад 2 въезд\E33149364_6_20251227T102302Z.jpg</t>
  </si>
  <si>
    <t>сб 27.12.2025 — 10:23:02</t>
  </si>
  <si>
    <t>E33149364_6_20251227T135638Z.jpg</t>
  </si>
  <si>
    <t>1 Ангар Склад 2 въезд\E33149364_6_20251227T135638Z.jpg</t>
  </si>
  <si>
    <t>сб 27.12.2025 — 13:56:38</t>
  </si>
  <si>
    <t>E33149364_6_20251227T141055Z.jpg</t>
  </si>
  <si>
    <t>1 Ангар Склад 2 въезд\E33149364_6_20251227T141055Z.jpg</t>
  </si>
  <si>
    <t>сб 27.12.2025 — 14:10:55</t>
  </si>
  <si>
    <t>E33149364_6_20251227T143920Z.jpg</t>
  </si>
  <si>
    <t>1 Ангар Склад 2 въезд\E33149364_6_20251227T143920Z.jpg</t>
  </si>
  <si>
    <t>сб 27.12.2025 — 14:39:20</t>
  </si>
  <si>
    <t>E33149364_6_20251228T120351Z.jpg</t>
  </si>
  <si>
    <t>1 Ангар Склад 2 въезд\E33149364_6_20251228T120351Z.jpg</t>
  </si>
  <si>
    <t>вс 28.12.2025 — 12:03:51</t>
  </si>
  <si>
    <t>E33149364_6_20251228T120935Z.jpg</t>
  </si>
  <si>
    <t>1 Ангар Склад 2 въезд\E33149364_6_20251228T120935Z.jpg</t>
  </si>
  <si>
    <t>вс 28.12.2025 — 12:09:35</t>
  </si>
  <si>
    <t>E33149364_6_20251228T120945Z.jpg</t>
  </si>
  <si>
    <t>1 Ангар Склад 2 въезд\E33149364_6_20251228T120945Z.jpg</t>
  </si>
  <si>
    <t>вс 28.12.2025 — 12:09:45</t>
  </si>
  <si>
    <t>E33149364_6_20251228T121007Z.jpg</t>
  </si>
  <si>
    <t>1 Ангар Склад 2 въезд\E33149364_6_20251228T121007Z.jpg</t>
  </si>
  <si>
    <t>вс 28.12.2025 — 12:10:07</t>
  </si>
  <si>
    <t>E33149364_6_20251228T132030Z.jpg</t>
  </si>
  <si>
    <t>1 Ангар Склад 2 въезд\E33149364_6_20251228T132030Z.jpg</t>
  </si>
  <si>
    <t>вс 28.12.2025 — 13:20:30</t>
  </si>
  <si>
    <t>E33149364_6_20251228T152210Z.jpg</t>
  </si>
  <si>
    <t>1 Ангар Склад 2 въезд\E33149364_6_20251228T152210Z.jpg</t>
  </si>
  <si>
    <t>вс 28.12.2025 — 15:22:10</t>
  </si>
  <si>
    <t>E33149364_6_20251228T160230Z.jpg</t>
  </si>
  <si>
    <t>1 Ангар Склад 2 въезд\E33149364_6_20251228T160230Z.jpg</t>
  </si>
  <si>
    <t>вс 28.12.2025 — 16:02:30</t>
  </si>
  <si>
    <t>E33149364_6_20251228T160430Z.jpg</t>
  </si>
  <si>
    <t>1 Ангар Склад 2 въезд\E33149364_6_20251228T160430Z.jpg</t>
  </si>
  <si>
    <t>вс 28.12.2025 — 16:04:30</t>
  </si>
  <si>
    <t>E33149364_6_20251228T211942Z.jpg</t>
  </si>
  <si>
    <t>1 Ангар Склад 2 въезд\E33149364_6_20251228T211942Z.jpg</t>
  </si>
  <si>
    <t>вс 28.12.2025 — 21:19:42</t>
  </si>
  <si>
    <t>K07156189_22_20251227T095614Z.jpg</t>
  </si>
  <si>
    <t>5 Крыльцо общага\K07156189_22_20251227T095614Z.jpg</t>
  </si>
  <si>
    <t>сб 27.12.2025 — 09:56:14</t>
  </si>
  <si>
    <t>K07156189_22_20251227T141240Z.jpg</t>
  </si>
  <si>
    <t>5 Крыльцо общага\K07156189_22_20251227T141240Z.jpg</t>
  </si>
  <si>
    <t>сб 27.12.2025 — 14:12:40</t>
  </si>
  <si>
    <t>K07156189_22_20251227T161733Z.jpg</t>
  </si>
  <si>
    <t>5 Крыльцо общага\K07156189_22_20251227T161733Z.jpg</t>
  </si>
  <si>
    <t>сб 27.12.2025 — 16:17:33</t>
  </si>
  <si>
    <t>K07156189_22_20251228T124349Z.jpg</t>
  </si>
  <si>
    <t>5 Крыльцо общага\K07156189_22_20251228T124349Z.jpg</t>
  </si>
  <si>
    <t>вс 28.12.2025 — 12:43:49</t>
  </si>
  <si>
    <t>K07156189_22_20251228T160334Z.jpg</t>
  </si>
  <si>
    <t>5 Крыльцо общага\K07156189_22_20251228T160334Z.jpg</t>
  </si>
  <si>
    <t>вс 28.12.2025 — 16:03:34</t>
  </si>
  <si>
    <t>E33149364_8_20251227T114720Z.jpg</t>
  </si>
  <si>
    <t>сб 27.12.2025 — 11:47:20</t>
  </si>
  <si>
    <t>E33149364_8_20251227T134908Z.jpg</t>
  </si>
  <si>
    <t>сб 27.12.2025 — 13:49:08</t>
  </si>
  <si>
    <t>E33149364_8_20251228T125508Z.jpg</t>
  </si>
  <si>
    <t>вс 28.12.2025 — 12:55:08</t>
  </si>
  <si>
    <t>E33149364_8_20251228T165008Z.jpg</t>
  </si>
  <si>
    <t>вс 28.12.2025 — 16:50:08</t>
  </si>
  <si>
    <t>E33149364_1_20251227T104833Z.jpg</t>
  </si>
  <si>
    <t>9 Ангар пилорама\E33149364_1_20251227T104833Z.jpg</t>
  </si>
  <si>
    <t>сб 27.12.2025 — 10:48:33</t>
  </si>
  <si>
    <t>E33149364_1_20251228T232441Z.jpg</t>
  </si>
  <si>
    <t>9 Ангар пилорама\E33149364_1_20251228T232441Z.jpg</t>
  </si>
  <si>
    <t>вс 28.12.2025 — 23:24:41</t>
  </si>
  <si>
    <t>E33149364_4_20251227T143544Z.jpg</t>
  </si>
  <si>
    <t>11 С ангара на базу\E33149364_4_20251227T143544Z.jpg</t>
  </si>
  <si>
    <t>сб 27.12.2025 — 14:35:44</t>
  </si>
  <si>
    <t>E33149364_4_20251228T155547Z.jpg</t>
  </si>
  <si>
    <t>11 С ангара на базу\E33149364_4_20251228T155547Z.jpg</t>
  </si>
  <si>
    <t>вс 28.12.2025 — 15:55:47</t>
  </si>
  <si>
    <t>E33149364_4_20251228T172442Z.jpg</t>
  </si>
  <si>
    <t>11 С ангара на базу\E33149364_4_20251228T172442Z.jpg</t>
  </si>
  <si>
    <t>вс 28.12.2025 — 17:24:42</t>
  </si>
  <si>
    <t>K07156189_20_20251227T095355Z.jpg</t>
  </si>
  <si>
    <t>12 Площадка 3 кран\K07156189_20_20251227T095355Z.jpg</t>
  </si>
  <si>
    <t>сб 27.12.2025 — 09:53:55</t>
  </si>
  <si>
    <t>K07156189_20_20251227T155714Z.jpg</t>
  </si>
  <si>
    <t>12 Площадка 3 кран\K07156189_20_20251227T155714Z.jpg</t>
  </si>
  <si>
    <t>сб 27.12.2025 — 15:57:14</t>
  </si>
  <si>
    <t>K07156189_20_20251228T100502Z.jpg</t>
  </si>
  <si>
    <t>12 Площадка 3 кран\K07156189_20_20251228T100502Z.jpg</t>
  </si>
  <si>
    <t>вс 28.12.2025 — 10:05:02</t>
  </si>
  <si>
    <t>K07156189_20_20251228T141449Z.jpg</t>
  </si>
  <si>
    <t>12 Площадка 3 кран\K07156189_20_20251228T141449Z.jpg</t>
  </si>
  <si>
    <t>вс 28.12.2025 — 14:14:49</t>
  </si>
  <si>
    <t>K07156189_23_20251227T152815Z.jpg</t>
  </si>
  <si>
    <t>13 Склад хол\K07156189_23_20251227T152815Z.jpg</t>
  </si>
  <si>
    <t>сб 27.12.2025 — 15:28:15</t>
  </si>
  <si>
    <t>K07156189_23_20251227T170603Z.jpg</t>
  </si>
  <si>
    <t>13 Склад хол\K07156189_23_20251227T170603Z.jpg</t>
  </si>
  <si>
    <t>сб 27.12.2025 — 17:06:03</t>
  </si>
  <si>
    <t>K07156189_23_20251228T134430Z.jpg</t>
  </si>
  <si>
    <t>13 Склад хол\K07156189_23_20251228T134430Z.jpg</t>
  </si>
  <si>
    <t>вс 28.12.2025 — 13:44:30</t>
  </si>
  <si>
    <t>K07156189_21_20251227T141229Z.jpg</t>
  </si>
  <si>
    <t>4 Крыльцо офиса\K07156189_21_20251227T141229Z.jpg</t>
  </si>
  <si>
    <t>сб 27.12.2025 — 14:12:29</t>
  </si>
  <si>
    <t>K07156189_21_20251227T143720Z.jpg</t>
  </si>
  <si>
    <t>4 Крыльцо офиса\K07156189_21_20251227T143720Z.jpg</t>
  </si>
  <si>
    <t>сб 27.12.2025 — 14:37:20</t>
  </si>
  <si>
    <t>K07156189_21_20251228T120808Z.jpg</t>
  </si>
  <si>
    <t>4 Крыльцо офиса\K07156189_21_20251228T120808Z.jpg</t>
  </si>
  <si>
    <t>вс 28.12.2025 — 12:08:08</t>
  </si>
  <si>
    <t>K07156189_21_20251228T130114Z.jpg</t>
  </si>
  <si>
    <t>4 Крыльцо офиса\K07156189_21_20251228T130114Z.jpg</t>
  </si>
  <si>
    <t>вс 28.12.2025 — 13:01:14</t>
  </si>
  <si>
    <t>K07156189_21_20251228T132022Z.jpg</t>
  </si>
  <si>
    <t>4 Крыльцо офиса\K07156189_21_20251228T132022Z.jpg</t>
  </si>
  <si>
    <t>вс 28.12.2025 — 13:20:22</t>
  </si>
  <si>
    <t>K07156189_21_20251228T160248Z.jpg</t>
  </si>
  <si>
    <t>4 Крыльцо офиса\K07156189_21_20251228T160248Z.jpg</t>
  </si>
  <si>
    <t>вс 28.12.2025 — 16:02:48</t>
  </si>
  <si>
    <t>K07156189_21_20251228T160409Z.jpg</t>
  </si>
  <si>
    <t>4 Крыльцо офиса\K07156189_21_20251228T160409Z.jpg</t>
  </si>
  <si>
    <t>вс 28.12.2025 — 16:04:09</t>
  </si>
  <si>
    <t>K07156189_21_20251228T211959Z.jpg</t>
  </si>
  <si>
    <t>4 Крыльцо офиса\K07156189_21_20251228T211959Z.jpg</t>
  </si>
  <si>
    <t>вс 28.12.2025 — 21:19:59</t>
  </si>
  <si>
    <t>826398429_1_20251227T174011Z.jpg</t>
  </si>
  <si>
    <t>6 Площадка 1 общага\826398429_1_20251227T174011Z.jpg</t>
  </si>
  <si>
    <t>сб 27.12.2025 — 17:40:11</t>
  </si>
  <si>
    <t>826398429_1_20251228T201927Z.jpg</t>
  </si>
  <si>
    <t>6 Площадка 1 общага\826398429_1_20251228T201927Z.jpg</t>
  </si>
  <si>
    <t>вс 28.12.2025 — 20:19:27</t>
  </si>
  <si>
    <t>E33149364_2_20251227T141358Z.jpg</t>
  </si>
  <si>
    <t>8 Рейсмус\E33149364_2_20251227T141358Z.jpg</t>
  </si>
  <si>
    <t>сб 27.12.2025 — 14:13:58</t>
  </si>
  <si>
    <t>E33149364_2_20251228T145047Z.jpg</t>
  </si>
  <si>
    <t>8 Рейсмус\E33149364_2_20251228T145047Z.jpg</t>
  </si>
  <si>
    <t>вс 28.12.2025 — 14:50:47</t>
  </si>
  <si>
    <t>E33149364_3_20251227T141831Z.jpg</t>
  </si>
  <si>
    <t>10 Сушилка навес\E33149364_3_20251227T141831Z.jpg</t>
  </si>
  <si>
    <t>сб 27.12.2025 — 14:18:31</t>
  </si>
  <si>
    <t>E33149364_3_20251227T141844Z.jpg</t>
  </si>
  <si>
    <t>10 Сушилка навес\E33149364_3_20251227T141844Z.jpg</t>
  </si>
  <si>
    <t>сб 27.12.2025 — 14:18:44</t>
  </si>
  <si>
    <t>E33149364_3_20251227T143534Z.jpg</t>
  </si>
  <si>
    <t>10 Сушилка навес\E33149364_3_20251227T143534Z.jpg</t>
  </si>
  <si>
    <t>сб 27.12.2025 — 14:35:34</t>
  </si>
  <si>
    <t>E33149364_3_20251228T164636Z.jpg</t>
  </si>
  <si>
    <t>10 Сушилка навес\E33149364_3_20251228T164636Z.jpg</t>
  </si>
  <si>
    <t>вс 28.12.2025 — 16:46:36</t>
  </si>
  <si>
    <t>Разворот</t>
  </si>
  <si>
    <t>легковая Nissan Qashqai</t>
  </si>
  <si>
    <t>проезд</t>
  </si>
  <si>
    <t>похоже на проверку груза</t>
  </si>
  <si>
    <t>похоже зарядка аккамулятора камаза базы</t>
  </si>
  <si>
    <t>работа с бревном</t>
  </si>
  <si>
    <t>K07156189_18_20251227T174936Z.jpg</t>
  </si>
  <si>
    <t>7 Площадка 2 бетонщики\K07156189_18_20251227T174936Z.jpg</t>
  </si>
  <si>
    <t>сб 27.12.2025 — 17:49:36</t>
  </si>
  <si>
    <t>K07156189_18_20251228T174936Z.jpg</t>
  </si>
  <si>
    <t>7 Площадка 2 бетонщики\K07156189_18_20251228T174936Z.jpg</t>
  </si>
  <si>
    <t>вс 28.12.2025 — 17:49:36</t>
  </si>
  <si>
    <t>вне зоны видимости</t>
  </si>
  <si>
    <t>мешок</t>
  </si>
  <si>
    <t>E33149364_6_20251229T120024Z.jpg</t>
  </si>
  <si>
    <t>1 Ангар Склад 2 въезд\E33149364_6_20251229T120024Z.jpg</t>
  </si>
  <si>
    <t>пн 29.12.2025 — 12:00:24</t>
  </si>
  <si>
    <t>E33149364_6_20251229T122542Z.jpg</t>
  </si>
  <si>
    <t>1 Ангар Склад 2 въезд\E33149364_6_20251229T122542Z.jpg</t>
  </si>
  <si>
    <t>пн 29.12.2025 — 12:25:42</t>
  </si>
  <si>
    <t>E33149364_6_20251229T152152Z.jpg</t>
  </si>
  <si>
    <t>1 Ангар Склад 2 въезд\E33149364_6_20251229T152152Z.jpg</t>
  </si>
  <si>
    <t>пн 29.12.2025 — 15:21:52</t>
  </si>
  <si>
    <t>E33149364_6_20251230T140108Z.jpg</t>
  </si>
  <si>
    <t>1 Ангар Склад 2 въезд\E33149364_6_20251230T140108Z.jpg</t>
  </si>
  <si>
    <t>вт 30.12.2025 — 14:01:08</t>
  </si>
  <si>
    <t>E33149364_6_20251230T170422Z.jpg</t>
  </si>
  <si>
    <t>1 Ангар Склад 2 въезд\E33149364_6_20251230T170422Z.jpg</t>
  </si>
  <si>
    <t>вт 30.12.2025 — 17:04:22</t>
  </si>
  <si>
    <t>E33149364_6_20251230T192753Z.jpg</t>
  </si>
  <si>
    <t>1 Ангар Склад 2 въезд\E33149364_6_20251230T192753Z.jpg</t>
  </si>
  <si>
    <t>вт 30.12.2025 — 19:27:53</t>
  </si>
  <si>
    <t>E33149364_6_20251231T162530Z.jpg</t>
  </si>
  <si>
    <t>1 Ангар Склад 2 въезд\E33149364_6_20251231T162530Z.jpg</t>
  </si>
  <si>
    <t>ср 31.12.2025 — 16:25:30</t>
  </si>
  <si>
    <t>E33149364_6_20260101T144744Z.jpg</t>
  </si>
  <si>
    <t>1 Ангар Склад 2 въезд\E33149364_6_20260101T144744Z.jpg</t>
  </si>
  <si>
    <t>чт 01.01.2026 — 14:47:44</t>
  </si>
  <si>
    <t>E33149364_7_20251229T152720Z.jpg</t>
  </si>
  <si>
    <t>2 Пилорама поката\E33149364_7_20251229T152720Z.jpg</t>
  </si>
  <si>
    <t>пн 29.12.2025 — 15:27:20</t>
  </si>
  <si>
    <t>E33149364_7_20251230T175139Z.jpg</t>
  </si>
  <si>
    <t>2 Пилорама поката\E33149364_7_20251230T175139Z.jpg</t>
  </si>
  <si>
    <t>вт 30.12.2025 — 17:51:39</t>
  </si>
  <si>
    <t>E33149364_7_20251231T164401Z.jpg</t>
  </si>
  <si>
    <t>2 Пилорама поката\E33149364_7_20251231T164401Z.jpg</t>
  </si>
  <si>
    <t>ср 31.12.2025 — 16:44:01</t>
  </si>
  <si>
    <t>E33149364_7_20260101T175614Z.jpg</t>
  </si>
  <si>
    <t>2 Пилорама поката\E33149364_7_20260101T175614Z.jpg</t>
  </si>
  <si>
    <t>чт 01.01.2026 — 17:56:14</t>
  </si>
  <si>
    <t>K07156189_21_20251229T144752Z.jpg</t>
  </si>
  <si>
    <t>4 Крыльцо офиса\K07156189_21_20251229T144752Z.jpg</t>
  </si>
  <si>
    <t>пн 29.12.2025 — 14:47:52</t>
  </si>
  <si>
    <t>K07156189_21_20251229T162253Z.jpg</t>
  </si>
  <si>
    <t>4 Крыльцо офиса\K07156189_21_20251229T162253Z.jpg</t>
  </si>
  <si>
    <t>пн 29.12.2025 — 16:22:53</t>
  </si>
  <si>
    <t>K07156189_21_20251230T123738Z.jpg</t>
  </si>
  <si>
    <t>4 Крыльцо офиса\K07156189_21_20251230T123738Z.jpg</t>
  </si>
  <si>
    <t>вт 30.12.2025 — 12:37:38</t>
  </si>
  <si>
    <t>K07156189_21_20251230T173815Z.jpg</t>
  </si>
  <si>
    <t>4 Крыльцо офиса\K07156189_21_20251230T173815Z.jpg</t>
  </si>
  <si>
    <t>вт 30.12.2025 — 17:38:15</t>
  </si>
  <si>
    <t>K07156189_21_20251231T170707Z.jpg</t>
  </si>
  <si>
    <t>4 Крыльцо офиса\K07156189_21_20251231T170707Z.jpg</t>
  </si>
  <si>
    <t>ср 31.12.2025 — 17:07:07</t>
  </si>
  <si>
    <t>K07156189_21_20260101T170830Z.jpg</t>
  </si>
  <si>
    <t>4 Крыльцо офиса\K07156189_21_20260101T170830Z.jpg</t>
  </si>
  <si>
    <t>чт 01.01.2026 — 17:08:30</t>
  </si>
  <si>
    <t>E33149364_8_20251229T154323Z.jpg</t>
  </si>
  <si>
    <t>пн 29.12.2025 — 15:43:23</t>
  </si>
  <si>
    <t>E33149364_8_20251230T170421Z.jpg</t>
  </si>
  <si>
    <t>вт 30.12.2025 — 17:04:21</t>
  </si>
  <si>
    <t>E33149364_8_20251231T163412Z.jpg</t>
  </si>
  <si>
    <t>ср 31.12.2025 — 16:34:12</t>
  </si>
  <si>
    <t>E33149364_8_20260101T171408Z.jpg</t>
  </si>
  <si>
    <t>чт 01.01.2026 — 17:14:08</t>
  </si>
  <si>
    <t>E33149364_1_20251229T092257Z.jpg</t>
  </si>
  <si>
    <t>9 Ангар пилорама\E33149364_1_20251229T092257Z.jpg</t>
  </si>
  <si>
    <t>пн 29.12.2025 — 09:22:57</t>
  </si>
  <si>
    <t>E33149364_1_20251229T095247Z.jpg</t>
  </si>
  <si>
    <t>9 Ангар пилорама\E33149364_1_20251229T095247Z.jpg</t>
  </si>
  <si>
    <t>пн 29.12.2025 — 09:52:47</t>
  </si>
  <si>
    <t>E33149364_1_20251229T095255Z.jpg</t>
  </si>
  <si>
    <t>9 Ангар пилорама\E33149364_1_20251229T095255Z.jpg</t>
  </si>
  <si>
    <t>пн 29.12.2025 — 09:52:55</t>
  </si>
  <si>
    <t>E33149364_1_20251229T095317Z.jpg</t>
  </si>
  <si>
    <t>9 Ангар пилорама\E33149364_1_20251229T095317Z.jpg</t>
  </si>
  <si>
    <t>пн 29.12.2025 — 09:53:17</t>
  </si>
  <si>
    <t>E33149364_1_20251229T115105Z.jpg</t>
  </si>
  <si>
    <t>9 Ангар пилорама\E33149364_1_20251229T115105Z.jpg</t>
  </si>
  <si>
    <t>пн 29.12.2025 — 11:51:05</t>
  </si>
  <si>
    <t>E33149364_1_20251230T163719Z.jpg</t>
  </si>
  <si>
    <t>9 Ангар пилорама\E33149364_1_20251230T163719Z.jpg</t>
  </si>
  <si>
    <t>вт 30.12.2025 — 16:37:19</t>
  </si>
  <si>
    <t>E33149364_1_20251231T165300Z.jpg</t>
  </si>
  <si>
    <t>9 Ангар пилорама\E33149364_1_20251231T165300Z.jpg</t>
  </si>
  <si>
    <t>ср 31.12.2025 — 16:53:00</t>
  </si>
  <si>
    <t>E33149364_1_20260101T171044Z.jpg</t>
  </si>
  <si>
    <t>9 Ангар пилорама\E33149364_1_20260101T171044Z.jpg</t>
  </si>
  <si>
    <t>чт 01.01.2026 — 17:10:44</t>
  </si>
  <si>
    <t>E33149364_2_20251229T093356Z.jpg</t>
  </si>
  <si>
    <t>8 Рейсмус\E33149364_2_20251229T093356Z.jpg</t>
  </si>
  <si>
    <t>пн 29.12.2025 — 09:33:56</t>
  </si>
  <si>
    <t>E33149364_2_20251229T095313Z.jpg</t>
  </si>
  <si>
    <t>8 Рейсмус\E33149364_2_20251229T095313Z.jpg</t>
  </si>
  <si>
    <t>пн 29.12.2025 — 09:53:13</t>
  </si>
  <si>
    <t>E33149364_2_20251229T115045Z.jpg</t>
  </si>
  <si>
    <t>8 Рейсмус\E33149364_2_20251229T115045Z.jpg</t>
  </si>
  <si>
    <t>пн 29.12.2025 — 11:50:45</t>
  </si>
  <si>
    <t>E33149364_2_20251230T123142Z.jpg</t>
  </si>
  <si>
    <t>8 Рейсмус\E33149364_2_20251230T123142Z.jpg</t>
  </si>
  <si>
    <t>вт 30.12.2025 — 12:31:42</t>
  </si>
  <si>
    <t>E33149364_2_20260101T161621Z.jpg</t>
  </si>
  <si>
    <t>8 Рейсмус\E33149364_2_20260101T161621Z.jpg</t>
  </si>
  <si>
    <t>чт 01.01.2026 — 16:16:21</t>
  </si>
  <si>
    <t>E33149364_4_20251229T120512Z.jpg</t>
  </si>
  <si>
    <t>11 С ангара на базу\E33149364_4_20251229T120512Z.jpg</t>
  </si>
  <si>
    <t>пн 29.12.2025 — 12:05:12</t>
  </si>
  <si>
    <t>E33149364_4_20251229T121310Z.jpg</t>
  </si>
  <si>
    <t>11 С ангара на базу\E33149364_4_20251229T121310Z.jpg</t>
  </si>
  <si>
    <t>пн 29.12.2025 — 12:13:10</t>
  </si>
  <si>
    <t>E33149364_4_20251229T121400Z.jpg</t>
  </si>
  <si>
    <t>11 С ангара на базу\E33149364_4_20251229T121400Z.jpg</t>
  </si>
  <si>
    <t>пн 29.12.2025 — 12:14:00</t>
  </si>
  <si>
    <t>E33149364_4_20251229T122103Z.jpg</t>
  </si>
  <si>
    <t>11 С ангара на базу\E33149364_4_20251229T122103Z.jpg</t>
  </si>
  <si>
    <t>пн 29.12.2025 — 12:21:03</t>
  </si>
  <si>
    <t>E33149364_4_20251229T122152Z.jpg</t>
  </si>
  <si>
    <t>11 С ангара на базу\E33149364_4_20251229T122152Z.jpg</t>
  </si>
  <si>
    <t>пн 29.12.2025 — 12:21:52</t>
  </si>
  <si>
    <t>E33149364_4_20251229T122219Z.jpg</t>
  </si>
  <si>
    <t>11 С ангара на базу\E33149364_4_20251229T122219Z.jpg</t>
  </si>
  <si>
    <t>пн 29.12.2025 — 12:22:19</t>
  </si>
  <si>
    <t>E33149364_4_20251229T122456Z.jpg</t>
  </si>
  <si>
    <t>11 С ангара на базу\E33149364_4_20251229T122456Z.jpg</t>
  </si>
  <si>
    <t>пн 29.12.2025 — 12:24:56</t>
  </si>
  <si>
    <t>E33149364_4_20251229T153209Z.jpg</t>
  </si>
  <si>
    <t>11 С ангара на базу\E33149364_4_20251229T153209Z.jpg</t>
  </si>
  <si>
    <t>пн 29.12.2025 — 15:32:09</t>
  </si>
  <si>
    <t>E33149364_4_20251230T100949Z.jpg</t>
  </si>
  <si>
    <t>11 С ангара на базу\E33149364_4_20251230T100949Z.jpg</t>
  </si>
  <si>
    <t>вт 30.12.2025 — 10:09:49</t>
  </si>
  <si>
    <t>E33149364_4_20251230T115637Z.jpg</t>
  </si>
  <si>
    <t>11 С ангара на базу\E33149364_4_20251230T115637Z.jpg</t>
  </si>
  <si>
    <t>вт 30.12.2025 — 11:56:37</t>
  </si>
  <si>
    <t>E33149364_4_20251231T163940Z.jpg</t>
  </si>
  <si>
    <t>11 С ангара на базу\E33149364_4_20251231T163940Z.jpg</t>
  </si>
  <si>
    <t>ср 31.12.2025 — 16:39:40</t>
  </si>
  <si>
    <t>E33149364_4_20260101T103436Z.jpg</t>
  </si>
  <si>
    <t>11 С ангара на базу\E33149364_4_20260101T103436Z.jpg</t>
  </si>
  <si>
    <t>чт 01.01.2026 — 10:34:36</t>
  </si>
  <si>
    <t>E33149364_4_20260101T161641Z.jpg</t>
  </si>
  <si>
    <t>11 С ангара на базу\E33149364_4_20260101T161641Z.jpg</t>
  </si>
  <si>
    <t>чт 01.01.2026 — 16:16:41</t>
  </si>
  <si>
    <t>E33149364_3_20251229T120514Z.jpg</t>
  </si>
  <si>
    <t>10 Сушилка навес\E33149364_3_20251229T120514Z.jpg</t>
  </si>
  <si>
    <t>пн 29.12.2025 — 12:05:14</t>
  </si>
  <si>
    <t>E33149364_3_20251229T121655Z.jpg</t>
  </si>
  <si>
    <t>10 Сушилка навес\E33149364_3_20251229T121655Z.jpg</t>
  </si>
  <si>
    <t>пн 29.12.2025 — 12:16:55</t>
  </si>
  <si>
    <t>E33149364_3_20251229T121700Z.jpg</t>
  </si>
  <si>
    <t>10 Сушилка навес\E33149364_3_20251229T121700Z.jpg</t>
  </si>
  <si>
    <t>пн 29.12.2025 — 12:17:00</t>
  </si>
  <si>
    <t>E33149364_3_20251229T121914Z.jpg</t>
  </si>
  <si>
    <t>10 Сушилка навес\E33149364_3_20251229T121914Z.jpg</t>
  </si>
  <si>
    <t>пн 29.12.2025 — 12:19:14</t>
  </si>
  <si>
    <t>E33149364_3_20251229T122450Z.jpg</t>
  </si>
  <si>
    <t>10 Сушилка навес\E33149364_3_20251229T122450Z.jpg</t>
  </si>
  <si>
    <t>пн 29.12.2025 — 12:24:50</t>
  </si>
  <si>
    <t>E33149364_3_20251229T131536Z.jpg</t>
  </si>
  <si>
    <t>10 Сушилка навес\E33149364_3_20251229T131536Z.jpg</t>
  </si>
  <si>
    <t>пн 29.12.2025 — 13:15:36</t>
  </si>
  <si>
    <t>E33149364_3_20251229T140200Z.jpg</t>
  </si>
  <si>
    <t>10 Сушилка навес\E33149364_3_20251229T140200Z.jpg</t>
  </si>
  <si>
    <t>пн 29.12.2025 — 14:02:00</t>
  </si>
  <si>
    <t>E33149364_3_20251229T140543Z.jpg</t>
  </si>
  <si>
    <t>10 Сушилка навес\E33149364_3_20251229T140543Z.jpg</t>
  </si>
  <si>
    <t>пн 29.12.2025 — 14:05:43</t>
  </si>
  <si>
    <t>E33149364_3_20251229T141207Z.jpg</t>
  </si>
  <si>
    <t>10 Сушилка навес\E33149364_3_20251229T141207Z.jpg</t>
  </si>
  <si>
    <t>пн 29.12.2025 — 14:12:07</t>
  </si>
  <si>
    <t>E33149364_3_20251229T152950Z.jpg</t>
  </si>
  <si>
    <t>10 Сушилка навес\E33149364_3_20251229T152950Z.jpg</t>
  </si>
  <si>
    <t>пн 29.12.2025 — 15:29:50</t>
  </si>
  <si>
    <t>E33149364_3_20251229T153131Z.jpg</t>
  </si>
  <si>
    <t>10 Сушилка навес\E33149364_3_20251229T153131Z.jpg</t>
  </si>
  <si>
    <t>пн 29.12.2025 — 15:31:31</t>
  </si>
  <si>
    <t>E33149364_3_20251229T160300Z.jpg</t>
  </si>
  <si>
    <t>10 Сушилка навес\E33149364_3_20251229T160300Z.jpg</t>
  </si>
  <si>
    <t>пн 29.12.2025 — 16:03:00</t>
  </si>
  <si>
    <t>E33149364_3_20251229T165442Z.jpg</t>
  </si>
  <si>
    <t>10 Сушилка навес\E33149364_3_20251229T165442Z.jpg</t>
  </si>
  <si>
    <t>пн 29.12.2025 — 16:54:42</t>
  </si>
  <si>
    <t>E33149364_3_20251229T171740Z.jpg</t>
  </si>
  <si>
    <t>10 Сушилка навес\E33149364_3_20251229T171740Z.jpg</t>
  </si>
  <si>
    <t>пн 29.12.2025 — 17:17:40</t>
  </si>
  <si>
    <t>E33149364_3_20251230T135741Z.jpg</t>
  </si>
  <si>
    <t>10 Сушилка навес\E33149364_3_20251230T135741Z.jpg</t>
  </si>
  <si>
    <t>вт 30.12.2025 — 13:57:41</t>
  </si>
  <si>
    <t>E33149364_3_20251230T135827Z.jpg</t>
  </si>
  <si>
    <t>10 Сушилка навес\E33149364_3_20251230T135827Z.jpg</t>
  </si>
  <si>
    <t>вт 30.12.2025 — 13:58:27</t>
  </si>
  <si>
    <t>E33149364_3_20251230T135856Z.jpg</t>
  </si>
  <si>
    <t>10 Сушилка навес\E33149364_3_20251230T135856Z.jpg</t>
  </si>
  <si>
    <t>вт 30.12.2025 — 13:58:56</t>
  </si>
  <si>
    <t>E33149364_3_20251230T135910Z.jpg</t>
  </si>
  <si>
    <t>10 Сушилка навес\E33149364_3_20251230T135910Z.jpg</t>
  </si>
  <si>
    <t>вт 30.12.2025 — 13:59:10</t>
  </si>
  <si>
    <t>E33149364_3_20251230T140007Z.jpg</t>
  </si>
  <si>
    <t>10 Сушилка навес\E33149364_3_20251230T140007Z.jpg</t>
  </si>
  <si>
    <t>вт 30.12.2025 — 14:00:07</t>
  </si>
  <si>
    <t>E33149364_3_20251230T153524Z.jpg</t>
  </si>
  <si>
    <t>10 Сушилка навес\E33149364_3_20251230T153524Z.jpg</t>
  </si>
  <si>
    <t>вт 30.12.2025 — 15:35:24</t>
  </si>
  <si>
    <t>E33149364_3_20251230T154339Z.jpg</t>
  </si>
  <si>
    <t>10 Сушилка навес\E33149364_3_20251230T154339Z.jpg</t>
  </si>
  <si>
    <t>вт 30.12.2025 — 15:43:39</t>
  </si>
  <si>
    <t>E33149364_3_20251230T161856Z.jpg</t>
  </si>
  <si>
    <t>10 Сушилка навес\E33149364_3_20251230T161856Z.jpg</t>
  </si>
  <si>
    <t>вт 30.12.2025 — 16:18:56</t>
  </si>
  <si>
    <t>E33149364_3_20251230T163625Z.jpg</t>
  </si>
  <si>
    <t>10 Сушилка навес\E33149364_3_20251230T163625Z.jpg</t>
  </si>
  <si>
    <t>вт 30.12.2025 — 16:36:25</t>
  </si>
  <si>
    <t>E33149364_3_20251231T135532Z.jpg</t>
  </si>
  <si>
    <t>10 Сушилка навес\E33149364_3_20251231T135532Z.jpg</t>
  </si>
  <si>
    <t>ср 31.12.2025 — 13:55:32</t>
  </si>
  <si>
    <t>E33149364_3_20260101T155513Z.jpg</t>
  </si>
  <si>
    <t>10 Сушилка навес\E33149364_3_20260101T155513Z.jpg</t>
  </si>
  <si>
    <t>чт 01.01.2026 — 15:55:13</t>
  </si>
  <si>
    <t>K07156189_23_20251229T145106Z.jpg</t>
  </si>
  <si>
    <t>13 Склад хол\K07156189_23_20251229T145106Z.jpg</t>
  </si>
  <si>
    <t>пн 29.12.2025 — 14:51:06</t>
  </si>
  <si>
    <t>K07156189_23_20251230T161952Z.jpg</t>
  </si>
  <si>
    <t>13 Склад хол\K07156189_23_20251230T161952Z.jpg</t>
  </si>
  <si>
    <t>вт 30.12.2025 — 16:19:52</t>
  </si>
  <si>
    <t>K07156189_23_20251231T145925Z.jpg</t>
  </si>
  <si>
    <t>13 Склад хол\K07156189_23_20251231T145925Z.jpg</t>
  </si>
  <si>
    <t>ср 31.12.2025 — 14:59:25</t>
  </si>
  <si>
    <t>K07156189_23_20260101T170258Z.jpg</t>
  </si>
  <si>
    <t>13 Склад хол\K07156189_23_20260101T170258Z.jpg</t>
  </si>
  <si>
    <t>чт 01.01.2026 — 17:02:58</t>
  </si>
  <si>
    <t>K07156189_22_20251229T144829Z.jpg</t>
  </si>
  <si>
    <t>5 Крыльцо общага\K07156189_22_20251229T144829Z.jpg</t>
  </si>
  <si>
    <t>пн 29.12.2025 — 14:48:29</t>
  </si>
  <si>
    <t>K07156189_22_20251229T153748Z.jpg</t>
  </si>
  <si>
    <t>5 Крыльцо общага\K07156189_22_20251229T153748Z.jpg</t>
  </si>
  <si>
    <t>пн 29.12.2025 — 15:37:48</t>
  </si>
  <si>
    <t>K07156189_22_20251230T174010Z.jpg</t>
  </si>
  <si>
    <t>5 Крыльцо общага\K07156189_22_20251230T174010Z.jpg</t>
  </si>
  <si>
    <t>вт 30.12.2025 — 17:40:10</t>
  </si>
  <si>
    <t>K07156189_22_20251231T150137Z.jpg</t>
  </si>
  <si>
    <t>5 Крыльцо общага\K07156189_22_20251231T150137Z.jpg</t>
  </si>
  <si>
    <t>ср 31.12.2025 — 15:01:37</t>
  </si>
  <si>
    <t>K07156189_22_20251231T164216Z.jpg</t>
  </si>
  <si>
    <t>5 Крыльцо общага\K07156189_22_20251231T164216Z.jpg</t>
  </si>
  <si>
    <t>ср 31.12.2025 — 16:42:16</t>
  </si>
  <si>
    <t>K07156189_22_20260101T180827Z.jpg</t>
  </si>
  <si>
    <t>5 Крыльцо общага\K07156189_22_20260101T180827Z.jpg</t>
  </si>
  <si>
    <t>чт 01.01.2026 — 18:08:27</t>
  </si>
  <si>
    <t>826398429_1_20251229T180114Z.jpg</t>
  </si>
  <si>
    <t>6 Площадка 1 общага\826398429_1_20251229T180114Z.jpg</t>
  </si>
  <si>
    <t>пн 29.12.2025 — 18:01:14</t>
  </si>
  <si>
    <t>826398429_1_20251230T175456Z.jpg</t>
  </si>
  <si>
    <t>6 Площадка 1 общага\826398429_1_20251230T175456Z.jpg</t>
  </si>
  <si>
    <t>вт 30.12.2025 — 17:54:56</t>
  </si>
  <si>
    <t>826398429_1_20251231T175406Z.jpg</t>
  </si>
  <si>
    <t>6 Площадка 1 общага\826398429_1_20251231T175406Z.jpg</t>
  </si>
  <si>
    <t>ср 31.12.2025 — 17:54:06</t>
  </si>
  <si>
    <t>826398429_1_20260101T175459Z.jpg</t>
  </si>
  <si>
    <t>6 Площадка 1 общага\826398429_1_20260101T175459Z.jpg</t>
  </si>
  <si>
    <t>чт 01.01.2026 — 17:54:59</t>
  </si>
  <si>
    <t>K07156189_20_20251229T142354Z.jpg</t>
  </si>
  <si>
    <t>12 Площадка 3 кран\K07156189_20_20251229T142354Z.jpg</t>
  </si>
  <si>
    <t>пн 29.12.2025 — 14:23:54</t>
  </si>
  <si>
    <t>K07156189_20_20251230T140045Z.jpg</t>
  </si>
  <si>
    <t>12 Площадка 3 кран\K07156189_20_20251230T140045Z.jpg</t>
  </si>
  <si>
    <t>вт 30.12.2025 — 14:00:45</t>
  </si>
  <si>
    <t>K07156189_20_20251231T131145Z.jpg</t>
  </si>
  <si>
    <t>12 Площадка 3 кран\K07156189_20_20251231T131145Z.jpg</t>
  </si>
  <si>
    <t>ср 31.12.2025 — 13:11:45</t>
  </si>
  <si>
    <t>K07156189_20_20260101T110944Z.jpg</t>
  </si>
  <si>
    <t>12 Площадка 3 кран\K07156189_20_20260101T110944Z.jpg</t>
  </si>
  <si>
    <t>чт 01.01.2026 — 11:09:44</t>
  </si>
  <si>
    <t>K07156189_20_20260101T162801Z.jpg</t>
  </si>
  <si>
    <t>12 Площадка 3 кран\K07156189_20_20260101T162801Z.jpg</t>
  </si>
  <si>
    <t>чт 01.01.2026 — 16:28:01</t>
  </si>
  <si>
    <t>синий баллон</t>
  </si>
  <si>
    <t>работа с деталью сруба</t>
  </si>
  <si>
    <t>E33149364_2_20251231T143559Z.jpg</t>
  </si>
  <si>
    <t>8 Рейсмус\E33149364_2_20251231T143559Z.jpg</t>
  </si>
  <si>
    <t>ср 31.12.2025 — 14:35:59</t>
  </si>
  <si>
    <t>Сотрудник, женщина</t>
  </si>
  <si>
    <t>K07156189_18_20251229T174936Z.jpg</t>
  </si>
  <si>
    <t>7 Площадка 2 бетонщики\K07156189_18_20251229T174936Z.jpg</t>
  </si>
  <si>
    <t>пн 29.12.2025 — 17:49:36</t>
  </si>
  <si>
    <t>K07156189_18_20251230T174936Z.jpg</t>
  </si>
  <si>
    <t>7 Площадка 2 бетонщики\K07156189_18_20251230T174936Z.jpg</t>
  </si>
  <si>
    <t>вт 30.12.2025 — 17:49:36</t>
  </si>
  <si>
    <t>K07156189_18_20251231T174936Z.jpg</t>
  </si>
  <si>
    <t>7 Площадка 2 бетонщики\K07156189_18_20251231T174936Z.jpg</t>
  </si>
  <si>
    <t>ср 31.12.2025 — 17:49:36</t>
  </si>
  <si>
    <t>чт 01.01.2026 — 17:49:36</t>
  </si>
  <si>
    <t>K08156189_18_20260101T174936Z.jpg</t>
  </si>
  <si>
    <t>7 Площадка 2 бетонщики\K08156189_18_20260101T174936Z.jpg</t>
  </si>
  <si>
    <t>K09156189_18_20260101T174936Z.jpg</t>
  </si>
  <si>
    <t>7 Площадка 2 бетонщики\K09156189_18_20260101T174936Z.jpg</t>
  </si>
  <si>
    <t>мебель/материалы</t>
  </si>
  <si>
    <t>прибытие легковых авто</t>
  </si>
  <si>
    <t>легковая</t>
  </si>
  <si>
    <t>Сотрудники, отрезок бревна</t>
  </si>
  <si>
    <t>лековая белая</t>
  </si>
  <si>
    <t>авто сотрудника</t>
  </si>
  <si>
    <t>багажник в слепой зоне</t>
  </si>
  <si>
    <t>Перенос в ангар</t>
  </si>
  <si>
    <t>выгруженные из газели базы</t>
  </si>
  <si>
    <t>другой ракурс</t>
  </si>
  <si>
    <t>легковой</t>
  </si>
  <si>
    <t>стол</t>
  </si>
  <si>
    <t>записей с загрузкой - нет</t>
  </si>
  <si>
    <t>E33149364_7_20260102T175559Z.jpg</t>
  </si>
  <si>
    <t>2 Пилорама поката\E33149364_7_20260102T175559Z.jpg</t>
  </si>
  <si>
    <t>пт 02.01.2026 — 17:55:59</t>
  </si>
  <si>
    <t>E33149364_7_20260103T175602Z.jpg</t>
  </si>
  <si>
    <t>2 Пилорама поката\E33149364_7_20260103T175602Z.jpg</t>
  </si>
  <si>
    <t>сб 03.01.2026 — 17:56:02</t>
  </si>
  <si>
    <t>E33149364_7_20260104T113429Z.jpg</t>
  </si>
  <si>
    <t>2 Пилорама поката\E33149364_7_20260104T113429Z.jpg</t>
  </si>
  <si>
    <t>вс 04.01.2026 — 11:34:29</t>
  </si>
  <si>
    <t>E33149364_6_20260102T164716Z.jpg</t>
  </si>
  <si>
    <t>1 Ангар Склад 2 въезд\E33149364_6_20260102T164716Z.jpg</t>
  </si>
  <si>
    <t>пт 02.01.2026 — 16:47:16</t>
  </si>
  <si>
    <t>E33149364_6_20260103T161020Z.jpg</t>
  </si>
  <si>
    <t>1 Ангар Склад 2 въезд\E33149364_6_20260103T161020Z.jpg</t>
  </si>
  <si>
    <t>сб 03.01.2026 — 16:10:20</t>
  </si>
  <si>
    <t>E33149364_6_20260103T162955Z.jpg</t>
  </si>
  <si>
    <t>1 Ангар Склад 2 въезд\E33149364_6_20260103T162955Z.jpg</t>
  </si>
  <si>
    <t>сб 03.01.2026 — 16:29:55</t>
  </si>
  <si>
    <t>E33149364_6_20260104T160919Z.jpg</t>
  </si>
  <si>
    <t>1 Ангар Склад 2 въезд\E33149364_6_20260104T160919Z.jpg</t>
  </si>
  <si>
    <t>вс 04.01.2026 — 16:09:19</t>
  </si>
  <si>
    <t>E33149364_8_20260102T140620Z.jpg</t>
  </si>
  <si>
    <t>пт 02.01.2026 — 14:06:20</t>
  </si>
  <si>
    <t>E33149364_8_20260103T161030Z.jpg</t>
  </si>
  <si>
    <t>сб 03.01.2026 — 16:10:30</t>
  </si>
  <si>
    <t>E33149364_8_20260104T155859Z.jpg</t>
  </si>
  <si>
    <t>вс 04.01.2026 — 15:58:59</t>
  </si>
  <si>
    <t>826398429_1_20260102T175616Z.jpg</t>
  </si>
  <si>
    <t>6 Площадка 1 общага\826398429_1_20260102T175616Z.jpg</t>
  </si>
  <si>
    <t>пт 02.01.2026 — 17:56:16</t>
  </si>
  <si>
    <t>826398429_1_20260103T161109Z.jpg</t>
  </si>
  <si>
    <t>6 Площадка 1 общага\826398429_1_20260103T161109Z.jpg</t>
  </si>
  <si>
    <t>сб 03.01.2026 — 16:11:09</t>
  </si>
  <si>
    <t>826398429_1_20260104T175626Z.jpg</t>
  </si>
  <si>
    <t>6 Площадка 1 общага\826398429_1_20260104T175626Z.jpg</t>
  </si>
  <si>
    <t>вс 04.01.2026 — 17:56:26</t>
  </si>
  <si>
    <t>K07156189_21_20260102T122110Z.jpg</t>
  </si>
  <si>
    <t>4 Крыльцо офиса\K07156189_21_20260102T122110Z.jpg</t>
  </si>
  <si>
    <t>пт 02.01.2026 — 12:21:10</t>
  </si>
  <si>
    <t>K07156189_21_20260103T161709Z.jpg</t>
  </si>
  <si>
    <t>4 Крыльцо офиса\K07156189_21_20260103T161709Z.jpg</t>
  </si>
  <si>
    <t>сб 03.01.2026 — 16:17:09</t>
  </si>
  <si>
    <t>K07156189_21_20260104T161851Z.jpg</t>
  </si>
  <si>
    <t>4 Крыльцо офиса\K07156189_21_20260104T161851Z.jpg</t>
  </si>
  <si>
    <t>вс 04.01.2026 — 16:18:51</t>
  </si>
  <si>
    <t>E33149364_2_20260102T113006Z.jpg</t>
  </si>
  <si>
    <t>8 Рейсмус\E33149364_2_20260102T113006Z.jpg</t>
  </si>
  <si>
    <t>пт 02.01.2026 — 11:30:06</t>
  </si>
  <si>
    <t>E33149364_2_20260103T162936Z.jpg</t>
  </si>
  <si>
    <t>8 Рейсмус\E33149364_2_20260103T162936Z.jpg</t>
  </si>
  <si>
    <t>сб 03.01.2026 — 16:29:36</t>
  </si>
  <si>
    <t>E33149364_2_20260104T150306Z.jpg</t>
  </si>
  <si>
    <t>8 Рейсмус\E33149364_2_20260104T150306Z.jpg</t>
  </si>
  <si>
    <t>вс 04.01.2026 — 15:03:06</t>
  </si>
  <si>
    <t>E33149364_1_20260102T170630Z.jpg</t>
  </si>
  <si>
    <t>9 Ангар пилорама\E33149364_1_20260102T170630Z.jpg</t>
  </si>
  <si>
    <t>пт 02.01.2026 — 17:06:30</t>
  </si>
  <si>
    <t>E33149364_1_20260103T170845Z.jpg</t>
  </si>
  <si>
    <t>9 Ангар пилорама\E33149364_1_20260103T170845Z.jpg</t>
  </si>
  <si>
    <t>сб 03.01.2026 — 17:08:45</t>
  </si>
  <si>
    <t>E33149364_1_20260104T165818Z.jpg</t>
  </si>
  <si>
    <t>9 Ангар пилорама\E33149364_1_20260104T165818Z.jpg</t>
  </si>
  <si>
    <t>вс 04.01.2026 — 16:58:18</t>
  </si>
  <si>
    <t>K07156189_22_20260102T161902Z.jpg</t>
  </si>
  <si>
    <t>5 Крыльцо общага\K07156189_22_20260102T161902Z.jpg</t>
  </si>
  <si>
    <t>пт 02.01.2026 — 16:19:02</t>
  </si>
  <si>
    <t>K07156189_22_20260103T162834Z.jpg</t>
  </si>
  <si>
    <t>5 Крыльцо общага\K07156189_22_20260103T162834Z.jpg</t>
  </si>
  <si>
    <t>сб 03.01.2026 — 16:28:34</t>
  </si>
  <si>
    <t>K07156189_22_20260104T170915Z.jpg</t>
  </si>
  <si>
    <t>5 Крыльцо общага\K07156189_22_20260104T170915Z.jpg</t>
  </si>
  <si>
    <t>вс 04.01.2026 — 17:09:15</t>
  </si>
  <si>
    <t>E33149364_3_20260102T131145Z.jpg</t>
  </si>
  <si>
    <t>10 Сушилка навес\E33149364_3_20260102T131145Z.jpg</t>
  </si>
  <si>
    <t>пт 02.01.2026 — 13:11:45</t>
  </si>
  <si>
    <t>E33149364_3_20260103T161406Z.jpg</t>
  </si>
  <si>
    <t>10 Сушилка навес\E33149364_3_20260103T161406Z.jpg</t>
  </si>
  <si>
    <t>сб 03.01.2026 — 16:14:06</t>
  </si>
  <si>
    <t>E33149364_3_20260104T113437Z.jpg</t>
  </si>
  <si>
    <t>10 Сушилка навес\E33149364_3_20260104T113437Z.jpg</t>
  </si>
  <si>
    <t>вс 04.01.2026 — 11:34:37</t>
  </si>
  <si>
    <t>E33149364_4_20260102T151910Z.jpg</t>
  </si>
  <si>
    <t>11 С ангара на базу\E33149364_4_20260102T151910Z.jpg</t>
  </si>
  <si>
    <t>пт 02.01.2026 — 15:19:10</t>
  </si>
  <si>
    <t>E33149364_4_20260103T161305Z.jpg</t>
  </si>
  <si>
    <t>11 С ангара на базу\E33149364_4_20260103T161305Z.jpg</t>
  </si>
  <si>
    <t>сб 03.01.2026 — 16:13:05</t>
  </si>
  <si>
    <t>E33149364_4_20260104T160513Z.jpg</t>
  </si>
  <si>
    <t>11 С ангара на базу\E33149364_4_20260104T160513Z.jpg</t>
  </si>
  <si>
    <t>вс 04.01.2026 — 16:05:13</t>
  </si>
  <si>
    <t>K07156189_20_20260102T164631Z.jpg</t>
  </si>
  <si>
    <t>12 Площадка 3 кран\K07156189_20_20260102T164631Z.jpg</t>
  </si>
  <si>
    <t>пт 02.01.2026 — 16:46:31</t>
  </si>
  <si>
    <t>K07156189_20_20260103T175648Z.jpg</t>
  </si>
  <si>
    <t>12 Площадка 3 кран\K07156189_20_20260103T175648Z.jpg</t>
  </si>
  <si>
    <t>сб 03.01.2026 — 17:56:48</t>
  </si>
  <si>
    <t>K07156189_20_20260104T082131Z.jpg</t>
  </si>
  <si>
    <t>12 Площадка 3 кран\K07156189_20_20260104T082131Z.jpg</t>
  </si>
  <si>
    <t>вс 04.01.2026 — 08:21:31</t>
  </si>
  <si>
    <t>K07156189_23_20260102T140036Z.jpg</t>
  </si>
  <si>
    <t>13 Склад хол\K07156189_23_20260102T140036Z.jpg</t>
  </si>
  <si>
    <t>пт 02.01.2026 — 14:00:36</t>
  </si>
  <si>
    <t>K07156189_23_20260103T162544Z.jpg</t>
  </si>
  <si>
    <t>13 Склад хол\K07156189_23_20260103T162544Z.jpg</t>
  </si>
  <si>
    <t>сб 03.01.2026 — 16:25:44</t>
  </si>
  <si>
    <t>K07156189_23_20260104T142817Z.jpg</t>
  </si>
  <si>
    <t>13 Склад хол\K07156189_23_20260104T142817Z.jpg</t>
  </si>
  <si>
    <t>вс 04.01.2026 — 14:28:17</t>
  </si>
  <si>
    <t>K09156189_18_20260102T161341Z.jpg</t>
  </si>
  <si>
    <t>7 Площадка 2 бетонщики\K09156189_18_20260102T161341Z.jpg</t>
  </si>
  <si>
    <t>пт 02.01.2026 — 16:13:41</t>
  </si>
  <si>
    <t>K09156189_18_20260103T173623Z.jpg</t>
  </si>
  <si>
    <t>7 Площадка 2 бетонщики\K09156189_18_20260103T173623Z.jpg</t>
  </si>
  <si>
    <t>сб 03.01.2026 — 17:36:23</t>
  </si>
  <si>
    <t>K09156189_18_20260104T163347Z.jpg</t>
  </si>
  <si>
    <t>7 Площадка 2 бетонщики\K09156189_18_20260104T163347Z.jpg</t>
  </si>
  <si>
    <t>вс 04.01.2026 — 16:33:47</t>
  </si>
  <si>
    <t>Kia Carnival</t>
  </si>
  <si>
    <t>E33149364_7_20260105T163002Z.jpg</t>
  </si>
  <si>
    <t>2 Пилорама поката\E33149364_7_20260105T163002Z.jpg</t>
  </si>
  <si>
    <t>пн 05.01.2026 — 16:30:02</t>
  </si>
  <si>
    <t>E33149364_7_20260106T180019Z.jpg</t>
  </si>
  <si>
    <t>2 Пилорама поката\E33149364_7_20260106T180019Z.jpg</t>
  </si>
  <si>
    <t>вт 06.01.2026 — 18:00:19</t>
  </si>
  <si>
    <t>E33149364_7_20260107T175916Z.jpg</t>
  </si>
  <si>
    <t>2 Пилорама поката\E33149364_7_20260107T175916Z.jpg</t>
  </si>
  <si>
    <t>ср 07.01.2026 — 17:59:16</t>
  </si>
  <si>
    <t>E33149364_7_20260108T175709Z.jpg</t>
  </si>
  <si>
    <t>2 Пилорама поката\E33149364_7_20260108T175709Z.jpg</t>
  </si>
  <si>
    <t>чт 08.01.2026 — 17:57:09</t>
  </si>
  <si>
    <t>E33149364_7_20260109T180405Z.jpg</t>
  </si>
  <si>
    <t>2 Пилорама поката\E33149364_7_20260109T180405Z.jpg</t>
  </si>
  <si>
    <t>пт 09.01.2026 — 18:04:05</t>
  </si>
  <si>
    <t>E33149364_7_20260110T180513Z.jpg</t>
  </si>
  <si>
    <t>2 Пилорама поката\E33149364_7_20260110T180513Z.jpg</t>
  </si>
  <si>
    <t>сб 10.01.2026 — 18:05:13</t>
  </si>
  <si>
    <t>E33149364_7_20260111T151317Z.jpg</t>
  </si>
  <si>
    <t>2 Пилорама поката\E33149364_7_20260111T151317Z.jpg</t>
  </si>
  <si>
    <t>вс 11.01.2026 — 15:13:17</t>
  </si>
  <si>
    <t>E33149364_6_20260105T171206Z.jpg</t>
  </si>
  <si>
    <t>1 Ангар Склад 2 въезд\E33149364_6_20260105T171206Z.jpg</t>
  </si>
  <si>
    <t>пн 05.01.2026 — 17:12:06</t>
  </si>
  <si>
    <t>E33149364_6_20260106T140127Z.jpg</t>
  </si>
  <si>
    <t>1 Ангар Склад 2 въезд\E33149364_6_20260106T140127Z.jpg</t>
  </si>
  <si>
    <t>вт 06.01.2026 — 14:01:27</t>
  </si>
  <si>
    <t>E33149364_6_20260106T141024Z.jpg</t>
  </si>
  <si>
    <t>1 Ангар Склад 2 въезд\E33149364_6_20260106T141024Z.jpg</t>
  </si>
  <si>
    <t>вт 06.01.2026 — 14:10:24</t>
  </si>
  <si>
    <t>E33149364_6_20260107T162122Z.jpg</t>
  </si>
  <si>
    <t>1 Ангар Склад 2 въезд\E33149364_6_20260107T162122Z.jpg</t>
  </si>
  <si>
    <t>ср 07.01.2026 — 16:21:22</t>
  </si>
  <si>
    <t>E33149364_6_20260108T175716Z.jpg</t>
  </si>
  <si>
    <t>1 Ангар Склад 2 въезд\E33149364_6_20260108T175716Z.jpg</t>
  </si>
  <si>
    <t>чт 08.01.2026 — 17:57:16</t>
  </si>
  <si>
    <t>E33149364_6_20260108T175844Z.jpg</t>
  </si>
  <si>
    <t>1 Ангар Склад 2 въезд\E33149364_6_20260108T175844Z.jpg</t>
  </si>
  <si>
    <t>чт 08.01.2026 — 17:58:44</t>
  </si>
  <si>
    <t>E33149364_6_20260109T160341Z.jpg</t>
  </si>
  <si>
    <t>1 Ангар Склад 2 въезд\E33149364_6_20260109T160341Z.jpg</t>
  </si>
  <si>
    <t>пт 09.01.2026 — 16:03:41</t>
  </si>
  <si>
    <t>E33149364_6_20260109T161125Z.jpg</t>
  </si>
  <si>
    <t>1 Ангар Склад 2 въезд\E33149364_6_20260109T161125Z.jpg</t>
  </si>
  <si>
    <t>пт 09.01.2026 — 16:11:25</t>
  </si>
  <si>
    <t>E33149364_6_20260110T124240Z.jpg</t>
  </si>
  <si>
    <t>1 Ангар Склад 2 въезд\E33149364_6_20260110T124240Z.jpg</t>
  </si>
  <si>
    <t>сб 10.01.2026 — 12:42:40</t>
  </si>
  <si>
    <t>E33149364_6_20260110T130537Z.jpg</t>
  </si>
  <si>
    <t>1 Ангар Склад 2 въезд\E33149364_6_20260110T130537Z.jpg</t>
  </si>
  <si>
    <t>сб 10.01.2026 — 13:05:37</t>
  </si>
  <si>
    <t>E33149364_6_20260110T130805Z.jpg</t>
  </si>
  <si>
    <t>1 Ангар Склад 2 въезд\E33149364_6_20260110T130805Z.jpg</t>
  </si>
  <si>
    <t>сб 10.01.2026 — 13:08:05</t>
  </si>
  <si>
    <t>E33149364_6_20260110T130820Z.jpg</t>
  </si>
  <si>
    <t>1 Ангар Склад 2 въезд\E33149364_6_20260110T130820Z.jpg</t>
  </si>
  <si>
    <t>сб 10.01.2026 — 13:08:20</t>
  </si>
  <si>
    <t>E33149364_6_20260110T163347Z.jpg</t>
  </si>
  <si>
    <t>1 Ангар Склад 2 въезд\E33149364_6_20260110T163347Z.jpg</t>
  </si>
  <si>
    <t>сб 10.01.2026 — 16:33:47</t>
  </si>
  <si>
    <t>E33149364_6_20260110T170641Z.jpg</t>
  </si>
  <si>
    <t>1 Ангар Склад 2 въезд\E33149364_6_20260110T170641Z.jpg</t>
  </si>
  <si>
    <t>сб 10.01.2026 — 17:06:41</t>
  </si>
  <si>
    <t>E33149364_6_20260111T160324Z.jpg</t>
  </si>
  <si>
    <t>1 Ангар Склад 2 въезд\E33149364_6_20260111T160324Z.jpg</t>
  </si>
  <si>
    <t>вс 11.01.2026 — 16:03:24</t>
  </si>
  <si>
    <t>E33149364_6_20260111T185154Z.jpg</t>
  </si>
  <si>
    <t>1 Ангар Склад 2 въезд\E33149364_6_20260111T185154Z.jpg</t>
  </si>
  <si>
    <t>вс 11.01.2026 — 18:51:54</t>
  </si>
  <si>
    <t>E33149364_6_20260111T185328Z.jpg</t>
  </si>
  <si>
    <t>1 Ангар Склад 2 въезд\E33149364_6_20260111T185328Z.jpg</t>
  </si>
  <si>
    <t>вс 11.01.2026 — 18:53:28</t>
  </si>
  <si>
    <t>K07156189_22_20260105T171512Z.jpg</t>
  </si>
  <si>
    <t>5 Крыльцо общага\K07156189_22_20260105T171512Z.jpg</t>
  </si>
  <si>
    <t>пн 05.01.2026 — 17:15:12</t>
  </si>
  <si>
    <t>K07156189_22_20260106T171851Z.jpg</t>
  </si>
  <si>
    <t>5 Крыльцо общага\K07156189_22_20260106T171851Z.jpg</t>
  </si>
  <si>
    <t>вт 06.01.2026 — 17:18:51</t>
  </si>
  <si>
    <t>K07156189_22_20260107T154946Z.jpg</t>
  </si>
  <si>
    <t>5 Крыльцо общага\K07156189_22_20260107T154946Z.jpg</t>
  </si>
  <si>
    <t>ср 07.01.2026 — 15:49:46</t>
  </si>
  <si>
    <t>K07156189_22_20260108T162751Z.jpg</t>
  </si>
  <si>
    <t>5 Крыльцо общага\K07156189_22_20260108T162751Z.jpg</t>
  </si>
  <si>
    <t>чт 08.01.2026 — 16:27:51</t>
  </si>
  <si>
    <t>K07156189_22_20260109T155923Z.jpg</t>
  </si>
  <si>
    <t>5 Крыльцо общага\K07156189_22_20260109T155923Z.jpg</t>
  </si>
  <si>
    <t>пт 09.01.2026 — 15:59:23</t>
  </si>
  <si>
    <t>K07156189_22_20260110T175220Z.jpg</t>
  </si>
  <si>
    <t>5 Крыльцо общага\K07156189_22_20260110T175220Z.jpg</t>
  </si>
  <si>
    <t>сб 10.01.2026 — 17:52:20</t>
  </si>
  <si>
    <t>K07156189_22_20260111T170005Z.jpg</t>
  </si>
  <si>
    <t>5 Крыльцо общага\K07156189_22_20260111T170005Z.jpg</t>
  </si>
  <si>
    <t>вс 11.01.2026 — 17:00:05</t>
  </si>
  <si>
    <t>826398429_1_20260105T163010Z.jpg</t>
  </si>
  <si>
    <t>6 Площадка 1 общага\826398429_1_20260105T163010Z.jpg</t>
  </si>
  <si>
    <t>пн 05.01.2026 — 16:30:10</t>
  </si>
  <si>
    <t>826398429_1_20260106T172523Z.jpg</t>
  </si>
  <si>
    <t>6 Площадка 1 общага\826398429_1_20260106T172523Z.jpg</t>
  </si>
  <si>
    <t>вт 06.01.2026 — 17:25:23</t>
  </si>
  <si>
    <t>826398429_1_20260107T180510Z.jpg</t>
  </si>
  <si>
    <t>6 Площадка 1 общага\826398429_1_20260107T180510Z.jpg</t>
  </si>
  <si>
    <t>ср 07.01.2026 — 18:05:10</t>
  </si>
  <si>
    <t>826398429_1_20260108T175803Z.jpg</t>
  </si>
  <si>
    <t>6 Площадка 1 общага\826398429_1_20260108T175803Z.jpg</t>
  </si>
  <si>
    <t>чт 08.01.2026 — 17:58:03</t>
  </si>
  <si>
    <t>826398429_1_20260109T180801Z.jpg</t>
  </si>
  <si>
    <t>6 Площадка 1 общага\826398429_1_20260109T180801Z.jpg</t>
  </si>
  <si>
    <t>пт 09.01.2026 — 18:08:01</t>
  </si>
  <si>
    <t>826398429_1_20260110T132155Z.jpg</t>
  </si>
  <si>
    <t>6 Площадка 1 общага\826398429_1_20260110T132155Z.jpg</t>
  </si>
  <si>
    <t>сб 10.01.2026 — 13:21:55</t>
  </si>
  <si>
    <t>826398429_1_20260111T180703Z.jpg</t>
  </si>
  <si>
    <t>6 Площадка 1 общага\826398429_1_20260111T180703Z.jpg</t>
  </si>
  <si>
    <t>вс 11.01.2026 — 18:07:03</t>
  </si>
  <si>
    <t>E33149364_2_20260105T143530Z.jpg</t>
  </si>
  <si>
    <t>8 Рейсмус\E33149364_2_20260105T143530Z.jpg</t>
  </si>
  <si>
    <t>пн 05.01.2026 — 14:35:30</t>
  </si>
  <si>
    <t>E33149364_2_20260106T155321Z.jpg</t>
  </si>
  <si>
    <t>8 Рейсмус\E33149364_2_20260106T155321Z.jpg</t>
  </si>
  <si>
    <t>вт 06.01.2026 — 15:53:21</t>
  </si>
  <si>
    <t>E33149364_2_20260107T120357Z.jpg</t>
  </si>
  <si>
    <t>8 Рейсмус\E33149364_2_20260107T120357Z.jpg</t>
  </si>
  <si>
    <t>ср 07.01.2026 — 12:03:57</t>
  </si>
  <si>
    <t>E33149364_2_20260108T142150Z.jpg</t>
  </si>
  <si>
    <t>8 Рейсмус\E33149364_2_20260108T142150Z.jpg</t>
  </si>
  <si>
    <t>чт 08.01.2026 — 14:21:50</t>
  </si>
  <si>
    <t>E33149364_2_20260109T164349Z.jpg</t>
  </si>
  <si>
    <t>8 Рейсмус\E33149364_2_20260109T164349Z.jpg</t>
  </si>
  <si>
    <t>пт 09.01.2026 — 16:43:49</t>
  </si>
  <si>
    <t>E33149364_2_20260110T160508Z.jpg</t>
  </si>
  <si>
    <t>8 Рейсмус\E33149364_2_20260110T160508Z.jpg</t>
  </si>
  <si>
    <t>сб 10.01.2026 — 16:05:08</t>
  </si>
  <si>
    <t>E33149364_2_20260111T151612Z.jpg</t>
  </si>
  <si>
    <t>8 Рейсмус\E33149364_2_20260111T151612Z.jpg</t>
  </si>
  <si>
    <t>вс 11.01.2026 — 15:16:12</t>
  </si>
  <si>
    <t>E33149364_8_20260105T162306Z.jpg</t>
  </si>
  <si>
    <t>пн 05.01.2026 — 16:23:06</t>
  </si>
  <si>
    <t>E33149364_8_20260106T140140Z.jpg</t>
  </si>
  <si>
    <t>вт 06.01.2026 — 14:01:40</t>
  </si>
  <si>
    <t>E33149364_8_20260107T131440Z.jpg</t>
  </si>
  <si>
    <t>ср 07.01.2026 — 13:14:40</t>
  </si>
  <si>
    <t>E33149364_8_20260108T132835Z.jpg</t>
  </si>
  <si>
    <t>чт 08.01.2026 — 13:28:35</t>
  </si>
  <si>
    <t>E33149364_8_20260109T160339Z.jpg</t>
  </si>
  <si>
    <t>пт 09.01.2026 — 16:03:39</t>
  </si>
  <si>
    <t>E33149364_8_20260110T130856Z.jpg</t>
  </si>
  <si>
    <t>сб 10.01.2026 — 13:08:56</t>
  </si>
  <si>
    <t>E33149364_8_20260111T164048Z.jpg</t>
  </si>
  <si>
    <t>вс 11.01.2026 — 16:40:48</t>
  </si>
  <si>
    <t>K07156189_21_20260105T161054Z.jpg</t>
  </si>
  <si>
    <t>4 Крыльцо офиса\K07156189_21_20260105T161054Z.jpg</t>
  </si>
  <si>
    <t>пн 05.01.2026 — 16:10:54</t>
  </si>
  <si>
    <t>K07156189_21_20260106T140231Z.jpg</t>
  </si>
  <si>
    <t>4 Крыльцо офиса\K07156189_21_20260106T140231Z.jpg</t>
  </si>
  <si>
    <t>вт 06.01.2026 — 14:02:31</t>
  </si>
  <si>
    <t>K07156189_21_20260107T124242Z.jpg</t>
  </si>
  <si>
    <t>4 Крыльцо офиса\K07156189_21_20260107T124242Z.jpg</t>
  </si>
  <si>
    <t>ср 07.01.2026 — 12:42:42</t>
  </si>
  <si>
    <t>K07156189_21_20260108T133445Z.jpg</t>
  </si>
  <si>
    <t>4 Крыльцо офиса\K07156189_21_20260108T133445Z.jpg</t>
  </si>
  <si>
    <t>чт 08.01.2026 — 13:34:45</t>
  </si>
  <si>
    <t>K07156189_21_20260108T175739Z.jpg</t>
  </si>
  <si>
    <t>4 Крыльцо офиса\K07156189_21_20260108T175739Z.jpg</t>
  </si>
  <si>
    <t>чт 08.01.2026 — 17:57:39</t>
  </si>
  <si>
    <t>K07156189_21_20260109T160409Z.jpg</t>
  </si>
  <si>
    <t>4 Крыльцо офиса\K07156189_21_20260109T160409Z.jpg</t>
  </si>
  <si>
    <t>пт 09.01.2026 — 16:04:09</t>
  </si>
  <si>
    <t>K07156189_21_20260109T161103Z.jpg</t>
  </si>
  <si>
    <t>4 Крыльцо офиса\K07156189_21_20260109T161103Z.jpg</t>
  </si>
  <si>
    <t>пт 09.01.2026 — 16:11:03</t>
  </si>
  <si>
    <t>K07156189_21_20260110T124245Z.jpg</t>
  </si>
  <si>
    <t>4 Крыльцо офиса\K07156189_21_20260110T124245Z.jpg</t>
  </si>
  <si>
    <t>сб 10.01.2026 — 12:42:45</t>
  </si>
  <si>
    <t>K07156189_21_20260110T130828Z.jpg</t>
  </si>
  <si>
    <t>4 Крыльцо офиса\K07156189_21_20260110T130828Z.jpg</t>
  </si>
  <si>
    <t>сб 10.01.2026 — 13:08:28</t>
  </si>
  <si>
    <t>K07156189_21_20260110T163318Z.jpg</t>
  </si>
  <si>
    <t>4 Крыльцо офиса\K07156189_21_20260110T163318Z.jpg</t>
  </si>
  <si>
    <t>сб 10.01.2026 — 16:33:18</t>
  </si>
  <si>
    <t>K07156189_21_20260110T170632Z.jpg</t>
  </si>
  <si>
    <t>4 Крыльцо офиса\K07156189_21_20260110T170632Z.jpg</t>
  </si>
  <si>
    <t>сб 10.01.2026 — 17:06:32</t>
  </si>
  <si>
    <t>K07156189_21_20260111T160646Z.jpg</t>
  </si>
  <si>
    <t>4 Крыльцо офиса\K07156189_21_20260111T160646Z.jpg</t>
  </si>
  <si>
    <t>вс 11.01.2026 — 16:06:46</t>
  </si>
  <si>
    <t>K07156189_21_20260111T185223Z.jpg</t>
  </si>
  <si>
    <t>4 Крыльцо офиса\K07156189_21_20260111T185223Z.jpg</t>
  </si>
  <si>
    <t>вс 11.01.2026 — 18:52:23</t>
  </si>
  <si>
    <t>K07156189_18_20260105T154431Z.jpg</t>
  </si>
  <si>
    <t>7 Площадка 2 бетонщики\K07156189_18_20260105T154431Z.jpg</t>
  </si>
  <si>
    <t>пн 05.01.2026 — 15:44:31</t>
  </si>
  <si>
    <t>E33149364_1_20260105T165535Z.jpg</t>
  </si>
  <si>
    <t>9 Ангар пилорама\E33149364_1_20260105T165535Z.jpg</t>
  </si>
  <si>
    <t>пн 05.01.2026 — 16:55:35</t>
  </si>
  <si>
    <t>E33149364_1_20260106T101003Z.jpg</t>
  </si>
  <si>
    <t>9 Ангар пилорама\E33149364_1_20260106T101003Z.jpg</t>
  </si>
  <si>
    <t>вт 06.01.2026 — 10:10:03</t>
  </si>
  <si>
    <t>E33149364_1_20260107T120710Z.jpg</t>
  </si>
  <si>
    <t>9 Ангар пилорама\E33149364_1_20260107T120710Z.jpg</t>
  </si>
  <si>
    <t>ср 07.01.2026 — 12:07:10</t>
  </si>
  <si>
    <t>E33149364_1_20260108T171613Z.jpg</t>
  </si>
  <si>
    <t>9 Ангар пилорама\E33149364_1_20260108T171613Z.jpg</t>
  </si>
  <si>
    <t>чт 08.01.2026 — 17:16:13</t>
  </si>
  <si>
    <t>E33149364_1_20260109T135224Z.jpg</t>
  </si>
  <si>
    <t>9 Ангар пилорама\E33149364_1_20260109T135224Z.jpg</t>
  </si>
  <si>
    <t>пт 09.01.2026 — 13:52:24</t>
  </si>
  <si>
    <t>E33149364_1_20260110T093742Z.jpg</t>
  </si>
  <si>
    <t>9 Ангар пилорама\E33149364_1_20260110T093742Z.jpg</t>
  </si>
  <si>
    <t>сб 10.01.2026 — 09:37:42</t>
  </si>
  <si>
    <t>E33149364_1_20260111T151451Z.jpg</t>
  </si>
  <si>
    <t>9 Ангар пилорама\E33149364_1_20260111T151451Z.jpg</t>
  </si>
  <si>
    <t>вс 11.01.2026 — 15:14:51</t>
  </si>
  <si>
    <t>E33149364_3_20260105T155740Z.jpg</t>
  </si>
  <si>
    <t>10 Сушилка навес\E33149364_3_20260105T155740Z.jpg</t>
  </si>
  <si>
    <t>пн 05.01.2026 — 15:57:40</t>
  </si>
  <si>
    <t>E33149364_3_20260106T102158Z.jpg</t>
  </si>
  <si>
    <t>10 Сушилка навес\E33149364_3_20260106T102158Z.jpg</t>
  </si>
  <si>
    <t>вт 06.01.2026 — 10:21:58</t>
  </si>
  <si>
    <t>E33149364_3_20260107T120822Z.jpg</t>
  </si>
  <si>
    <t>10 Сушилка навес\E33149364_3_20260107T120822Z.jpg</t>
  </si>
  <si>
    <t>ср 07.01.2026 — 12:08:22</t>
  </si>
  <si>
    <t>E33149364_3_20260108T180123Z.jpg</t>
  </si>
  <si>
    <t>10 Сушилка навес\E33149364_3_20260108T180123Z.jpg</t>
  </si>
  <si>
    <t>чт 08.01.2026 — 18:01:23</t>
  </si>
  <si>
    <t>E33149364_3_20260109T100736Z.jpg</t>
  </si>
  <si>
    <t>10 Сушилка навес\E33149364_3_20260109T100736Z.jpg</t>
  </si>
  <si>
    <t>пт 09.01.2026 — 10:07:36</t>
  </si>
  <si>
    <t>E33149364_3_20260110T140408Z.jpg</t>
  </si>
  <si>
    <t>10 Сушилка навес\E33149364_3_20260110T140408Z.jpg</t>
  </si>
  <si>
    <t>сб 10.01.2026 — 14:04:08</t>
  </si>
  <si>
    <t>E33149364_3_20260111T151240Z.jpg</t>
  </si>
  <si>
    <t>10 Сушилка навес\E33149364_3_20260111T151240Z.jpg</t>
  </si>
  <si>
    <t>вс 11.01.2026 — 15:12:40</t>
  </si>
  <si>
    <t>E33149364_4_20260105T100625Z.jpg</t>
  </si>
  <si>
    <t>11 С ангара на базу\E33149364_4_20260105T100625Z.jpg</t>
  </si>
  <si>
    <t>пн 05.01.2026 — 10:06:25</t>
  </si>
  <si>
    <t>E33149364_4_20260105T154550Z.jpg</t>
  </si>
  <si>
    <t>11 С ангара на базу\E33149364_4_20260105T154550Z.jpg</t>
  </si>
  <si>
    <t>пн 05.01.2026 — 15:45:50</t>
  </si>
  <si>
    <t>E33149364_4_20260106T102943Z.jpg</t>
  </si>
  <si>
    <t>11 С ангара на базу\E33149364_4_20260106T102943Z.jpg</t>
  </si>
  <si>
    <t>вт 06.01.2026 — 10:29:43</t>
  </si>
  <si>
    <t>E33149364_4_20260106T153323Z.jpg</t>
  </si>
  <si>
    <t>11 С ангара на базу\E33149364_4_20260106T153323Z.jpg</t>
  </si>
  <si>
    <t>вт 06.01.2026 — 15:33:23</t>
  </si>
  <si>
    <t>E33149364_4_20260107T102736Z.jpg</t>
  </si>
  <si>
    <t>11 С ангара на базу\E33149364_4_20260107T102736Z.jpg</t>
  </si>
  <si>
    <t>ср 07.01.2026 — 10:27:36</t>
  </si>
  <si>
    <t>E33149364_4_20260107T153946Z.jpg</t>
  </si>
  <si>
    <t>11 С ангара на базу\E33149364_4_20260107T153946Z.jpg</t>
  </si>
  <si>
    <t>ср 07.01.2026 — 15:39:46</t>
  </si>
  <si>
    <t>E33149364_4_20260108T113816Z.jpg</t>
  </si>
  <si>
    <t>11 С ангара на базу\E33149364_4_20260108T113816Z.jpg</t>
  </si>
  <si>
    <t>чт 08.01.2026 — 11:38:16</t>
  </si>
  <si>
    <t>E33149364_4_20260108T173157Z.jpg</t>
  </si>
  <si>
    <t>11 С ангара на базу\E33149364_4_20260108T173157Z.jpg</t>
  </si>
  <si>
    <t>чт 08.01.2026 — 17:31:57</t>
  </si>
  <si>
    <t>E33149364_4_20260109T125303Z.jpg</t>
  </si>
  <si>
    <t>11 С ангара на базу\E33149364_4_20260109T125303Z.jpg</t>
  </si>
  <si>
    <t>пт 09.01.2026 — 12:53:03</t>
  </si>
  <si>
    <t>E33149364_4_20260110T132347Z.jpg</t>
  </si>
  <si>
    <t>11 С ангара на базу\E33149364_4_20260110T132347Z.jpg</t>
  </si>
  <si>
    <t>сб 10.01.2026 — 13:23:47</t>
  </si>
  <si>
    <t>E33149364_4_20260111T155817Z.jpg</t>
  </si>
  <si>
    <t>11 С ангара на базу\E33149364_4_20260111T155817Z.jpg</t>
  </si>
  <si>
    <t>вс 11.01.2026 — 15:58:17</t>
  </si>
  <si>
    <t>K07156189_20_20260105T165133Z.jpg</t>
  </si>
  <si>
    <t>12 Площадка 3 кран\K07156189_20_20260105T165133Z.jpg</t>
  </si>
  <si>
    <t>пн 05.01.2026 — 16:51:33</t>
  </si>
  <si>
    <t>K07156189_20_20260106T162919Z.jpg</t>
  </si>
  <si>
    <t>12 Площадка 3 кран\K07156189_20_20260106T162919Z.jpg</t>
  </si>
  <si>
    <t>вт 06.01.2026 — 16:29:19</t>
  </si>
  <si>
    <t>K07156189_20_20260107T180414Z.jpg</t>
  </si>
  <si>
    <t>12 Площадка 3 кран\K07156189_20_20260107T180414Z.jpg</t>
  </si>
  <si>
    <t>ср 07.01.2026 — 18:04:14</t>
  </si>
  <si>
    <t>K07156189_20_20260108T182614Z.jpg</t>
  </si>
  <si>
    <t>12 Площадка 3 кран\K07156189_20_20260108T182614Z.jpg</t>
  </si>
  <si>
    <t>чт 08.01.2026 — 18:26:14</t>
  </si>
  <si>
    <t>K07156189_20_20260109T181457Z.jpg</t>
  </si>
  <si>
    <t>12 Площадка 3 кран\K07156189_20_20260109T181457Z.jpg</t>
  </si>
  <si>
    <t>пт 09.01.2026 — 18:14:57</t>
  </si>
  <si>
    <t>K07156189_20_20260110T152923Z.jpg</t>
  </si>
  <si>
    <t>12 Площадка 3 кран\K07156189_20_20260110T152923Z.jpg</t>
  </si>
  <si>
    <t>сб 10.01.2026 — 15:29:23</t>
  </si>
  <si>
    <t>K07156189_20_20260111T101359Z.jpg</t>
  </si>
  <si>
    <t>12 Площадка 3 кран\K07156189_20_20260111T101359Z.jpg</t>
  </si>
  <si>
    <t>вс 11.01.2026 — 10:13:59</t>
  </si>
  <si>
    <t>K07156189_23_20260105T125908Z.jpg</t>
  </si>
  <si>
    <t>13 Склад хол\K07156189_23_20260105T125908Z.jpg</t>
  </si>
  <si>
    <t>пн 05.01.2026 — 12:59:08</t>
  </si>
  <si>
    <t>K07156189_23_20260106T105708Z.jpg</t>
  </si>
  <si>
    <t>13 Склад хол\K07156189_23_20260106T105708Z.jpg</t>
  </si>
  <si>
    <t>вт 06.01.2026 — 10:57:08</t>
  </si>
  <si>
    <t>K07156189_23_20260107T130433Z.jpg</t>
  </si>
  <si>
    <t>13 Склад хол\K07156189_23_20260107T130433Z.jpg</t>
  </si>
  <si>
    <t>ср 07.01.2026 — 13:04:33</t>
  </si>
  <si>
    <t>K07156189_23_20260108T125209Z.jpg</t>
  </si>
  <si>
    <t>13 Склад хол\K07156189_23_20260108T125209Z.jpg</t>
  </si>
  <si>
    <t>чт 08.01.2026 — 12:52:09</t>
  </si>
  <si>
    <t>K07156189_23_20260109T124703Z.jpg</t>
  </si>
  <si>
    <t>13 Склад хол\K07156189_23_20260109T124703Z.jpg</t>
  </si>
  <si>
    <t>пт 09.01.2026 — 12:47:03</t>
  </si>
  <si>
    <t>K07156189_23_20260110T120725Z.jpg</t>
  </si>
  <si>
    <t>13 Склад хол\K07156189_23_20260110T120725Z.jpg</t>
  </si>
  <si>
    <t>сб 10.01.2026 — 12:07:25</t>
  </si>
  <si>
    <t>K07156189_23_20260111T134117Z.jpg</t>
  </si>
  <si>
    <t>13 Склад хол\K07156189_23_20260111T134117Z.jpg</t>
  </si>
  <si>
    <t>вс 11.01.2026 — 13:41:17</t>
  </si>
  <si>
    <t>Geely Monjaro темно-синий</t>
  </si>
  <si>
    <t>легковая темная</t>
  </si>
  <si>
    <t>легковая светлая</t>
  </si>
  <si>
    <t>джип красный</t>
  </si>
  <si>
    <t>Автотранспорт</t>
  </si>
  <si>
    <t>Сотрудник в Камазе базы</t>
  </si>
  <si>
    <t>расчистка тропинки</t>
  </si>
  <si>
    <t>K07156189_18_20260106T153703Z.jpg</t>
  </si>
  <si>
    <t>7 Площадка 2 бетонщики\K07156189_18_20260106T153703Z.jpg</t>
  </si>
  <si>
    <t>вт 06.01.2026 — 15:37:03</t>
  </si>
  <si>
    <t>K07156189_18_20260107T180412Z.jpg</t>
  </si>
  <si>
    <t>7 Площадка 2 бетонщики\K07156189_18_20260107T180412Z.jpg</t>
  </si>
  <si>
    <t>ср 07.01.2026 — 18:04:12</t>
  </si>
  <si>
    <t>K07156189_18_20260108T180607Z.jpg</t>
  </si>
  <si>
    <t>7 Площадка 2 бетонщики\K07156189_18_20260108T180607Z.jpg</t>
  </si>
  <si>
    <t>чт 08.01.2026 — 18:06:07</t>
  </si>
  <si>
    <t>K07156189_18_20260109T180601Z.jpg</t>
  </si>
  <si>
    <t>7 Площадка 2 бетонщики\K07156189_18_20260109T180601Z.jpg</t>
  </si>
  <si>
    <t>пт 09.01.2026 — 18:06:01</t>
  </si>
  <si>
    <t>K07156189_18_20260110T143200Z.jpg</t>
  </si>
  <si>
    <t>7 Площадка 2 бетонщики\K07156189_18_20260110T143200Z.jpg</t>
  </si>
  <si>
    <t>сб 10.01.2026 — 14:32:00</t>
  </si>
  <si>
    <t>K07156189_18_20260111T181018Z.jpg</t>
  </si>
  <si>
    <t>7 Площадка 2 бетонщики\K07156189_18_20260111T181018Z.jpg</t>
  </si>
  <si>
    <t>вс 11.01.2026 — 18:10:18</t>
  </si>
  <si>
    <t>Пиломатериалы, сотрудник</t>
  </si>
  <si>
    <t>Трактор базы, сотрудник</t>
  </si>
  <si>
    <t>Территория, сотрудник</t>
  </si>
  <si>
    <t>группа сотрудников</t>
  </si>
  <si>
    <t>E33149364_7_20260112T110526Z.jpg</t>
  </si>
  <si>
    <t>2 Пилорама поката\E33149364_7_20260112T110526Z.jpg</t>
  </si>
  <si>
    <t>пн 12.01.2026 — 11:05:26</t>
  </si>
  <si>
    <t>E33149364_7_20260112T110542Z.jpg</t>
  </si>
  <si>
    <t>2 Пилорама поката\E33149364_7_20260112T110542Z.jpg</t>
  </si>
  <si>
    <t>пн 12.01.2026 — 11:05:42</t>
  </si>
  <si>
    <t>E33149364_7_20260112T112812Z.jpg</t>
  </si>
  <si>
    <t>2 Пилорама поката\E33149364_7_20260112T112812Z.jpg</t>
  </si>
  <si>
    <t>пн 12.01.2026 — 11:28:12</t>
  </si>
  <si>
    <t>E33149364_7_20260112T141240Z.jpg</t>
  </si>
  <si>
    <t>2 Пилорама поката\E33149364_7_20260112T141240Z.jpg</t>
  </si>
  <si>
    <t>пн 12.01.2026 — 14:12:40</t>
  </si>
  <si>
    <t>E33149364_7_20260112T142204Z.jpg</t>
  </si>
  <si>
    <t>2 Пилорама поката\E33149364_7_20260112T142204Z.jpg</t>
  </si>
  <si>
    <t>пн 12.01.2026 — 14:22:04</t>
  </si>
  <si>
    <t>E33149364_7_20260112T160117Z.jpg</t>
  </si>
  <si>
    <t>2 Пилорама поката\E33149364_7_20260112T160117Z.jpg</t>
  </si>
  <si>
    <t>пн 12.01.2026 — 16:01:17</t>
  </si>
  <si>
    <t>E33149364_7_20260112T160129Z.jpg</t>
  </si>
  <si>
    <t>2 Пилорама поката\E33149364_7_20260112T160129Z.jpg</t>
  </si>
  <si>
    <t>пн 12.01.2026 — 16:01:29</t>
  </si>
  <si>
    <t>E33149364_7_20260113T093213Z.jpg</t>
  </si>
  <si>
    <t>2 Пилорама поката\E33149364_7_20260113T093213Z.jpg</t>
  </si>
  <si>
    <t>вт 13.01.2026 — 09:32:13</t>
  </si>
  <si>
    <t>E33149364_6_20260112T161502Z.jpg</t>
  </si>
  <si>
    <t>1 Ангар Склад 2 въезд\E33149364_6_20260112T161502Z.jpg</t>
  </si>
  <si>
    <t>пн 12.01.2026 — 16:15:02</t>
  </si>
  <si>
    <t>E33149364_6_20260113T095152Z.jpg</t>
  </si>
  <si>
    <t>1 Ангар Склад 2 въезд\E33149364_6_20260113T095152Z.jpg</t>
  </si>
  <si>
    <t>вт 13.01.2026 — 09:51:52</t>
  </si>
  <si>
    <t>E33149364_6_20260113T095410Z.jpg</t>
  </si>
  <si>
    <t>1 Ангар Склад 2 въезд\E33149364_6_20260113T095410Z.jpg</t>
  </si>
  <si>
    <t>вт 13.01.2026 — 09:54:10</t>
  </si>
  <si>
    <t>K07156189_22_20260112T105702Z.jpg</t>
  </si>
  <si>
    <t>5 Крыльцо общага\K07156189_22_20260112T105702Z.jpg</t>
  </si>
  <si>
    <t>пн 12.01.2026 — 10:57:02</t>
  </si>
  <si>
    <t>K07156189_22_20260112T105717Z.jpg</t>
  </si>
  <si>
    <t>5 Крыльцо общага\K07156189_22_20260112T105717Z.jpg</t>
  </si>
  <si>
    <t>пн 12.01.2026 — 10:57:17</t>
  </si>
  <si>
    <t>K07156189_22_20260112T142911Z.jpg</t>
  </si>
  <si>
    <t>5 Крыльцо общага\K07156189_22_20260112T142911Z.jpg</t>
  </si>
  <si>
    <t>пн 12.01.2026 — 14:29:11</t>
  </si>
  <si>
    <t>K07156189_22_20260112T142940Z.jpg</t>
  </si>
  <si>
    <t>5 Крыльцо общага\K07156189_22_20260112T142940Z.jpg</t>
  </si>
  <si>
    <t>пн 12.01.2026 — 14:29:40</t>
  </si>
  <si>
    <t>K07156189_22_20260112T145542Z.jpg</t>
  </si>
  <si>
    <t>5 Крыльцо общага\K07156189_22_20260112T145542Z.jpg</t>
  </si>
  <si>
    <t>пн 12.01.2026 — 14:55:42</t>
  </si>
  <si>
    <t>K07156189_22_20260112T153246Z.jpg</t>
  </si>
  <si>
    <t>5 Крыльцо общага\K07156189_22_20260112T153246Z.jpg</t>
  </si>
  <si>
    <t>пн 12.01.2026 — 15:32:46</t>
  </si>
  <si>
    <t>K07156189_22_20260112T155516Z.jpg</t>
  </si>
  <si>
    <t>5 Крыльцо общага\K07156189_22_20260112T155516Z.jpg</t>
  </si>
  <si>
    <t>пн 12.01.2026 — 15:55:16</t>
  </si>
  <si>
    <t>K07156189_22_20260112T160500Z.jpg</t>
  </si>
  <si>
    <t>5 Крыльцо общага\K07156189_22_20260112T160500Z.jpg</t>
  </si>
  <si>
    <t>пн 12.01.2026 — 16:05:00</t>
  </si>
  <si>
    <t>K07156189_22_20260113T092720Z.jpg</t>
  </si>
  <si>
    <t>5 Крыльцо общага\K07156189_22_20260113T092720Z.jpg</t>
  </si>
  <si>
    <t>вт 13.01.2026 — 09:27:20</t>
  </si>
  <si>
    <t>K07156189_22_20260113T100600Z.jpg</t>
  </si>
  <si>
    <t>5 Крыльцо общага\K07156189_22_20260113T100600Z.jpg</t>
  </si>
  <si>
    <t>вт 13.01.2026 — 10:06:00</t>
  </si>
  <si>
    <t>K07156189_22_20260113T140715Z.jpg</t>
  </si>
  <si>
    <t>5 Крыльцо общага\K07156189_22_20260113T140715Z.jpg</t>
  </si>
  <si>
    <t>вт 13.01.2026 — 14:07:15</t>
  </si>
  <si>
    <t>K07156189_22_20260113T171312Z.jpg</t>
  </si>
  <si>
    <t>5 Крыльцо общага\K07156189_22_20260113T171312Z.jpg</t>
  </si>
  <si>
    <t>вт 13.01.2026 — 17:13:12</t>
  </si>
  <si>
    <t>E33149364_1_20260112T101423Z.jpg</t>
  </si>
  <si>
    <t>9 Ангар пилорама\E33149364_1_20260112T101423Z.jpg</t>
  </si>
  <si>
    <t>пн 12.01.2026 — 10:14:23</t>
  </si>
  <si>
    <t>E33149364_1_20260112T105545Z.jpg</t>
  </si>
  <si>
    <t>9 Ангар пилорама\E33149364_1_20260112T105545Z.jpg</t>
  </si>
  <si>
    <t>пн 12.01.2026 — 10:55:45</t>
  </si>
  <si>
    <t>E33149364_1_20260112T105619Z.jpg</t>
  </si>
  <si>
    <t>9 Ангар пилорама\E33149364_1_20260112T105619Z.jpg</t>
  </si>
  <si>
    <t>пн 12.01.2026 — 10:56:19</t>
  </si>
  <si>
    <t>E33149364_1_20260112T105623Z.jpg</t>
  </si>
  <si>
    <t>9 Ангар пилорама\E33149364_1_20260112T105623Z.jpg</t>
  </si>
  <si>
    <t>пн 12.01.2026 — 10:56:23</t>
  </si>
  <si>
    <t>E33149364_1_20260112T112855Z.jpg</t>
  </si>
  <si>
    <t>9 Ангар пилорама\E33149364_1_20260112T112855Z.jpg</t>
  </si>
  <si>
    <t>пн 12.01.2026 — 11:28:55</t>
  </si>
  <si>
    <t>E33149364_1_20260112T113441Z.jpg</t>
  </si>
  <si>
    <t>9 Ангар пилорама\E33149364_1_20260112T113441Z.jpg</t>
  </si>
  <si>
    <t>пн 12.01.2026 — 11:34:41</t>
  </si>
  <si>
    <t>E33149364_1_20260112T115004Z.jpg</t>
  </si>
  <si>
    <t>9 Ангар пилорама\E33149364_1_20260112T115004Z.jpg</t>
  </si>
  <si>
    <t>пн 12.01.2026 — 11:50:04</t>
  </si>
  <si>
    <t>E33149364_1_20260112T115658Z.jpg</t>
  </si>
  <si>
    <t>9 Ангар пилорама\E33149364_1_20260112T115658Z.jpg</t>
  </si>
  <si>
    <t>пн 12.01.2026 — 11:56:58</t>
  </si>
  <si>
    <t>E33149364_1_20260112T120429Z.jpg</t>
  </si>
  <si>
    <t>9 Ангар пилорама\E33149364_1_20260112T120429Z.jpg</t>
  </si>
  <si>
    <t>пн 12.01.2026 — 12:04:29</t>
  </si>
  <si>
    <t>E33149364_1_20260112T121626Z.jpg</t>
  </si>
  <si>
    <t>9 Ангар пилорама\E33149364_1_20260112T121626Z.jpg</t>
  </si>
  <si>
    <t>пн 12.01.2026 — 12:16:26</t>
  </si>
  <si>
    <t>E33149364_1_20260112T122707Z.jpg</t>
  </si>
  <si>
    <t>9 Ангар пилорама\E33149364_1_20260112T122707Z.jpg</t>
  </si>
  <si>
    <t>пн 12.01.2026 — 12:27:07</t>
  </si>
  <si>
    <t>E33149364_1_20260112T141528Z.jpg</t>
  </si>
  <si>
    <t>9 Ангар пилорама\E33149364_1_20260112T141528Z.jpg</t>
  </si>
  <si>
    <t>пн 12.01.2026 — 14:15:28</t>
  </si>
  <si>
    <t>E33149364_1_20260112T142606Z.jpg</t>
  </si>
  <si>
    <t>9 Ангар пилорама\E33149364_1_20260112T142606Z.jpg</t>
  </si>
  <si>
    <t>пн 12.01.2026 — 14:26:06</t>
  </si>
  <si>
    <t>E33149364_1_20260112T145301Z.jpg</t>
  </si>
  <si>
    <t>9 Ангар пилорама\E33149364_1_20260112T145301Z.jpg</t>
  </si>
  <si>
    <t>пн 12.01.2026 — 14:53:01</t>
  </si>
  <si>
    <t>E33149364_1_20260112T171017Z.jpg</t>
  </si>
  <si>
    <t>9 Ангар пилорама\E33149364_1_20260112T171017Z.jpg</t>
  </si>
  <si>
    <t>пн 12.01.2026 — 17:10:17</t>
  </si>
  <si>
    <t>E33149364_1_20260112T212223Z.jpg</t>
  </si>
  <si>
    <t>9 Ангар пилорама\E33149364_1_20260112T212223Z.jpg</t>
  </si>
  <si>
    <t>пн 12.01.2026 — 21:22:23</t>
  </si>
  <si>
    <t>E33149364_1_20260113T090056Z.jpg</t>
  </si>
  <si>
    <t>9 Ангар пилорама\E33149364_1_20260113T090056Z.jpg</t>
  </si>
  <si>
    <t>вт 13.01.2026 — 09:00:56</t>
  </si>
  <si>
    <t>E33149364_1_20260113T100502Z.jpg</t>
  </si>
  <si>
    <t>9 Ангар пилорама\E33149364_1_20260113T100502Z.jpg</t>
  </si>
  <si>
    <t>вт 13.01.2026 — 10:05:02</t>
  </si>
  <si>
    <t>E33149364_1_20260113T101500Z.jpg</t>
  </si>
  <si>
    <t>9 Ангар пилорама\E33149364_1_20260113T101500Z.jpg</t>
  </si>
  <si>
    <t>вт 13.01.2026 — 10:15:00</t>
  </si>
  <si>
    <t>E33149364_1_20260113T101533Z.jpg</t>
  </si>
  <si>
    <t>9 Ангар пилорама\E33149364_1_20260113T101533Z.jpg</t>
  </si>
  <si>
    <t>вт 13.01.2026 — 10:15:33</t>
  </si>
  <si>
    <t>E33149364_1_20260113T101608Z.jpg</t>
  </si>
  <si>
    <t>9 Ангар пилорама\E33149364_1_20260113T101608Z.jpg</t>
  </si>
  <si>
    <t>вт 13.01.2026 — 10:16:08</t>
  </si>
  <si>
    <t>E33149364_1_20260113T111018Z.jpg</t>
  </si>
  <si>
    <t>9 Ангар пилорама\E33149364_1_20260113T111018Z.jpg</t>
  </si>
  <si>
    <t>вт 13.01.2026 — 11:10:18</t>
  </si>
  <si>
    <t>E33149364_1_20260113T123811Z.jpg</t>
  </si>
  <si>
    <t>9 Ангар пилорама\E33149364_1_20260113T123811Z.jpg</t>
  </si>
  <si>
    <t>вт 13.01.2026 — 12:38:11</t>
  </si>
  <si>
    <t>E33149364_1_20260113T160529Z.jpg</t>
  </si>
  <si>
    <t>9 Ангар пилорама\E33149364_1_20260113T160529Z.jpg</t>
  </si>
  <si>
    <t>вт 13.01.2026 — 16:05:29</t>
  </si>
  <si>
    <t>E33149364_1_20260113T161329Z.jpg</t>
  </si>
  <si>
    <t>9 Ангар пилорама\E33149364_1_20260113T161329Z.jpg</t>
  </si>
  <si>
    <t>вт 13.01.2026 — 16:13:29</t>
  </si>
  <si>
    <t>E33149364_1_20260113T204326Z.jpg</t>
  </si>
  <si>
    <t>9 Ангар пилорама\E33149364_1_20260113T204326Z.jpg</t>
  </si>
  <si>
    <t>вт 13.01.2026 — 20:43:26</t>
  </si>
  <si>
    <t>E33149364_8_20260112T102742Z.jpg</t>
  </si>
  <si>
    <t>C:\ВИДЕОНАБЛЮДЕНИЕ\3 Въезд на базу\captrue\</t>
  </si>
  <si>
    <t>пн 12.01.2026 — 10:27:42</t>
  </si>
  <si>
    <t>E33149364_8_20260113T095337Z.jpg</t>
  </si>
  <si>
    <t>3 Въезд на базу\E33149364_8_20260113T095337Z.jpg</t>
  </si>
  <si>
    <t>вт 13.01.2026 — 09:53:37</t>
  </si>
  <si>
    <t>E33149364_8_20260113T095343Z.jpg</t>
  </si>
  <si>
    <t>3 Въезд на базу\E33149364_8_20260113T095343Z.jpg</t>
  </si>
  <si>
    <t>вт 13.01.2026 — 09:53:43</t>
  </si>
  <si>
    <t>E33149364_8_20260113T114146Z.jpg</t>
  </si>
  <si>
    <t>вт 13.01.2026 — 11:41:46</t>
  </si>
  <si>
    <t>K07156189_21_20260112T103353Z.jpg</t>
  </si>
  <si>
    <t>4 Крыльцо офиса\K07156189_21_20260112T103353Z.jpg</t>
  </si>
  <si>
    <t>пн 12.01.2026 — 10:33:53</t>
  </si>
  <si>
    <t>K07156189_21_20260113T150630Z.jpg</t>
  </si>
  <si>
    <t>4 Крыльцо офиса\K07156189_21_20260113T150630Z.jpg</t>
  </si>
  <si>
    <t>вт 13.01.2026 — 15:06:30</t>
  </si>
  <si>
    <t>826398429_1_20260112T105744Z.jpg</t>
  </si>
  <si>
    <t>6 Площадка 1 общага\826398429_1_20260112T105744Z.jpg</t>
  </si>
  <si>
    <t>пн 12.01.2026 — 10:57:44</t>
  </si>
  <si>
    <t>826398429_1_20260113T180904Z.jpg</t>
  </si>
  <si>
    <t>6 Площадка 1 общага\826398429_1_20260113T180904Z.jpg</t>
  </si>
  <si>
    <t>вт 13.01.2026 — 18:09:04</t>
  </si>
  <si>
    <t>E33149364_2_20260112T114636Z.jpg</t>
  </si>
  <si>
    <t>8 Рейсмус\E33149364_2_20260112T114636Z.jpg</t>
  </si>
  <si>
    <t>пн 12.01.2026 — 11:46:36</t>
  </si>
  <si>
    <t>E33149364_2_20260113T094656Z.jpg</t>
  </si>
  <si>
    <t>8 Рейсмус\E33149364_2_20260113T094656Z.jpg</t>
  </si>
  <si>
    <t>вт 13.01.2026 — 09:46:56</t>
  </si>
  <si>
    <t>E33149364_2_20260113T101853Z.jpg</t>
  </si>
  <si>
    <t>8 Рейсмус\E33149364_2_20260113T101853Z.jpg</t>
  </si>
  <si>
    <t>вт 13.01.2026 — 10:18:53</t>
  </si>
  <si>
    <t>E33149364_2_20260113T105555Z.jpg</t>
  </si>
  <si>
    <t>8 Рейсмус\E33149364_2_20260113T105555Z.jpg</t>
  </si>
  <si>
    <t>вт 13.01.2026 — 10:55:55</t>
  </si>
  <si>
    <t>E33149364_2_20260113T105704Z.jpg</t>
  </si>
  <si>
    <t>8 Рейсмус\E33149364_2_20260113T105704Z.jpg</t>
  </si>
  <si>
    <t>вт 13.01.2026 — 10:57:04</t>
  </si>
  <si>
    <t>E33149364_2_20260113T110312Z.jpg</t>
  </si>
  <si>
    <t>8 Рейсмус\E33149364_2_20260113T110312Z.jpg</t>
  </si>
  <si>
    <t>вт 13.01.2026 — 11:03:12</t>
  </si>
  <si>
    <t>E33149364_2_20260113T111700Z.jpg</t>
  </si>
  <si>
    <t>8 Рейсмус\E33149364_2_20260113T111700Z.jpg</t>
  </si>
  <si>
    <t>вт 13.01.2026 — 11:17:00</t>
  </si>
  <si>
    <t>E33149364_2_20260113T203057Z.jpg</t>
  </si>
  <si>
    <t>8 Рейсмус\E33149364_2_20260113T203057Z.jpg</t>
  </si>
  <si>
    <t>вт 13.01.2026 — 20:30:57</t>
  </si>
  <si>
    <t>E33149364_2_20260113T204154Z.jpg</t>
  </si>
  <si>
    <t>8 Рейсмус\E33149364_2_20260113T204154Z.jpg</t>
  </si>
  <si>
    <t>вт 13.01.2026 — 20:41:54</t>
  </si>
  <si>
    <t>E33149364_3_20260112T103346Z.jpg</t>
  </si>
  <si>
    <t>10 Сушилка навес\E33149364_3_20260112T103346Z.jpg</t>
  </si>
  <si>
    <t>пн 12.01.2026 — 10:33:46</t>
  </si>
  <si>
    <t>E33149364_3_20260112T104707Z.jpg</t>
  </si>
  <si>
    <t>10 Сушилка навес\E33149364_3_20260112T104707Z.jpg</t>
  </si>
  <si>
    <t>пн 12.01.2026 — 10:47:07</t>
  </si>
  <si>
    <t>E33149364_3_20260112T104823Z.jpg</t>
  </si>
  <si>
    <t>10 Сушилка навес\E33149364_3_20260112T104823Z.jpg</t>
  </si>
  <si>
    <t>пн 12.01.2026 — 10:48:23</t>
  </si>
  <si>
    <t>E33149364_3_20260112T104943Z.jpg</t>
  </si>
  <si>
    <t>10 Сушилка навес\E33149364_3_20260112T104943Z.jpg</t>
  </si>
  <si>
    <t>пн 12.01.2026 — 10:49:43</t>
  </si>
  <si>
    <t>E33149364_3_20260112T112731Z.jpg</t>
  </si>
  <si>
    <t>10 Сушилка навес\E33149364_3_20260112T112731Z.jpg</t>
  </si>
  <si>
    <t>пн 12.01.2026 — 11:27:31</t>
  </si>
  <si>
    <t>E33149364_3_20260112T113458Z.jpg</t>
  </si>
  <si>
    <t>10 Сушилка навес\E33149364_3_20260112T113458Z.jpg</t>
  </si>
  <si>
    <t>пн 12.01.2026 — 11:34:58</t>
  </si>
  <si>
    <t>E33149364_3_20260112T113822Z.jpg</t>
  </si>
  <si>
    <t>10 Сушилка навес\E33149364_3_20260112T113822Z.jpg</t>
  </si>
  <si>
    <t>пн 12.01.2026 — 11:38:22</t>
  </si>
  <si>
    <t>E33149364_3_20260112T115803Z.jpg</t>
  </si>
  <si>
    <t>10 Сушилка навес\E33149364_3_20260112T115803Z.jpg</t>
  </si>
  <si>
    <t>пн 12.01.2026 — 11:58:03</t>
  </si>
  <si>
    <t>E33149364_3_20260112T115825Z.jpg</t>
  </si>
  <si>
    <t>10 Сушилка навес\E33149364_3_20260112T115825Z.jpg</t>
  </si>
  <si>
    <t>пн 12.01.2026 — 11:58:25</t>
  </si>
  <si>
    <t>E33149364_3_20260112T121734Z.jpg</t>
  </si>
  <si>
    <t>10 Сушилка навес\E33149364_3_20260112T121734Z.jpg</t>
  </si>
  <si>
    <t>пн 12.01.2026 — 12:17:34</t>
  </si>
  <si>
    <t>E33149364_3_20260112T121739Z.jpg</t>
  </si>
  <si>
    <t>10 Сушилка навес\E33149364_3_20260112T121739Z.jpg</t>
  </si>
  <si>
    <t>пн 12.01.2026 — 12:17:39</t>
  </si>
  <si>
    <t>E33149364_3_20260112T122830Z.jpg</t>
  </si>
  <si>
    <t>10 Сушилка навес\E33149364_3_20260112T122830Z.jpg</t>
  </si>
  <si>
    <t>пн 12.01.2026 — 12:28:30</t>
  </si>
  <si>
    <t>E33149364_3_20260112T141206Z.jpg</t>
  </si>
  <si>
    <t>10 Сушилка навес\E33149364_3_20260112T141206Z.jpg</t>
  </si>
  <si>
    <t>пн 12.01.2026 — 14:12:06</t>
  </si>
  <si>
    <t>E33149364_3_20260112T142139Z.jpg</t>
  </si>
  <si>
    <t>10 Сушилка навес\E33149364_3_20260112T142139Z.jpg</t>
  </si>
  <si>
    <t>пн 12.01.2026 — 14:21:39</t>
  </si>
  <si>
    <t>E33149364_3_20260112T142729Z.jpg</t>
  </si>
  <si>
    <t>10 Сушилка навес\E33149364_3_20260112T142729Z.jpg</t>
  </si>
  <si>
    <t>пн 12.01.2026 — 14:27:29</t>
  </si>
  <si>
    <t>E33149364_3_20260112T145819Z.jpg</t>
  </si>
  <si>
    <t>10 Сушилка навес\E33149364_3_20260112T145819Z.jpg</t>
  </si>
  <si>
    <t>пн 12.01.2026 — 14:58:19</t>
  </si>
  <si>
    <t>E33149364_3_20260113T092130Z.jpg</t>
  </si>
  <si>
    <t>10 Сушилка навес\E33149364_3_20260113T092130Z.jpg</t>
  </si>
  <si>
    <t>вт 13.01.2026 — 09:21:30</t>
  </si>
  <si>
    <t>E33149364_3_20260113T092134Z.jpg</t>
  </si>
  <si>
    <t>10 Сушилка навес\E33149364_3_20260113T092134Z.jpg</t>
  </si>
  <si>
    <t>вт 13.01.2026 — 09:21:34</t>
  </si>
  <si>
    <t>E33149364_3_20260113T092352Z.jpg</t>
  </si>
  <si>
    <t>10 Сушилка навес\E33149364_3_20260113T092352Z.jpg</t>
  </si>
  <si>
    <t>вт 13.01.2026 — 09:23:52</t>
  </si>
  <si>
    <t>E33149364_3_20260113T094131Z.jpg</t>
  </si>
  <si>
    <t>10 Сушилка навес\E33149364_3_20260113T094131Z.jpg</t>
  </si>
  <si>
    <t>вт 13.01.2026 — 09:41:31</t>
  </si>
  <si>
    <t>E33149364_3_20260113T095917Z.jpg</t>
  </si>
  <si>
    <t>10 Сушилка навес\E33149364_3_20260113T095917Z.jpg</t>
  </si>
  <si>
    <t>вт 13.01.2026 — 09:59:17</t>
  </si>
  <si>
    <t>E33149364_3_20260113T100240Z.jpg</t>
  </si>
  <si>
    <t>10 Сушилка навес\E33149364_3_20260113T100240Z.jpg</t>
  </si>
  <si>
    <t>вт 13.01.2026 — 10:02:40</t>
  </si>
  <si>
    <t>E33149364_3_20260113T110728Z.jpg</t>
  </si>
  <si>
    <t>10 Сушилка навес\E33149364_3_20260113T110728Z.jpg</t>
  </si>
  <si>
    <t>вт 13.01.2026 — 11:07:28</t>
  </si>
  <si>
    <t>E33149364_3_20260113T111149Z.jpg</t>
  </si>
  <si>
    <t>10 Сушилка навес\E33149364_3_20260113T111149Z.jpg</t>
  </si>
  <si>
    <t>вт 13.01.2026 — 11:11:49</t>
  </si>
  <si>
    <t>E33149364_3_20260113T111154Z.jpg</t>
  </si>
  <si>
    <t>10 Сушилка навес\E33149364_3_20260113T111154Z.jpg</t>
  </si>
  <si>
    <t>вт 13.01.2026 — 11:11:54</t>
  </si>
  <si>
    <t>E33149364_3_20260113T113729Z.jpg</t>
  </si>
  <si>
    <t>10 Сушилка навес\E33149364_3_20260113T113729Z.jpg</t>
  </si>
  <si>
    <t>вт 13.01.2026 — 11:37:29</t>
  </si>
  <si>
    <t>E33149364_3_20260113T113852Z.jpg</t>
  </si>
  <si>
    <t>10 Сушилка навес\E33149364_3_20260113T113852Z.jpg</t>
  </si>
  <si>
    <t>вт 13.01.2026 — 11:38:52</t>
  </si>
  <si>
    <t>E33149364_3_20260113T115013Z.jpg</t>
  </si>
  <si>
    <t>10 Сушилка навес\E33149364_3_20260113T115013Z.jpg</t>
  </si>
  <si>
    <t>вт 13.01.2026 — 11:50:13</t>
  </si>
  <si>
    <t>E33149364_3_20260113T151633Z.jpg</t>
  </si>
  <si>
    <t>10 Сушилка навес\E33149364_3_20260113T151633Z.jpg</t>
  </si>
  <si>
    <t>вт 13.01.2026 — 15:16:33</t>
  </si>
  <si>
    <t>E33149364_4_20260112T104949Z.jpg</t>
  </si>
  <si>
    <t>11 С ангара на базу\E33149364_4_20260112T104949Z.jpg</t>
  </si>
  <si>
    <t>пн 12.01.2026 — 10:49:49</t>
  </si>
  <si>
    <t>E33149364_4_20260112T112342Z.jpg</t>
  </si>
  <si>
    <t>11 С ангара на базу\E33149364_4_20260112T112342Z.jpg</t>
  </si>
  <si>
    <t>пн 12.01.2026 — 11:23:42</t>
  </si>
  <si>
    <t>E33149364_4_20260112T112354Z.jpg</t>
  </si>
  <si>
    <t>11 С ангара на базу\E33149364_4_20260112T112354Z.jpg</t>
  </si>
  <si>
    <t>пн 12.01.2026 — 11:23:54</t>
  </si>
  <si>
    <t>E33149364_4_20260112T112639Z.jpg</t>
  </si>
  <si>
    <t>11 С ангара на базу\E33149364_4_20260112T112639Z.jpg</t>
  </si>
  <si>
    <t>пн 12.01.2026 — 11:26:39</t>
  </si>
  <si>
    <t>E33149364_4_20260112T113912Z.jpg</t>
  </si>
  <si>
    <t>11 С ангара на базу\E33149364_4_20260112T113912Z.jpg</t>
  </si>
  <si>
    <t>пн 12.01.2026 — 11:39:12</t>
  </si>
  <si>
    <t>E33149364_4_20260112T171536Z.jpg</t>
  </si>
  <si>
    <t>11 С ангара на базу\E33149364_4_20260112T171536Z.jpg</t>
  </si>
  <si>
    <t>пн 12.01.2026 — 17:15:36</t>
  </si>
  <si>
    <t>E33149364_4_20260113T111227Z.jpg</t>
  </si>
  <si>
    <t>11 С ангара на базу\E33149364_4_20260113T111227Z.jpg</t>
  </si>
  <si>
    <t>вт 13.01.2026 — 11:12:27</t>
  </si>
  <si>
    <t>E33149364_4_20260113T111916Z.jpg</t>
  </si>
  <si>
    <t>11 С ангара на базу\E33149364_4_20260113T111916Z.jpg</t>
  </si>
  <si>
    <t>вт 13.01.2026 — 11:19:16</t>
  </si>
  <si>
    <t>E33149364_4_20260113T111943Z.jpg</t>
  </si>
  <si>
    <t>11 С ангара на базу\E33149364_4_20260113T111943Z.jpg</t>
  </si>
  <si>
    <t>вт 13.01.2026 — 11:19:43</t>
  </si>
  <si>
    <t>E33149364_4_20260113T113021Z.jpg</t>
  </si>
  <si>
    <t>11 С ангара на базу\E33149364_4_20260113T113021Z.jpg</t>
  </si>
  <si>
    <t>вт 13.01.2026 — 11:30:21</t>
  </si>
  <si>
    <t>E33149364_4_20260113T171241Z.jpg</t>
  </si>
  <si>
    <t>11 С ангара на базу\E33149364_4_20260113T171241Z.jpg</t>
  </si>
  <si>
    <t>вт 13.01.2026 — 17:12:41</t>
  </si>
  <si>
    <t>K07156189_20_20260112T105729Z.jpg</t>
  </si>
  <si>
    <t>12 Площадка 3 кран\K07156189_20_20260112T105729Z.jpg</t>
  </si>
  <si>
    <t>пн 12.01.2026 — 10:57:29</t>
  </si>
  <si>
    <t>K07156189_20_20260112T155856Z.jpg</t>
  </si>
  <si>
    <t>12 Площадка 3 кран\K07156189_20_20260112T155856Z.jpg</t>
  </si>
  <si>
    <t>пн 12.01.2026 — 15:58:56</t>
  </si>
  <si>
    <t>K07156189_20_20260112T160720Z.jpg</t>
  </si>
  <si>
    <t>12 Площадка 3 кран\K07156189_20_20260112T160720Z.jpg</t>
  </si>
  <si>
    <t>пн 12.01.2026 — 16:07:20</t>
  </si>
  <si>
    <t>K07156189_20_20260113T113536Z.jpg</t>
  </si>
  <si>
    <t>12 Площадка 3 кран\K07156189_20_20260113T113536Z.jpg</t>
  </si>
  <si>
    <t>вт 13.01.2026 — 11:35:36</t>
  </si>
  <si>
    <t>K07156189_20_20260113T145221Z.jpg</t>
  </si>
  <si>
    <t>12 Площадка 3 кран\K07156189_20_20260113T145221Z.jpg</t>
  </si>
  <si>
    <t>вт 13.01.2026 — 14:52:21</t>
  </si>
  <si>
    <t>K07156189_20_20260113T160705Z.jpg</t>
  </si>
  <si>
    <t>12 Площадка 3 кран\K07156189_20_20260113T160705Z.jpg</t>
  </si>
  <si>
    <t>вт 13.01.2026 — 16:07:05</t>
  </si>
  <si>
    <t>K07156189_20_20260113T163150Z.jpg</t>
  </si>
  <si>
    <t>12 Площадка 3 кран\K07156189_20_20260113T163150Z.jpg</t>
  </si>
  <si>
    <t>вт 13.01.2026 — 16:31:50</t>
  </si>
  <si>
    <t>K07156189_23_20260112T110357Z.jpg</t>
  </si>
  <si>
    <t>13 Склад хол\K07156189_23_20260112T110357Z.jpg</t>
  </si>
  <si>
    <t>пн 12.01.2026 — 11:03:57</t>
  </si>
  <si>
    <t>K07156189_23_20260112T113949Z.jpg</t>
  </si>
  <si>
    <t>13 Склад хол\K07156189_23_20260112T113949Z.jpg</t>
  </si>
  <si>
    <t>пн 12.01.2026 — 11:39:49</t>
  </si>
  <si>
    <t>K07156189_23_20260112T165503Z.jpg</t>
  </si>
  <si>
    <t>13 Склад хол\K07156189_23_20260112T165503Z.jpg</t>
  </si>
  <si>
    <t>пн 12.01.2026 — 16:55:03</t>
  </si>
  <si>
    <t>K07156189_23_20260113T111616Z.jpg</t>
  </si>
  <si>
    <t>13 Склад хол\K07156189_23_20260113T111616Z.jpg</t>
  </si>
  <si>
    <t>вт 13.01.2026 — 11:16:16</t>
  </si>
  <si>
    <t>K07156189_23_20260113T112100Z.jpg</t>
  </si>
  <si>
    <t>13 Склад хол\K07156189_23_20260113T112100Z.jpg</t>
  </si>
  <si>
    <t>вт 13.01.2026 — 11:21:00</t>
  </si>
  <si>
    <t>K07156189_23_20260113T145829Z.jpg</t>
  </si>
  <si>
    <t>13 Склад хол\K07156189_23_20260113T145829Z.jpg</t>
  </si>
  <si>
    <t>вт 13.01.2026 — 14:58:29</t>
  </si>
  <si>
    <t>расчистка дороги</t>
  </si>
  <si>
    <t>трактор Hyundai</t>
  </si>
  <si>
    <t>доски, горбыль</t>
  </si>
  <si>
    <t>распиленный отрезок бревна</t>
  </si>
  <si>
    <t>деревянные детали</t>
  </si>
  <si>
    <t>провоз</t>
  </si>
  <si>
    <t>K07156189_18_20260112T161904Z.jpg</t>
  </si>
  <si>
    <t>7 Площадка 2 бетонщики\K07156189_18_20260112T161904Z.jpg</t>
  </si>
  <si>
    <t>пн 12.01.2026 — 16:19:04</t>
  </si>
  <si>
    <t>K07156189_18_20260113T092751Z.jpg</t>
  </si>
  <si>
    <t>7 Площадка 2 бетонщики\K07156189_18_20260113T092751Z.jpg</t>
  </si>
  <si>
    <t>вт 13.01.2026 — 09:27:51</t>
  </si>
  <si>
    <t>Смена мешка для опилок</t>
  </si>
  <si>
    <t>Стружкоотсос</t>
  </si>
  <si>
    <t>Перемещение досок</t>
  </si>
  <si>
    <t>сотрудник</t>
  </si>
  <si>
    <t>мешок с отходами пиломатериалов</t>
  </si>
  <si>
    <t>распиленное бревно</t>
  </si>
  <si>
    <t>Пиломатериалы, сотрудник, паролон</t>
  </si>
  <si>
    <t>Очистка места у станка</t>
  </si>
  <si>
    <t>сварочные работы</t>
  </si>
  <si>
    <t>Трактор базы, сотрудники</t>
  </si>
  <si>
    <t>мешок с чем-то</t>
  </si>
  <si>
    <t>полено</t>
  </si>
  <si>
    <t>камера от шины</t>
  </si>
  <si>
    <t>Доставка бревен</t>
  </si>
  <si>
    <t>перевоз бревен</t>
  </si>
  <si>
    <t>E33149364_7_20260114T120901Z.jpg</t>
  </si>
  <si>
    <t>2 Пилорама поката\E33149364_7_20260114T120901Z.jpg</t>
  </si>
  <si>
    <t>ср 14.01.2026 — 12:09:01</t>
  </si>
  <si>
    <t>E33149364_7_20260114T122047Z.jpg</t>
  </si>
  <si>
    <t>2 Пилорама поката\E33149364_7_20260114T122047Z.jpg</t>
  </si>
  <si>
    <t>ср 14.01.2026 — 12:20:47</t>
  </si>
  <si>
    <t>E33149364_7_20260114T142146Z.jpg</t>
  </si>
  <si>
    <t>2 Пилорама поката\E33149364_7_20260114T142146Z.jpg</t>
  </si>
  <si>
    <t>ср 14.01.2026 — 14:21:46</t>
  </si>
  <si>
    <t>E33149364_7_20260114T162123Z.jpg</t>
  </si>
  <si>
    <t>2 Пилорама поката\E33149364_7_20260114T162123Z.jpg</t>
  </si>
  <si>
    <t>ср 14.01.2026 — 16:21:23</t>
  </si>
  <si>
    <t>E33149364_7_20260114T165837Z.jpg</t>
  </si>
  <si>
    <t>2 Пилорама поката\E33149364_7_20260114T165837Z.jpg</t>
  </si>
  <si>
    <t>ср 14.01.2026 — 16:58:37</t>
  </si>
  <si>
    <t>E33149364_7_20260115T164019Z.jpg</t>
  </si>
  <si>
    <t>2 Пилорама поката\E33149364_7_20260115T164019Z.jpg</t>
  </si>
  <si>
    <t>чт 15.01.2026 — 16:40:19</t>
  </si>
  <si>
    <t>E33149364_7_20260116T092426Z.jpg</t>
  </si>
  <si>
    <t>2 Пилорама поката\E33149364_7_20260116T092426Z.jpg</t>
  </si>
  <si>
    <t>пт 16.01.2026 — 09:24:26</t>
  </si>
  <si>
    <t>E33149364_7_20260116T092432Z.jpg</t>
  </si>
  <si>
    <t>2 Пилорама поката\E33149364_7_20260116T092432Z.jpg</t>
  </si>
  <si>
    <t>пт 16.01.2026 — 09:24:32</t>
  </si>
  <si>
    <t>E33149364_7_20260116T110858Z.jpg</t>
  </si>
  <si>
    <t>2 Пилорама поката\E33149364_7_20260116T110858Z.jpg</t>
  </si>
  <si>
    <t>пт 16.01.2026 — 11:08:58</t>
  </si>
  <si>
    <t>E33149364_8_20260114T152209Z.jpg</t>
  </si>
  <si>
    <t>ср 14.01.2026 — 15:22:09</t>
  </si>
  <si>
    <t>E33149364_6_20260114T115809Z.jpg</t>
  </si>
  <si>
    <t>1 Ангар Склад 2 въезд\E33149364_6_20260114T115809Z.jpg</t>
  </si>
  <si>
    <t>ср 14.01.2026 — 11:58:09</t>
  </si>
  <si>
    <t>E33149364_6_20260114T165951Z.jpg</t>
  </si>
  <si>
    <t>1 Ангар Склад 2 въезд\E33149364_6_20260114T165951Z.jpg</t>
  </si>
  <si>
    <t>ср 14.01.2026 — 16:59:51</t>
  </si>
  <si>
    <t>E33149364_6_20260115T155056Z.jpg</t>
  </si>
  <si>
    <t>1 Ангар Склад 2 въезд\E33149364_6_20260115T155056Z.jpg</t>
  </si>
  <si>
    <t>чт 15.01.2026 — 15:50:56</t>
  </si>
  <si>
    <t>E33149364_6_20260116T100227Z.jpg</t>
  </si>
  <si>
    <t>1 Ангар Склад 2 въезд\E33149364_6_20260116T100227Z.jpg</t>
  </si>
  <si>
    <t>пт 16.01.2026 — 10:02:27</t>
  </si>
  <si>
    <t>K07156189_21_20260114T163101Z.jpg</t>
  </si>
  <si>
    <t>4 Крыльцо офиса\K07156189_21_20260114T163101Z.jpg</t>
  </si>
  <si>
    <t>ср 14.01.2026 — 16:31:01</t>
  </si>
  <si>
    <t>K07156189_22_20260114T103653Z.jpg</t>
  </si>
  <si>
    <t>5 Крыльцо общага\K07156189_22_20260114T103653Z.jpg</t>
  </si>
  <si>
    <t>ср 14.01.2026 — 10:36:53</t>
  </si>
  <si>
    <t>K07156189_22_20260114T143345Z.jpg</t>
  </si>
  <si>
    <t>5 Крыльцо общага\K07156189_22_20260114T143345Z.jpg</t>
  </si>
  <si>
    <t>ср 14.01.2026 — 14:33:45</t>
  </si>
  <si>
    <t>K07156189_22_20260114T163809Z.jpg</t>
  </si>
  <si>
    <t>5 Крыльцо общага\K07156189_22_20260114T163809Z.jpg</t>
  </si>
  <si>
    <t>ср 14.01.2026 — 16:38:09</t>
  </si>
  <si>
    <t>826398429_1_20260114T163257Z.jpg</t>
  </si>
  <si>
    <t>6 Площадка 1 общага\826398429_1_20260114T163257Z.jpg</t>
  </si>
  <si>
    <t>ср 14.01.2026 — 16:32:57</t>
  </si>
  <si>
    <t>E33149364_2_20260114T090431Z.jpg</t>
  </si>
  <si>
    <t>8 Рейсмус\E33149364_2_20260114T090431Z.jpg</t>
  </si>
  <si>
    <t>ср 14.01.2026 — 09:04:31</t>
  </si>
  <si>
    <t>E33149364_2_20260114T202355Z.jpg</t>
  </si>
  <si>
    <t>8 Рейсмус\E33149364_2_20260114T202355Z.jpg</t>
  </si>
  <si>
    <t>ср 14.01.2026 — 20:23:55</t>
  </si>
  <si>
    <t>E33149364_2_20260114T202512Z.jpg</t>
  </si>
  <si>
    <t>8 Рейсмус\E33149364_2_20260114T202512Z.jpg</t>
  </si>
  <si>
    <t>ср 14.01.2026 — 20:25:12</t>
  </si>
  <si>
    <t>E33149364_2_20260114T202529Z.jpg</t>
  </si>
  <si>
    <t>8 Рейсмус\E33149364_2_20260114T202529Z.jpg</t>
  </si>
  <si>
    <t>ср 14.01.2026 — 20:25:29</t>
  </si>
  <si>
    <t>E33149364_2_20260114T203648Z.jpg</t>
  </si>
  <si>
    <t>8 Рейсмус\E33149364_2_20260114T203648Z.jpg</t>
  </si>
  <si>
    <t>ср 14.01.2026 — 20:36:48</t>
  </si>
  <si>
    <t>E33149364_2_20260114T204143Z.jpg</t>
  </si>
  <si>
    <t>8 Рейсмус\E33149364_2_20260114T204143Z.jpg</t>
  </si>
  <si>
    <t>ср 14.01.2026 — 20:41:43</t>
  </si>
  <si>
    <t>E33149364_1_20260114T091823Z.jpg</t>
  </si>
  <si>
    <t>9 Ангар пилорама\E33149364_1_20260114T091823Z.jpg</t>
  </si>
  <si>
    <t>ср 14.01.2026 — 09:18:23</t>
  </si>
  <si>
    <t>E33149364_1_20260114T101947Z.jpg</t>
  </si>
  <si>
    <t>9 Ангар пилорама\E33149364_1_20260114T101947Z.jpg</t>
  </si>
  <si>
    <t>ср 14.01.2026 — 10:19:47</t>
  </si>
  <si>
    <t>E33149364_1_20260114T115854Z.jpg</t>
  </si>
  <si>
    <t>9 Ангар пилорама\E33149364_1_20260114T115854Z.jpg</t>
  </si>
  <si>
    <t>ср 14.01.2026 — 11:58:54</t>
  </si>
  <si>
    <t>E33149364_1_20260114T204251Z.jpg</t>
  </si>
  <si>
    <t>9 Ангар пилорама\E33149364_1_20260114T204251Z.jpg</t>
  </si>
  <si>
    <t>ср 14.01.2026 — 20:42:51</t>
  </si>
  <si>
    <t>E33149364_3_20260114T115944Z.jpg</t>
  </si>
  <si>
    <t>10 Сушилка навес\E33149364_3_20260114T115944Z.jpg</t>
  </si>
  <si>
    <t>ср 14.01.2026 — 11:59:44</t>
  </si>
  <si>
    <t>E33149364_3_20260114T142846Z.jpg</t>
  </si>
  <si>
    <t>10 Сушилка навес\E33149364_3_20260114T142846Z.jpg</t>
  </si>
  <si>
    <t>ср 14.01.2026 — 14:28:46</t>
  </si>
  <si>
    <t>E33149364_3_20260114T165843Z.jpg</t>
  </si>
  <si>
    <t>10 Сушилка навес\E33149364_3_20260114T165843Z.jpg</t>
  </si>
  <si>
    <t>ср 14.01.2026 — 16:58:43</t>
  </si>
  <si>
    <t>E33149364_3_20260114T171225Z.jpg</t>
  </si>
  <si>
    <t>10 Сушилка навес\E33149364_3_20260114T171225Z.jpg</t>
  </si>
  <si>
    <t>ср 14.01.2026 — 17:12:25</t>
  </si>
  <si>
    <t>E33149364_4_20260114T140708Z.jpg</t>
  </si>
  <si>
    <t>11 С ангара на базу\E33149364_4_20260114T140708Z.jpg</t>
  </si>
  <si>
    <t>ср 14.01.2026 — 14:07:08</t>
  </si>
  <si>
    <t>K07156189_20_20260114T104518Z.jpg</t>
  </si>
  <si>
    <t>12 Площадка 3 кран\K07156189_20_20260114T104518Z.jpg</t>
  </si>
  <si>
    <t>ср 14.01.2026 — 10:45:18</t>
  </si>
  <si>
    <t>K07156189_20_20260114T140211Z.jpg</t>
  </si>
  <si>
    <t>12 Площадка 3 кран\K07156189_20_20260114T140211Z.jpg</t>
  </si>
  <si>
    <t>ср 14.01.2026 — 14:02:11</t>
  </si>
  <si>
    <t>K07156189_20_20260114T181156Z.jpg</t>
  </si>
  <si>
    <t>12 Площадка 3 кран\K07156189_20_20260114T181156Z.jpg</t>
  </si>
  <si>
    <t>ср 14.01.2026 — 18:11:56</t>
  </si>
  <si>
    <t>K07156189_23_20260114T102625Z.jpg</t>
  </si>
  <si>
    <t>13 Склад хол\K07156189_23_20260114T102625Z.jpg</t>
  </si>
  <si>
    <t>ср 14.01.2026 — 10:26:25</t>
  </si>
  <si>
    <t>K07156189_23_20260114T153042Z.jpg</t>
  </si>
  <si>
    <t>13 Склад хол\K07156189_23_20260114T153042Z.jpg</t>
  </si>
  <si>
    <t>ср 14.01.2026 — 15:30:42</t>
  </si>
  <si>
    <t>K07156189_23_20260114T162658Z.jpg</t>
  </si>
  <si>
    <t>13 Склад хол\K07156189_23_20260114T162658Z.jpg</t>
  </si>
  <si>
    <t>ср 14.01.2026 — 16:26:58</t>
  </si>
  <si>
    <t>K07156189_23_20260114T171029Z.jpg</t>
  </si>
  <si>
    <t>13 Склад хол\K07156189_23_20260114T171029Z.jpg</t>
  </si>
  <si>
    <t>ср 14.01.2026 — 17:10:29</t>
  </si>
  <si>
    <t>груз на крыше</t>
  </si>
  <si>
    <t>Движение</t>
  </si>
  <si>
    <t>двигалась взад-вперед, что-то тянула</t>
  </si>
  <si>
    <t>груженная</t>
  </si>
  <si>
    <t>неизвестно, груз для разгрузки или был загружен здесь</t>
  </si>
  <si>
    <t>расчистка территории</t>
  </si>
  <si>
    <t>Трактор 2</t>
  </si>
  <si>
    <t>E33149364_8_20260115T102859Z.jpg</t>
  </si>
  <si>
    <t>чт 15.01.2026 — 10:28:59</t>
  </si>
  <si>
    <t>E33149364_8_20260115T160458Z.jpg</t>
  </si>
  <si>
    <t>чт 15.01.2026 — 16:04:58</t>
  </si>
  <si>
    <t>E33149364_8_20260116T135301Z.jpg</t>
  </si>
  <si>
    <t>пт 16.01.2026 — 13:53:01</t>
  </si>
  <si>
    <t>K07156189_21_20260115T143152Z.jpg</t>
  </si>
  <si>
    <t>4 Крыльцо офиса\K07156189_21_20260115T143152Z.jpg</t>
  </si>
  <si>
    <t>чт 15.01.2026 — 14:31:52</t>
  </si>
  <si>
    <t>K07156189_21_20260116T094346Z.jpg</t>
  </si>
  <si>
    <t>4 Крыльцо офиса\K07156189_21_20260116T094346Z.jpg</t>
  </si>
  <si>
    <t>пт 16.01.2026 — 09:43:46</t>
  </si>
  <si>
    <t>K07156189_21_20260116T110001Z.jpg</t>
  </si>
  <si>
    <t>4 Крыльцо офиса\K07156189_21_20260116T110001Z.jpg</t>
  </si>
  <si>
    <t>пт 16.01.2026 — 11:00:01</t>
  </si>
  <si>
    <t>K07156189_21_20260116T122344Z.jpg</t>
  </si>
  <si>
    <t>4 Крыльцо офиса\K07156189_21_20260116T122344Z.jpg</t>
  </si>
  <si>
    <t>пт 16.01.2026 — 12:23:44</t>
  </si>
  <si>
    <t>K07156189_21_20260116T165553Z.jpg</t>
  </si>
  <si>
    <t>4 Крыльцо офиса\K07156189_21_20260116T165553Z.jpg</t>
  </si>
  <si>
    <t>пт 16.01.2026 — 16:55:53</t>
  </si>
  <si>
    <t>легковая с доской</t>
  </si>
  <si>
    <t>территория</t>
  </si>
  <si>
    <t>K07156189_22_20260115T140609Z.jpg</t>
  </si>
  <si>
    <t>5 Крыльцо общага\K07156189_22_20260115T140609Z.jpg</t>
  </si>
  <si>
    <t>чт 15.01.2026 — 14:06:09</t>
  </si>
  <si>
    <t>K07156189_22_20260115T160410Z.jpg</t>
  </si>
  <si>
    <t>5 Крыльцо общага\K07156189_22_20260115T160410Z.jpg</t>
  </si>
  <si>
    <t>чт 15.01.2026 — 16:04:10</t>
  </si>
  <si>
    <t>K07156189_22_20260115T164205Z.jpg</t>
  </si>
  <si>
    <t>5 Крыльцо общага\K07156189_22_20260115T164205Z.jpg</t>
  </si>
  <si>
    <t>чт 15.01.2026 — 16:42:05</t>
  </si>
  <si>
    <t>K07156189_22_20260116T122919Z.jpg</t>
  </si>
  <si>
    <t>5 Крыльцо общага\K07156189_22_20260116T122919Z.jpg</t>
  </si>
  <si>
    <t>пт 16.01.2026 — 12:29:19</t>
  </si>
  <si>
    <t>K07156189_22_20260116T141446Z.jpg</t>
  </si>
  <si>
    <t>5 Крыльцо общага\K07156189_22_20260116T141446Z.jpg</t>
  </si>
  <si>
    <t>пт 16.01.2026 — 14:14:46</t>
  </si>
  <si>
    <t>K07156189_22_20260116T165330Z.jpg</t>
  </si>
  <si>
    <t>5 Крыльцо общага\K07156189_22_20260116T165330Z.jpg</t>
  </si>
  <si>
    <t>пт 16.01.2026 — 16:53:30</t>
  </si>
  <si>
    <t>826398429_1_20260115T164651Z.jpg</t>
  </si>
  <si>
    <t>6 Площадка 1 общага\826398429_1_20260115T164651Z.jpg</t>
  </si>
  <si>
    <t>чт 15.01.2026 — 16:46:51</t>
  </si>
  <si>
    <t>826398429_1_20260116T114651Z.jpg</t>
  </si>
  <si>
    <t>6 Площадка 1 общага\826398429_1_20260116T114651Z.jpg</t>
  </si>
  <si>
    <t>пт 16.01.2026 — 11:46:51</t>
  </si>
  <si>
    <t>826398429_1_20260116T121441Z.jpg</t>
  </si>
  <si>
    <t>6 Площадка 1 общага\826398429_1_20260116T121441Z.jpg</t>
  </si>
  <si>
    <t>пт 16.01.2026 — 12:14:41</t>
  </si>
  <si>
    <t>826398429_1_20260116T161631Z.jpg</t>
  </si>
  <si>
    <t>6 Площадка 1 общага\826398429_1_20260116T161631Z.jpg</t>
  </si>
  <si>
    <t>пт 16.01.2026 — 16:16:31</t>
  </si>
  <si>
    <t>очистка от снега</t>
  </si>
  <si>
    <t>K07156189_18_20260114T133055Z.jpg</t>
  </si>
  <si>
    <t>7 Площадка 2 бетонщики\K07156189_18_20260114T133055Z.jpg</t>
  </si>
  <si>
    <t>ср 14.01.2026 — 13:30:55</t>
  </si>
  <si>
    <t>K07156189_18_20260115T154930Z.jpg</t>
  </si>
  <si>
    <t>7 Площадка 2 бетонщики\K07156189_18_20260115T154930Z.jpg</t>
  </si>
  <si>
    <t>чт 15.01.2026 — 15:49:30</t>
  </si>
  <si>
    <t>K07156189_18_20260116T174718Z.jpg</t>
  </si>
  <si>
    <t>7 Площадка 2 бетонщики\K07156189_18_20260116T174718Z.jpg</t>
  </si>
  <si>
    <t>пт 16.01.2026 — 17:47:18</t>
  </si>
  <si>
    <t>Перемещние досок</t>
  </si>
  <si>
    <t>E33149364_2_20260115T091742Z.jpg</t>
  </si>
  <si>
    <t>8 Рейсмус\E33149364_2_20260115T091742Z.jpg</t>
  </si>
  <si>
    <t>чт 15.01.2026 — 09:17:42</t>
  </si>
  <si>
    <t>E33149364_2_20260115T101156Z.jpg</t>
  </si>
  <si>
    <t>8 Рейсмус\E33149364_2_20260115T101156Z.jpg</t>
  </si>
  <si>
    <t>чт 15.01.2026 — 10:11:56</t>
  </si>
  <si>
    <t>E33149364_2_20260115T103020Z.jpg</t>
  </si>
  <si>
    <t>8 Рейсмус\E33149364_2_20260115T103020Z.jpg</t>
  </si>
  <si>
    <t>чт 15.01.2026 — 10:30:20</t>
  </si>
  <si>
    <t>E33149364_2_20260115T105808Z.jpg</t>
  </si>
  <si>
    <t>8 Рейсмус\E33149364_2_20260115T105808Z.jpg</t>
  </si>
  <si>
    <t>чт 15.01.2026 — 10:58:08</t>
  </si>
  <si>
    <t>E33149364_2_20260115T111934Z.jpg</t>
  </si>
  <si>
    <t>8 Рейсмус\E33149364_2_20260115T111934Z.jpg</t>
  </si>
  <si>
    <t>чт 15.01.2026 — 11:19:34</t>
  </si>
  <si>
    <t>E33149364_2_20260115T122507Z.jpg</t>
  </si>
  <si>
    <t>8 Рейсмус\E33149364_2_20260115T122507Z.jpg</t>
  </si>
  <si>
    <t>чт 15.01.2026 — 12:25:07</t>
  </si>
  <si>
    <t>E33149364_2_20260115T144954Z.jpg</t>
  </si>
  <si>
    <t>8 Рейсмус\E33149364_2_20260115T144954Z.jpg</t>
  </si>
  <si>
    <t>чт 15.01.2026 — 14:49:54</t>
  </si>
  <si>
    <t>E33149364_2_20260115T164031Z.jpg</t>
  </si>
  <si>
    <t>8 Рейсмус\E33149364_2_20260115T164031Z.jpg</t>
  </si>
  <si>
    <t>чт 15.01.2026 — 16:40:31</t>
  </si>
  <si>
    <t>E33149364_2_20260116T093119Z.jpg</t>
  </si>
  <si>
    <t>8 Рейсмус\E33149364_2_20260116T093119Z.jpg</t>
  </si>
  <si>
    <t>пт 16.01.2026 — 09:31:19</t>
  </si>
  <si>
    <t>E33149364_2_20260116T115647Z.jpg</t>
  </si>
  <si>
    <t>8 Рейсмус\E33149364_2_20260116T115647Z.jpg</t>
  </si>
  <si>
    <t>пт 16.01.2026 — 11:56:47</t>
  </si>
  <si>
    <t>E33149364_2_20260116T122723Z.jpg</t>
  </si>
  <si>
    <t>8 Рейсмус\E33149364_2_20260116T122723Z.jpg</t>
  </si>
  <si>
    <t>пт 16.01.2026 — 12:27:23</t>
  </si>
  <si>
    <t>E33149364_2_20260116T141835Z.jpg</t>
  </si>
  <si>
    <t>8 Рейсмус\E33149364_2_20260116T141835Z.jpg</t>
  </si>
  <si>
    <t>пт 16.01.2026 — 14:18:35</t>
  </si>
  <si>
    <t>E33149364_2_20260116T145647Z.jpg</t>
  </si>
  <si>
    <t>8 Рейсмус\E33149364_2_20260116T145647Z.jpg</t>
  </si>
  <si>
    <t>пт 16.01.2026 — 14:56:47</t>
  </si>
  <si>
    <t>E33149364_2_20260116T155719Z.jpg</t>
  </si>
  <si>
    <t>8 Рейсмус\E33149364_2_20260116T155719Z.jpg</t>
  </si>
  <si>
    <t>пт 16.01.2026 — 15:57:19</t>
  </si>
  <si>
    <t>E33149364_2_20260116T160030Z.jpg</t>
  </si>
  <si>
    <t>8 Рейсмус\E33149364_2_20260116T160030Z.jpg</t>
  </si>
  <si>
    <t>пт 16.01.2026 — 16:00:30</t>
  </si>
  <si>
    <t>наполнение мешка отходами распиловки</t>
  </si>
  <si>
    <t>ремонтные работы</t>
  </si>
  <si>
    <t>трактор бвзы</t>
  </si>
  <si>
    <t>E33149364_1_20260115T092143Z.jpg</t>
  </si>
  <si>
    <t>9 Ангар пилорама\E33149364_1_20260115T092143Z.jpg</t>
  </si>
  <si>
    <t>чт 15.01.2026 — 09:21:43</t>
  </si>
  <si>
    <t>E33149364_1_20260115T102047Z.jpg</t>
  </si>
  <si>
    <t>9 Ангар пилорама\E33149364_1_20260115T102047Z.jpg</t>
  </si>
  <si>
    <t>чт 15.01.2026 — 10:20:47</t>
  </si>
  <si>
    <t>E33149364_1_20260115T141428Z.jpg</t>
  </si>
  <si>
    <t>9 Ангар пилорама\E33149364_1_20260115T141428Z.jpg</t>
  </si>
  <si>
    <t>чт 15.01.2026 — 14:14:28</t>
  </si>
  <si>
    <t>E33149364_1_20260115T152156Z.jpg</t>
  </si>
  <si>
    <t>9 Ангар пилорама\E33149364_1_20260115T152156Z.jpg</t>
  </si>
  <si>
    <t>чт 15.01.2026 — 15:21:56</t>
  </si>
  <si>
    <t>E33149364_1_20260115T161504Z.jpg</t>
  </si>
  <si>
    <t>9 Ангар пилорама\E33149364_1_20260115T161504Z.jpg</t>
  </si>
  <si>
    <t>чт 15.01.2026 — 16:15:04</t>
  </si>
  <si>
    <t>E33149364_1_20260116T104409Z.jpg</t>
  </si>
  <si>
    <t>9 Ангар пилорама\E33149364_1_20260116T104409Z.jpg</t>
  </si>
  <si>
    <t>пт 16.01.2026 — 10:44:09</t>
  </si>
  <si>
    <t>E33149364_1_20260116T110906Z.jpg</t>
  </si>
  <si>
    <t>9 Ангар пилорама\E33149364_1_20260116T110906Z.jpg</t>
  </si>
  <si>
    <t>пт 16.01.2026 — 11:09:06</t>
  </si>
  <si>
    <t>E33149364_1_20260116T121008Z.jpg</t>
  </si>
  <si>
    <t>9 Ангар пилорама\E33149364_1_20260116T121008Z.jpg</t>
  </si>
  <si>
    <t>пт 16.01.2026 — 12:10:08</t>
  </si>
  <si>
    <t>E33149364_1_20260116T151425Z.jpg</t>
  </si>
  <si>
    <t>9 Ангар пилорама\E33149364_1_20260116T151425Z.jpg</t>
  </si>
  <si>
    <t>пт 16.01.2026 — 15:14:25</t>
  </si>
  <si>
    <t>установка станка</t>
  </si>
  <si>
    <t>E33149364_3_20260115T121305Z.jpg</t>
  </si>
  <si>
    <t>10 Сушилка навес\E33149364_3_20260115T121305Z.jpg</t>
  </si>
  <si>
    <t>чт 15.01.2026 — 12:13:05</t>
  </si>
  <si>
    <t>E33149364_3_20260115T123927Z.jpg</t>
  </si>
  <si>
    <t>10 Сушилка навес\E33149364_3_20260115T123927Z.jpg</t>
  </si>
  <si>
    <t>чт 15.01.2026 — 12:39:27</t>
  </si>
  <si>
    <t>E33149364_3_20260115T124145Z.jpg</t>
  </si>
  <si>
    <t>10 Сушилка навес\E33149364_3_20260115T124145Z.jpg</t>
  </si>
  <si>
    <t>чт 15.01.2026 — 12:41:45</t>
  </si>
  <si>
    <t>E33149364_3_20260115T144142Z.jpg</t>
  </si>
  <si>
    <t>10 Сушилка навес\E33149364_3_20260115T144142Z.jpg</t>
  </si>
  <si>
    <t>чт 15.01.2026 — 14:41:42</t>
  </si>
  <si>
    <t>E33149364_3_20260115T155022Z.jpg</t>
  </si>
  <si>
    <t>10 Сушилка навес\E33149364_3_20260115T155022Z.jpg</t>
  </si>
  <si>
    <t>чт 15.01.2026 — 15:50:22</t>
  </si>
  <si>
    <t>E33149364_3_20260115T161645Z.jpg</t>
  </si>
  <si>
    <t>10 Сушилка навес\E33149364_3_20260115T161645Z.jpg</t>
  </si>
  <si>
    <t>чт 15.01.2026 — 16:16:45</t>
  </si>
  <si>
    <t>E33149364_3_20260116T092304Z.jpg</t>
  </si>
  <si>
    <t>10 Сушилка навес\E33149364_3_20260116T092304Z.jpg</t>
  </si>
  <si>
    <t>пт 16.01.2026 — 09:23:04</t>
  </si>
  <si>
    <t>E33149364_3_20260116T092449Z.jpg</t>
  </si>
  <si>
    <t>10 Сушилка навес\E33149364_3_20260116T092449Z.jpg</t>
  </si>
  <si>
    <t>пт 16.01.2026 — 09:24:49</t>
  </si>
  <si>
    <t>E33149364_3_20260116T094034Z.jpg</t>
  </si>
  <si>
    <t>10 Сушилка навес\E33149364_3_20260116T094034Z.jpg</t>
  </si>
  <si>
    <t>пт 16.01.2026 — 09:40:34</t>
  </si>
  <si>
    <t>E33149364_3_20260116T123337Z.jpg</t>
  </si>
  <si>
    <t>10 Сушилка навес\E33149364_3_20260116T123337Z.jpg</t>
  </si>
  <si>
    <t>пт 16.01.2026 — 12:33:37</t>
  </si>
  <si>
    <t>E33149364_3_20260116T162225Z.jpg</t>
  </si>
  <si>
    <t>10 Сушилка навес\E33149364_3_20260116T162225Z.jpg</t>
  </si>
  <si>
    <t>пт 16.01.2026 — 16:22:25</t>
  </si>
  <si>
    <t>на территорию, не в ангар</t>
  </si>
  <si>
    <t>легковая 1</t>
  </si>
  <si>
    <t>легковая 2</t>
  </si>
  <si>
    <t>E33149364_4_20260115T165602Z.jpg</t>
  </si>
  <si>
    <t>11 С ангара на базу\E33149364_4_20260115T165602Z.jpg</t>
  </si>
  <si>
    <t>чт 15.01.2026 — 16:56:02</t>
  </si>
  <si>
    <t>E33149364_4_20260116T110149Z.jpg</t>
  </si>
  <si>
    <t>11 С ангара на базу\E33149364_4_20260116T110149Z.jpg</t>
  </si>
  <si>
    <t>пт 16.01.2026 — 11:01:49</t>
  </si>
  <si>
    <t>E33149364_4_20260116T112436Z.jpg</t>
  </si>
  <si>
    <t>11 С ангара на базу\E33149364_4_20260116T112436Z.jpg</t>
  </si>
  <si>
    <t>пт 16.01.2026 — 11:24:36</t>
  </si>
  <si>
    <t>E33149364_4_20260116T113624Z.jpg</t>
  </si>
  <si>
    <t>11 С ангара на базу\E33149364_4_20260116T113624Z.jpg</t>
  </si>
  <si>
    <t>пт 16.01.2026 — 11:36:24</t>
  </si>
  <si>
    <t>E33149364_4_20260116T123433Z.jpg</t>
  </si>
  <si>
    <t>11 С ангара на базу\E33149364_4_20260116T123433Z.jpg</t>
  </si>
  <si>
    <t>пт 16.01.2026 — 12:34:33</t>
  </si>
  <si>
    <t>E33149364_4_20260116T140719Z.jpg</t>
  </si>
  <si>
    <t>11 С ангара на базу\E33149364_4_20260116T140719Z.jpg</t>
  </si>
  <si>
    <t>пт 16.01.2026 — 14:07:19</t>
  </si>
  <si>
    <t>E33149364_4_20260116T162545Z.jpg</t>
  </si>
  <si>
    <t>11 С ангара на базу\E33149364_4_20260116T162545Z.jpg</t>
  </si>
  <si>
    <t>пт 16.01.2026 — 16:25:45</t>
  </si>
  <si>
    <t>K07156189_20_20260115T103844Z.jpg</t>
  </si>
  <si>
    <t>12 Площадка 3 кран\K07156189_20_20260115T103844Z.jpg</t>
  </si>
  <si>
    <t>чт 15.01.2026 — 10:38:44</t>
  </si>
  <si>
    <t>K07156189_20_20260116T122632Z.jpg</t>
  </si>
  <si>
    <t>12 Площадка 3 кран\K07156189_20_20260116T122632Z.jpg</t>
  </si>
  <si>
    <t>пт 16.01.2026 — 12:26:32</t>
  </si>
  <si>
    <t>K07156189_23_20260115T145123Z.jpg</t>
  </si>
  <si>
    <t>13 Склад хол\K07156189_23_20260115T145123Z.jpg</t>
  </si>
  <si>
    <t>чт 15.01.2026 — 14:51:23</t>
  </si>
  <si>
    <t>K07156189_23_20260115T164247Z.jpg</t>
  </si>
  <si>
    <t>13 Склад хол\K07156189_23_20260115T164247Z.jpg</t>
  </si>
  <si>
    <t>чт 15.01.2026 — 16:42:47</t>
  </si>
  <si>
    <t>K07156189_23_20260116T105131Z.jpg</t>
  </si>
  <si>
    <t>13 Склад хол\K07156189_23_20260116T105131Z.jpg</t>
  </si>
  <si>
    <t>пт 16.01.2026 — 10:51:31</t>
  </si>
  <si>
    <t>K07156189_23_20260116T110226Z.jpg</t>
  </si>
  <si>
    <t>13 Склад хол\K07156189_23_20260116T110226Z.jpg</t>
  </si>
  <si>
    <t>пт 16.01.2026 — 11:02:26</t>
  </si>
  <si>
    <t>K07156189_23_20260116T123320Z.jpg</t>
  </si>
  <si>
    <t>13 Склад хол\K07156189_23_20260116T123320Z.jpg</t>
  </si>
  <si>
    <t>пт 16.01.2026 — 12:33:20</t>
  </si>
  <si>
    <t>K07156189_23_20260116T123403Z.jpg</t>
  </si>
  <si>
    <t>13 Склад хол\K07156189_23_20260116T123403Z.jpg</t>
  </si>
  <si>
    <t>пт 16.01.2026 — 12:34:03</t>
  </si>
  <si>
    <t>K07156189_23_20260116T164856Z.jpg</t>
  </si>
  <si>
    <t>13 Склад хол\K07156189_23_20260116T164856Z.jpg</t>
  </si>
  <si>
    <t>пт 16.01.2026 — 16:48:56</t>
  </si>
  <si>
    <t>E33149364_7_20260117T142231Z.jpg</t>
  </si>
  <si>
    <t>2 Пилорама поката\E33149364_7_20260117T142231Z.jpg</t>
  </si>
  <si>
    <t>сб 17.01.2026 — 14:22:31</t>
  </si>
  <si>
    <t>E33149364_7_20260117T143937Z.jpg</t>
  </si>
  <si>
    <t>2 Пилорама поката\E33149364_7_20260117T143937Z.jpg</t>
  </si>
  <si>
    <t>сб 17.01.2026 — 14:39:37</t>
  </si>
  <si>
    <t>E33149364_7_20260117T151926Z.jpg</t>
  </si>
  <si>
    <t>2 Пилорама поката\E33149364_7_20260117T151926Z.jpg</t>
  </si>
  <si>
    <t>сб 17.01.2026 — 15:19:26</t>
  </si>
  <si>
    <t>E33149364_7_20260117T154642Z.jpg</t>
  </si>
  <si>
    <t>2 Пилорама поката\E33149364_7_20260117T154642Z.jpg</t>
  </si>
  <si>
    <t>сб 17.01.2026 — 15:46:42</t>
  </si>
  <si>
    <t>E33149364_7_20260118T085908Z.jpg</t>
  </si>
  <si>
    <t>2 Пилорама поката\E33149364_7_20260118T085908Z.jpg</t>
  </si>
  <si>
    <t>вс 18.01.2026 — 08:59:08</t>
  </si>
  <si>
    <t>E33149364_8_20260117T150313Z.jpg</t>
  </si>
  <si>
    <t>сб 17.01.2026 — 15:03:13</t>
  </si>
  <si>
    <t>E33149364_8_20260118T163332Z.jpg</t>
  </si>
  <si>
    <t>вс 18.01.2026 — 16:33:32</t>
  </si>
  <si>
    <t>E33149364_6_20260117T141650Z.jpg</t>
  </si>
  <si>
    <t>1 Ангар Склад 2 въезд\E33149364_6_20260117T141650Z.jpg</t>
  </si>
  <si>
    <t>сб 17.01.2026 — 14:16:50</t>
  </si>
  <si>
    <t>E33149364_6_20260117T144125Z.jpg</t>
  </si>
  <si>
    <t>1 Ангар Склад 2 въезд\E33149364_6_20260117T144125Z.jpg</t>
  </si>
  <si>
    <t>сб 17.01.2026 — 14:41:25</t>
  </si>
  <si>
    <t>E33149364_6_20260117T144310Z.jpg</t>
  </si>
  <si>
    <t>1 Ангар Склад 2 въезд\E33149364_6_20260117T144310Z.jpg</t>
  </si>
  <si>
    <t>сб 17.01.2026 — 14:43:10</t>
  </si>
  <si>
    <t>E33149364_6_20260117T151804Z.jpg</t>
  </si>
  <si>
    <t>1 Ангар Склад 2 въезд\E33149364_6_20260117T151804Z.jpg</t>
  </si>
  <si>
    <t>сб 17.01.2026 — 15:18:04</t>
  </si>
  <si>
    <t>E33149364_6_20260117T153109Z.jpg</t>
  </si>
  <si>
    <t>1 Ангар Склад 2 въезд\E33149364_6_20260117T153109Z.jpg</t>
  </si>
  <si>
    <t>сб 17.01.2026 — 15:31:09</t>
  </si>
  <si>
    <t>E33149364_6_20260117T154758Z.jpg</t>
  </si>
  <si>
    <t>1 Ангар Склад 2 въезд\E33149364_6_20260117T154758Z.jpg</t>
  </si>
  <si>
    <t>сб 17.01.2026 — 15:47:58</t>
  </si>
  <si>
    <t>E33149364_6_20260118T174847Z.jpg</t>
  </si>
  <si>
    <t>1 Ангар Склад 2 въезд\E33149364_6_20260118T174847Z.jpg</t>
  </si>
  <si>
    <t>вс 18.01.2026 — 17:48:47</t>
  </si>
  <si>
    <t>826398429_1_20260111T180704Z.jpg</t>
  </si>
  <si>
    <t>6 Площадка 1 общага\826398429_1_20260111T180704Z.jpg</t>
  </si>
  <si>
    <t>вс 11.01.2026 — 18:07:04</t>
  </si>
  <si>
    <t>826398429_1_20260117T181849Z.jpg</t>
  </si>
  <si>
    <t>6 Площадка 1 общага\826398429_1_20260117T181849Z.jpg</t>
  </si>
  <si>
    <t>сб 17.01.2026 — 18:18:49</t>
  </si>
  <si>
    <t>E33149364_2_20260117T100510Z.jpg</t>
  </si>
  <si>
    <t>8 Рейсмус\E33149364_2_20260117T100510Z.jpg</t>
  </si>
  <si>
    <t>сб 17.01.2026 — 10:05:10</t>
  </si>
  <si>
    <t>E33149364_2_20260117T142129Z.jpg</t>
  </si>
  <si>
    <t>8 Рейсмус\E33149364_2_20260117T142129Z.jpg</t>
  </si>
  <si>
    <t>сб 17.01.2026 — 14:21:29</t>
  </si>
  <si>
    <t>E33149364_2_20260118T150621Z.jpg</t>
  </si>
  <si>
    <t>8 Рейсмус\E33149364_2_20260118T150621Z.jpg</t>
  </si>
  <si>
    <t>вс 18.01.2026 — 15:06:21</t>
  </si>
  <si>
    <t>E33149364_2_20260118T161024Z.jpg</t>
  </si>
  <si>
    <t>8 Рейсмус\E33149364_2_20260118T161024Z.jpg</t>
  </si>
  <si>
    <t>вс 18.01.2026 — 16:10:24</t>
  </si>
  <si>
    <t>E33149364_2_20260118T163631Z.jpg</t>
  </si>
  <si>
    <t>8 Рейсмус\E33149364_2_20260118T163631Z.jpg</t>
  </si>
  <si>
    <t>вс 18.01.2026 — 16:36:31</t>
  </si>
  <si>
    <t>K07156189_21_20260117T152156Z.jpg</t>
  </si>
  <si>
    <t>4 Крыльцо офиса\K07156189_21_20260117T152156Z.jpg</t>
  </si>
  <si>
    <t>сб 17.01.2026 — 15:21:56</t>
  </si>
  <si>
    <t>K07156189_21_20260118T164528Z.jpg</t>
  </si>
  <si>
    <t>4 Крыльцо офиса\K07156189_21_20260118T164528Z.jpg</t>
  </si>
  <si>
    <t>вс 18.01.2026 — 16:45:28</t>
  </si>
  <si>
    <t>K07156189_22_20260117T170255Z.jpg</t>
  </si>
  <si>
    <t>5 Крыльцо общага\K07156189_22_20260117T170255Z.jpg</t>
  </si>
  <si>
    <t>сб 17.01.2026 — 17:02:55</t>
  </si>
  <si>
    <t>K07156189_22_20260118T133247Z.jpg</t>
  </si>
  <si>
    <t>5 Крыльцо общага\K07156189_22_20260118T133247Z.jpg</t>
  </si>
  <si>
    <t>вс 18.01.2026 — 13:32:47</t>
  </si>
  <si>
    <t>K07156189_22_20260118T165250Z.jpg</t>
  </si>
  <si>
    <t>5 Крыльцо общага\K07156189_22_20260118T165250Z.jpg</t>
  </si>
  <si>
    <t>вс 18.01.2026 — 16:52:50</t>
  </si>
  <si>
    <t>E33149364_1_20260117T121427Z.jpg</t>
  </si>
  <si>
    <t>9 Ангар пилорама\E33149364_1_20260117T121427Z.jpg</t>
  </si>
  <si>
    <t>сб 17.01.2026 — 12:14:27</t>
  </si>
  <si>
    <t>E33149364_1_20260118T150141Z.jpg</t>
  </si>
  <si>
    <t>9 Ангар пилорама\E33149364_1_20260118T150141Z.jpg</t>
  </si>
  <si>
    <t>вс 18.01.2026 — 15:01:41</t>
  </si>
  <si>
    <t>E33149364_1_20260118T150803Z.jpg</t>
  </si>
  <si>
    <t>9 Ангар пилорама\E33149364_1_20260118T150803Z.jpg</t>
  </si>
  <si>
    <t>вс 18.01.2026 — 15:08:03</t>
  </si>
  <si>
    <t>E33149364_3_20260117T143952Z.jpg</t>
  </si>
  <si>
    <t>10 Сушилка навес\E33149364_3_20260117T143952Z.jpg</t>
  </si>
  <si>
    <t>сб 17.01.2026 — 14:39:52</t>
  </si>
  <si>
    <t>E33149364_3_20260117T154650Z.jpg</t>
  </si>
  <si>
    <t>10 Сушилка навес\E33149364_3_20260117T154650Z.jpg</t>
  </si>
  <si>
    <t>сб 17.01.2026 — 15:46:50</t>
  </si>
  <si>
    <t>E33149364_3_20260118T150832Z.jpg</t>
  </si>
  <si>
    <t>10 Сушилка навес\E33149364_3_20260118T150832Z.jpg</t>
  </si>
  <si>
    <t>вс 18.01.2026 — 15:08:32</t>
  </si>
  <si>
    <t>E33149364_4_20260117T154650Z.jpg</t>
  </si>
  <si>
    <t>11 С ангара на базу\E33149364_4_20260117T154650Z.jpg</t>
  </si>
  <si>
    <t>E33149364_4_20260118T164035Z.jpg</t>
  </si>
  <si>
    <t>11 С ангара на базу\E33149364_4_20260118T164035Z.jpg</t>
  </si>
  <si>
    <t>вс 18.01.2026 — 16:40:35</t>
  </si>
  <si>
    <t>K07156189_20_20260117T084057Z.jpg</t>
  </si>
  <si>
    <t>12 Площадка 3 кран\K07156189_20_20260117T084057Z.jpg</t>
  </si>
  <si>
    <t>сб 17.01.2026 — 08:40:57</t>
  </si>
  <si>
    <t>K07156189_20_20260118T181836Z.jpg</t>
  </si>
  <si>
    <t>12 Площадка 3 кран\K07156189_20_20260118T181836Z.jpg</t>
  </si>
  <si>
    <t>вс 18.01.2026 — 18:18:36</t>
  </si>
  <si>
    <t>K07156189_23_20260117T141626Z.jpg</t>
  </si>
  <si>
    <t>13 Склад хол\K07156189_23_20260117T141626Z.jpg</t>
  </si>
  <si>
    <t>сб 17.01.2026 — 14:16:26</t>
  </si>
  <si>
    <t>K07156189_23_20260118T171634Z.jpg</t>
  </si>
  <si>
    <t>13 Склад хол\K07156189_23_20260118T171634Z.jpg</t>
  </si>
  <si>
    <t>вс 18.01.2026 — 17:16:34</t>
  </si>
  <si>
    <t>Lexus LX</t>
  </si>
  <si>
    <t>горбыль, отрезок бревна</t>
  </si>
  <si>
    <t>Автотранспорт, группа людей</t>
  </si>
  <si>
    <t>K07156189_18_20260117T181849Z.jpg</t>
  </si>
  <si>
    <t>7 Площадка 2 бетонщики\K07156189_18_20260117T181849Z.jpg</t>
  </si>
  <si>
    <t>K07156189_18_20260118T144541Z.jpg</t>
  </si>
  <si>
    <t>7 Площадка 2 бетонщики\K07156189_18_20260118T144541Z.jpg</t>
  </si>
  <si>
    <t>вс 18.01.2026 — 14:45:41</t>
  </si>
  <si>
    <t>Часть ангара, сотрудник</t>
  </si>
  <si>
    <t>Вынос досок на улицу</t>
  </si>
  <si>
    <t>K07156189_22_20260119T104142Z.jpg</t>
  </si>
  <si>
    <t>5 Крыльцо общага\K07156189_22_20260119T104142Z.jpg</t>
  </si>
  <si>
    <t>пн 19.01.2026 — 10:41:42</t>
  </si>
  <si>
    <t>K07156189_22_20260119T121106Z.jpg</t>
  </si>
  <si>
    <t>5 Крыльцо общага\K07156189_22_20260119T121106Z.jpg</t>
  </si>
  <si>
    <t>пн 19.01.2026 — 12:11:06</t>
  </si>
  <si>
    <t>K07156189_22_20260119T163939Z.jpg</t>
  </si>
  <si>
    <t>5 Крыльцо общага\K07156189_22_20260119T163939Z.jpg</t>
  </si>
  <si>
    <t>пн 19.01.2026 — 16:39:39</t>
  </si>
  <si>
    <t>K07156189_22_20260120T115950Z.jpg</t>
  </si>
  <si>
    <t>5 Крыльцо общага\K07156189_22_20260120T115950Z.jpg</t>
  </si>
  <si>
    <t>вт 20.01.2026 — 11:59:50</t>
  </si>
  <si>
    <t>K07156189_22_20260120T150020Z.jpg</t>
  </si>
  <si>
    <t>5 Крыльцо общага\K07156189_22_20260120T150020Z.jpg</t>
  </si>
  <si>
    <t>вт 20.01.2026 — 15:00:20</t>
  </si>
  <si>
    <t>E33149364_6_20260119T160117Z.jpg</t>
  </si>
  <si>
    <t>1 Ангар Склад 2 въезд\E33149364_6_20260119T160117Z.jpg</t>
  </si>
  <si>
    <t>пн 19.01.2026 — 16:01:17</t>
  </si>
  <si>
    <t>E33149364_6_20260120T165036Z.jpg</t>
  </si>
  <si>
    <t>1 Ангар Склад 2 въезд\E33149364_6_20260120T165036Z.jpg</t>
  </si>
  <si>
    <t>вт 20.01.2026 — 16:50:36</t>
  </si>
  <si>
    <t>E33149364_7_20260119T181756Z.jpg</t>
  </si>
  <si>
    <t>2 Пилорама поката\E33149364_7_20260119T181756Z.jpg</t>
  </si>
  <si>
    <t>пн 19.01.2026 — 18:17:56</t>
  </si>
  <si>
    <t>E33149364_7_20260120T172758Z.jpg</t>
  </si>
  <si>
    <t>2 Пилорама поката\E33149364_7_20260120T172758Z.jpg</t>
  </si>
  <si>
    <t>вт 20.01.2026 — 17:27:58</t>
  </si>
  <si>
    <t>E33149364_8_20260119T161911Z.jpg</t>
  </si>
  <si>
    <t>пн 19.01.2026 — 16:19:11</t>
  </si>
  <si>
    <t>E33149364_8_20260120T134540Z.jpg</t>
  </si>
  <si>
    <t>вт 20.01.2026 — 13:45:40</t>
  </si>
  <si>
    <t>K07156189_21_20260119T164203Z.jpg</t>
  </si>
  <si>
    <t>4 Крыльцо офиса\K07156189_21_20260119T164203Z.jpg</t>
  </si>
  <si>
    <t>пн 19.01.2026 — 16:42:03</t>
  </si>
  <si>
    <t>K07156189_21_20260120T120632Z.jpg</t>
  </si>
  <si>
    <t>4 Крыльцо офиса\K07156189_21_20260120T120632Z.jpg</t>
  </si>
  <si>
    <t>вт 20.01.2026 — 12:06:32</t>
  </si>
  <si>
    <t>K07156189_21_20260120T161217Z.jpg</t>
  </si>
  <si>
    <t>4 Крыльцо офиса\K07156189_21_20260120T161217Z.jpg</t>
  </si>
  <si>
    <t>вт 20.01.2026 — 16:12:17</t>
  </si>
  <si>
    <t>826398429_1_20260119T152654Z.jpg</t>
  </si>
  <si>
    <t>6 Площадка 1 общага\826398429_1_20260119T152654Z.jpg</t>
  </si>
  <si>
    <t>пн 19.01.2026 — 15:26:54</t>
  </si>
  <si>
    <t>826398429_1_20260120T173124Z.jpg</t>
  </si>
  <si>
    <t>6 Площадка 1 общага\826398429_1_20260120T173124Z.jpg</t>
  </si>
  <si>
    <t>вт 20.01.2026 — 17:31:24</t>
  </si>
  <si>
    <t>E33149364_2_20260119T092650Z.jpg</t>
  </si>
  <si>
    <t>8 Рейсмус\E33149364_2_20260119T092650Z.jpg</t>
  </si>
  <si>
    <t>пн 19.01.2026 — 09:26:50</t>
  </si>
  <si>
    <t>E33149364_2_20260119T095841Z.jpg</t>
  </si>
  <si>
    <t>8 Рейсмус\E33149364_2_20260119T095841Z.jpg</t>
  </si>
  <si>
    <t>пн 19.01.2026 — 09:58:41</t>
  </si>
  <si>
    <t>E33149364_2_20260119T102145Z.jpg</t>
  </si>
  <si>
    <t>8 Рейсмус\E33149364_2_20260119T102145Z.jpg</t>
  </si>
  <si>
    <t>пн 19.01.2026 — 10:21:45</t>
  </si>
  <si>
    <t>E33149364_2_20260119T113748Z.jpg</t>
  </si>
  <si>
    <t>8 Рейсмус\E33149364_2_20260119T113748Z.jpg</t>
  </si>
  <si>
    <t>пн 19.01.2026 — 11:37:48</t>
  </si>
  <si>
    <t>E33149364_2_20260119T114436Z.jpg</t>
  </si>
  <si>
    <t>8 Рейсмус\E33149364_2_20260119T114436Z.jpg</t>
  </si>
  <si>
    <t>пн 19.01.2026 — 11:44:36</t>
  </si>
  <si>
    <t>E33149364_2_20260119T123511Z.jpg</t>
  </si>
  <si>
    <t>8 Рейсмус\E33149364_2_20260119T123511Z.jpg</t>
  </si>
  <si>
    <t>пн 19.01.2026 — 12:35:11</t>
  </si>
  <si>
    <t>E33149364_2_20260120T100804Z.jpg</t>
  </si>
  <si>
    <t>8 Рейсмус\E33149364_2_20260120T100804Z.jpg</t>
  </si>
  <si>
    <t>вт 20.01.2026 — 10:08:04</t>
  </si>
  <si>
    <t>E33149364_2_20260120T115744Z.jpg</t>
  </si>
  <si>
    <t>8 Рейсмус\E33149364_2_20260120T115744Z.jpg</t>
  </si>
  <si>
    <t>вт 20.01.2026 — 11:57:44</t>
  </si>
  <si>
    <t>E33149364_2_20260120T120146Z.jpg</t>
  </si>
  <si>
    <t>8 Рейсмус\E33149364_2_20260120T120146Z.jpg</t>
  </si>
  <si>
    <t>вт 20.01.2026 — 12:01:46</t>
  </si>
  <si>
    <t>E33149364_2_20260120T120606Z.jpg</t>
  </si>
  <si>
    <t>8 Рейсмус\E33149364_2_20260120T120606Z.jpg</t>
  </si>
  <si>
    <t>вт 20.01.2026 — 12:06:06</t>
  </si>
  <si>
    <t>E33149364_2_20260120T145224Z.jpg</t>
  </si>
  <si>
    <t>8 Рейсмус\E33149364_2_20260120T145224Z.jpg</t>
  </si>
  <si>
    <t>вт 20.01.2026 — 14:52:24</t>
  </si>
  <si>
    <t>E33149364_2_20260120T150201Z.jpg</t>
  </si>
  <si>
    <t>8 Рейсмус\E33149364_2_20260120T150201Z.jpg</t>
  </si>
  <si>
    <t>вт 20.01.2026 — 15:02:01</t>
  </si>
  <si>
    <t>E33149364_2_20260120T152305Z.jpg</t>
  </si>
  <si>
    <t>8 Рейсмус\E33149364_2_20260120T152305Z.jpg</t>
  </si>
  <si>
    <t>вт 20.01.2026 — 15:23:05</t>
  </si>
  <si>
    <t>E33149364_2_20260120T152411Z.jpg</t>
  </si>
  <si>
    <t>8 Рейсмус\E33149364_2_20260120T152411Z.jpg</t>
  </si>
  <si>
    <t>вт 20.01.2026 — 15:24:11</t>
  </si>
  <si>
    <t>E33149364_2_20260120T162500Z.jpg</t>
  </si>
  <si>
    <t>8 Рейсмус\E33149364_2_20260120T162500Z.jpg</t>
  </si>
  <si>
    <t>вт 20.01.2026 — 16:25:00</t>
  </si>
  <si>
    <t>E33149364_2_20260120T162519Z.jpg</t>
  </si>
  <si>
    <t>8 Рейсмус\E33149364_2_20260120T162519Z.jpg</t>
  </si>
  <si>
    <t>вт 20.01.2026 — 16:25:19</t>
  </si>
  <si>
    <t>E33149364_2_20260120T203557Z.jpg</t>
  </si>
  <si>
    <t>8 Рейсмус\E33149364_2_20260120T203557Z.jpg</t>
  </si>
  <si>
    <t>вт 20.01.2026 — 20:35:57</t>
  </si>
  <si>
    <t>E33149364_2_20260120T211056Z.jpg</t>
  </si>
  <si>
    <t>8 Рейсмус\E33149364_2_20260120T211056Z.jpg</t>
  </si>
  <si>
    <t>вт 20.01.2026 — 21:10:56</t>
  </si>
  <si>
    <t>E33149364_1_20260119T092943Z.jpg</t>
  </si>
  <si>
    <t>9 Ангар пилорама\E33149364_1_20260119T092943Z.jpg</t>
  </si>
  <si>
    <t>пн 19.01.2026 — 09:29:43</t>
  </si>
  <si>
    <t>E33149364_1_20260119T152552Z.jpg</t>
  </si>
  <si>
    <t>9 Ангар пилорама\E33149364_1_20260119T152552Z.jpg</t>
  </si>
  <si>
    <t>пн 19.01.2026 — 15:25:52</t>
  </si>
  <si>
    <t>E33149364_1_20260120T092719Z.jpg</t>
  </si>
  <si>
    <t>9 Ангар пилорама\E33149364_1_20260120T092719Z.jpg</t>
  </si>
  <si>
    <t>вт 20.01.2026 — 09:27:19</t>
  </si>
  <si>
    <t>E33149364_1_20260120T100853Z.jpg</t>
  </si>
  <si>
    <t>9 Ангар пилорама\E33149364_1_20260120T100853Z.jpg</t>
  </si>
  <si>
    <t>вт 20.01.2026 — 10:08:53</t>
  </si>
  <si>
    <t>E33149364_1_20260120T101108Z.jpg</t>
  </si>
  <si>
    <t>9 Ангар пилорама\E33149364_1_20260120T101108Z.jpg</t>
  </si>
  <si>
    <t>вт 20.01.2026 — 10:11:08</t>
  </si>
  <si>
    <t>E33149364_1_20260120T102933Z.jpg</t>
  </si>
  <si>
    <t>9 Ангар пилорама\E33149364_1_20260120T102933Z.jpg</t>
  </si>
  <si>
    <t>вт 20.01.2026 — 10:29:33</t>
  </si>
  <si>
    <t>E33149364_1_20260120T103734Z.jpg</t>
  </si>
  <si>
    <t>9 Ангар пилорама\E33149364_1_20260120T103734Z.jpg</t>
  </si>
  <si>
    <t>вт 20.01.2026 — 10:37:34</t>
  </si>
  <si>
    <t>E33149364_1_20260120T110915Z.jpg</t>
  </si>
  <si>
    <t>9 Ангар пилорама\E33149364_1_20260120T110915Z.jpg</t>
  </si>
  <si>
    <t>вт 20.01.2026 — 11:09:15</t>
  </si>
  <si>
    <t>E33149364_1_20260120T125400Z.jpg</t>
  </si>
  <si>
    <t>9 Ангар пилорама\E33149364_1_20260120T125400Z.jpg</t>
  </si>
  <si>
    <t>вт 20.01.2026 — 12:54:00</t>
  </si>
  <si>
    <t>E33149364_1_20260120T211446Z.jpg</t>
  </si>
  <si>
    <t>9 Ангар пилорама\E33149364_1_20260120T211446Z.jpg</t>
  </si>
  <si>
    <t>вт 20.01.2026 — 21:14:46</t>
  </si>
  <si>
    <t>E33149364_3_20260119T162733Z.jpg</t>
  </si>
  <si>
    <t>10 Сушилка навес\E33149364_3_20260119T162733Z.jpg</t>
  </si>
  <si>
    <t>пн 19.01.2026 — 16:27:33</t>
  </si>
  <si>
    <t>E33149364_3_20260120T093017Z.jpg</t>
  </si>
  <si>
    <t>10 Сушилка навес\E33149364_3_20260120T093017Z.jpg</t>
  </si>
  <si>
    <t>вт 20.01.2026 — 09:30:17</t>
  </si>
  <si>
    <t>E33149364_3_20260120T101235Z.jpg</t>
  </si>
  <si>
    <t>10 Сушилка навес\E33149364_3_20260120T101235Z.jpg</t>
  </si>
  <si>
    <t>вт 20.01.2026 — 10:12:35</t>
  </si>
  <si>
    <t>E33149364_3_20260120T102958Z.jpg</t>
  </si>
  <si>
    <t>10 Сушилка навес\E33149364_3_20260120T102958Z.jpg</t>
  </si>
  <si>
    <t>вт 20.01.2026 — 10:29:58</t>
  </si>
  <si>
    <t>E33149364_3_20260120T103755Z.jpg</t>
  </si>
  <si>
    <t>10 Сушилка навес\E33149364_3_20260120T103755Z.jpg</t>
  </si>
  <si>
    <t>вт 20.01.2026 — 10:37:55</t>
  </si>
  <si>
    <t>E33149364_4_20260119T164913Z.jpg</t>
  </si>
  <si>
    <t>11 С ангара на базу\E33149364_4_20260119T164913Z.jpg</t>
  </si>
  <si>
    <t>пн 19.01.2026 — 16:49:13</t>
  </si>
  <si>
    <t>E33149364_4_20260120T092932Z.jpg</t>
  </si>
  <si>
    <t>11 С ангара на базу\E33149364_4_20260120T092932Z.jpg</t>
  </si>
  <si>
    <t>вт 20.01.2026 — 09:29:32</t>
  </si>
  <si>
    <t>E33149364_4_20260120T093008Z.jpg</t>
  </si>
  <si>
    <t>11 С ангара на базу\E33149364_4_20260120T093008Z.jpg</t>
  </si>
  <si>
    <t>вт 20.01.2026 — 09:30:08</t>
  </si>
  <si>
    <t>E33149364_4_20260120T101323Z.jpg</t>
  </si>
  <si>
    <t>11 С ангара на базу\E33149364_4_20260120T101323Z.jpg</t>
  </si>
  <si>
    <t>вт 20.01.2026 — 10:13:23</t>
  </si>
  <si>
    <t>K07156189_20_20260119T103116Z.jpg</t>
  </si>
  <si>
    <t>12 Площадка 3 кран\K07156189_20_20260119T103116Z.jpg</t>
  </si>
  <si>
    <t>пн 19.01.2026 — 10:31:16</t>
  </si>
  <si>
    <t>K07156189_20_20260119T121526Z.jpg</t>
  </si>
  <si>
    <t>12 Площадка 3 кран\K07156189_20_20260119T121526Z.jpg</t>
  </si>
  <si>
    <t>пн 19.01.2026 — 12:15:26</t>
  </si>
  <si>
    <t>K07156189_20_20260119T170007Z.jpg</t>
  </si>
  <si>
    <t>12 Площадка 3 кран\K07156189_20_20260119T170007Z.jpg</t>
  </si>
  <si>
    <t>пн 19.01.2026 — 17:00:07</t>
  </si>
  <si>
    <t>K07156189_20_20260120T102853Z.jpg</t>
  </si>
  <si>
    <t>12 Площадка 3 кран\K07156189_20_20260120T102853Z.jpg</t>
  </si>
  <si>
    <t>вт 20.01.2026 — 10:28:53</t>
  </si>
  <si>
    <t>K07156189_20_20260120T143812Z.jpg</t>
  </si>
  <si>
    <t>12 Площадка 3 кран\K07156189_20_20260120T143812Z.jpg</t>
  </si>
  <si>
    <t>вт 20.01.2026 — 14:38:12</t>
  </si>
  <si>
    <t>K07156189_20_20260120T171029Z.jpg</t>
  </si>
  <si>
    <t>12 Площадка 3 кран\K07156189_20_20260120T171029Z.jpg</t>
  </si>
  <si>
    <t>вт 20.01.2026 — 17:10:29</t>
  </si>
  <si>
    <t>K07156189_23_20260119T164206Z.jpg</t>
  </si>
  <si>
    <t>13 Склад хол\K07156189_23_20260119T164206Z.jpg</t>
  </si>
  <si>
    <t>пн 19.01.2026 — 16:42:06</t>
  </si>
  <si>
    <t>K07156189_23_20260120T101422Z.jpg</t>
  </si>
  <si>
    <t>13 Склад хол\K07156189_23_20260120T101422Z.jpg</t>
  </si>
  <si>
    <t>вт 20.01.2026 — 10:14:22</t>
  </si>
  <si>
    <t>работа на срубе</t>
  </si>
  <si>
    <t>K07156189_18_20260119T143638Z.jpg</t>
  </si>
  <si>
    <t>7 Площадка 2 бетонщики\K07156189_18_20260119T143638Z.jpg</t>
  </si>
  <si>
    <t>пн 19.01.2026 — 14:36:38</t>
  </si>
  <si>
    <t>K07156189_18_20260119T152908Z.jpg</t>
  </si>
  <si>
    <t>7 Площадка 2 бетонщики\K07156189_18_20260119T152908Z.jpg</t>
  </si>
  <si>
    <t>пн 19.01.2026 — 15:29:08</t>
  </si>
  <si>
    <t>K07156189_18_20260119T161802Z.jpg</t>
  </si>
  <si>
    <t>7 Площадка 2 бетонщики\K07156189_18_20260119T161802Z.jpg</t>
  </si>
  <si>
    <t>пн 19.01.2026 — 16:18:02</t>
  </si>
  <si>
    <t>K07156189_18_20260119T165515Z.jpg</t>
  </si>
  <si>
    <t>7 Площадка 2 бетонщики\K07156189_18_20260119T165515Z.jpg</t>
  </si>
  <si>
    <t>пн 19.01.2026 — 16:55:15</t>
  </si>
  <si>
    <t>K07156189_18_20260120T112958Z.jpg</t>
  </si>
  <si>
    <t>7 Площадка 2 бетонщики\K07156189_18_20260120T112958Z.jpg</t>
  </si>
  <si>
    <t>вт 20.01.2026 — 11:29:58</t>
  </si>
  <si>
    <t>K07156189_18_20260120T113934Z.jpg</t>
  </si>
  <si>
    <t>7 Площадка 2 бетонщики\K07156189_18_20260120T113934Z.jpg</t>
  </si>
  <si>
    <t>вт 20.01.2026 — 11:39:34</t>
  </si>
  <si>
    <t>K07156189_18_20260120T122311Z.jpg</t>
  </si>
  <si>
    <t>7 Площадка 2 бетонщики\K07156189_18_20260120T122311Z.jpg</t>
  </si>
  <si>
    <t>вт 20.01.2026 — 12:23:11</t>
  </si>
  <si>
    <t>K07156189_18_20260120T131031Z.jpg</t>
  </si>
  <si>
    <t>7 Площадка 2 бетонщики\K07156189_18_20260120T131031Z.jpg</t>
  </si>
  <si>
    <t>вт 20.01.2026 — 13:10:31</t>
  </si>
  <si>
    <t>K07156189_18_20260120T142315Z.jpg</t>
  </si>
  <si>
    <t>7 Площадка 2 бетонщики\K07156189_18_20260120T142315Z.jpg</t>
  </si>
  <si>
    <t>вт 20.01.2026 — 14:23:15</t>
  </si>
  <si>
    <t>K07156189_18_20260120T143951Z.jpg</t>
  </si>
  <si>
    <t>7 Площадка 2 бетонщики\K07156189_18_20260120T143951Z.jpg</t>
  </si>
  <si>
    <t>вт 20.01.2026 — 14:39:51</t>
  </si>
  <si>
    <t>K07156189_18_20260120T150612Z.jpg</t>
  </si>
  <si>
    <t>7 Площадка 2 бетонщики\K07156189_18_20260120T150612Z.jpg</t>
  </si>
  <si>
    <t>вт 20.01.2026 — 15:06:12</t>
  </si>
  <si>
    <t>K07156189_18_20260120T175255Z.jpg</t>
  </si>
  <si>
    <t>7 Площадка 2 бетонщики\K07156189_18_20260120T175255Z.jpg</t>
  </si>
  <si>
    <t>вт 20.01.2026 — 17:52:55</t>
  </si>
  <si>
    <t>работы на площадке</t>
  </si>
  <si>
    <t>перемещение бревна</t>
  </si>
  <si>
    <t>E33149364_7_20260121T132654Z.jpg</t>
  </si>
  <si>
    <t>2 Пилорама поката\E33149364_7_20260121T132654Z.jpg</t>
  </si>
  <si>
    <t>ср 21.01.2026 — 13:26:54</t>
  </si>
  <si>
    <t>E33149364_7_20260121T194556Z.jpg</t>
  </si>
  <si>
    <t>2 Пилорама поката\E33149364_7_20260121T194556Z.jpg</t>
  </si>
  <si>
    <t>ср 21.01.2026 — 19:45:56</t>
  </si>
  <si>
    <t>E33149364_7_20260122T121430Z.jpg</t>
  </si>
  <si>
    <t>2 Пилорама поката\E33149364_7_20260122T121430Z.jpg</t>
  </si>
  <si>
    <t>чт 22.01.2026 — 12:14:30</t>
  </si>
  <si>
    <t>E33149364_7_20260122T123746Z.jpg</t>
  </si>
  <si>
    <t>2 Пилорама поката\E33149364_7_20260122T123746Z.jpg</t>
  </si>
  <si>
    <t>чт 22.01.2026 — 12:37:46</t>
  </si>
  <si>
    <t>E33149364_6_20260121T165121Z.jpg</t>
  </si>
  <si>
    <t>1 Ангар Склад 2 въезд\E33149364_6_20260121T165121Z.jpg</t>
  </si>
  <si>
    <t>ср 21.01.2026 — 16:51:21</t>
  </si>
  <si>
    <t>E33149364_6_20260122T120606Z.jpg</t>
  </si>
  <si>
    <t>1 Ангар Склад 2 въезд\E33149364_6_20260122T120606Z.jpg</t>
  </si>
  <si>
    <t>чт 22.01.2026 — 12:06:06</t>
  </si>
  <si>
    <t>E33149364_6_20260122T161006Z.jpg</t>
  </si>
  <si>
    <t>1 Ангар Склад 2 въезд\E33149364_6_20260122T161006Z.jpg</t>
  </si>
  <si>
    <t>чт 22.01.2026 — 16:10:06</t>
  </si>
  <si>
    <t>K07156189_22_20260121T090118Z.jpg</t>
  </si>
  <si>
    <t>5 Крыльцо общага\K07156189_22_20260121T090118Z.jpg</t>
  </si>
  <si>
    <t>ср 21.01.2026 — 09:01:18</t>
  </si>
  <si>
    <t>K07156189_22_20260121T160836Z.jpg</t>
  </si>
  <si>
    <t>5 Крыльцо общага\K07156189_22_20260121T160836Z.jpg</t>
  </si>
  <si>
    <t>ср 21.01.2026 — 16:08:36</t>
  </si>
  <si>
    <t>K07156189_22_20260122T110616Z.jpg</t>
  </si>
  <si>
    <t>5 Крыльцо общага\K07156189_22_20260122T110616Z.jpg</t>
  </si>
  <si>
    <t>чт 22.01.2026 — 11:06:16</t>
  </si>
  <si>
    <t>K07156189_22_20260122T120647Z.jpg</t>
  </si>
  <si>
    <t>5 Крыльцо общага\K07156189_22_20260122T120647Z.jpg</t>
  </si>
  <si>
    <t>чт 22.01.2026 — 12:06:47</t>
  </si>
  <si>
    <t>K07156189_22_20260122T170742Z.jpg</t>
  </si>
  <si>
    <t>5 Крыльцо общага\K07156189_22_20260122T170742Z.jpg</t>
  </si>
  <si>
    <t>чт 22.01.2026 — 17:07:42</t>
  </si>
  <si>
    <t>E33149364_8_20260121T123533Z.jpg</t>
  </si>
  <si>
    <t>ср 21.01.2026 — 12:35:33</t>
  </si>
  <si>
    <t>E33149364_8_20260121T164131Z.jpg</t>
  </si>
  <si>
    <t>ср 21.01.2026 — 16:41:31</t>
  </si>
  <si>
    <t>E33149364_8_20260122T113325Z.jpg</t>
  </si>
  <si>
    <t>чт 22.01.2026 — 11:33:25</t>
  </si>
  <si>
    <t>K07156189_21_20260121T164155Z.jpg</t>
  </si>
  <si>
    <t>4 Крыльцо офиса\K07156189_21_20260121T164155Z.jpg</t>
  </si>
  <si>
    <t>ср 21.01.2026 — 16:41:55</t>
  </si>
  <si>
    <t>K07156189_21_20260122T105346Z.jpg</t>
  </si>
  <si>
    <t>4 Крыльцо офиса\K07156189_21_20260122T105346Z.jpg</t>
  </si>
  <si>
    <t>чт 22.01.2026 — 10:53:46</t>
  </si>
  <si>
    <t>K07156189_21_20260122T170513Z.jpg</t>
  </si>
  <si>
    <t>4 Крыльцо офиса\K07156189_21_20260122T170513Z.jpg</t>
  </si>
  <si>
    <t>чт 22.01.2026 — 17:05:13</t>
  </si>
  <si>
    <t>826398429_1_20260121T121107Z.jpg</t>
  </si>
  <si>
    <t>6 Площадка 1 общага\826398429_1_20260121T121107Z.jpg</t>
  </si>
  <si>
    <t>ср 21.01.2026 — 12:11:07</t>
  </si>
  <si>
    <t>826398429_1_20260122T100215Z.jpg</t>
  </si>
  <si>
    <t>6 Площадка 1 общага\826398429_1_20260122T100215Z.jpg</t>
  </si>
  <si>
    <t>чт 22.01.2026 — 10:02:15</t>
  </si>
  <si>
    <t>826398429_1_20260122T150711Z.jpg</t>
  </si>
  <si>
    <t>6 Площадка 1 общага\826398429_1_20260122T150711Z.jpg</t>
  </si>
  <si>
    <t>чт 22.01.2026 — 15:07:11</t>
  </si>
  <si>
    <t>E33149364_2_20260121T095955Z.jpg</t>
  </si>
  <si>
    <t>8 Рейсмус\E33149364_2_20260121T095955Z.jpg</t>
  </si>
  <si>
    <t>ср 21.01.2026 — 09:59:55</t>
  </si>
  <si>
    <t>E33149364_2_20260121T122030Z.jpg</t>
  </si>
  <si>
    <t>8 Рейсмус\E33149364_2_20260121T122030Z.jpg</t>
  </si>
  <si>
    <t>ср 21.01.2026 — 12:20:30</t>
  </si>
  <si>
    <t>E33149364_2_20260121T141641Z.jpg</t>
  </si>
  <si>
    <t>8 Рейсмус\E33149364_2_20260121T141641Z.jpg</t>
  </si>
  <si>
    <t>ср 21.01.2026 — 14:16:41</t>
  </si>
  <si>
    <t>E33149364_2_20260121T153820Z.jpg</t>
  </si>
  <si>
    <t>8 Рейсмус\E33149364_2_20260121T153820Z.jpg</t>
  </si>
  <si>
    <t>ср 21.01.2026 — 15:38:20</t>
  </si>
  <si>
    <t>E33149364_2_20260121T165929Z.jpg</t>
  </si>
  <si>
    <t>8 Рейсмус\E33149364_2_20260121T165929Z.jpg</t>
  </si>
  <si>
    <t>ср 21.01.2026 — 16:59:29</t>
  </si>
  <si>
    <t>E33149364_2_20260121T205047Z.jpg</t>
  </si>
  <si>
    <t>8 Рейсмус\E33149364_2_20260121T205047Z.jpg</t>
  </si>
  <si>
    <t>ср 21.01.2026 — 20:50:47</t>
  </si>
  <si>
    <t>E33149364_2_20260122T092218Z.jpg</t>
  </si>
  <si>
    <t>8 Рейсмус\E33149364_2_20260122T092218Z.jpg</t>
  </si>
  <si>
    <t>чт 22.01.2026 — 09:22:18</t>
  </si>
  <si>
    <t>E33149364_2_20260122T100038Z.jpg</t>
  </si>
  <si>
    <t>8 Рейсмус\E33149364_2_20260122T100038Z.jpg</t>
  </si>
  <si>
    <t>чт 22.01.2026 — 10:00:38</t>
  </si>
  <si>
    <t>E33149364_2_20260122T102134Z.jpg</t>
  </si>
  <si>
    <t>8 Рейсмус\E33149364_2_20260122T102134Z.jpg</t>
  </si>
  <si>
    <t>чт 22.01.2026 — 10:21:34</t>
  </si>
  <si>
    <t>E33149364_2_20260122T114438Z.jpg</t>
  </si>
  <si>
    <t>8 Рейсмус\E33149364_2_20260122T114438Z.jpg</t>
  </si>
  <si>
    <t>чт 22.01.2026 — 11:44:38</t>
  </si>
  <si>
    <t>E33149364_2_20260122T141447Z.jpg</t>
  </si>
  <si>
    <t>8 Рейсмус\E33149364_2_20260122T141447Z.jpg</t>
  </si>
  <si>
    <t>чт 22.01.2026 — 14:14:47</t>
  </si>
  <si>
    <t>E33149364_2_20260122T162228Z.jpg</t>
  </si>
  <si>
    <t>8 Рейсмус\E33149364_2_20260122T162228Z.jpg</t>
  </si>
  <si>
    <t>чт 22.01.2026 — 16:22:28</t>
  </si>
  <si>
    <t>E33149364_2_20260122T163233Z.jpg</t>
  </si>
  <si>
    <t>8 Рейсмус\E33149364_2_20260122T163233Z.jpg</t>
  </si>
  <si>
    <t>чт 22.01.2026 — 16:32:33</t>
  </si>
  <si>
    <t>E33149364_1_20260121T092050Z.jpg</t>
  </si>
  <si>
    <t>9 Ангар пилорама\E33149364_1_20260121T092050Z.jpg</t>
  </si>
  <si>
    <t>ср 21.01.2026 — 09:20:50</t>
  </si>
  <si>
    <t>E33149364_1_20260121T210722Z.jpg</t>
  </si>
  <si>
    <t>9 Ангар пилорама\E33149364_1_20260121T210722Z.jpg</t>
  </si>
  <si>
    <t>ср 21.01.2026 — 21:07:22</t>
  </si>
  <si>
    <t>E33149364_1_20260122T113404Z.jpg</t>
  </si>
  <si>
    <t>9 Ангар пилорама\E33149364_1_20260122T113404Z.jpg</t>
  </si>
  <si>
    <t>чт 22.01.2026 — 11:34:04</t>
  </si>
  <si>
    <t>E33149364_1_20260122T115422Z.jpg</t>
  </si>
  <si>
    <t>9 Ангар пилорама\E33149364_1_20260122T115422Z.jpg</t>
  </si>
  <si>
    <t>чт 22.01.2026 — 11:54:22</t>
  </si>
  <si>
    <t>E33149364_1_20260122T115556Z.jpg</t>
  </si>
  <si>
    <t>9 Ангар пилорама\E33149364_1_20260122T115556Z.jpg</t>
  </si>
  <si>
    <t>чт 22.01.2026 — 11:55:56</t>
  </si>
  <si>
    <t>E33149364_1_20260122T120150Z.jpg</t>
  </si>
  <si>
    <t>9 Ангар пилорама\E33149364_1_20260122T120150Z.jpg</t>
  </si>
  <si>
    <t>чт 22.01.2026 — 12:01:50</t>
  </si>
  <si>
    <t>E33149364_1_20260122T144442Z.jpg</t>
  </si>
  <si>
    <t>9 Ангар пилорама\E33149364_1_20260122T144442Z.jpg</t>
  </si>
  <si>
    <t>чт 22.01.2026 — 14:44:42</t>
  </si>
  <si>
    <t>E33149364_1_20260122T231152Z.jpg</t>
  </si>
  <si>
    <t>9 Ангар пилорама\E33149364_1_20260122T231152Z.jpg</t>
  </si>
  <si>
    <t>чт 22.01.2026 — 23:11:52</t>
  </si>
  <si>
    <t>E33149364_1_20260122T234921Z.jpg</t>
  </si>
  <si>
    <t>9 Ангар пилорама\E33149364_1_20260122T234921Z.jpg</t>
  </si>
  <si>
    <t>чт 22.01.2026 — 23:49:21</t>
  </si>
  <si>
    <t>E33149364_3_20260121T111328Z.jpg</t>
  </si>
  <si>
    <t>10 Сушилка навес\E33149364_3_20260121T111328Z.jpg</t>
  </si>
  <si>
    <t>ср 21.01.2026 — 11:13:28</t>
  </si>
  <si>
    <t>E33149364_3_20260121T115746Z.jpg</t>
  </si>
  <si>
    <t>10 Сушилка навес\E33149364_3_20260121T115746Z.jpg</t>
  </si>
  <si>
    <t>ср 21.01.2026 — 11:57:46</t>
  </si>
  <si>
    <t>E33149364_3_20260121T132648Z.jpg</t>
  </si>
  <si>
    <t>10 Сушилка навес\E33149364_3_20260121T132648Z.jpg</t>
  </si>
  <si>
    <t>ср 21.01.2026 — 13:26:48</t>
  </si>
  <si>
    <t>E33149364_3_20260121T142116Z.jpg</t>
  </si>
  <si>
    <t>10 Сушилка навес\E33149364_3_20260121T142116Z.jpg</t>
  </si>
  <si>
    <t>ср 21.01.2026 — 14:21:16</t>
  </si>
  <si>
    <t>E33149364_3_20260121T194620Z.jpg</t>
  </si>
  <si>
    <t>10 Сушилка навес\E33149364_3_20260121T194620Z.jpg</t>
  </si>
  <si>
    <t>ср 21.01.2026 — 19:46:20</t>
  </si>
  <si>
    <t>E33149364_3_20260122T115944Z.jpg</t>
  </si>
  <si>
    <t>10 Сушилка навес\E33149364_3_20260122T115944Z.jpg</t>
  </si>
  <si>
    <t>чт 22.01.2026 — 11:59:44</t>
  </si>
  <si>
    <t>E33149364_3_20260122T120208Z.jpg</t>
  </si>
  <si>
    <t>10 Сушилка навес\E33149364_3_20260122T120208Z.jpg</t>
  </si>
  <si>
    <t>чт 22.01.2026 — 12:02:08</t>
  </si>
  <si>
    <t>E33149364_3_20260122T120843Z.jpg</t>
  </si>
  <si>
    <t>10 Сушилка навес\E33149364_3_20260122T120843Z.jpg</t>
  </si>
  <si>
    <t>чт 22.01.2026 — 12:08:43</t>
  </si>
  <si>
    <t>E33149364_3_20260122T122316Z.jpg</t>
  </si>
  <si>
    <t>10 Сушилка навес\E33149364_3_20260122T122316Z.jpg</t>
  </si>
  <si>
    <t>чт 22.01.2026 — 12:23:16</t>
  </si>
  <si>
    <t>E33149364_3_20260122T123753Z.jpg</t>
  </si>
  <si>
    <t>10 Сушилка навес\E33149364_3_20260122T123753Z.jpg</t>
  </si>
  <si>
    <t>чт 22.01.2026 — 12:37:53</t>
  </si>
  <si>
    <t>E33149364_3_20260122T123803Z.jpg</t>
  </si>
  <si>
    <t>10 Сушилка навес\E33149364_3_20260122T123803Z.jpg</t>
  </si>
  <si>
    <t>чт 22.01.2026 — 12:38:03</t>
  </si>
  <si>
    <t>E33149364_3_20260122T143344Z.jpg</t>
  </si>
  <si>
    <t>10 Сушилка навес\E33149364_3_20260122T143344Z.jpg</t>
  </si>
  <si>
    <t>чт 22.01.2026 — 14:33:44</t>
  </si>
  <si>
    <t>E33149364_3_20260122T143822Z.jpg</t>
  </si>
  <si>
    <t>10 Сушилка навес\E33149364_3_20260122T143822Z.jpg</t>
  </si>
  <si>
    <t>чт 22.01.2026 — 14:38:22</t>
  </si>
  <si>
    <t>E33149364_3_20260122T154645Z.jpg</t>
  </si>
  <si>
    <t>10 Сушилка навес\E33149364_3_20260122T154645Z.jpg</t>
  </si>
  <si>
    <t>чт 22.01.2026 — 15:46:45</t>
  </si>
  <si>
    <t>E33149364_4_20260121T164342Z.jpg</t>
  </si>
  <si>
    <t>11 С ангара на базу\E33149364_4_20260121T164342Z.jpg</t>
  </si>
  <si>
    <t>ср 21.01.2026 — 16:43:42</t>
  </si>
  <si>
    <t>E33149364_4_20260122T113510Z.jpg</t>
  </si>
  <si>
    <t>11 С ангара на базу\E33149364_4_20260122T113510Z.jpg</t>
  </si>
  <si>
    <t>чт 22.01.2026 — 11:35:10</t>
  </si>
  <si>
    <t>E33149364_4_20260122T114242Z.jpg</t>
  </si>
  <si>
    <t>11 С ангара на базу\E33149364_4_20260122T114242Z.jpg</t>
  </si>
  <si>
    <t>чт 22.01.2026 — 11:42:42</t>
  </si>
  <si>
    <t>E33149364_4_20260122T114313Z.jpg</t>
  </si>
  <si>
    <t>11 С ангара на базу\E33149364_4_20260122T114313Z.jpg</t>
  </si>
  <si>
    <t>чт 22.01.2026 — 11:43:13</t>
  </si>
  <si>
    <t>E33149364_4_20260122T114724Z.jpg</t>
  </si>
  <si>
    <t>11 С ангара на базу\E33149364_4_20260122T114724Z.jpg</t>
  </si>
  <si>
    <t>чт 22.01.2026 — 11:47:24</t>
  </si>
  <si>
    <t>E33149364_4_20260122T144338Z.jpg</t>
  </si>
  <si>
    <t>11 С ангара на базу\E33149364_4_20260122T144338Z.jpg</t>
  </si>
  <si>
    <t>чт 22.01.2026 — 14:43:38</t>
  </si>
  <si>
    <t>K07156189_20_20260121T112857Z.jpg</t>
  </si>
  <si>
    <t>12 Площадка 3 кран\K07156189_20_20260121T112857Z.jpg</t>
  </si>
  <si>
    <t>ср 21.01.2026 — 11:28:57</t>
  </si>
  <si>
    <t>K07156189_20_20260121T160003Z.jpg</t>
  </si>
  <si>
    <t>12 Площадка 3 кран\K07156189_20_20260121T160003Z.jpg</t>
  </si>
  <si>
    <t>ср 21.01.2026 — 16:00:03</t>
  </si>
  <si>
    <t>K07156189_20_20260122T105751Z.jpg</t>
  </si>
  <si>
    <t>12 Площадка 3 кран\K07156189_20_20260122T105751Z.jpg</t>
  </si>
  <si>
    <t>чт 22.01.2026 — 10:57:51</t>
  </si>
  <si>
    <t>K07156189_23_20260121T163850Z.jpg</t>
  </si>
  <si>
    <t>13 Склад хол\K07156189_23_20260121T163850Z.jpg</t>
  </si>
  <si>
    <t>ср 21.01.2026 — 16:38:50</t>
  </si>
  <si>
    <t>K07156189_23_20260122T120348Z.jpg</t>
  </si>
  <si>
    <t>13 Склад хол\K07156189_23_20260122T120348Z.jpg</t>
  </si>
  <si>
    <t>чт 22.01.2026 — 12:03:48</t>
  </si>
  <si>
    <t>K07156189_23_20260122T170306Z.jpg</t>
  </si>
  <si>
    <t>13 Склад хол\K07156189_23_20260122T170306Z.jpg</t>
  </si>
  <si>
    <t>чт 22.01.2026 — 17:03:06</t>
  </si>
  <si>
    <t>K07156189_21_20260121T154430Z.jpg</t>
  </si>
  <si>
    <t>4 Крыльцо офиса\K07156189_21_20260121T154430Z.jpg</t>
  </si>
  <si>
    <t>ср 21.01.2026 — 15:44:30</t>
  </si>
  <si>
    <t>K07156189_18_20260121T091603Z.jpg</t>
  </si>
  <si>
    <t>7 Площадка 2 бетонщики\K07156189_18_20260121T091603Z.jpg</t>
  </si>
  <si>
    <t>ср 21.01.2026 — 09:16:03</t>
  </si>
  <si>
    <t>K07156189_18_20260121T104517Z.jpg</t>
  </si>
  <si>
    <t>7 Площадка 2 бетонщики\K07156189_18_20260121T104517Z.jpg</t>
  </si>
  <si>
    <t>ср 21.01.2026 — 10:45:17</t>
  </si>
  <si>
    <t>K07156189_18_20260121T125253Z.jpg</t>
  </si>
  <si>
    <t>7 Площадка 2 бетонщики\K07156189_18_20260121T125253Z.jpg</t>
  </si>
  <si>
    <t>ср 21.01.2026 — 12:52:53</t>
  </si>
  <si>
    <t>K07156189_18_20260121T163451Z.jpg</t>
  </si>
  <si>
    <t>7 Площадка 2 бетонщики\K07156189_18_20260121T163451Z.jpg</t>
  </si>
  <si>
    <t>ср 21.01.2026 — 16:34:51</t>
  </si>
  <si>
    <t>K07156189_18_20260122T170718Z.jpg</t>
  </si>
  <si>
    <t>7 Площадка 2 бетонщики\K07156189_18_20260122T170718Z.jpg</t>
  </si>
  <si>
    <t>чт 22.01.2026 — 17:07:18</t>
  </si>
  <si>
    <t>легковая серая</t>
  </si>
  <si>
    <t>Разворот, убытие</t>
  </si>
  <si>
    <t>Убытие задним ходом</t>
  </si>
  <si>
    <t>E33149364_6_20260123T010742Z.jpg</t>
  </si>
  <si>
    <t>1 Ангар Склад 2 въезд\E33149364_6_20260123T010742Z.jpg</t>
  </si>
  <si>
    <t>пт 23.01.2026 — 01:07:42</t>
  </si>
  <si>
    <t>E33149364_6_20260123T104621Z.jpg</t>
  </si>
  <si>
    <t>1 Ангар Склад 2 въезд\E33149364_6_20260123T104621Z.jpg</t>
  </si>
  <si>
    <t>пт 23.01.2026 — 10:46:21</t>
  </si>
  <si>
    <t>E33149364_6_20260123T105804Z.jpg</t>
  </si>
  <si>
    <t>1 Ангар Склад 2 въезд\E33149364_6_20260123T105804Z.jpg</t>
  </si>
  <si>
    <t>пт 23.01.2026 — 10:58:04</t>
  </si>
  <si>
    <t>E33149364_6_20260123T122704Z.jpg</t>
  </si>
  <si>
    <t>1 Ангар Склад 2 въезд\E33149364_6_20260123T122704Z.jpg</t>
  </si>
  <si>
    <t>пт 23.01.2026 — 12:27:04</t>
  </si>
  <si>
    <t>E33149364_6_20260123T142115Z.jpg</t>
  </si>
  <si>
    <t>1 Ангар Склад 2 въезд\E33149364_6_20260123T142115Z.jpg</t>
  </si>
  <si>
    <t>пт 23.01.2026 — 14:21:15</t>
  </si>
  <si>
    <t>E33149364_6_20260122T221921Z.jpg</t>
  </si>
  <si>
    <t>1 Ангар Склад 2 въезд\E33149364_6_20260122T221921Z.jpg</t>
  </si>
  <si>
    <t>чт 22.01.2026 — 22:19:21</t>
  </si>
  <si>
    <t>E33149364_6_20260123T002441Z.jpg</t>
  </si>
  <si>
    <t>1 Ангар Склад 2 въезд\E33149364_6_20260123T002441Z.jpg</t>
  </si>
  <si>
    <t>пт 23.01.2026 — 00:24:41</t>
  </si>
  <si>
    <t>лесовоз с платформой, серая кабина</t>
  </si>
  <si>
    <t>лесовоз с платформой, голубая кабина</t>
  </si>
  <si>
    <t>легковая с закрытым прицепом</t>
  </si>
  <si>
    <t>ошкуренное бревно</t>
  </si>
  <si>
    <t>E33149364_7_20260123T105206Z.jpg</t>
  </si>
  <si>
    <t>2 Пилорама поката\E33149364_7_20260123T105206Z.jpg</t>
  </si>
  <si>
    <t>пт 23.01.2026 — 10:52:06</t>
  </si>
  <si>
    <t>E33149364_7_20260123T122252Z.jpg</t>
  </si>
  <si>
    <t>2 Пилорама поката\E33149364_7_20260123T122252Z.jpg</t>
  </si>
  <si>
    <t>пт 23.01.2026 — 12:22:52</t>
  </si>
  <si>
    <t>E33149364_7_20260123T122331Z.jpg</t>
  </si>
  <si>
    <t>2 Пилорама поката\E33149364_7_20260123T122331Z.jpg</t>
  </si>
  <si>
    <t>пт 23.01.2026 — 12:23:31</t>
  </si>
  <si>
    <t>E33149364_8_20260123T105539Z.jpg</t>
  </si>
  <si>
    <t>пт 23.01.2026 — 10:55:39</t>
  </si>
  <si>
    <t>K07156189_22_20260122T231648Z.jpg</t>
  </si>
  <si>
    <t>5 Крыльцо общага\K07156189_22_20260122T231648Z.jpg</t>
  </si>
  <si>
    <t>чт 22.01.2026 — 23:16:48</t>
  </si>
  <si>
    <t>K07156189_22_20260122T231823Z.jpg</t>
  </si>
  <si>
    <t>5 Крыльцо общага\K07156189_22_20260122T231823Z.jpg</t>
  </si>
  <si>
    <t>чт 22.01.2026 — 23:18:23</t>
  </si>
  <si>
    <t>K07156189_21_20260122T231921Z.jpg</t>
  </si>
  <si>
    <t>4 Крыльцо офиса\K07156189_21_20260122T231921Z.jpg</t>
  </si>
  <si>
    <t>чт 22.01.2026 — 23:19:21</t>
  </si>
  <si>
    <t>K07156189_22_20260122T232009Z.jpg</t>
  </si>
  <si>
    <t>5 Крыльцо общага\K07156189_22_20260122T232009Z.jpg</t>
  </si>
  <si>
    <t>чт 22.01.2026 — 23:20:09</t>
  </si>
  <si>
    <t>K07156189_22_20260122T232155Z.jpg</t>
  </si>
  <si>
    <t>5 Крыльцо общага\K07156189_22_20260122T232155Z.jpg</t>
  </si>
  <si>
    <t>чт 22.01.2026 — 23:21:55</t>
  </si>
  <si>
    <t>K07156189_22_20260122T232356Z.jpg</t>
  </si>
  <si>
    <t>5 Крыльцо общага\K07156189_22_20260122T232356Z.jpg</t>
  </si>
  <si>
    <t>чт 22.01.2026 — 23:23:56</t>
  </si>
  <si>
    <t>K07156189_22_20260122T232430Z.jpg</t>
  </si>
  <si>
    <t>5 Крыльцо общага\K07156189_22_20260122T232430Z.jpg</t>
  </si>
  <si>
    <t>чт 22.01.2026 — 23:24:30</t>
  </si>
  <si>
    <t>K07156189_22_20260122T232708Z.jpg</t>
  </si>
  <si>
    <t>5 Крыльцо общага\K07156189_22_20260122T232708Z.jpg</t>
  </si>
  <si>
    <t>чт 22.01.2026 — 23:27:08</t>
  </si>
  <si>
    <t>K07156189_22_20260122T233000Z.jpg</t>
  </si>
  <si>
    <t>5 Крыльцо общага\K07156189_22_20260122T233000Z.jpg</t>
  </si>
  <si>
    <t>чт 22.01.2026 — 23:30:00</t>
  </si>
  <si>
    <t>K07156189_22_20260122T233223Z.jpg</t>
  </si>
  <si>
    <t>5 Крыльцо общага\K07156189_22_20260122T233223Z.jpg</t>
  </si>
  <si>
    <t>чт 22.01.2026 — 23:32:23</t>
  </si>
  <si>
    <t>кол-во пишу предположительно, тк не видно хорошо</t>
  </si>
  <si>
    <t>K07156189_22_20260122T233549Z.jpg</t>
  </si>
  <si>
    <t>5 Крыльцо общага\K07156189_22_20260122T233549Z.jpg</t>
  </si>
  <si>
    <t>чт 22.01.2026 — 23:35:49</t>
  </si>
  <si>
    <t>K07156189_22_20260122T233806Z.jpg</t>
  </si>
  <si>
    <t>5 Крыльцо общага\K07156189_22_20260122T233806Z.jpg</t>
  </si>
  <si>
    <t>чт 22.01.2026 — 23:38:06</t>
  </si>
  <si>
    <t>K07156189_22_20260122T233844Z.jpg</t>
  </si>
  <si>
    <t>5 Крыльцо общага\K07156189_22_20260122T233844Z.jpg</t>
  </si>
  <si>
    <t>чт 22.01.2026 — 23:38:44</t>
  </si>
  <si>
    <t>K07156189_22_20260122T234040Z.jpg</t>
  </si>
  <si>
    <t>5 Крыльцо общага\K07156189_22_20260122T234040Z.jpg</t>
  </si>
  <si>
    <t>чт 22.01.2026 — 23:40:40</t>
  </si>
  <si>
    <t>K07156189_22_20260122T234512Z.jpg</t>
  </si>
  <si>
    <t>5 Крыльцо общага\K07156189_22_20260122T234512Z.jpg</t>
  </si>
  <si>
    <t>чт 22.01.2026 — 23:45:12</t>
  </si>
  <si>
    <t>K07156189_22_20260122T234740Z.jpg</t>
  </si>
  <si>
    <t>5 Крыльцо общага\K07156189_22_20260122T234740Z.jpg</t>
  </si>
  <si>
    <t>чт 22.01.2026 — 23:47:40</t>
  </si>
  <si>
    <t>K07156189_22_20260122T235023Z.jpg</t>
  </si>
  <si>
    <t>5 Крыльцо общага\K07156189_22_20260122T235023Z.jpg</t>
  </si>
  <si>
    <t>чт 22.01.2026 — 23:50:23</t>
  </si>
  <si>
    <t>K07156189_22_20260122T235259Z.jpg</t>
  </si>
  <si>
    <t>5 Крыльцо общага\K07156189_22_20260122T235259Z.jpg</t>
  </si>
  <si>
    <t>чт 22.01.2026 — 23:52:59</t>
  </si>
  <si>
    <t>K07156189_22_20260122T235441Z.jpg</t>
  </si>
  <si>
    <t>5 Крыльцо общага\K07156189_22_20260122T235441Z.jpg</t>
  </si>
  <si>
    <t>чт 22.01.2026 — 23:54:41</t>
  </si>
  <si>
    <t>K07156189_22_20260122T235630Z.jpg</t>
  </si>
  <si>
    <t>5 Крыльцо общага\K07156189_22_20260122T235630Z.jpg</t>
  </si>
  <si>
    <t>чт 22.01.2026 — 23:56:30</t>
  </si>
  <si>
    <t>K07156189_22_20260122T235825Z.jpg</t>
  </si>
  <si>
    <t>5 Крыльцо общага\K07156189_22_20260122T235825Z.jpg</t>
  </si>
  <si>
    <t>чт 22.01.2026 — 23:58:25</t>
  </si>
  <si>
    <t>K07156189_22_20260123T000100Z.jpg</t>
  </si>
  <si>
    <t>5 Крыльцо общага\K07156189_22_20260123T000100Z.jpg</t>
  </si>
  <si>
    <t>пт 23.01.2026 — 00:01:00</t>
  </si>
  <si>
    <t>K07156189_22_20260123T000258Z.jpg</t>
  </si>
  <si>
    <t>5 Крыльцо общага\K07156189_22_20260123T000258Z.jpg</t>
  </si>
  <si>
    <t>пт 23.01.2026 — 00:02:58</t>
  </si>
  <si>
    <t>K07156189_22_20260123T000508Z.jpg</t>
  </si>
  <si>
    <t>5 Крыльцо общага\K07156189_22_20260123T000508Z.jpg</t>
  </si>
  <si>
    <t>пт 23.01.2026 — 00:05:08</t>
  </si>
  <si>
    <t>K07156189_22_20260123T000543Z.jpg</t>
  </si>
  <si>
    <t>5 Крыльцо общага\K07156189_22_20260123T000543Z.jpg</t>
  </si>
  <si>
    <t>пт 23.01.2026 — 00:05:43</t>
  </si>
  <si>
    <t>K07156189_22_20260123T000703Z.jpg</t>
  </si>
  <si>
    <t>5 Крыльцо общага\K07156189_22_20260123T000703Z.jpg</t>
  </si>
  <si>
    <t>пт 23.01.2026 — 00:07:03</t>
  </si>
  <si>
    <t>K07156189_22_20260123T000916Z.jpg</t>
  </si>
  <si>
    <t>5 Крыльцо общага\K07156189_22_20260123T000916Z.jpg</t>
  </si>
  <si>
    <t>пт 23.01.2026 — 00:09:16</t>
  </si>
  <si>
    <t>K07156189_22_20260123T001131Z.jpg</t>
  </si>
  <si>
    <t>5 Крыльцо общага\K07156189_22_20260123T001131Z.jpg</t>
  </si>
  <si>
    <t>пт 23.01.2026 — 00:11:31</t>
  </si>
  <si>
    <t>K07156189_22_20260123T001343Z.jpg</t>
  </si>
  <si>
    <t>5 Крыльцо общага\K07156189_22_20260123T001343Z.jpg</t>
  </si>
  <si>
    <t>пт 23.01.2026 — 00:13:43</t>
  </si>
  <si>
    <t>K07156189_21_20260122T234349Z.jpg</t>
  </si>
  <si>
    <t>4 Крыльцо офиса\K07156189_21_20260122T234349Z.jpg</t>
  </si>
  <si>
    <t>чт 22.01.2026 — 23:43:49</t>
  </si>
  <si>
    <t>K07156189_21_20260123T000602Z.jpg</t>
  </si>
  <si>
    <t>4 Крыльцо офиса\K07156189_21_20260123T000602Z.jpg</t>
  </si>
  <si>
    <t>пт 23.01.2026 — 00:06:02</t>
  </si>
  <si>
    <t>K07156189_21_20260123T010833Z.jpg</t>
  </si>
  <si>
    <t>4 Крыльцо офиса\K07156189_21_20260123T010833Z.jpg</t>
  </si>
  <si>
    <t>пт 23.01.2026 — 01:08:33</t>
  </si>
  <si>
    <t>K07156189_21_20260123T104614Z.jpg</t>
  </si>
  <si>
    <t>4 Крыльцо офиса\K07156189_21_20260123T104614Z.jpg</t>
  </si>
  <si>
    <t>пт 23.01.2026 — 10:46:14</t>
  </si>
  <si>
    <t>динамика разгрузки с другого ракурса</t>
  </si>
  <si>
    <t>K07156189_22_20260123T092908Z.jpg</t>
  </si>
  <si>
    <t>5 Крыльцо общага\K07156189_22_20260123T092908Z.jpg</t>
  </si>
  <si>
    <t>пт 23.01.2026 — 09:29:08</t>
  </si>
  <si>
    <t>K07156189_22_20260123T093232Z.jpg</t>
  </si>
  <si>
    <t>5 Крыльцо общага\K07156189_22_20260123T093232Z.jpg</t>
  </si>
  <si>
    <t>пт 23.01.2026 — 09:32:32</t>
  </si>
  <si>
    <t>K07156189_22_20260123T093606Z.jpg</t>
  </si>
  <si>
    <t>5 Крыльцо общага\K07156189_22_20260123T093606Z.jpg</t>
  </si>
  <si>
    <t>пт 23.01.2026 — 09:36:06</t>
  </si>
  <si>
    <t>K07156189_22_20260123T093953Z.jpg</t>
  </si>
  <si>
    <t>5 Крыльцо общага\K07156189_22_20260123T093953Z.jpg</t>
  </si>
  <si>
    <t>пт 23.01.2026 — 09:39:53</t>
  </si>
  <si>
    <t>K07156189_22_20260123T094700Z.jpg</t>
  </si>
  <si>
    <t>5 Крыльцо общага\K07156189_22_20260123T094700Z.jpg</t>
  </si>
  <si>
    <t>пт 23.01.2026 — 09:47:00</t>
  </si>
  <si>
    <t>K07156189_22_20260123T095049Z.jpg</t>
  </si>
  <si>
    <t>5 Крыльцо общага\K07156189_22_20260123T095049Z.jpg</t>
  </si>
  <si>
    <t>пт 23.01.2026 — 09:50:49</t>
  </si>
  <si>
    <t>K07156189_22_20260123T095408Z.jpg</t>
  </si>
  <si>
    <t>5 Крыльцо общага\K07156189_22_20260123T095408Z.jpg</t>
  </si>
  <si>
    <t>пт 23.01.2026 — 09:54:08</t>
  </si>
  <si>
    <t>K07156189_22_20260123T095737Z.jpg</t>
  </si>
  <si>
    <t>5 Крыльцо общага\K07156189_22_20260123T095737Z.jpg</t>
  </si>
  <si>
    <t>пт 23.01.2026 — 09:57:37</t>
  </si>
  <si>
    <t>K07156189_22_20260123T100045Z.jpg</t>
  </si>
  <si>
    <t>5 Крыльцо общага\K07156189_22_20260123T100045Z.jpg</t>
  </si>
  <si>
    <t>пт 23.01.2026 — 10:00:45</t>
  </si>
  <si>
    <t>K07156189_22_20260123T100708Z.jpg</t>
  </si>
  <si>
    <t>5 Крыльцо общага\K07156189_22_20260123T100708Z.jpg</t>
  </si>
  <si>
    <t>пт 23.01.2026 — 10:07:08</t>
  </si>
  <si>
    <t>K07156189_22_20260123T101033Z.jpg</t>
  </si>
  <si>
    <t>5 Крыльцо общага\K07156189_22_20260123T101033Z.jpg</t>
  </si>
  <si>
    <t>пт 23.01.2026 — 10:10:33</t>
  </si>
  <si>
    <t>K07156189_22_20260123T101347Z.jpg</t>
  </si>
  <si>
    <t>5 Крыльцо общага\K07156189_22_20260123T101347Z.jpg</t>
  </si>
  <si>
    <t>пт 23.01.2026 — 10:13:47</t>
  </si>
  <si>
    <t>K07156189_22_20260123T101720Z.jpg</t>
  </si>
  <si>
    <t>5 Крыльцо общага\K07156189_22_20260123T101720Z.jpg</t>
  </si>
  <si>
    <t>пт 23.01.2026 — 10:17:20</t>
  </si>
  <si>
    <t>K07156189_22_20260123T102006Z.jpg</t>
  </si>
  <si>
    <t>5 Крыльцо общага\K07156189_22_20260123T102006Z.jpg</t>
  </si>
  <si>
    <t>пт 23.01.2026 — 10:20:06</t>
  </si>
  <si>
    <t>K07156189_22_20260123T102313Z.jpg</t>
  </si>
  <si>
    <t>5 Крыльцо общага\K07156189_22_20260123T102313Z.jpg</t>
  </si>
  <si>
    <t>пт 23.01.2026 — 10:23:13</t>
  </si>
  <si>
    <t>K07156189_22_20260123T102623Z.jpg</t>
  </si>
  <si>
    <t>5 Крыльцо общага\K07156189_22_20260123T102623Z.jpg</t>
  </si>
  <si>
    <t>пт 23.01.2026 — 10:26:23</t>
  </si>
  <si>
    <t>K07156189_22_20260123T102926Z.jpg</t>
  </si>
  <si>
    <t>5 Крыльцо общага\K07156189_22_20260123T102926Z.jpg</t>
  </si>
  <si>
    <t>пт 23.01.2026 — 10:29:26</t>
  </si>
  <si>
    <t>K07156189_22_20260123T103234Z.jpg</t>
  </si>
  <si>
    <t>5 Крыльцо общага\K07156189_22_20260123T103234Z.jpg</t>
  </si>
  <si>
    <t>пт 23.01.2026 — 10:32:34</t>
  </si>
  <si>
    <t>K07156189_22_20260123T103711Z.jpg</t>
  </si>
  <si>
    <t>5 Крыльцо общага\K07156189_22_20260123T103711Z.jpg</t>
  </si>
  <si>
    <t>пт 23.01.2026 — 10:37:11</t>
  </si>
  <si>
    <t>K07156189_22_20260123T104706Z.jpg</t>
  </si>
  <si>
    <t>5 Крыльцо общага\K07156189_22_20260123T104706Z.jpg</t>
  </si>
  <si>
    <t>пт 23.01.2026 — 10:47:06</t>
  </si>
  <si>
    <t>K07156189_22_20260123T150844Z.jpg</t>
  </si>
  <si>
    <t>5 Крыльцо общага\K07156189_22_20260123T150844Z.jpg</t>
  </si>
  <si>
    <t>пт 23.01.2026 — 15:08:44</t>
  </si>
  <si>
    <t>K07156189_22_20260123T172054Z.jpg</t>
  </si>
  <si>
    <t>5 Крыльцо общага\K07156189_22_20260123T172054Z.jpg</t>
  </si>
  <si>
    <t>пт 23.01.2026 — 17:20:54</t>
  </si>
  <si>
    <t>разгрузка с лесовоза с голубой кабиной</t>
  </si>
  <si>
    <t>Доставка для загрузки</t>
  </si>
  <si>
    <t>для лесовоза с голубой кабиной</t>
  </si>
  <si>
    <t>826398429_1_20260123T140302Z.jpg</t>
  </si>
  <si>
    <t>6 Площадка 1 общага\826398429_1_20260123T140302Z.jpg</t>
  </si>
  <si>
    <t>пт 23.01.2026 — 14:03:02</t>
  </si>
  <si>
    <t>E33149364_2_20260123T093716Z.jpg</t>
  </si>
  <si>
    <t>8 Рейсмус\E33149364_2_20260123T093716Z.jpg</t>
  </si>
  <si>
    <t>пт 23.01.2026 — 09:37:16</t>
  </si>
  <si>
    <t>E33149364_2_20260123T113622Z.jpg</t>
  </si>
  <si>
    <t>8 Рейсмус\E33149364_2_20260123T113622Z.jpg</t>
  </si>
  <si>
    <t>пт 23.01.2026 — 11:36:22</t>
  </si>
  <si>
    <t>E33149364_2_20260123T143823Z.jpg</t>
  </si>
  <si>
    <t>8 Рейсмус\E33149364_2_20260123T143823Z.jpg</t>
  </si>
  <si>
    <t>пт 23.01.2026 — 14:38:23</t>
  </si>
  <si>
    <t>E33149364_2_20260123T160505Z.jpg</t>
  </si>
  <si>
    <t>8 Рейсмус\E33149364_2_20260123T160505Z.jpg</t>
  </si>
  <si>
    <t>пт 23.01.2026 — 16:05:05</t>
  </si>
  <si>
    <t>E33149364_2_20260123T204424Z.jpg</t>
  </si>
  <si>
    <t>8 Рейсмус\E33149364_2_20260123T204424Z.jpg</t>
  </si>
  <si>
    <t>пт 23.01.2026 — 20:44:24</t>
  </si>
  <si>
    <t>E33149364_2_20260123T210916Z.jpg</t>
  </si>
  <si>
    <t>8 Рейсмус\E33149364_2_20260123T210916Z.jpg</t>
  </si>
  <si>
    <t>пт 23.01.2026 — 21:09:16</t>
  </si>
  <si>
    <t>E33149364_1_20260123T001613Z.jpg</t>
  </si>
  <si>
    <t>9 Ангар пилорама\E33149364_1_20260123T001613Z.jpg</t>
  </si>
  <si>
    <t>пт 23.01.2026 — 00:16:13</t>
  </si>
  <si>
    <t>E33149364_1_20260123T095017Z.jpg</t>
  </si>
  <si>
    <t>9 Ангар пилорама\E33149364_1_20260123T095017Z.jpg</t>
  </si>
  <si>
    <t>пт 23.01.2026 — 09:50:17</t>
  </si>
  <si>
    <t>E33149364_1_20260123T104854Z.jpg</t>
  </si>
  <si>
    <t>9 Ангар пилорама\E33149364_1_20260123T104854Z.jpg</t>
  </si>
  <si>
    <t>пт 23.01.2026 — 10:48:54</t>
  </si>
  <si>
    <t>E33149364_1_20260123T105406Z.jpg</t>
  </si>
  <si>
    <t>9 Ангар пилорама\E33149364_1_20260123T105406Z.jpg</t>
  </si>
  <si>
    <t>пт 23.01.2026 — 10:54:06</t>
  </si>
  <si>
    <t>E33149364_1_20260123T163428Z.jpg</t>
  </si>
  <si>
    <t>9 Ангар пилорама\E33149364_1_20260123T163428Z.jpg</t>
  </si>
  <si>
    <t>пт 23.01.2026 — 16:34:28</t>
  </si>
  <si>
    <t>E33149364_3_20260123T092302Z.jpg</t>
  </si>
  <si>
    <t>10 Сушилка навес\E33149364_3_20260123T092302Z.jpg</t>
  </si>
  <si>
    <t>пт 23.01.2026 — 09:23:02</t>
  </si>
  <si>
    <t>K07156189_18_20260123T170026Z.jpg</t>
  </si>
  <si>
    <t>7 Площадка 2 бетонщики\K07156189_18_20260123T170026Z.jpg</t>
  </si>
  <si>
    <t>пт 23.01.2026 — 17:00:26</t>
  </si>
  <si>
    <t>очистка бревен от снега</t>
  </si>
  <si>
    <t>прибытие трактора базы</t>
  </si>
  <si>
    <t>E33149364_3_20260123T141232Z.jpg</t>
  </si>
  <si>
    <t>10 Сушилка навес\E33149364_3_20260123T141232Z.jpg</t>
  </si>
  <si>
    <t>пт 23.01.2026 — 14:12:32</t>
  </si>
  <si>
    <t>E33149364_3_20260123T141500Z.jpg</t>
  </si>
  <si>
    <t>10 Сушилка навес\E33149364_3_20260123T141500Z.jpg</t>
  </si>
  <si>
    <t>пт 23.01.2026 — 14:15:00</t>
  </si>
  <si>
    <t>E33149364_4_20260123T092943Z.jpg</t>
  </si>
  <si>
    <t>11 С ангара на базу\E33149364_4_20260123T092943Z.jpg</t>
  </si>
  <si>
    <t>пт 23.01.2026 — 09:29:43</t>
  </si>
  <si>
    <t>E33149364_4_20260123T093002Z.jpg</t>
  </si>
  <si>
    <t>11 С ангара на базу\E33149364_4_20260123T093002Z.jpg</t>
  </si>
  <si>
    <t>пт 23.01.2026 — 09:30:02</t>
  </si>
  <si>
    <t>E33149364_4_20260123T095130Z.jpg</t>
  </si>
  <si>
    <t>11 С ангара на базу\E33149364_4_20260123T095130Z.jpg</t>
  </si>
  <si>
    <t>пт 23.01.2026 — 09:51:30</t>
  </si>
  <si>
    <t>E33149364_4_20260123T103346Z.jpg</t>
  </si>
  <si>
    <t>11 С ангара на базу\E33149364_4_20260123T103346Z.jpg</t>
  </si>
  <si>
    <t>пт 23.01.2026 — 10:33:46</t>
  </si>
  <si>
    <t>E33149364_4_20260123T104942Z.jpg</t>
  </si>
  <si>
    <t>11 С ангара на базу\E33149364_4_20260123T104942Z.jpg</t>
  </si>
  <si>
    <t>пт 23.01.2026 — 10:49:42</t>
  </si>
  <si>
    <t>E33149364_4_20260123T120032Z.jpg</t>
  </si>
  <si>
    <t>11 С ангара на базу\E33149364_4_20260123T120032Z.jpg</t>
  </si>
  <si>
    <t>пт 23.01.2026 — 12:00:32</t>
  </si>
  <si>
    <t>E33149364_4_20260123T120311Z.jpg</t>
  </si>
  <si>
    <t>11 С ангара на базу\E33149364_4_20260123T120311Z.jpg</t>
  </si>
  <si>
    <t>пт 23.01.2026 — 12:03:11</t>
  </si>
  <si>
    <t>E33149364_4_20260123T131103Z.jpg</t>
  </si>
  <si>
    <t>11 С ангара на базу\E33149364_4_20260123T131103Z.jpg</t>
  </si>
  <si>
    <t>пт 23.01.2026 — 13:11:03</t>
  </si>
  <si>
    <t>K07156189_20_20260123T093026Z.jpg</t>
  </si>
  <si>
    <t>12 Площадка 3 кран\K07156189_20_20260123T093026Z.jpg</t>
  </si>
  <si>
    <t>пт 23.01.2026 — 09:30:26</t>
  </si>
  <si>
    <t>K07156189_20_20260123T115611Z.jpg</t>
  </si>
  <si>
    <t>12 Площадка 3 кран\K07156189_20_20260123T115611Z.jpg</t>
  </si>
  <si>
    <t>пт 23.01.2026 — 11:56:11</t>
  </si>
  <si>
    <t>K07156189_20_20260123T140352Z.jpg</t>
  </si>
  <si>
    <t>12 Площадка 3 кран\K07156189_20_20260123T140352Z.jpg</t>
  </si>
  <si>
    <t>пт 23.01.2026 — 14:03:52</t>
  </si>
  <si>
    <t>K07156189_23_20260123T113154Z.jpg</t>
  </si>
  <si>
    <t>13 Склад хол\K07156189_23_20260123T113154Z.jpg</t>
  </si>
  <si>
    <t>пт 23.01.2026 — 11:31:54</t>
  </si>
  <si>
    <t>K07156189_23_20260123T123033Z.jpg</t>
  </si>
  <si>
    <t>13 Склад хол\K07156189_23_20260123T123033Z.jpg</t>
  </si>
  <si>
    <t>пт 23.01.2026 — 12:30:33</t>
  </si>
  <si>
    <t>K07156189_23_20260123T140842Z.jpg</t>
  </si>
  <si>
    <t>13 Склад хол\K07156189_23_20260123T140842Z.jpg</t>
  </si>
  <si>
    <t>пт 23.01.2026 — 14:08:42</t>
  </si>
  <si>
    <t>Сбор опилок в мешок</t>
  </si>
  <si>
    <t>в багажник</t>
  </si>
  <si>
    <t>в багажнике</t>
  </si>
  <si>
    <t>на крышу авто</t>
  </si>
  <si>
    <t>E33149364_7_20260124T085057Z.jpg</t>
  </si>
  <si>
    <t>2 Пилорама поката\E33149364_7_20260124T085057Z.jpg</t>
  </si>
  <si>
    <t>сб 24.01.2026 — 08:50:57</t>
  </si>
  <si>
    <t>E33149364_7_20260125T182912Z.jpg</t>
  </si>
  <si>
    <t>2 Пилорама поката\E33149364_7_20260125T182912Z.jpg</t>
  </si>
  <si>
    <t>вс 25.01.2026 — 18:29:12</t>
  </si>
  <si>
    <t>E33149364_6_20260124T163121Z.jpg</t>
  </si>
  <si>
    <t>1 Ангар Склад 2 въезд\E33149364_6_20260124T163121Z.jpg</t>
  </si>
  <si>
    <t>сб 24.01.2026 — 16:31:21</t>
  </si>
  <si>
    <t>E33149364_6_20260125T162509Z.jpg</t>
  </si>
  <si>
    <t>1 Ангар Склад 2 въезд\E33149364_6_20260125T162509Z.jpg</t>
  </si>
  <si>
    <t>вс 25.01.2026 — 16:25:09</t>
  </si>
  <si>
    <t>E33149364_2_20260124T112837Z.jpg</t>
  </si>
  <si>
    <t>8 Рейсмус\E33149364_2_20260124T112837Z.jpg</t>
  </si>
  <si>
    <t>сб 24.01.2026 — 11:28:37</t>
  </si>
  <si>
    <t>E33149364_2_20260125T163326Z.jpg</t>
  </si>
  <si>
    <t>8 Рейсмус\E33149364_2_20260125T163326Z.jpg</t>
  </si>
  <si>
    <t>вс 25.01.2026 — 16:33:26</t>
  </si>
  <si>
    <t>E33149364_2_20260125T185743Z.jpg</t>
  </si>
  <si>
    <t>8 Рейсмус\E33149364_2_20260125T185743Z.jpg</t>
  </si>
  <si>
    <t>вс 25.01.2026 — 18:57:43</t>
  </si>
  <si>
    <t>E33149364_1_20260124T103151Z.jpg</t>
  </si>
  <si>
    <t>9 Ангар пилорама\E33149364_1_20260124T103151Z.jpg</t>
  </si>
  <si>
    <t>сб 24.01.2026 — 10:31:51</t>
  </si>
  <si>
    <t>E33149364_3_20260125T165645Z.jpg</t>
  </si>
  <si>
    <t>10 Сушилка навес\E33149364_3_20260125T165645Z.jpg</t>
  </si>
  <si>
    <t>вс 25.01.2026 — 16:56:45</t>
  </si>
  <si>
    <t>E33149364_4_20260124T170127Z.jpg</t>
  </si>
  <si>
    <t>11 С ангара на базу\E33149364_4_20260124T170127Z.jpg</t>
  </si>
  <si>
    <t>сб 24.01.2026 — 17:01:27</t>
  </si>
  <si>
    <t>E33149364_4_20260125T165653Z.jpg</t>
  </si>
  <si>
    <t>11 С ангара на базу\E33149364_4_20260125T165653Z.jpg</t>
  </si>
  <si>
    <t>вс 25.01.2026 — 16:56:53</t>
  </si>
  <si>
    <t>K07156189_20_20260124T182645Z.jpg</t>
  </si>
  <si>
    <t>12 Площадка 3 кран\K07156189_20_20260124T182645Z.jpg</t>
  </si>
  <si>
    <t>сб 24.01.2026 — 18:26:45</t>
  </si>
  <si>
    <t>K07156189_20_20260125T183205Z.jpg</t>
  </si>
  <si>
    <t>12 Площадка 3 кран\K07156189_20_20260125T183205Z.jpg</t>
  </si>
  <si>
    <t>вс 25.01.2026 — 18:32:05</t>
  </si>
  <si>
    <t>K07156189_23_20260124T141657Z.jpg</t>
  </si>
  <si>
    <t>13 Склад хол\K07156189_23_20260124T141657Z.jpg</t>
  </si>
  <si>
    <t>сб 24.01.2026 — 14:16:57</t>
  </si>
  <si>
    <t>K07156189_23_20260125T155257Z.jpg</t>
  </si>
  <si>
    <t>13 Склад хол\K07156189_23_20260125T155257Z.jpg</t>
  </si>
  <si>
    <t>вс 25.01.2026 — 15:52:57</t>
  </si>
  <si>
    <t>E33149364_8_20260125T170136Z.jpg</t>
  </si>
  <si>
    <t>вс 25.01.2026 — 17:01:36</t>
  </si>
  <si>
    <t>K07156189_21_20260124T162932Z.jpg</t>
  </si>
  <si>
    <t>4 Крыльцо офиса\K07156189_21_20260124T162932Z.jpg</t>
  </si>
  <si>
    <t>сб 24.01.2026 — 16:29:32</t>
  </si>
  <si>
    <t>K07156189_21_20260125T165935Z.jpg</t>
  </si>
  <si>
    <t>4 Крыльцо офиса\K07156189_21_20260125T165935Z.jpg</t>
  </si>
  <si>
    <t>вс 25.01.2026 — 16:59:35</t>
  </si>
  <si>
    <t>K07156189_22_20260124T171606Z.jpg</t>
  </si>
  <si>
    <t>5 Крыльцо общага\K07156189_22_20260124T171606Z.jpg</t>
  </si>
  <si>
    <t>сб 24.01.2026 — 17:16:06</t>
  </si>
  <si>
    <t>K07156189_22_20260125T171119Z.jpg</t>
  </si>
  <si>
    <t>5 Крыльцо общага\K07156189_22_20260125T171119Z.jpg</t>
  </si>
  <si>
    <t>вс 25.01.2026 — 17:11:19</t>
  </si>
  <si>
    <t>826398429_1_20260124T165512Z.jpg</t>
  </si>
  <si>
    <t>6 Площадка 1 общага\826398429_1_20260124T165512Z.jpg</t>
  </si>
  <si>
    <t>сб 24.01.2026 — 16:55:12</t>
  </si>
  <si>
    <t>826398429_1_20260125T183208Z.jpg</t>
  </si>
  <si>
    <t>6 Площадка 1 общага\826398429_1_20260125T183208Z.jpg</t>
  </si>
  <si>
    <t>вс 25.01.2026 — 18:32:08</t>
  </si>
  <si>
    <t>K07156189_18_20260124T182511Z.jpg</t>
  </si>
  <si>
    <t>7 Площадка 2 бетонщики\K07156189_18_20260124T182511Z.jpg</t>
  </si>
  <si>
    <t>сб 24.01.2026 — 18:25:11</t>
  </si>
  <si>
    <t>K07156189_18_20260125T160216Z.jpg</t>
  </si>
  <si>
    <t>7 Площадка 2 бетонщики\K07156189_18_20260125T160216Z.jpg</t>
  </si>
  <si>
    <t>вс 25.01.2026 — 16:02:16</t>
  </si>
  <si>
    <t>E33149364_1_20260125T162419Z.jpg</t>
  </si>
  <si>
    <t>9 Ангар пилорама\E33149364_1_20260125T162419Z.jpg</t>
  </si>
  <si>
    <t>вс 25.01.2026 — 16:24:19</t>
  </si>
  <si>
    <t>E33149364_3_20260124T111551Z.jpg</t>
  </si>
  <si>
    <t>10 Сушилка навес\E33149364_3_20260124T111551Z.jpg</t>
  </si>
  <si>
    <t>сб 24.01.2026 — 11:15:51</t>
  </si>
  <si>
    <t>Сотрудник с досками</t>
  </si>
  <si>
    <t>E33149364_8_20260124T160859Z.jpg</t>
  </si>
  <si>
    <t>сб 24.01.2026 — 16:08:59</t>
  </si>
  <si>
    <t>E33149364_7_20260126T183126Z.jpg</t>
  </si>
  <si>
    <t>2 Пилорама поката\E33149364_7_20260126T183126Z.jpg</t>
  </si>
  <si>
    <t>пн 26.01.2026 — 18:31:26</t>
  </si>
  <si>
    <t>E33149364_7_20260127T144127Z.jpg</t>
  </si>
  <si>
    <t>2 Пилорама поката\E33149364_7_20260127T144127Z.jpg</t>
  </si>
  <si>
    <t>вт 27.01.2026 — 14:41:27</t>
  </si>
  <si>
    <t>E33149364_6_20260126T164407Z.jpg</t>
  </si>
  <si>
    <t>1 Ангар Склад 2 въезд\E33149364_6_20260126T164407Z.jpg</t>
  </si>
  <si>
    <t>пн 26.01.2026 — 16:44:07</t>
  </si>
  <si>
    <t>E33149364_6_20260127T173031Z.jpg</t>
  </si>
  <si>
    <t>1 Ангар Склад 2 въезд\E33149364_6_20260127T173031Z.jpg</t>
  </si>
  <si>
    <t>вт 27.01.2026 — 17:30:31</t>
  </si>
  <si>
    <t>K07156189_21_20260126T155020Z.jpg</t>
  </si>
  <si>
    <t>4 Крыльцо офиса\K07156189_21_20260126T155020Z.jpg</t>
  </si>
  <si>
    <t>пн 26.01.2026 — 15:50:20</t>
  </si>
  <si>
    <t>K07156189_21_20260127T120234Z.jpg</t>
  </si>
  <si>
    <t>4 Крыльцо офиса\K07156189_21_20260127T120234Z.jpg</t>
  </si>
  <si>
    <t>вт 27.01.2026 — 12:02:34</t>
  </si>
  <si>
    <t>K07156189_22_20260126T171643Z.jpg</t>
  </si>
  <si>
    <t>5 Крыльцо общага\K07156189_22_20260126T171643Z.jpg</t>
  </si>
  <si>
    <t>пн 26.01.2026 — 17:16:43</t>
  </si>
  <si>
    <t>K07156189_22_20260127T145316Z.jpg</t>
  </si>
  <si>
    <t>5 Крыльцо общага\K07156189_22_20260127T145316Z.jpg</t>
  </si>
  <si>
    <t>вт 27.01.2026 — 14:53:16</t>
  </si>
  <si>
    <t>826398429_1_20260126T161809Z.jpg</t>
  </si>
  <si>
    <t>6 Площадка 1 общага\826398429_1_20260126T161809Z.jpg</t>
  </si>
  <si>
    <t>пн 26.01.2026 — 16:18:09</t>
  </si>
  <si>
    <t>826398429_1_20260127T123645Z.jpg</t>
  </si>
  <si>
    <t>6 Площадка 1 общага\826398429_1_20260127T123645Z.jpg</t>
  </si>
  <si>
    <t>вт 27.01.2026 — 12:36:45</t>
  </si>
  <si>
    <t>E33149364_8_20260126T152552Z.jpg</t>
  </si>
  <si>
    <t>пн 26.01.2026 — 15:25:52</t>
  </si>
  <si>
    <t>E33149364_8_20260127T163132Z.jpg</t>
  </si>
  <si>
    <t>вт 27.01.2026 — 16:31:32</t>
  </si>
  <si>
    <t>E33149364_2_20260126T103404Z.jpg</t>
  </si>
  <si>
    <t>8 Рейсмус\E33149364_2_20260126T103404Z.jpg</t>
  </si>
  <si>
    <t>пн 26.01.2026 — 10:34:04</t>
  </si>
  <si>
    <t>E33149364_2_20260126T145157Z.jpg</t>
  </si>
  <si>
    <t>8 Рейсмус\E33149364_2_20260126T145157Z.jpg</t>
  </si>
  <si>
    <t>пн 26.01.2026 — 14:51:57</t>
  </si>
  <si>
    <t>E33149364_2_20260126T164623Z.jpg</t>
  </si>
  <si>
    <t>8 Рейсмус\E33149364_2_20260126T164623Z.jpg</t>
  </si>
  <si>
    <t>пн 26.01.2026 — 16:46:23</t>
  </si>
  <si>
    <t>E33149364_2_20260126T180455Z.jpg</t>
  </si>
  <si>
    <t>8 Рейсмус\E33149364_2_20260126T180455Z.jpg</t>
  </si>
  <si>
    <t>пн 26.01.2026 — 18:04:55</t>
  </si>
  <si>
    <t>E33149364_2_20260127T121953Z.jpg</t>
  </si>
  <si>
    <t>8 Рейсмус\E33149364_2_20260127T121953Z.jpg</t>
  </si>
  <si>
    <t>вт 27.01.2026 — 12:19:53</t>
  </si>
  <si>
    <t>E33149364_2_20260127T145331Z.jpg</t>
  </si>
  <si>
    <t>8 Рейсмус\E33149364_2_20260127T145331Z.jpg</t>
  </si>
  <si>
    <t>вт 27.01.2026 — 14:53:31</t>
  </si>
  <si>
    <t>E33149364_2_20260127T160800Z.jpg</t>
  </si>
  <si>
    <t>8 Рейсмус\E33149364_2_20260127T160800Z.jpg</t>
  </si>
  <si>
    <t>вт 27.01.2026 — 16:08:00</t>
  </si>
  <si>
    <t>E33149364_1_20260126T123228Z.jpg</t>
  </si>
  <si>
    <t>9 Ангар пилорама\E33149364_1_20260126T123228Z.jpg</t>
  </si>
  <si>
    <t>пн 26.01.2026 — 12:32:28</t>
  </si>
  <si>
    <t>E33149364_1_20260126T162414Z.jpg</t>
  </si>
  <si>
    <t>9 Ангар пилорама\E33149364_1_20260126T162414Z.jpg</t>
  </si>
  <si>
    <t>пн 26.01.2026 — 16:24:14</t>
  </si>
  <si>
    <t>E33149364_1_20260127T124119Z.jpg</t>
  </si>
  <si>
    <t>9 Ангар пилорама\E33149364_1_20260127T124119Z.jpg</t>
  </si>
  <si>
    <t>вт 27.01.2026 — 12:41:19</t>
  </si>
  <si>
    <t>E33149364_1_20260127T143614Z.jpg</t>
  </si>
  <si>
    <t>9 Ангар пилорама\E33149364_1_20260127T143614Z.jpg</t>
  </si>
  <si>
    <t>вт 27.01.2026 — 14:36:14</t>
  </si>
  <si>
    <t>E33149364_1_20260127T165846Z.jpg</t>
  </si>
  <si>
    <t>9 Ангар пилорама\E33149364_1_20260127T165846Z.jpg</t>
  </si>
  <si>
    <t>вт 27.01.2026 — 16:58:46</t>
  </si>
  <si>
    <t>E33149364_3_20260126T123255Z.jpg</t>
  </si>
  <si>
    <t>10 Сушилка навес\E33149364_3_20260126T123255Z.jpg</t>
  </si>
  <si>
    <t>пн 26.01.2026 — 12:32:55</t>
  </si>
  <si>
    <t>E33149364_3_20260127T130248Z.jpg</t>
  </si>
  <si>
    <t>10 Сушилка навес\E33149364_3_20260127T130248Z.jpg</t>
  </si>
  <si>
    <t>вт 27.01.2026 — 13:02:48</t>
  </si>
  <si>
    <t>E33149364_3_20260127T161121Z.jpg</t>
  </si>
  <si>
    <t>10 Сушилка навес\E33149364_3_20260127T161121Z.jpg</t>
  </si>
  <si>
    <t>вт 27.01.2026 — 16:11:21</t>
  </si>
  <si>
    <t>E33149364_3_20260127T164312Z.jpg</t>
  </si>
  <si>
    <t>10 Сушилка навес\E33149364_3_20260127T164312Z.jpg</t>
  </si>
  <si>
    <t>вт 27.01.2026 — 16:43:12</t>
  </si>
  <si>
    <t>E33149364_4_20260126T142432Z.jpg</t>
  </si>
  <si>
    <t>11 С ангара на базу\E33149364_4_20260126T142432Z.jpg</t>
  </si>
  <si>
    <t>пн 26.01.2026 — 14:24:32</t>
  </si>
  <si>
    <t>E33149364_4_20260127T145554Z.jpg</t>
  </si>
  <si>
    <t>11 С ангара на базу\E33149364_4_20260127T145554Z.jpg</t>
  </si>
  <si>
    <t>вт 27.01.2026 — 14:55:54</t>
  </si>
  <si>
    <t>K07156189_20_20260126T083203Z.jpg</t>
  </si>
  <si>
    <t>12 Площадка 3 кран\K07156189_20_20260126T083203Z.jpg</t>
  </si>
  <si>
    <t>пн 26.01.2026 — 08:32:03</t>
  </si>
  <si>
    <t>K07156189_20_20260127T123510Z.jpg</t>
  </si>
  <si>
    <t>12 Площадка 3 кран\K07156189_20_20260127T123510Z.jpg</t>
  </si>
  <si>
    <t>вт 27.01.2026 — 12:35:10</t>
  </si>
  <si>
    <t>K07156189_23_20260126T165340Z.jpg</t>
  </si>
  <si>
    <t>13 Склад хол\K07156189_23_20260126T165340Z.jpg</t>
  </si>
  <si>
    <t>пн 26.01.2026 — 16:53:40</t>
  </si>
  <si>
    <t>K07156189_23_20260127T142025Z.jpg</t>
  </si>
  <si>
    <t>13 Склад хол\K07156189_23_20260127T142025Z.jpg</t>
  </si>
  <si>
    <t>вт 27.01.2026 — 14:20:25</t>
  </si>
  <si>
    <t>Сотрудники, мешок</t>
  </si>
  <si>
    <t>K07156189_18_20260126T162141Z.jpg</t>
  </si>
  <si>
    <t>7 Площадка 2 бетонщики\K07156189_18_20260126T162141Z.jpg</t>
  </si>
  <si>
    <t>пн 26.01.2026 — 16:21:41</t>
  </si>
  <si>
    <t>K07156189_18_20260127T140917Z.jpg</t>
  </si>
  <si>
    <t>7 Площадка 2 бетонщики\K07156189_18_20260127T140917Z.jpg</t>
  </si>
  <si>
    <t>вт 27.01.2026 — 14:09:17</t>
  </si>
  <si>
    <t>перенос досок к окну приема бревен</t>
  </si>
  <si>
    <t>Сотрудник с мешком</t>
  </si>
  <si>
    <t>перенос доски</t>
  </si>
  <si>
    <t>перемещние мешка</t>
  </si>
  <si>
    <t>E33149364_7_20260128T145023Z.jpg</t>
  </si>
  <si>
    <t>2 Пилорама поката\E33149364_7_20260128T145023Z.jpg</t>
  </si>
  <si>
    <t>ср 28.01.2026 — 14:50:23</t>
  </si>
  <si>
    <t>E33149364_7_20260128T145512Z.jpg</t>
  </si>
  <si>
    <t>2 Пилорама поката\E33149364_7_20260128T145512Z.jpg</t>
  </si>
  <si>
    <t>ср 28.01.2026 — 14:55:12</t>
  </si>
  <si>
    <t>E33149364_7_20260128T150551Z.jpg</t>
  </si>
  <si>
    <t>2 Пилорама поката\E33149364_7_20260128T150551Z.jpg</t>
  </si>
  <si>
    <t>ср 28.01.2026 — 15:05:51</t>
  </si>
  <si>
    <t>E33149364_7_20260128T152403Z.jpg</t>
  </si>
  <si>
    <t>2 Пилорама поката\E33149364_7_20260128T152403Z.jpg</t>
  </si>
  <si>
    <t>ср 28.01.2026 — 15:24:03</t>
  </si>
  <si>
    <t>E33149364_7_20260129T112116Z.jpg</t>
  </si>
  <si>
    <t>2 Пилорама поката\E33149364_7_20260129T112116Z.jpg</t>
  </si>
  <si>
    <t>чт 29.01.2026 — 11:21:16</t>
  </si>
  <si>
    <t>E33149364_7_20260129T112131Z.jpg</t>
  </si>
  <si>
    <t>2 Пилорама поката\E33149364_7_20260129T112131Z.jpg</t>
  </si>
  <si>
    <t>чт 29.01.2026 — 11:21:31</t>
  </si>
  <si>
    <t>E33149364_7_20260129T112159Z.jpg</t>
  </si>
  <si>
    <t>2 Пилорама поката\E33149364_7_20260129T112159Z.jpg</t>
  </si>
  <si>
    <t>чт 29.01.2026 — 11:21:59</t>
  </si>
  <si>
    <t>E33149364_7_20260129T112213Z.jpg</t>
  </si>
  <si>
    <t>2 Пилорама поката\E33149364_7_20260129T112213Z.jpg</t>
  </si>
  <si>
    <t>чт 29.01.2026 — 11:22:13</t>
  </si>
  <si>
    <t>E33149364_7_20260129T112558Z.jpg</t>
  </si>
  <si>
    <t>2 Пилорама поката\E33149364_7_20260129T112558Z.jpg</t>
  </si>
  <si>
    <t>чт 29.01.2026 — 11:25:58</t>
  </si>
  <si>
    <t>E33149364_7_20260129T124720Z.jpg</t>
  </si>
  <si>
    <t>2 Пилорама поката\E33149364_7_20260129T124720Z.jpg</t>
  </si>
  <si>
    <t>чт 29.01.2026 — 12:47:20</t>
  </si>
  <si>
    <t>E33149364_7_20260129T140826Z.jpg</t>
  </si>
  <si>
    <t>2 Пилорама поката\E33149364_7_20260129T140826Z.jpg</t>
  </si>
  <si>
    <t>чт 29.01.2026 — 14:08:26</t>
  </si>
  <si>
    <t>E33149364_7_20260129T140834Z.jpg</t>
  </si>
  <si>
    <t>2 Пилорама поката\E33149364_7_20260129T140834Z.jpg</t>
  </si>
  <si>
    <t>чт 29.01.2026 — 14:08:34</t>
  </si>
  <si>
    <t>E33149364_7_20260129T141119Z.jpg</t>
  </si>
  <si>
    <t>2 Пилорама поката\E33149364_7_20260129T141119Z.jpg</t>
  </si>
  <si>
    <t>чт 29.01.2026 — 14:11:19</t>
  </si>
  <si>
    <t>E33149364_7_20260129T150014Z.jpg</t>
  </si>
  <si>
    <t>2 Пилорама поката\E33149364_7_20260129T150014Z.jpg</t>
  </si>
  <si>
    <t>чт 29.01.2026 — 15:00:14</t>
  </si>
  <si>
    <t>E33149364_7_20260129T150311Z.jpg</t>
  </si>
  <si>
    <t>2 Пилорама поката\E33149364_7_20260129T150311Z.jpg</t>
  </si>
  <si>
    <t>чт 29.01.2026 — 15:03:11</t>
  </si>
  <si>
    <t>E33149364_7_20260129T150919Z.jpg</t>
  </si>
  <si>
    <t>2 Пилорама поката\E33149364_7_20260129T150919Z.jpg</t>
  </si>
  <si>
    <t>чт 29.01.2026 — 15:09:19</t>
  </si>
  <si>
    <t>E33149364_7_20260129T151247Z.jpg</t>
  </si>
  <si>
    <t>2 Пилорама поката\E33149364_7_20260129T151247Z.jpg</t>
  </si>
  <si>
    <t>чт 29.01.2026 — 15:12:47</t>
  </si>
  <si>
    <t>E33149364_7_20260129T153648Z.jpg</t>
  </si>
  <si>
    <t>2 Пилорама поката\E33149364_7_20260129T153648Z.jpg</t>
  </si>
  <si>
    <t>чт 29.01.2026 — 15:36:48</t>
  </si>
  <si>
    <t>E33149364_7_20260129T160113Z.jpg</t>
  </si>
  <si>
    <t>2 Пилорама поката\E33149364_7_20260129T160113Z.jpg</t>
  </si>
  <si>
    <t>чт 29.01.2026 — 16:01:13</t>
  </si>
  <si>
    <t>E33149364_7_20260129T160412Z.jpg</t>
  </si>
  <si>
    <t>2 Пилорама поката\E33149364_7_20260129T160412Z.jpg</t>
  </si>
  <si>
    <t>чт 29.01.2026 — 16:04:12</t>
  </si>
  <si>
    <t>E33149364_7_20260129T164106Z.jpg</t>
  </si>
  <si>
    <t>2 Пилорама поката\E33149364_7_20260129T164106Z.jpg</t>
  </si>
  <si>
    <t>чт 29.01.2026 — 16:41:06</t>
  </si>
  <si>
    <t>E33149364_7_20260129T164338Z.jpg</t>
  </si>
  <si>
    <t>2 Пилорама поката\E33149364_7_20260129T164338Z.jpg</t>
  </si>
  <si>
    <t>чт 29.01.2026 — 16:43:38</t>
  </si>
  <si>
    <t>E33149364_7_20260129T164409Z.jpg</t>
  </si>
  <si>
    <t>2 Пилорама поката\E33149364_7_20260129T164409Z.jpg</t>
  </si>
  <si>
    <t>чт 29.01.2026 — 16:44:09</t>
  </si>
  <si>
    <t>K07156189_21_20260128T145459Z.jpg</t>
  </si>
  <si>
    <t>4 Крыльцо офиса\K07156189_21_20260128T145459Z.jpg</t>
  </si>
  <si>
    <t>ср 28.01.2026 — 14:54:59</t>
  </si>
  <si>
    <t>K07156189_21_20260129T124054Z.jpg</t>
  </si>
  <si>
    <t>4 Крыльцо офиса\K07156189_21_20260129T124054Z.jpg</t>
  </si>
  <si>
    <t>чт 29.01.2026 — 12:40:54</t>
  </si>
  <si>
    <t>E33149364_6_20260128T171608Z.jpg</t>
  </si>
  <si>
    <t>1 Ангар Склад 2 въезд\E33149364_6_20260128T171608Z.jpg</t>
  </si>
  <si>
    <t>ср 28.01.2026 — 17:16:08</t>
  </si>
  <si>
    <t>E33149364_6_20260129T115201Z.jpg</t>
  </si>
  <si>
    <t>1 Ангар Склад 2 въезд\E33149364_6_20260129T115201Z.jpg</t>
  </si>
  <si>
    <t>чт 29.01.2026 — 11:52:01</t>
  </si>
  <si>
    <t>K07156189_22_20260128T095929Z.jpg</t>
  </si>
  <si>
    <t>5 Крыльцо общага\K07156189_22_20260128T095929Z.jpg</t>
  </si>
  <si>
    <t>ср 28.01.2026 — 09:59:29</t>
  </si>
  <si>
    <t>K07156189_22_20260128T155504Z.jpg</t>
  </si>
  <si>
    <t>5 Крыльцо общага\K07156189_22_20260128T155504Z.jpg</t>
  </si>
  <si>
    <t>ср 28.01.2026 — 15:55:04</t>
  </si>
  <si>
    <t>K07156189_22_20260128T165234Z.jpg</t>
  </si>
  <si>
    <t>5 Крыльцо общага\K07156189_22_20260128T165234Z.jpg</t>
  </si>
  <si>
    <t>ср 28.01.2026 — 16:52:34</t>
  </si>
  <si>
    <t>K07156189_22_20260129T122746Z.jpg</t>
  </si>
  <si>
    <t>5 Крыльцо общага\K07156189_22_20260129T122746Z.jpg</t>
  </si>
  <si>
    <t>чт 29.01.2026 — 12:27:46</t>
  </si>
  <si>
    <t>K07156189_22_20260129T174745Z.jpg</t>
  </si>
  <si>
    <t>5 Крыльцо общага\K07156189_22_20260129T174745Z.jpg</t>
  </si>
  <si>
    <t>чт 29.01.2026 — 17:47:45</t>
  </si>
  <si>
    <t>E33149364_8_20260128T130845Z.jpg</t>
  </si>
  <si>
    <t>ср 28.01.2026 — 13:08:45</t>
  </si>
  <si>
    <t>E33149364_8_20260129T121721Z.jpg</t>
  </si>
  <si>
    <t>чт 29.01.2026 — 12:17:21</t>
  </si>
  <si>
    <t>E33149364_2_20260128T061158Z.jpg</t>
  </si>
  <si>
    <t>8 Рейсмус\E33149364_2_20260128T061158Z.jpg</t>
  </si>
  <si>
    <t>ср 28.01.2026 — 06:11:58</t>
  </si>
  <si>
    <t>E33149364_2_20260128T112020Z.jpg</t>
  </si>
  <si>
    <t>8 Рейсмус\E33149364_2_20260128T112020Z.jpg</t>
  </si>
  <si>
    <t>ср 28.01.2026 — 11:20:20</t>
  </si>
  <si>
    <t>E33149364_2_20260128T145757Z.jpg</t>
  </si>
  <si>
    <t>8 Рейсмус\E33149364_2_20260128T145757Z.jpg</t>
  </si>
  <si>
    <t>ср 28.01.2026 — 14:57:57</t>
  </si>
  <si>
    <t>E33149364_2_20260128T163739Z.jpg</t>
  </si>
  <si>
    <t>8 Рейсмус\E33149364_2_20260128T163739Z.jpg</t>
  </si>
  <si>
    <t>ср 28.01.2026 — 16:37:39</t>
  </si>
  <si>
    <t>E33149364_2_20260128T174158Z.jpg</t>
  </si>
  <si>
    <t>8 Рейсмус\E33149364_2_20260128T174158Z.jpg</t>
  </si>
  <si>
    <t>ср 28.01.2026 — 17:41:58</t>
  </si>
  <si>
    <t>E33149364_2_20260128T204231Z.jpg</t>
  </si>
  <si>
    <t>8 Рейсмус\E33149364_2_20260128T204231Z.jpg</t>
  </si>
  <si>
    <t>ср 28.01.2026 — 20:42:31</t>
  </si>
  <si>
    <t>E33149364_2_20260128T224504Z.jpg</t>
  </si>
  <si>
    <t>8 Рейсмус\E33149364_2_20260128T224504Z.jpg</t>
  </si>
  <si>
    <t>ср 28.01.2026 — 22:45:04</t>
  </si>
  <si>
    <t>E33149364_2_20260129T095051Z.jpg</t>
  </si>
  <si>
    <t>8 Рейсмус\E33149364_2_20260129T095051Z.jpg</t>
  </si>
  <si>
    <t>чт 29.01.2026 — 09:50:51</t>
  </si>
  <si>
    <t>E33149364_2_20260129T101940Z.jpg</t>
  </si>
  <si>
    <t>8 Рейсмус\E33149364_2_20260129T101940Z.jpg</t>
  </si>
  <si>
    <t>чт 29.01.2026 — 10:19:40</t>
  </si>
  <si>
    <t>E33149364_2_20260129T111829Z.jpg</t>
  </si>
  <si>
    <t>8 Рейсмус\E33149364_2_20260129T111829Z.jpg</t>
  </si>
  <si>
    <t>чт 29.01.2026 — 11:18:29</t>
  </si>
  <si>
    <t>E33149364_2_20260129T140906Z.jpg</t>
  </si>
  <si>
    <t>8 Рейсмус\E33149364_2_20260129T140906Z.jpg</t>
  </si>
  <si>
    <t>чт 29.01.2026 — 14:09:06</t>
  </si>
  <si>
    <t>E33149364_2_20260129T154044Z.jpg</t>
  </si>
  <si>
    <t>8 Рейсмус\E33149364_2_20260129T154044Z.jpg</t>
  </si>
  <si>
    <t>чт 29.01.2026 — 15:40:44</t>
  </si>
  <si>
    <t>E33149364_2_20260129T164254Z.jpg</t>
  </si>
  <si>
    <t>8 Рейсмус\E33149364_2_20260129T164254Z.jpg</t>
  </si>
  <si>
    <t>чт 29.01.2026 — 16:42:54</t>
  </si>
  <si>
    <t>826398429_1_20260128T162525Z.jpg</t>
  </si>
  <si>
    <t>6 Площадка 1 общага\826398429_1_20260128T162525Z.jpg</t>
  </si>
  <si>
    <t>ср 28.01.2026 — 16:25:25</t>
  </si>
  <si>
    <t>826398429_1_20260129T162607Z.jpg</t>
  </si>
  <si>
    <t>6 Площадка 1 общага\826398429_1_20260129T162607Z.jpg</t>
  </si>
  <si>
    <t>чт 29.01.2026 — 16:26:07</t>
  </si>
  <si>
    <t>E33149364_1_20260128T091635Z.jpg</t>
  </si>
  <si>
    <t>9 Ангар пилорама\E33149364_1_20260128T091635Z.jpg</t>
  </si>
  <si>
    <t>ср 28.01.2026 — 09:16:35</t>
  </si>
  <si>
    <t>E33149364_1_20260128T100012Z.jpg</t>
  </si>
  <si>
    <t>9 Ангар пилорама\E33149364_1_20260128T100012Z.jpg</t>
  </si>
  <si>
    <t>ср 28.01.2026 — 10:00:12</t>
  </si>
  <si>
    <t>E33149364_1_20260128T100740Z.jpg</t>
  </si>
  <si>
    <t>9 Ангар пилорама\E33149364_1_20260128T100740Z.jpg</t>
  </si>
  <si>
    <t>ср 28.01.2026 — 10:07:40</t>
  </si>
  <si>
    <t>E33149364_1_20260128T100806Z.jpg</t>
  </si>
  <si>
    <t>9 Ангар пилорама\E33149364_1_20260128T100806Z.jpg</t>
  </si>
  <si>
    <t>ср 28.01.2026 — 10:08:06</t>
  </si>
  <si>
    <t>E33149364_1_20260128T153940Z.jpg</t>
  </si>
  <si>
    <t>9 Ангар пилорама\E33149364_1_20260128T153940Z.jpg</t>
  </si>
  <si>
    <t>ср 28.01.2026 — 15:39:40</t>
  </si>
  <si>
    <t>E33149364_1_20260128T154144Z.jpg</t>
  </si>
  <si>
    <t>9 Ангар пилорама\E33149364_1_20260128T154144Z.jpg</t>
  </si>
  <si>
    <t>ср 28.01.2026 — 15:41:44</t>
  </si>
  <si>
    <t>E33149364_1_20260128T212719Z.jpg</t>
  </si>
  <si>
    <t>9 Ангар пилорама\E33149364_1_20260128T212719Z.jpg</t>
  </si>
  <si>
    <t>ср 28.01.2026 — 21:27:19</t>
  </si>
  <si>
    <t>E33149364_1_20260129T104017Z.jpg</t>
  </si>
  <si>
    <t>9 Ангар пилорама\E33149364_1_20260129T104017Z.jpg</t>
  </si>
  <si>
    <t>чт 29.01.2026 — 10:40:17</t>
  </si>
  <si>
    <t>E33149364_1_20260129T115723Z.jpg</t>
  </si>
  <si>
    <t>9 Ангар пилорама\E33149364_1_20260129T115723Z.jpg</t>
  </si>
  <si>
    <t>чт 29.01.2026 — 11:57:23</t>
  </si>
  <si>
    <t>E33149364_1_20260129T123118Z.jpg</t>
  </si>
  <si>
    <t>9 Ангар пилорама\E33149364_1_20260129T123118Z.jpg</t>
  </si>
  <si>
    <t>чт 29.01.2026 — 12:31:18</t>
  </si>
  <si>
    <t>E33149364_1_20260129T125259Z.jpg</t>
  </si>
  <si>
    <t>9 Ангар пилорама\E33149364_1_20260129T125259Z.jpg</t>
  </si>
  <si>
    <t>чт 29.01.2026 — 12:52:59</t>
  </si>
  <si>
    <t>E33149364_1_20260129T160108Z.jpg</t>
  </si>
  <si>
    <t>9 Ангар пилорама\E33149364_1_20260129T160108Z.jpg</t>
  </si>
  <si>
    <t>чт 29.01.2026 — 16:01:08</t>
  </si>
  <si>
    <t>E33149364_3_20260128T100809Z.jpg</t>
  </si>
  <si>
    <t>10 Сушилка навес\E33149364_3_20260128T100809Z.jpg</t>
  </si>
  <si>
    <t>ср 28.01.2026 — 10:08:09</t>
  </si>
  <si>
    <t>E33149364_3_20260128T145004Z.jpg</t>
  </si>
  <si>
    <t>10 Сушилка навес\E33149364_3_20260128T145004Z.jpg</t>
  </si>
  <si>
    <t>ср 28.01.2026 — 14:50:04</t>
  </si>
  <si>
    <t>E33149364_3_20260128T153954Z.jpg</t>
  </si>
  <si>
    <t>10 Сушилка навес\E33149364_3_20260128T153954Z.jpg</t>
  </si>
  <si>
    <t>ср 28.01.2026 — 15:39:54</t>
  </si>
  <si>
    <t>E33149364_3_20260129T124710Z.jpg</t>
  </si>
  <si>
    <t>10 Сушилка навес\E33149364_3_20260129T124710Z.jpg</t>
  </si>
  <si>
    <t>чт 29.01.2026 — 12:47:10</t>
  </si>
  <si>
    <t>E33149364_3_20260129T140358Z.jpg</t>
  </si>
  <si>
    <t>10 Сушилка навес\E33149364_3_20260129T140358Z.jpg</t>
  </si>
  <si>
    <t>чт 29.01.2026 — 14:03:58</t>
  </si>
  <si>
    <t>E33149364_3_20260129T140823Z.jpg</t>
  </si>
  <si>
    <t>10 Сушилка навес\E33149364_3_20260129T140823Z.jpg</t>
  </si>
  <si>
    <t>чт 29.01.2026 — 14:08:23</t>
  </si>
  <si>
    <t>E33149364_3_20260129T150331Z.jpg</t>
  </si>
  <si>
    <t>10 Сушилка навес\E33149364_3_20260129T150331Z.jpg</t>
  </si>
  <si>
    <t>чт 29.01.2026 — 15:03:31</t>
  </si>
  <si>
    <t>E33149364_3_20260129T151234Z.jpg</t>
  </si>
  <si>
    <t>10 Сушилка навес\E33149364_3_20260129T151234Z.jpg</t>
  </si>
  <si>
    <t>чт 29.01.2026 — 15:12:34</t>
  </si>
  <si>
    <t>E33149364_3_20260129T164124Z.jpg</t>
  </si>
  <si>
    <t>10 Сушилка навес\E33149364_3_20260129T164124Z.jpg</t>
  </si>
  <si>
    <t>чт 29.01.2026 — 16:41:24</t>
  </si>
  <si>
    <t>E33149364_3_20260129T170550Z.jpg</t>
  </si>
  <si>
    <t>10 Сушилка навес\E33149364_3_20260129T170550Z.jpg</t>
  </si>
  <si>
    <t>чт 29.01.2026 — 17:05:50</t>
  </si>
  <si>
    <t>E33149364_4_20260128T153939Z.jpg</t>
  </si>
  <si>
    <t>11 С ангара на базу\E33149364_4_20260128T153939Z.jpg</t>
  </si>
  <si>
    <t>ср 28.01.2026 — 15:39:39</t>
  </si>
  <si>
    <t>E33149364_4_20260129T161142Z.jpg</t>
  </si>
  <si>
    <t>11 С ангара на базу\E33149364_4_20260129T161142Z.jpg</t>
  </si>
  <si>
    <t>чт 29.01.2026 — 16:11:42</t>
  </si>
  <si>
    <t>K07156189_20_20260128T100644Z.jpg</t>
  </si>
  <si>
    <t>12 Площадка 3 кран\K07156189_20_20260128T100644Z.jpg</t>
  </si>
  <si>
    <t>ср 28.01.2026 — 10:06:44</t>
  </si>
  <si>
    <t>K07156189_20_20260128T180802Z.jpg</t>
  </si>
  <si>
    <t>12 Площадка 3 кран\K07156189_20_20260128T180802Z.jpg</t>
  </si>
  <si>
    <t>ср 28.01.2026 — 18:08:02</t>
  </si>
  <si>
    <t>K07156189_20_20260129T103320Z.jpg</t>
  </si>
  <si>
    <t>12 Площадка 3 кран\K07156189_20_20260129T103320Z.jpg</t>
  </si>
  <si>
    <t>чт 29.01.2026 — 10:33:20</t>
  </si>
  <si>
    <t>K07156189_20_20260129T124509Z.jpg</t>
  </si>
  <si>
    <t>12 Площадка 3 кран\K07156189_20_20260129T124509Z.jpg</t>
  </si>
  <si>
    <t>чт 29.01.2026 — 12:45:09</t>
  </si>
  <si>
    <t>K07156189_23_20260128T100042Z.jpg</t>
  </si>
  <si>
    <t>13 Склад хол\K07156189_23_20260128T100042Z.jpg</t>
  </si>
  <si>
    <t>ср 28.01.2026 — 10:00:42</t>
  </si>
  <si>
    <t>K07156189_23_20260129T171446Z.jpg</t>
  </si>
  <si>
    <t>13 Склад хол\K07156189_23_20260129T171446Z.jpg</t>
  </si>
  <si>
    <t>чт 29.01.2026 — 17:14:46</t>
  </si>
  <si>
    <t>K07156189_18_20260128T164122Z.jpg</t>
  </si>
  <si>
    <t>7 Площадка 2 бетонщики\K07156189_18_20260128T164122Z.jpg</t>
  </si>
  <si>
    <t>ср 28.01.2026 — 16:41:22</t>
  </si>
  <si>
    <t>K07156189_18_20260129T175209Z.jpg</t>
  </si>
  <si>
    <t>7 Площадка 2 бетонщики\K07156189_18_20260129T175209Z.jpg</t>
  </si>
  <si>
    <t>чт 29.01.2026 — 17:52:09</t>
  </si>
  <si>
    <t>легковая с дугами</t>
  </si>
  <si>
    <t>из окна приема бревен</t>
  </si>
  <si>
    <t>Автотранспорт, очистка бревен</t>
  </si>
  <si>
    <t>от крыльца офиса</t>
  </si>
  <si>
    <t>Манипуляции со станком</t>
  </si>
  <si>
    <t>распил досок</t>
  </si>
  <si>
    <t>E33149364_7_20260130T134217Z.jpg</t>
  </si>
  <si>
    <t>2 Пилорама поката\E33149364_7_20260130T134217Z.jpg</t>
  </si>
  <si>
    <t>пт 30.01.2026 — 13:42:17</t>
  </si>
  <si>
    <t>E33149364_7_20260130T134723Z.jpg</t>
  </si>
  <si>
    <t>2 Пилорама поката\E33149364_7_20260130T134723Z.jpg</t>
  </si>
  <si>
    <t>пт 30.01.2026 — 13:47:23</t>
  </si>
  <si>
    <t>E33149364_8_20260130T103758Z.jpg</t>
  </si>
  <si>
    <t>пт 30.01.2026 — 10:37:58</t>
  </si>
  <si>
    <t>E33149364_8_20260130T175152Z.jpg</t>
  </si>
  <si>
    <t>пт 30.01.2026 — 17:51:52</t>
  </si>
  <si>
    <t>E33149364_6_20260130T084530Z.jpg</t>
  </si>
  <si>
    <t>1 Ангар Склад 2 въезд\E33149364_6_20260130T084530Z.jpg</t>
  </si>
  <si>
    <t>пт 30.01.2026 — 08:45:30</t>
  </si>
  <si>
    <t>E33149364_6_20260130T091943Z.jpg</t>
  </si>
  <si>
    <t>1 Ангар Склад 2 въезд\E33149364_6_20260130T091943Z.jpg</t>
  </si>
  <si>
    <t>пт 30.01.2026 — 09:19:43</t>
  </si>
  <si>
    <t>K07156189_21_20260130T091805Z.jpg</t>
  </si>
  <si>
    <t>4 Крыльцо офиса\K07156189_21_20260130T091805Z.jpg</t>
  </si>
  <si>
    <t>пт 30.01.2026 — 09:18:05</t>
  </si>
  <si>
    <t>K07156189_21_20260130T091831Z.jpg</t>
  </si>
  <si>
    <t>4 Крыльцо офиса\K07156189_21_20260130T091831Z.jpg</t>
  </si>
  <si>
    <t>пт 30.01.2026 — 09:18:31</t>
  </si>
  <si>
    <t>K07156189_22_20260130T100503Z.jpg</t>
  </si>
  <si>
    <t>5 Крыльцо общага\K07156189_22_20260130T100503Z.jpg</t>
  </si>
  <si>
    <t>пт 30.01.2026 — 10:05:03</t>
  </si>
  <si>
    <t>K07156189_22_20260130T142930Z.jpg</t>
  </si>
  <si>
    <t>5 Крыльцо общага\K07156189_22_20260130T142930Z.jpg</t>
  </si>
  <si>
    <t>пт 30.01.2026 — 14:29:30</t>
  </si>
  <si>
    <t>826398429_1_20260130T125900Z.jpg</t>
  </si>
  <si>
    <t>6 Площадка 1 общага\826398429_1_20260130T125900Z.jpg</t>
  </si>
  <si>
    <t>пт 30.01.2026 — 12:59:00</t>
  </si>
  <si>
    <t>E33149364_2_20260130T091624Z.jpg</t>
  </si>
  <si>
    <t>8 Рейсмус\E33149364_2_20260130T091624Z.jpg</t>
  </si>
  <si>
    <t>пт 30.01.2026 — 09:16:24</t>
  </si>
  <si>
    <t>E33149364_2_20260130T115317Z.jpg</t>
  </si>
  <si>
    <t>8 Рейсмус\E33149364_2_20260130T115317Z.jpg</t>
  </si>
  <si>
    <t>пт 30.01.2026 — 11:53:17</t>
  </si>
  <si>
    <t>E33149364_2_20260130T121450Z.jpg</t>
  </si>
  <si>
    <t>8 Рейсмус\E33149364_2_20260130T121450Z.jpg</t>
  </si>
  <si>
    <t>пт 30.01.2026 — 12:14:50</t>
  </si>
  <si>
    <t>E33149364_2_20260130T145910Z.jpg</t>
  </si>
  <si>
    <t>8 Рейсмус\E33149364_2_20260130T145910Z.jpg</t>
  </si>
  <si>
    <t>пт 30.01.2026 — 14:59:10</t>
  </si>
  <si>
    <t>E33149364_2_20260130T152222Z.jpg</t>
  </si>
  <si>
    <t>8 Рейсмус\E33149364_2_20260130T152222Z.jpg</t>
  </si>
  <si>
    <t>пт 30.01.2026 — 15:22:22</t>
  </si>
  <si>
    <t>E33149364_2_20260130T152527Z.jpg</t>
  </si>
  <si>
    <t>8 Рейсмус\E33149364_2_20260130T152527Z.jpg</t>
  </si>
  <si>
    <t>пт 30.01.2026 — 15:25:27</t>
  </si>
  <si>
    <t>E33149364_2_20260130T153803Z.jpg</t>
  </si>
  <si>
    <t>8 Рейсмус\E33149364_2_20260130T153803Z.jpg</t>
  </si>
  <si>
    <t>пт 30.01.2026 — 15:38:03</t>
  </si>
  <si>
    <t>E33149364_2_20260130T162000Z.jpg</t>
  </si>
  <si>
    <t>8 Рейсмус\E33149364_2_20260130T162000Z.jpg</t>
  </si>
  <si>
    <t>пт 30.01.2026 — 16:20:00</t>
  </si>
  <si>
    <t>E33149364_1_20260130T093449Z.jpg</t>
  </si>
  <si>
    <t>9 Ангар пилорама\E33149364_1_20260130T093449Z.jpg</t>
  </si>
  <si>
    <t>пт 30.01.2026 — 09:34:49</t>
  </si>
  <si>
    <t>E33149364_1_20260130T095645Z.jpg</t>
  </si>
  <si>
    <t>9 Ангар пилорама\E33149364_1_20260130T095645Z.jpg</t>
  </si>
  <si>
    <t>пт 30.01.2026 — 09:56:45</t>
  </si>
  <si>
    <t>E33149364_1_20260130T172001Z.jpg</t>
  </si>
  <si>
    <t>9 Ангар пилорама\E33149364_1_20260130T172001Z.jpg</t>
  </si>
  <si>
    <t>пт 30.01.2026 — 17:20:01</t>
  </si>
  <si>
    <t>E33149364_3_20260130T090022Z.jpg</t>
  </si>
  <si>
    <t>10 Сушилка навес\E33149364_3_20260130T090022Z.jpg</t>
  </si>
  <si>
    <t>пт 30.01.2026 — 09:00:22</t>
  </si>
  <si>
    <t>E33149364_3_20260130T091148Z.jpg</t>
  </si>
  <si>
    <t>10 Сушилка навес\E33149364_3_20260130T091148Z.jpg</t>
  </si>
  <si>
    <t>пт 30.01.2026 — 09:11:48</t>
  </si>
  <si>
    <t>E33149364_3_20260130T091154Z.jpg</t>
  </si>
  <si>
    <t>10 Сушилка навес\E33149364_3_20260130T091154Z.jpg</t>
  </si>
  <si>
    <t>пт 30.01.2026 — 09:11:54</t>
  </si>
  <si>
    <t>E33149364_3_20260130T091207Z.jpg</t>
  </si>
  <si>
    <t>10 Сушилка навес\E33149364_3_20260130T091207Z.jpg</t>
  </si>
  <si>
    <t>пт 30.01.2026 — 09:12:07</t>
  </si>
  <si>
    <t>E33149364_3_20260130T091238Z.jpg</t>
  </si>
  <si>
    <t>10 Сушилка навес\E33149364_3_20260130T091238Z.jpg</t>
  </si>
  <si>
    <t>пт 30.01.2026 — 09:12:38</t>
  </si>
  <si>
    <t>E33149364_3_20260130T091340Z.jpg</t>
  </si>
  <si>
    <t>10 Сушилка навес\E33149364_3_20260130T091340Z.jpg</t>
  </si>
  <si>
    <t>пт 30.01.2026 — 09:13:40</t>
  </si>
  <si>
    <t>E33149364_3_20260130T095133Z.jpg</t>
  </si>
  <si>
    <t>10 Сушилка навес\E33149364_3_20260130T095133Z.jpg</t>
  </si>
  <si>
    <t>пт 30.01.2026 — 09:51:33</t>
  </si>
  <si>
    <t>E33149364_3_20260130T134205Z.jpg</t>
  </si>
  <si>
    <t>10 Сушилка навес\E33149364_3_20260130T134205Z.jpg</t>
  </si>
  <si>
    <t>пт 30.01.2026 — 13:42:05</t>
  </si>
  <si>
    <t>E33149364_3_20260130T134746Z.jpg</t>
  </si>
  <si>
    <t>10 Сушилка навес\E33149364_3_20260130T134746Z.jpg</t>
  </si>
  <si>
    <t>пт 30.01.2026 — 13:47:46</t>
  </si>
  <si>
    <t>E33149364_3_20260130T143328Z.jpg</t>
  </si>
  <si>
    <t>10 Сушилка навес\E33149364_3_20260130T143328Z.jpg</t>
  </si>
  <si>
    <t>пт 30.01.2026 — 14:33:28</t>
  </si>
  <si>
    <t>E33149364_3_20260130T212848Z.jpg</t>
  </si>
  <si>
    <t>10 Сушилка навес\E33149364_3_20260130T212848Z.jpg</t>
  </si>
  <si>
    <t>пт 30.01.2026 — 21:28:48</t>
  </si>
  <si>
    <t>E33149364_4_20260130T170742Z.jpg</t>
  </si>
  <si>
    <t>11 С ангара на базу\E33149364_4_20260130T170742Z.jpg</t>
  </si>
  <si>
    <t>пт 30.01.2026 — 17:07:42</t>
  </si>
  <si>
    <t>E33149364_4_20260130T172509Z.jpg</t>
  </si>
  <si>
    <t>11 С ангара на базу\E33149364_4_20260130T172509Z.jpg</t>
  </si>
  <si>
    <t>пт 30.01.2026 — 17:25:09</t>
  </si>
  <si>
    <t>K07156189_20_20260130T113338Z.jpg</t>
  </si>
  <si>
    <t>12 Площадка 3 кран\K07156189_20_20260130T113338Z.jpg</t>
  </si>
  <si>
    <t>пт 30.01.2026 — 11:33:38</t>
  </si>
  <si>
    <t>K07156189_20_20260130T132851Z.jpg</t>
  </si>
  <si>
    <t>12 Площадка 3 кран\K07156189_20_20260130T132851Z.jpg</t>
  </si>
  <si>
    <t>пт 30.01.2026 — 13:28:51</t>
  </si>
  <si>
    <t>K07156189_23_20260130T160640Z.jpg</t>
  </si>
  <si>
    <t>13 Склад хол\K07156189_23_20260130T160640Z.jpg</t>
  </si>
  <si>
    <t>пт 30.01.2026 — 16:06:40</t>
  </si>
  <si>
    <t>K07156189_18_20260130T180035Z.jpg</t>
  </si>
  <si>
    <t>7 Площадка 2 бетонщики\K07156189_18_20260130T180035Z.jpg</t>
  </si>
  <si>
    <t>пт 30.01.2026 — 18:00:35</t>
  </si>
  <si>
    <t>спилы дерева</t>
  </si>
  <si>
    <t>работа на стене навеса</t>
  </si>
  <si>
    <t>работа с бревном слева в кадре</t>
  </si>
  <si>
    <t>E33149364_6_20260131T114200Z.jpg</t>
  </si>
  <si>
    <t>1 Ангар Склад 2 въезд\E33149364_6_20260131T114200Z.jpg</t>
  </si>
  <si>
    <t>сб 31.01.2026 — 11:42:00</t>
  </si>
  <si>
    <t>E33149364_6_20260131T120943Z.jpg</t>
  </si>
  <si>
    <t>1 Ангар Склад 2 въезд\E33149364_6_20260131T120943Z.jpg</t>
  </si>
  <si>
    <t>сб 31.01.2026 — 12:09:43</t>
  </si>
  <si>
    <t>E33149364_6_20260131T172238Z.jpg</t>
  </si>
  <si>
    <t>1 Ангар Склад 2 въезд\E33149364_6_20260131T172238Z.jpg</t>
  </si>
  <si>
    <t>сб 31.01.2026 — 17:22:38</t>
  </si>
  <si>
    <t>E33149364_6_20260201T160321Z.jpg</t>
  </si>
  <si>
    <t>1 Ангар Склад 2 въезд\E33149364_6_20260201T160321Z.jpg</t>
  </si>
  <si>
    <t>вс 01.02.2026 — 16:03:21</t>
  </si>
  <si>
    <t>E33149364_7_20260131T084147Z.jpg</t>
  </si>
  <si>
    <t>2 Пилорама поката\E33149364_7_20260131T084147Z.jpg</t>
  </si>
  <si>
    <t>сб 31.01.2026 — 08:41:47</t>
  </si>
  <si>
    <t>E33149364_7_20260201T172242Z.jpg</t>
  </si>
  <si>
    <t>2 Пилорама поката\E33149364_7_20260201T172242Z.jpg</t>
  </si>
  <si>
    <t>вс 01.02.2026 — 17:22:42</t>
  </si>
  <si>
    <t>K07156189_21_20260131T114235Z.jpg</t>
  </si>
  <si>
    <t>4 Крыльцо офиса\K07156189_21_20260131T114235Z.jpg</t>
  </si>
  <si>
    <t>сб 31.01.2026 — 11:42:35</t>
  </si>
  <si>
    <t>K07156189_21_20260201T165812Z.jpg</t>
  </si>
  <si>
    <t>4 Крыльцо офиса\K07156189_21_20260201T165812Z.jpg</t>
  </si>
  <si>
    <t>вс 01.02.2026 — 16:58:12</t>
  </si>
  <si>
    <t>826398429_1_20260131T110733Z.jpg</t>
  </si>
  <si>
    <t>6 Площадка 1 общага\826398429_1_20260131T110733Z.jpg</t>
  </si>
  <si>
    <t>сб 31.01.2026 — 11:07:33</t>
  </si>
  <si>
    <t>826398429_1_20260201T164531Z.jpg</t>
  </si>
  <si>
    <t>6 Площадка 1 общага\826398429_1_20260201T164531Z.jpg</t>
  </si>
  <si>
    <t>вс 01.02.2026 — 16:45:31</t>
  </si>
  <si>
    <t>E33149364_2_20260131T114838Z.jpg</t>
  </si>
  <si>
    <t>8 Рейсмус\E33149364_2_20260131T114838Z.jpg</t>
  </si>
  <si>
    <t>сб 31.01.2026 — 11:48:38</t>
  </si>
  <si>
    <t>E33149364_2_20260201T114844Z.jpg</t>
  </si>
  <si>
    <t>8 Рейсмус\E33149364_2_20260201T114844Z.jpg</t>
  </si>
  <si>
    <t>вс 01.02.2026 — 11:48:44</t>
  </si>
  <si>
    <t>E33149364_1_20260131T120701Z.jpg</t>
  </si>
  <si>
    <t>9 Ангар пилорама\E33149364_1_20260131T120701Z.jpg</t>
  </si>
  <si>
    <t>сб 31.01.2026 — 12:07:01</t>
  </si>
  <si>
    <t>E33149364_1_20260201T122350Z.jpg</t>
  </si>
  <si>
    <t>9 Ангар пилорама\E33149364_1_20260201T122350Z.jpg</t>
  </si>
  <si>
    <t>вс 01.02.2026 — 12:23:50</t>
  </si>
  <si>
    <t>E33149364_4_20260131T183137Z.jpg</t>
  </si>
  <si>
    <t>11 С ангара на базу\E33149364_4_20260131T183137Z.jpg</t>
  </si>
  <si>
    <t>сб 31.01.2026 — 18:31:37</t>
  </si>
  <si>
    <t>K07156189_23_20260131T212746Z.jpg</t>
  </si>
  <si>
    <t>13 Склад хол\K07156189_23_20260131T212746Z.jpg</t>
  </si>
  <si>
    <t>сб 31.01.2026 — 21:27:46</t>
  </si>
  <si>
    <t>K07156189_23_20260201T144238Z.jpg</t>
  </si>
  <si>
    <t>13 Склад хол\K07156189_23_20260201T144238Z.jpg</t>
  </si>
  <si>
    <t>вс 01.02.2026 — 14:42:38</t>
  </si>
  <si>
    <t>E33149364_8_20260131T114212Z.jpg</t>
  </si>
  <si>
    <t>сб 31.01.2026 — 11:42:12</t>
  </si>
  <si>
    <t>E33149364_8_20260201T172346Z.jpg</t>
  </si>
  <si>
    <t>вс 01.02.2026 — 17:23:46</t>
  </si>
  <si>
    <t>K07156189_22_20260131T172301Z.jpg</t>
  </si>
  <si>
    <t>5 Крыльцо общага\K07156189_22_20260131T172301Z.jpg</t>
  </si>
  <si>
    <t>сб 31.01.2026 — 17:23:01</t>
  </si>
  <si>
    <t>K07156189_22_20260131T172647Z.jpg</t>
  </si>
  <si>
    <t>5 Крыльцо общага\K07156189_22_20260131T172647Z.jpg</t>
  </si>
  <si>
    <t>сб 31.01.2026 — 17:26:47</t>
  </si>
  <si>
    <t>K07156189_22_20260201T110832Z.jpg</t>
  </si>
  <si>
    <t>5 Крыльцо общага\K07156189_22_20260201T110832Z.jpg</t>
  </si>
  <si>
    <t>вс 01.02.2026 — 11:08:32</t>
  </si>
  <si>
    <t>E33149364_3_20260131T115018Z.jpg</t>
  </si>
  <si>
    <t>10 Сушилка навес\E33149364_3_20260131T115018Z.jpg</t>
  </si>
  <si>
    <t>сб 31.01.2026 — 11:50:18</t>
  </si>
  <si>
    <t>E33149364_3_20260131T115204Z.jpg</t>
  </si>
  <si>
    <t>10 Сушилка навес\E33149364_3_20260131T115204Z.jpg</t>
  </si>
  <si>
    <t>сб 31.01.2026 — 11:52:04</t>
  </si>
  <si>
    <t>E33149364_3_20260131T115337Z.jpg</t>
  </si>
  <si>
    <t>10 Сушилка навес\E33149364_3_20260131T115337Z.jpg</t>
  </si>
  <si>
    <t>сб 31.01.2026 — 11:53:37</t>
  </si>
  <si>
    <t>E33149364_3_20260131T115506Z.jpg</t>
  </si>
  <si>
    <t>10 Сушилка навес\E33149364_3_20260131T115506Z.jpg</t>
  </si>
  <si>
    <t>сб 31.01.2026 — 11:55:06</t>
  </si>
  <si>
    <t>E33149364_3_20260131T115633Z.jpg</t>
  </si>
  <si>
    <t>10 Сушилка навес\E33149364_3_20260131T115633Z.jpg</t>
  </si>
  <si>
    <t>сб 31.01.2026 — 11:56:33</t>
  </si>
  <si>
    <t>E33149364_3_20260131T115803Z.jpg</t>
  </si>
  <si>
    <t>10 Сушилка навес\E33149364_3_20260131T115803Z.jpg</t>
  </si>
  <si>
    <t>сб 31.01.2026 — 11:58:03</t>
  </si>
  <si>
    <t>E33149364_3_20260131T115946Z.jpg</t>
  </si>
  <si>
    <t>10 Сушилка навес\E33149364_3_20260131T115946Z.jpg</t>
  </si>
  <si>
    <t>сб 31.01.2026 — 11:59:46</t>
  </si>
  <si>
    <t>E33149364_3_20260131T120116Z.jpg</t>
  </si>
  <si>
    <t>10 Сушилка навес\E33149364_3_20260131T120116Z.jpg</t>
  </si>
  <si>
    <t>сб 31.01.2026 — 12:01:16</t>
  </si>
  <si>
    <t>E33149364_3_20260131T120324Z.jpg</t>
  </si>
  <si>
    <t>10 Сушилка навес\E33149364_3_20260131T120324Z.jpg</t>
  </si>
  <si>
    <t>сб 31.01.2026 — 12:03:24</t>
  </si>
  <si>
    <t>E33149364_3_20260131T120447Z.jpg</t>
  </si>
  <si>
    <t>10 Сушилка навес\E33149364_3_20260131T120447Z.jpg</t>
  </si>
  <si>
    <t>сб 31.01.2026 — 12:04:47</t>
  </si>
  <si>
    <t>E33149364_3_20260131T120707Z.jpg</t>
  </si>
  <si>
    <t>10 Сушилка навес\E33149364_3_20260131T120707Z.jpg</t>
  </si>
  <si>
    <t>сб 31.01.2026 — 12:07:07</t>
  </si>
  <si>
    <t>E33149364_3_20260131T120735Z.jpg</t>
  </si>
  <si>
    <t>10 Сушилка навес\E33149364_3_20260131T120735Z.jpg</t>
  </si>
  <si>
    <t>сб 31.01.2026 — 12:07:35</t>
  </si>
  <si>
    <t>E33149364_3_20260201T123215Z.jpg</t>
  </si>
  <si>
    <t>10 Сушилка навес\E33149364_3_20260201T123215Z.jpg</t>
  </si>
  <si>
    <t>вс 01.02.2026 — 12:32:15</t>
  </si>
  <si>
    <t>E33149364_3_20260201T124520Z.jpg</t>
  </si>
  <si>
    <t>10 Сушилка навес\E33149364_3_20260201T124520Z.jpg</t>
  </si>
  <si>
    <t>вс 01.02.2026 — 12:45:20</t>
  </si>
  <si>
    <t>K07156189_20_20260131T183703Z.jpg</t>
  </si>
  <si>
    <t>12 Площадка 3 кран\K07156189_20_20260131T183703Z.jpg</t>
  </si>
  <si>
    <t>сб 31.01.2026 — 18:37:03</t>
  </si>
  <si>
    <t>K07156189_20_20260201T080822Z.jpg</t>
  </si>
  <si>
    <t>12 Площадка 3 кран\K07156189_20_20260201T080822Z.jpg</t>
  </si>
  <si>
    <t>вс 01.02.2026 — 08:08:22</t>
  </si>
  <si>
    <t>ТагАЗ Road белый</t>
  </si>
  <si>
    <t>Daewoo Nexia белый</t>
  </si>
  <si>
    <t>вызд с территории по камерам не наблюдался</t>
  </si>
  <si>
    <t>K07156189_18_20260131T175952Z.jpg</t>
  </si>
  <si>
    <t>7 Площадка 2 бетонщики\K07156189_18_20260131T175952Z.jpg</t>
  </si>
  <si>
    <t>сб 31.01.2026 — 17:59:52</t>
  </si>
  <si>
    <t>K07156189_18_20260201T105335Z.jpg</t>
  </si>
  <si>
    <t>7 Площадка 2 бетонщики\K07156189_18_20260201T105335Z.jpg</t>
  </si>
  <si>
    <t>вс 01.02.2026 — 10:53:35</t>
  </si>
  <si>
    <t>Перенос мешков с опилками</t>
  </si>
  <si>
    <t>Водитель легковой</t>
  </si>
  <si>
    <t>E33149364_4_20260201T183137Z.jpg</t>
  </si>
  <si>
    <t>11 С ангара на базу\E33149364_4_20260201T183137Z.jpg</t>
  </si>
  <si>
    <t>вс 01.02.2026 — 18:31:37</t>
  </si>
  <si>
    <t>нет записей камеры</t>
  </si>
  <si>
    <t>E33149364_7_20260202T155935Z.jpg</t>
  </si>
  <si>
    <t>2 Пилорама поката\E33149364_7_20260202T155935Z.jpg</t>
  </si>
  <si>
    <t>пн 02.02.2026 — 15:59:35</t>
  </si>
  <si>
    <t>E33149364_7_20260203T144526Z.jpg</t>
  </si>
  <si>
    <t>2 Пилорама поката\E33149364_7_20260203T144526Z.jpg</t>
  </si>
  <si>
    <t>вт 03.02.2026 — 14:45:26</t>
  </si>
  <si>
    <t>E33149364_6_20260202T171915Z.jpg</t>
  </si>
  <si>
    <t>1 Ангар Склад 2 въезд\E33149364_6_20260202T171915Z.jpg</t>
  </si>
  <si>
    <t>пн 02.02.2026 — 17:19:15</t>
  </si>
  <si>
    <t>E33149364_6_20260203T104127Z.jpg</t>
  </si>
  <si>
    <t>1 Ангар Склад 2 въезд\E33149364_6_20260203T104127Z.jpg</t>
  </si>
  <si>
    <t>вт 03.02.2026 — 10:41:27</t>
  </si>
  <si>
    <t>E33149364_6_20260203T133708Z.jpg</t>
  </si>
  <si>
    <t>1 Ангар Склад 2 въезд\E33149364_6_20260203T133708Z.jpg</t>
  </si>
  <si>
    <t>вт 03.02.2026 — 13:37:08</t>
  </si>
  <si>
    <t>E33149364_6_20260203T190330Z.jpg</t>
  </si>
  <si>
    <t>1 Ангар Склад 2 въезд\E33149364_6_20260203T190330Z.jpg</t>
  </si>
  <si>
    <t>вт 03.02.2026 — 19:03:30</t>
  </si>
  <si>
    <t>E33149364_6_20260203T200535Z.jpg</t>
  </si>
  <si>
    <t>1 Ангар Склад 2 въезд\E33149364_6_20260203T200535Z.jpg</t>
  </si>
  <si>
    <t>вт 03.02.2026 — 20:05:35</t>
  </si>
  <si>
    <t>K07156189_22_20260202T104500Z.jpg</t>
  </si>
  <si>
    <t>5 Крыльцо общага\K07156189_22_20260202T104500Z.jpg</t>
  </si>
  <si>
    <t>пн 02.02.2026 — 10:45:00</t>
  </si>
  <si>
    <t>K07156189_22_20260202T175937Z.jpg</t>
  </si>
  <si>
    <t>5 Крыльцо общага\K07156189_22_20260202T175937Z.jpg</t>
  </si>
  <si>
    <t>пн 02.02.2026 — 17:59:37</t>
  </si>
  <si>
    <t>K07156189_22_20260203T092644Z.jpg</t>
  </si>
  <si>
    <t>5 Крыльцо общага\K07156189_22_20260203T092644Z.jpg</t>
  </si>
  <si>
    <t>вт 03.02.2026 — 09:26:44</t>
  </si>
  <si>
    <t>K07156189_22_20260203T163139Z.jpg</t>
  </si>
  <si>
    <t>5 Крыльцо общага\K07156189_22_20260203T163139Z.jpg</t>
  </si>
  <si>
    <t>вт 03.02.2026 — 16:31:39</t>
  </si>
  <si>
    <t>E33149364_8_20260202T101543Z.jpg</t>
  </si>
  <si>
    <t>пн 02.02.2026 — 10:15:43</t>
  </si>
  <si>
    <t>E33149364_8_20260203T104152Z.jpg</t>
  </si>
  <si>
    <t>вт 03.02.2026 — 10:41:52</t>
  </si>
  <si>
    <t>E33149364_8_20260203T164927Z.jpg</t>
  </si>
  <si>
    <t>вт 03.02.2026 — 16:49:27</t>
  </si>
  <si>
    <t>826398429_1_20260202T120017Z.jpg</t>
  </si>
  <si>
    <t>6 Площадка 1 общага\826398429_1_20260202T120017Z.jpg</t>
  </si>
  <si>
    <t>пн 02.02.2026 — 12:00:17</t>
  </si>
  <si>
    <t>826398429_1_20260203T171143Z.jpg</t>
  </si>
  <si>
    <t>6 Площадка 1 общага\826398429_1_20260203T171143Z.jpg</t>
  </si>
  <si>
    <t>вт 03.02.2026 — 17:11:43</t>
  </si>
  <si>
    <t>K07156189_21_20260202T155524Z.jpg</t>
  </si>
  <si>
    <t>4 Крыльцо офиса\K07156189_21_20260202T155524Z.jpg</t>
  </si>
  <si>
    <t>пн 02.02.2026 — 15:55:24</t>
  </si>
  <si>
    <t>K07156189_21_20260203T190001Z.jpg</t>
  </si>
  <si>
    <t>4 Крыльцо офиса\K07156189_21_20260203T190001Z.jpg</t>
  </si>
  <si>
    <t>вт 03.02.2026 — 19:00:01</t>
  </si>
  <si>
    <t>K07156189_21_20260203T190323Z.jpg</t>
  </si>
  <si>
    <t>4 Крыльцо офиса\K07156189_21_20260203T190323Z.jpg</t>
  </si>
  <si>
    <t>вт 03.02.2026 — 19:03:23</t>
  </si>
  <si>
    <t>K07156189_21_20260203T200545Z.jpg</t>
  </si>
  <si>
    <t>4 Крыльцо офиса\K07156189_21_20260203T200545Z.jpg</t>
  </si>
  <si>
    <t>вт 03.02.2026 — 20:05:45</t>
  </si>
  <si>
    <t>E33149364_2_20260202T092619Z.jpg</t>
  </si>
  <si>
    <t>8 Рейсмус\E33149364_2_20260202T092619Z.jpg</t>
  </si>
  <si>
    <t>пн 02.02.2026 — 09:26:19</t>
  </si>
  <si>
    <t>E33149364_2_20260202T115135Z.jpg</t>
  </si>
  <si>
    <t>8 Рейсмус\E33149364_2_20260202T115135Z.jpg</t>
  </si>
  <si>
    <t>пн 02.02.2026 — 11:51:35</t>
  </si>
  <si>
    <t>E33149364_2_20260202T153232Z.jpg</t>
  </si>
  <si>
    <t>8 Рейсмус\E33149364_2_20260202T153232Z.jpg</t>
  </si>
  <si>
    <t>пн 02.02.2026 — 15:32:32</t>
  </si>
  <si>
    <t>E33149364_2_20260202T163141Z.jpg</t>
  </si>
  <si>
    <t>8 Рейсмус\E33149364_2_20260202T163141Z.jpg</t>
  </si>
  <si>
    <t>пн 02.02.2026 — 16:31:41</t>
  </si>
  <si>
    <t>E33149364_2_20260203T122136Z.jpg</t>
  </si>
  <si>
    <t>8 Рейсмус\E33149364_2_20260203T122136Z.jpg</t>
  </si>
  <si>
    <t>вт 03.02.2026 — 12:21:36</t>
  </si>
  <si>
    <t>E33149364_2_20260203T153729Z.jpg</t>
  </si>
  <si>
    <t>8 Рейсмус\E33149364_2_20260203T153729Z.jpg</t>
  </si>
  <si>
    <t>вт 03.02.2026 — 15:37:29</t>
  </si>
  <si>
    <t>E33149364_2_20260203T154737Z.jpg</t>
  </si>
  <si>
    <t>8 Рейсмус\E33149364_2_20260203T154737Z.jpg</t>
  </si>
  <si>
    <t>вт 03.02.2026 — 15:47:37</t>
  </si>
  <si>
    <t>E33149364_2_20260203T210330Z.jpg</t>
  </si>
  <si>
    <t>8 Рейсмус\E33149364_2_20260203T210330Z.jpg</t>
  </si>
  <si>
    <t>вт 03.02.2026 — 21:03:30</t>
  </si>
  <si>
    <t>E33149364_2_20260203T215006Z.jpg</t>
  </si>
  <si>
    <t>8 Рейсмус\E33149364_2_20260203T215006Z.jpg</t>
  </si>
  <si>
    <t>вт 03.02.2026 — 21:50:06</t>
  </si>
  <si>
    <t>E33149364_1_20260202T093049Z.jpg</t>
  </si>
  <si>
    <t>9 Ангар пилорама\E33149364_1_20260202T093049Z.jpg</t>
  </si>
  <si>
    <t>пн 02.02.2026 — 09:30:49</t>
  </si>
  <si>
    <t>E33149364_1_20260202T094403Z.jpg</t>
  </si>
  <si>
    <t>9 Ангар пилорама\E33149364_1_20260202T094403Z.jpg</t>
  </si>
  <si>
    <t>пн 02.02.2026 — 09:44:03</t>
  </si>
  <si>
    <t>E33149364_1_20260202T095914Z.jpg</t>
  </si>
  <si>
    <t>9 Ангар пилорама\E33149364_1_20260202T095914Z.jpg</t>
  </si>
  <si>
    <t>пн 02.02.2026 — 09:59:14</t>
  </si>
  <si>
    <t>E33149364_1_20260202T225644Z.jpg</t>
  </si>
  <si>
    <t>9 Ангар пилорама\E33149364_1_20260202T225644Z.jpg</t>
  </si>
  <si>
    <t>пн 02.02.2026 — 22:56:44</t>
  </si>
  <si>
    <t>E33149364_1_20260203T122518Z.jpg</t>
  </si>
  <si>
    <t>9 Ангар пилорама\E33149364_1_20260203T122518Z.jpg</t>
  </si>
  <si>
    <t>вт 03.02.2026 — 12:25:18</t>
  </si>
  <si>
    <t>E33149364_1_20260203T123538Z.jpg</t>
  </si>
  <si>
    <t>9 Ангар пилорама\E33149364_1_20260203T123538Z.jpg</t>
  </si>
  <si>
    <t>вт 03.02.2026 — 12:35:38</t>
  </si>
  <si>
    <t>E33149364_1_20260203T151606Z.jpg</t>
  </si>
  <si>
    <t>9 Ангар пилорама\E33149364_1_20260203T151606Z.jpg</t>
  </si>
  <si>
    <t>вт 03.02.2026 — 15:16:06</t>
  </si>
  <si>
    <t>E33149364_1_20260203T163036Z.jpg</t>
  </si>
  <si>
    <t>9 Ангар пилорама\E33149364_1_20260203T163036Z.jpg</t>
  </si>
  <si>
    <t>вт 03.02.2026 — 16:30:36</t>
  </si>
  <si>
    <t>E33149364_1_20260203T213906Z.jpg</t>
  </si>
  <si>
    <t>9 Ангар пилорама\E33149364_1_20260203T213906Z.jpg</t>
  </si>
  <si>
    <t>вт 03.02.2026 — 21:39:06</t>
  </si>
  <si>
    <t>E33149364_3_20260202T092657Z.jpg</t>
  </si>
  <si>
    <t>10 Сушилка навес\E33149364_3_20260202T092657Z.jpg</t>
  </si>
  <si>
    <t>пн 02.02.2026 — 09:26:57</t>
  </si>
  <si>
    <t>E33149364_3_20260202T094346Z.jpg</t>
  </si>
  <si>
    <t>10 Сушилка навес\E33149364_3_20260202T094346Z.jpg</t>
  </si>
  <si>
    <t>пн 02.02.2026 — 09:43:46</t>
  </si>
  <si>
    <t>E33149364_3_20260202T100046Z.jpg</t>
  </si>
  <si>
    <t>10 Сушилка навес\E33149364_3_20260202T100046Z.jpg</t>
  </si>
  <si>
    <t>пн 02.02.2026 — 10:00:46</t>
  </si>
  <si>
    <t>E33149364_3_20260202T115235Z.jpg</t>
  </si>
  <si>
    <t>10 Сушилка навес\E33149364_3_20260202T115235Z.jpg</t>
  </si>
  <si>
    <t>пн 02.02.2026 — 11:52:35</t>
  </si>
  <si>
    <t>E33149364_3_20260203T110411Z.jpg</t>
  </si>
  <si>
    <t>10 Сушилка навес\E33149364_3_20260203T110411Z.jpg</t>
  </si>
  <si>
    <t>вт 03.02.2026 — 11:04:11</t>
  </si>
  <si>
    <t>E33149364_3_20260203T131924Z.jpg</t>
  </si>
  <si>
    <t>10 Сушилка навес\E33149364_3_20260203T131924Z.jpg</t>
  </si>
  <si>
    <t>вт 03.02.2026 — 13:19:24</t>
  </si>
  <si>
    <t>E33149364_3_20260203T142624Z.jpg</t>
  </si>
  <si>
    <t>10 Сушилка навес\E33149364_3_20260203T142624Z.jpg</t>
  </si>
  <si>
    <t>вт 03.02.2026 — 14:26:24</t>
  </si>
  <si>
    <t>E33149364_3_20260203T143305Z.jpg</t>
  </si>
  <si>
    <t>10 Сушилка навес\E33149364_3_20260203T143305Z.jpg</t>
  </si>
  <si>
    <t>вт 03.02.2026 — 14:33:05</t>
  </si>
  <si>
    <t>E33149364_3_20260203T152121Z.jpg</t>
  </si>
  <si>
    <t>10 Сушилка навес\E33149364_3_20260203T152121Z.jpg</t>
  </si>
  <si>
    <t>вт 03.02.2026 — 15:21:21</t>
  </si>
  <si>
    <t>E33149364_3_20260203T161002Z.jpg</t>
  </si>
  <si>
    <t>10 Сушилка навес\E33149364_3_20260203T161002Z.jpg</t>
  </si>
  <si>
    <t>вт 03.02.2026 — 16:10:02</t>
  </si>
  <si>
    <t>E33149364_4_20260202T161957Z.jpg</t>
  </si>
  <si>
    <t>11 С ангара на базу\E33149364_4_20260202T161957Z.jpg</t>
  </si>
  <si>
    <t>пн 02.02.2026 — 16:19:57</t>
  </si>
  <si>
    <t>E33149364_4_20260203T112617Z.jpg</t>
  </si>
  <si>
    <t>11 С ангара на базу\E33149364_4_20260203T112617Z.jpg</t>
  </si>
  <si>
    <t>вт 03.02.2026 — 11:26:17</t>
  </si>
  <si>
    <t>E33149364_4_20260203T112928Z.jpg</t>
  </si>
  <si>
    <t>11 С ангара на базу\E33149364_4_20260203T112928Z.jpg</t>
  </si>
  <si>
    <t>вт 03.02.2026 — 11:29:28</t>
  </si>
  <si>
    <t>E33149364_4_20260203T113157Z.jpg</t>
  </si>
  <si>
    <t>11 С ангара на базу\E33149364_4_20260203T113157Z.jpg</t>
  </si>
  <si>
    <t>вт 03.02.2026 — 11:31:57</t>
  </si>
  <si>
    <t>E33149364_4_20260203T113428Z.jpg</t>
  </si>
  <si>
    <t>11 С ангара на базу\E33149364_4_20260203T113428Z.jpg</t>
  </si>
  <si>
    <t>вт 03.02.2026 — 11:34:28</t>
  </si>
  <si>
    <t>E33149364_4_20260203T113841Z.jpg</t>
  </si>
  <si>
    <t>11 С ангара на базу\E33149364_4_20260203T113841Z.jpg</t>
  </si>
  <si>
    <t>вт 03.02.2026 — 11:38:41</t>
  </si>
  <si>
    <t>E33149364_4_20260203T114130Z.jpg</t>
  </si>
  <si>
    <t>11 С ангара на базу\E33149364_4_20260203T114130Z.jpg</t>
  </si>
  <si>
    <t>вт 03.02.2026 — 11:41:30</t>
  </si>
  <si>
    <t>E33149364_4_20260203T114648Z.jpg</t>
  </si>
  <si>
    <t>11 С ангара на базу\E33149364_4_20260203T114648Z.jpg</t>
  </si>
  <si>
    <t>вт 03.02.2026 — 11:46:48</t>
  </si>
  <si>
    <t>E33149364_4_20260203T114956Z.jpg</t>
  </si>
  <si>
    <t>11 С ангара на базу\E33149364_4_20260203T114956Z.jpg</t>
  </si>
  <si>
    <t>вт 03.02.2026 — 11:49:56</t>
  </si>
  <si>
    <t>E33149364_4_20260203T115307Z.jpg</t>
  </si>
  <si>
    <t>11 С ангара на базу\E33149364_4_20260203T115307Z.jpg</t>
  </si>
  <si>
    <t>вт 03.02.2026 — 11:53:07</t>
  </si>
  <si>
    <t>E33149364_4_20260203T120119Z.jpg</t>
  </si>
  <si>
    <t>11 С ангара на базу\E33149364_4_20260203T120119Z.jpg</t>
  </si>
  <si>
    <t>вт 03.02.2026 — 12:01:19</t>
  </si>
  <si>
    <t>E33149364_4_20260203T120344Z.jpg</t>
  </si>
  <si>
    <t>11 С ангара на базу\E33149364_4_20260203T120344Z.jpg</t>
  </si>
  <si>
    <t>вт 03.02.2026 — 12:03:44</t>
  </si>
  <si>
    <t>E33149364_4_20260203T120622Z.jpg</t>
  </si>
  <si>
    <t>11 С ангара на базу\E33149364_4_20260203T120622Z.jpg</t>
  </si>
  <si>
    <t>вт 03.02.2026 — 12:06:22</t>
  </si>
  <si>
    <t>E33149364_4_20260203T121657Z.jpg</t>
  </si>
  <si>
    <t>11 С ангара на базу\E33149364_4_20260203T121657Z.jpg</t>
  </si>
  <si>
    <t>вт 03.02.2026 — 12:16:57</t>
  </si>
  <si>
    <t>E33149364_4_20260203T122129Z.jpg</t>
  </si>
  <si>
    <t>11 С ангара на базу\E33149364_4_20260203T122129Z.jpg</t>
  </si>
  <si>
    <t>вт 03.02.2026 — 12:21:29</t>
  </si>
  <si>
    <t>E33149364_4_20260203T122510Z.jpg</t>
  </si>
  <si>
    <t>11 С ангара на базу\E33149364_4_20260203T122510Z.jpg</t>
  </si>
  <si>
    <t>вт 03.02.2026 — 12:25:10</t>
  </si>
  <si>
    <t>E33149364_4_20260203T122753Z.jpg</t>
  </si>
  <si>
    <t>11 С ангара на базу\E33149364_4_20260203T122753Z.jpg</t>
  </si>
  <si>
    <t>вт 03.02.2026 — 12:27:53</t>
  </si>
  <si>
    <t>E33149364_4_20260203T123139Z.jpg</t>
  </si>
  <si>
    <t>11 С ангара на базу\E33149364_4_20260203T123139Z.jpg</t>
  </si>
  <si>
    <t>вт 03.02.2026 — 12:31:39</t>
  </si>
  <si>
    <t>E33149364_4_20260203T123245Z.jpg</t>
  </si>
  <si>
    <t>11 С ангара на базу\E33149364_4_20260203T123245Z.jpg</t>
  </si>
  <si>
    <t>вт 03.02.2026 — 12:32:45</t>
  </si>
  <si>
    <t>E33149364_4_20260203T123655Z.jpg</t>
  </si>
  <si>
    <t>11 С ангара на базу\E33149364_4_20260203T123655Z.jpg</t>
  </si>
  <si>
    <t>вт 03.02.2026 — 12:36:55</t>
  </si>
  <si>
    <t>E33149364_4_20260203T123800Z.jpg</t>
  </si>
  <si>
    <t>11 С ангара на базу\E33149364_4_20260203T123800Z.jpg</t>
  </si>
  <si>
    <t>вт 03.02.2026 — 12:38:00</t>
  </si>
  <si>
    <t>E33149364_4_20260203T124059Z.jpg</t>
  </si>
  <si>
    <t>11 С ангара на базу\E33149364_4_20260203T124059Z.jpg</t>
  </si>
  <si>
    <t>вт 03.02.2026 — 12:40:59</t>
  </si>
  <si>
    <t>E33149364_4_20260203T124859Z.jpg</t>
  </si>
  <si>
    <t>11 С ангара на базу\E33149364_4_20260203T124859Z.jpg</t>
  </si>
  <si>
    <t>вт 03.02.2026 — 12:48:59</t>
  </si>
  <si>
    <t>E33149364_4_20260203T125047Z.jpg</t>
  </si>
  <si>
    <t>11 С ангара на базу\E33149364_4_20260203T125047Z.jpg</t>
  </si>
  <si>
    <t>вт 03.02.2026 — 12:50:47</t>
  </si>
  <si>
    <t>E33149364_4_20260203T125349Z.jpg</t>
  </si>
  <si>
    <t>11 С ангара на базу\E33149364_4_20260203T125349Z.jpg</t>
  </si>
  <si>
    <t>вт 03.02.2026 — 12:53:49</t>
  </si>
  <si>
    <t>E33149364_4_20260203T131857Z.jpg</t>
  </si>
  <si>
    <t>11 С ангара на базу\E33149364_4_20260203T131857Z.jpg</t>
  </si>
  <si>
    <t>вт 03.02.2026 — 13:18:57</t>
  </si>
  <si>
    <t>E33149364_4_20260203T150435Z.jpg</t>
  </si>
  <si>
    <t>11 С ангара на базу\E33149364_4_20260203T150435Z.jpg</t>
  </si>
  <si>
    <t>вт 03.02.2026 — 15:04:35</t>
  </si>
  <si>
    <t>E33149364_4_20260203T151120Z.jpg</t>
  </si>
  <si>
    <t>11 С ангара на базу\E33149364_4_20260203T151120Z.jpg</t>
  </si>
  <si>
    <t>вт 03.02.2026 — 15:11:20</t>
  </si>
  <si>
    <t>E33149364_4_20260203T152811Z.jpg</t>
  </si>
  <si>
    <t>11 С ангара на базу\E33149364_4_20260203T152811Z.jpg</t>
  </si>
  <si>
    <t>вт 03.02.2026 — 15:28:11</t>
  </si>
  <si>
    <t>E33149364_4_20260203T153607Z.jpg</t>
  </si>
  <si>
    <t>11 С ангара на базу\E33149364_4_20260203T153607Z.jpg</t>
  </si>
  <si>
    <t>вт 03.02.2026 — 15:36:07</t>
  </si>
  <si>
    <t>E33149364_4_20260203T163620Z.jpg</t>
  </si>
  <si>
    <t>11 С ангара на базу\E33149364_4_20260203T163620Z.jpg</t>
  </si>
  <si>
    <t>вт 03.02.2026 — 16:36:20</t>
  </si>
  <si>
    <t>E33149364_4_20260203T170703Z.jpg</t>
  </si>
  <si>
    <t>11 С ангара на базу\E33149364_4_20260203T170703Z.jpg</t>
  </si>
  <si>
    <t>вт 03.02.2026 — 17:07:03</t>
  </si>
  <si>
    <t>K07156189_20_20260202T111119Z.jpg</t>
  </si>
  <si>
    <t>12 Площадка 3 кран\K07156189_20_20260202T111119Z.jpg</t>
  </si>
  <si>
    <t>пн 02.02.2026 — 11:11:19</t>
  </si>
  <si>
    <t>K07156189_20_20260202T164029Z.jpg</t>
  </si>
  <si>
    <t>12 Площадка 3 кран\K07156189_20_20260202T164029Z.jpg</t>
  </si>
  <si>
    <t>пн 02.02.2026 — 16:40:29</t>
  </si>
  <si>
    <t>K07156189_20_20260203T095852Z.jpg</t>
  </si>
  <si>
    <t>12 Площадка 3 кран\K07156189_20_20260203T095852Z.jpg</t>
  </si>
  <si>
    <t>вт 03.02.2026 — 09:58:52</t>
  </si>
  <si>
    <t>K07156189_20_20260203T150247Z.jpg</t>
  </si>
  <si>
    <t>12 Площадка 3 кран\K07156189_20_20260203T150247Z.jpg</t>
  </si>
  <si>
    <t>вт 03.02.2026 — 15:02:47</t>
  </si>
  <si>
    <t>K07156189_23_20260202T150044Z.jpg</t>
  </si>
  <si>
    <t>13 Склад хол\K07156189_23_20260202T150044Z.jpg</t>
  </si>
  <si>
    <t>пн 02.02.2026 — 15:00:44</t>
  </si>
  <si>
    <t>K07156189_23_20260203T121119Z.jpg</t>
  </si>
  <si>
    <t>13 Склад хол\K07156189_23_20260203T121119Z.jpg</t>
  </si>
  <si>
    <t>вт 03.02.2026 — 12:11:19</t>
  </si>
  <si>
    <t>K07156189_23_20260203T143838Z.jpg</t>
  </si>
  <si>
    <t>13 Склад хол\K07156189_23_20260203T143838Z.jpg</t>
  </si>
  <si>
    <t>вт 03.02.2026 — 14:38:38</t>
  </si>
  <si>
    <t>K07156189_23_20260203T154519Z.jpg</t>
  </si>
  <si>
    <t>13 Склад хол\K07156189_23_20260203T154519Z.jpg</t>
  </si>
  <si>
    <t>вт 03.02.2026 — 15:45:19</t>
  </si>
  <si>
    <t>K07156189_23_20260203T181008Z.jpg</t>
  </si>
  <si>
    <t>13 Склад хол\K07156189_23_20260203T181008Z.jpg</t>
  </si>
  <si>
    <t>вт 03.02.2026 — 18:10:08</t>
  </si>
  <si>
    <t>K07156189_23_20260203T192858Z.jpg</t>
  </si>
  <si>
    <t>13 Склад хол\K07156189_23_20260203T192858Z.jpg</t>
  </si>
  <si>
    <t>вт 03.02.2026 — 19:28:58</t>
  </si>
  <si>
    <t>K07156189_23_20260203T194151Z.jpg</t>
  </si>
  <si>
    <t>13 Склад хол\K07156189_23_20260203T194151Z.jpg</t>
  </si>
  <si>
    <t>вт 03.02.2026 — 19:41:51</t>
  </si>
  <si>
    <t>лесовоз Вольво, красная кабина</t>
  </si>
  <si>
    <t>какая-то клетка</t>
  </si>
  <si>
    <t>K07156189_18_20260202T171755Z.jpg</t>
  </si>
  <si>
    <t>7 Площадка 2 бетонщики\K07156189_18_20260202T171755Z.jpg</t>
  </si>
  <si>
    <t>пн 02.02.2026 — 17:17:55</t>
  </si>
  <si>
    <t>K07156189_18_20260203T164623Z.jpg</t>
  </si>
  <si>
    <t>7 Площадка 2 бетонщики\K07156189_18_20260203T164623Z.jpg</t>
  </si>
  <si>
    <t>вт 03.02.2026 — 16:46:23</t>
  </si>
  <si>
    <t>Доставка бревна</t>
  </si>
  <si>
    <t>Вывоз бревна</t>
  </si>
  <si>
    <t>Перемена стоянки</t>
  </si>
  <si>
    <t>Вывоз контейнера с отходами распиловки</t>
  </si>
  <si>
    <t>Трактор базы с контейнером</t>
  </si>
  <si>
    <t>Изменение положении камеры</t>
  </si>
  <si>
    <t>Новый обзор территории</t>
  </si>
  <si>
    <t>E33149364_7_20260204T143502Z.jpg</t>
  </si>
  <si>
    <t>2 Пилорама поката\E33149364_7_20260204T143502Z.jpg</t>
  </si>
  <si>
    <t>ср 04.02.2026 — 14:35:02</t>
  </si>
  <si>
    <t>E33149364_7_20260205T171121Z.jpg</t>
  </si>
  <si>
    <t>2 Пилорама поката\E33149364_7_20260205T171121Z.jpg</t>
  </si>
  <si>
    <t>чт 05.02.2026 — 17:11:21</t>
  </si>
  <si>
    <t>E33149364_7_20260206T105634Z.jpg</t>
  </si>
  <si>
    <t>2 Пилорама поката\E33149364_7_20260206T105634Z.jpg</t>
  </si>
  <si>
    <t>пт 06.02.2026 — 10:56:34</t>
  </si>
  <si>
    <t>E33149364_7_20260206T122524Z.jpg</t>
  </si>
  <si>
    <t>2 Пилорама поката\E33149364_7_20260206T122524Z.jpg</t>
  </si>
  <si>
    <t>пт 06.02.2026 — 12:25:24</t>
  </si>
  <si>
    <t>E33149364_7_20260206T122607Z.jpg</t>
  </si>
  <si>
    <t>2 Пилорама поката\E33149364_7_20260206T122607Z.jpg</t>
  </si>
  <si>
    <t>пт 06.02.2026 — 12:26:07</t>
  </si>
  <si>
    <t>E33149364_7_20260206T122627Z.jpg</t>
  </si>
  <si>
    <t>2 Пилорама поката\E33149364_7_20260206T122627Z.jpg</t>
  </si>
  <si>
    <t>пт 06.02.2026 — 12:26:27</t>
  </si>
  <si>
    <t>E33149364_7_20260206T143529Z.jpg</t>
  </si>
  <si>
    <t>2 Пилорама поката\E33149364_7_20260206T143529Z.jpg</t>
  </si>
  <si>
    <t>пт 06.02.2026 — 14:35:29</t>
  </si>
  <si>
    <t>E33149364_6_20260204T170721Z.jpg</t>
  </si>
  <si>
    <t>1 Ангар Склад 2 въезд\E33149364_6_20260204T170721Z.jpg</t>
  </si>
  <si>
    <t>ср 04.02.2026 — 17:07:21</t>
  </si>
  <si>
    <t>E33149364_6_20260205T131105Z.jpg</t>
  </si>
  <si>
    <t>1 Ангар Склад 2 въезд\E33149364_6_20260205T131105Z.jpg</t>
  </si>
  <si>
    <t>чт 05.02.2026 — 13:11:05</t>
  </si>
  <si>
    <t>E33149364_6_20260205T131622Z.jpg</t>
  </si>
  <si>
    <t>1 Ангар Склад 2 въезд\E33149364_6_20260205T131622Z.jpg</t>
  </si>
  <si>
    <t>чт 05.02.2026 — 13:16:22</t>
  </si>
  <si>
    <t>E33149364_6_20260205T140252Z.jpg</t>
  </si>
  <si>
    <t>1 Ангар Склад 2 въезд\E33149364_6_20260205T140252Z.jpg</t>
  </si>
  <si>
    <t>чт 05.02.2026 — 14:02:52</t>
  </si>
  <si>
    <t>E33149364_6_20260205T142917Z.jpg</t>
  </si>
  <si>
    <t>1 Ангар Склад 2 въезд\E33149364_6_20260205T142917Z.jpg</t>
  </si>
  <si>
    <t>чт 05.02.2026 — 14:29:17</t>
  </si>
  <si>
    <t>E33149364_6_20260205T163851Z.jpg</t>
  </si>
  <si>
    <t>1 Ангар Склад 2 въезд\E33149364_6_20260205T163851Z.jpg</t>
  </si>
  <si>
    <t>чт 05.02.2026 — 16:38:51</t>
  </si>
  <si>
    <t>E33149364_6_20260205T164328Z.jpg</t>
  </si>
  <si>
    <t>1 Ангар Склад 2 въезд\E33149364_6_20260205T164328Z.jpg</t>
  </si>
  <si>
    <t>чт 05.02.2026 — 16:43:28</t>
  </si>
  <si>
    <t>E33149364_6_20260206T174723Z.jpg</t>
  </si>
  <si>
    <t>1 Ангар Склад 2 въезд\E33149364_6_20260206T174723Z.jpg</t>
  </si>
  <si>
    <t>пт 06.02.2026 — 17:47:23</t>
  </si>
  <si>
    <t>K07156189_21_20260204T145459Z.jpg</t>
  </si>
  <si>
    <t>4 Крыльцо офиса\K07156189_21_20260204T145459Z.jpg</t>
  </si>
  <si>
    <t>ср 04.02.2026 — 14:54:59</t>
  </si>
  <si>
    <t>K07156189_21_20260205T140312Z.jpg</t>
  </si>
  <si>
    <t>4 Крыльцо офиса\K07156189_21_20260205T140312Z.jpg</t>
  </si>
  <si>
    <t>чт 05.02.2026 — 14:03:12</t>
  </si>
  <si>
    <t>K07156189_21_20260206T122849Z.jpg</t>
  </si>
  <si>
    <t>4 Крыльцо офиса\K07156189_21_20260206T122849Z.jpg</t>
  </si>
  <si>
    <t>пт 06.02.2026 — 12:28:49</t>
  </si>
  <si>
    <t>E33149364_1_20260204T085730Z.jpg</t>
  </si>
  <si>
    <t>9 Ангар пилорама\E33149364_1_20260204T085730Z.jpg</t>
  </si>
  <si>
    <t>ср 04.02.2026 — 08:57:30</t>
  </si>
  <si>
    <t>E33149364_1_20260204T090531Z.jpg</t>
  </si>
  <si>
    <t>9 Ангар пилорама\E33149364_1_20260204T090531Z.jpg</t>
  </si>
  <si>
    <t>ср 04.02.2026 — 09:05:31</t>
  </si>
  <si>
    <t>E33149364_1_20260204T142237Z.jpg</t>
  </si>
  <si>
    <t>9 Ангар пилорама\E33149364_1_20260204T142237Z.jpg</t>
  </si>
  <si>
    <t>ср 04.02.2026 — 14:22:37</t>
  </si>
  <si>
    <t>E33149364_1_20260204T152757Z.jpg</t>
  </si>
  <si>
    <t>9 Ангар пилорама\E33149364_1_20260204T152757Z.jpg</t>
  </si>
  <si>
    <t>ср 04.02.2026 — 15:27:57</t>
  </si>
  <si>
    <t>E33149364_1_20260204T190443Z.jpg</t>
  </si>
  <si>
    <t>9 Ангар пилорама\E33149364_1_20260204T190443Z.jpg</t>
  </si>
  <si>
    <t>ср 04.02.2026 — 19:04:43</t>
  </si>
  <si>
    <t>E33149364_1_20260204T214515Z.jpg</t>
  </si>
  <si>
    <t>9 Ангар пилорама\E33149364_1_20260204T214515Z.jpg</t>
  </si>
  <si>
    <t>ср 04.02.2026 — 21:45:15</t>
  </si>
  <si>
    <t>E33149364_1_20260205T020119Z.jpg</t>
  </si>
  <si>
    <t>9 Ангар пилорама\E33149364_1_20260205T020119Z.jpg</t>
  </si>
  <si>
    <t>чт 05.02.2026 — 02:01:19</t>
  </si>
  <si>
    <t>E33149364_1_20260205T145711Z.jpg</t>
  </si>
  <si>
    <t>9 Ангар пилорама\E33149364_1_20260205T145711Z.jpg</t>
  </si>
  <si>
    <t>чт 05.02.2026 — 14:57:11</t>
  </si>
  <si>
    <t>E33149364_1_20260205T203505Z.jpg</t>
  </si>
  <si>
    <t>9 Ангар пилорама\E33149364_1_20260205T203505Z.jpg</t>
  </si>
  <si>
    <t>чт 05.02.2026 — 20:35:05</t>
  </si>
  <si>
    <t>E33149364_1_20260206T110000Z.jpg</t>
  </si>
  <si>
    <t>9 Ангар пилорама\E33149364_1_20260206T110000Z.jpg</t>
  </si>
  <si>
    <t>пт 06.02.2026 — 11:00:00</t>
  </si>
  <si>
    <t>E33149364_1_20260206T122547Z.jpg</t>
  </si>
  <si>
    <t>9 Ангар пилорама\E33149364_1_20260206T122547Z.jpg</t>
  </si>
  <si>
    <t>пт 06.02.2026 — 12:25:47</t>
  </si>
  <si>
    <t>E33149364_1_20260206T212836Z.jpg</t>
  </si>
  <si>
    <t>9 Ангар пилорама\E33149364_1_20260206T212836Z.jpg</t>
  </si>
  <si>
    <t>пт 06.02.2026 — 21:28:36</t>
  </si>
  <si>
    <t>E33149364_3_20260204T141624Z.jpg</t>
  </si>
  <si>
    <t>10 Сушилка навес\E33149364_3_20260204T141624Z.jpg</t>
  </si>
  <si>
    <t>ср 04.02.2026 — 14:16:24</t>
  </si>
  <si>
    <t>E33149364_3_20260204T151155Z.jpg</t>
  </si>
  <si>
    <t>10 Сушилка навес\E33149364_3_20260204T151155Z.jpg</t>
  </si>
  <si>
    <t>ср 04.02.2026 — 15:11:55</t>
  </si>
  <si>
    <t>E33149364_3_20260204T152143Z.jpg</t>
  </si>
  <si>
    <t>10 Сушилка навес\E33149364_3_20260204T152143Z.jpg</t>
  </si>
  <si>
    <t>ср 04.02.2026 — 15:21:43</t>
  </si>
  <si>
    <t>E33149364_3_20260204T152203Z.jpg</t>
  </si>
  <si>
    <t>10 Сушилка навес\E33149364_3_20260204T152203Z.jpg</t>
  </si>
  <si>
    <t>ср 04.02.2026 — 15:22:03</t>
  </si>
  <si>
    <t>E33149364_3_20260205T090926Z.jpg</t>
  </si>
  <si>
    <t>10 Сушилка навес\E33149364_3_20260205T090926Z.jpg</t>
  </si>
  <si>
    <t>чт 05.02.2026 — 09:09:26</t>
  </si>
  <si>
    <t>E33149364_3_20260205T155301Z.jpg</t>
  </si>
  <si>
    <t>10 Сушилка навес\E33149364_3_20260205T155301Z.jpg</t>
  </si>
  <si>
    <t>чт 05.02.2026 — 15:53:01</t>
  </si>
  <si>
    <t>E33149364_3_20260206T110420Z.jpg</t>
  </si>
  <si>
    <t>10 Сушилка навес\E33149364_3_20260206T110420Z.jpg</t>
  </si>
  <si>
    <t>пт 06.02.2026 — 11:04:20</t>
  </si>
  <si>
    <t>E33149364_4_20260204T151035Z.jpg</t>
  </si>
  <si>
    <t>11 С ангара на базу\E33149364_4_20260204T151035Z.jpg</t>
  </si>
  <si>
    <t>ср 04.02.2026 — 15:10:35</t>
  </si>
  <si>
    <t>E33149364_4_20260205T163853Z.jpg</t>
  </si>
  <si>
    <t>11 С ангара на базу\E33149364_4_20260205T163853Z.jpg</t>
  </si>
  <si>
    <t>чт 05.02.2026 — 16:38:53</t>
  </si>
  <si>
    <t>E33149364_4_20260206T165009Z.jpg</t>
  </si>
  <si>
    <t>11 С ангара на базу\E33149364_4_20260206T165009Z.jpg</t>
  </si>
  <si>
    <t>пт 06.02.2026 — 16:50:09</t>
  </si>
  <si>
    <t>K07156189_20_20260204T143543Z.jpg</t>
  </si>
  <si>
    <t>12 Площадка 3 кран\K07156189_20_20260204T143543Z.jpg</t>
  </si>
  <si>
    <t>ср 04.02.2026 — 14:35:43</t>
  </si>
  <si>
    <t>K07156189_20_20260205T170609Z.jpg</t>
  </si>
  <si>
    <t>12 Площадка 3 кран\K07156189_20_20260205T170609Z.jpg</t>
  </si>
  <si>
    <t>чт 05.02.2026 — 17:06:09</t>
  </si>
  <si>
    <t>K07156189_20_20260206T115308Z.jpg</t>
  </si>
  <si>
    <t>12 Площадка 3 кран\K07156189_20_20260206T115308Z.jpg</t>
  </si>
  <si>
    <t>пт 06.02.2026 — 11:53:08</t>
  </si>
  <si>
    <t>K07156189_20_20260206T120303Z.jpg</t>
  </si>
  <si>
    <t>12 Площадка 3 кран\K07156189_20_20260206T120303Z.jpg</t>
  </si>
  <si>
    <t>пт 06.02.2026 — 12:03:03</t>
  </si>
  <si>
    <t>K07156189_20_20260206T163428Z.jpg</t>
  </si>
  <si>
    <t>12 Площадка 3 кран\K07156189_20_20260206T163428Z.jpg</t>
  </si>
  <si>
    <t>пт 06.02.2026 — 16:34:28</t>
  </si>
  <si>
    <t>K07156189_23_20260204T142550Z.jpg</t>
  </si>
  <si>
    <t>13 Склад хол\K07156189_23_20260204T142550Z.jpg</t>
  </si>
  <si>
    <t>ср 04.02.2026 — 14:25:50</t>
  </si>
  <si>
    <t>K07156189_23_20260205T142906Z.jpg</t>
  </si>
  <si>
    <t>13 Склад хол\K07156189_23_20260205T142906Z.jpg</t>
  </si>
  <si>
    <t>чт 05.02.2026 — 14:29:06</t>
  </si>
  <si>
    <t>K07156189_23_20260206T110928Z.jpg</t>
  </si>
  <si>
    <t>13 Склад хол\K07156189_23_20260206T110928Z.jpg</t>
  </si>
  <si>
    <t>пт 06.02.2026 — 11:09:28</t>
  </si>
  <si>
    <t>K07156189_23_20260206T155553Z.jpg</t>
  </si>
  <si>
    <t>13 Склад хол\K07156189_23_20260206T155553Z.jpg</t>
  </si>
  <si>
    <t>пт 06.02.2026 — 15:55:53</t>
  </si>
  <si>
    <t>E33149364_8_20260204T123750Z.jpg</t>
  </si>
  <si>
    <t>ср 04.02.2026 — 12:37:50</t>
  </si>
  <si>
    <t>E33149364_8_20260205T131136Z.jpg</t>
  </si>
  <si>
    <t>3 Въезд на базу\E33149364_8_20260205T131136Z.jpg</t>
  </si>
  <si>
    <t>чт 05.02.2026 — 13:11:36</t>
  </si>
  <si>
    <t>E33149364_8_20260205T131616Z.jpg</t>
  </si>
  <si>
    <t>чт 05.02.2026 — 13:16:16</t>
  </si>
  <si>
    <t>E33149364_8_20260205T140303Z.jpg</t>
  </si>
  <si>
    <t>чт 05.02.2026 — 14:03:03</t>
  </si>
  <si>
    <t>E33149364_8_20260205T140619Z.jpg</t>
  </si>
  <si>
    <t>чт 05.02.2026 — 14:06:19</t>
  </si>
  <si>
    <t>E33149364_8_20260205T142910Z.jpg</t>
  </si>
  <si>
    <t>чт 05.02.2026 — 14:29:10</t>
  </si>
  <si>
    <t>E33149364_8_20260205T164253Z.jpg</t>
  </si>
  <si>
    <t>чт 05.02.2026 — 16:42:53</t>
  </si>
  <si>
    <t>E33149364_8_20260205T164311Z.jpg</t>
  </si>
  <si>
    <t>чт 05.02.2026 — 16:43:11</t>
  </si>
  <si>
    <t>E33149364_8_20260205T164324Z.jpg</t>
  </si>
  <si>
    <t>чт 05.02.2026 — 16:43:24</t>
  </si>
  <si>
    <t>E33149364_8_20260206T131917Z.jpg</t>
  </si>
  <si>
    <t>пт 06.02.2026 — 13:19:17</t>
  </si>
  <si>
    <t>K07156189_22_20260204T160000Z.jpg</t>
  </si>
  <si>
    <t>5 Крыльцо общага\K07156189_22_20260204T160000Z.jpg</t>
  </si>
  <si>
    <t>ср 04.02.2026 — 16:00:00</t>
  </si>
  <si>
    <t>K07156189_22_20260205T164310Z.jpg</t>
  </si>
  <si>
    <t>5 Крыльцо общага\K07156189_22_20260205T164310Z.jpg</t>
  </si>
  <si>
    <t>чт 05.02.2026 — 16:43:10</t>
  </si>
  <si>
    <t>K07156189_22_20260206T163005Z.jpg</t>
  </si>
  <si>
    <t>5 Крыльцо общага\K07156189_22_20260206T163005Z.jpg</t>
  </si>
  <si>
    <t>пт 06.02.2026 — 16:30:05</t>
  </si>
  <si>
    <t>826398429_1_20260205T121301Z.jpg</t>
  </si>
  <si>
    <t>6 Площадка 1 общага\826398429_1_20260205T121301Z.jpg</t>
  </si>
  <si>
    <t>чт 05.02.2026 — 12:13:01</t>
  </si>
  <si>
    <t>826398429_1_20260206T161004Z.jpg</t>
  </si>
  <si>
    <t>6 Площадка 1 общага\826398429_1_20260206T161004Z.jpg</t>
  </si>
  <si>
    <t>пт 06.02.2026 — 16:10:04</t>
  </si>
  <si>
    <t>E33149364_2_20260204T085710Z.jpg</t>
  </si>
  <si>
    <t>8 Рейсмус\E33149364_2_20260204T085710Z.jpg</t>
  </si>
  <si>
    <t>ср 04.02.2026 — 08:57:10</t>
  </si>
  <si>
    <t>E33149364_2_20260204T191316Z.jpg</t>
  </si>
  <si>
    <t>8 Рейсмус\E33149364_2_20260204T191316Z.jpg</t>
  </si>
  <si>
    <t>ср 04.02.2026 — 19:13:16</t>
  </si>
  <si>
    <t>E33149364_2_20260205T141207Z.jpg</t>
  </si>
  <si>
    <t>8 Рейсмус\E33149364_2_20260205T141207Z.jpg</t>
  </si>
  <si>
    <t>чт 05.02.2026 — 14:12:07</t>
  </si>
  <si>
    <t>E33149364_2_20260205T202223Z.jpg</t>
  </si>
  <si>
    <t>8 Рейсмус\E33149364_2_20260205T202223Z.jpg</t>
  </si>
  <si>
    <t>чт 05.02.2026 — 20:22:23</t>
  </si>
  <si>
    <t>E33149364_2_20260206T094851Z.jpg</t>
  </si>
  <si>
    <t>8 Рейсмус\E33149364_2_20260206T094851Z.jpg</t>
  </si>
  <si>
    <t>пт 06.02.2026 — 09:48:51</t>
  </si>
  <si>
    <t>E33149364_2_20260206T142500Z.jpg</t>
  </si>
  <si>
    <t>8 Рейсмус\E33149364_2_20260206T142500Z.jpg</t>
  </si>
  <si>
    <t>пт 06.02.2026 — 14:25:00</t>
  </si>
  <si>
    <t>баллоны</t>
  </si>
  <si>
    <t>Стоянка КАМАЗ красный</t>
  </si>
  <si>
    <t>826398429_1_20260204T123557Z.jpg</t>
  </si>
  <si>
    <t>6 Площадка 1 общага\826398429_1_20260204T123557Z.jpg</t>
  </si>
  <si>
    <t>ср 04.02.2026 — 12:35:57</t>
  </si>
  <si>
    <t>K07156189_18_20260204T160356Z.jpg</t>
  </si>
  <si>
    <t>7 Площадка 2 бетонщики\K07156189_18_20260204T160356Z.jpg</t>
  </si>
  <si>
    <t>ср 04.02.2026 — 16:03:56</t>
  </si>
  <si>
    <t>K07156189_18_20260205T164132Z.jpg</t>
  </si>
  <si>
    <t>7 Площадка 2 бетонщики\K07156189_18_20260205T164132Z.jpg</t>
  </si>
  <si>
    <t>чт 05.02.2026 — 16:41:32</t>
  </si>
  <si>
    <t>K07156189_18_20260206T161432Z.jpg</t>
  </si>
  <si>
    <t>7 Площадка 2 бетонщики\K07156189_18_20260206T161432Z.jpg</t>
  </si>
  <si>
    <t>пт 06.02.2026 — 16:14:32</t>
  </si>
  <si>
    <t>Доставка досок в ангар</t>
  </si>
  <si>
    <t>Часть ангара, сотрудники</t>
  </si>
  <si>
    <t>через окно приема бревен</t>
  </si>
  <si>
    <t>контейнер с отходами</t>
  </si>
  <si>
    <t>для загрузки в ангар</t>
  </si>
  <si>
    <t>Распиловка досок</t>
  </si>
  <si>
    <t>Перемещение досок в ангар</t>
  </si>
  <si>
    <t>Перенос досок из ангара</t>
  </si>
  <si>
    <t>Выгруженные баллоны</t>
  </si>
  <si>
    <t>Загрузка досок на трактор базы</t>
  </si>
  <si>
    <t>E33149364_7_20260207T083107Z.jpg</t>
  </si>
  <si>
    <t>2 Пилорама поката\E33149364_7_20260207T083107Z.jpg</t>
  </si>
  <si>
    <t>сб 07.02.2026 — 08:31:07</t>
  </si>
  <si>
    <t>E33149364_8_20260207T160026Z.jpg</t>
  </si>
  <si>
    <t>сб 07.02.2026 — 16:00:26</t>
  </si>
  <si>
    <t>E33149364_8_20260208T172419Z.jpg</t>
  </si>
  <si>
    <t>вс 08.02.2026 — 17:24:19</t>
  </si>
  <si>
    <t>K07156189_21_20260207T155925Z.jpg</t>
  </si>
  <si>
    <t>4 Крыльцо офиса\K07156189_21_20260207T155925Z.jpg</t>
  </si>
  <si>
    <t>сб 07.02.2026 — 15:59:25</t>
  </si>
  <si>
    <t>K07156189_21_20260208T162855Z.jpg</t>
  </si>
  <si>
    <t>4 Крыльцо офиса\K07156189_21_20260208T162855Z.jpg</t>
  </si>
  <si>
    <t>вс 08.02.2026 — 16:28:55</t>
  </si>
  <si>
    <t>K07156189_22_20260207T162217Z.jpg</t>
  </si>
  <si>
    <t>5 Крыльцо общага\K07156189_22_20260207T162217Z.jpg</t>
  </si>
  <si>
    <t>сб 07.02.2026 — 16:22:17</t>
  </si>
  <si>
    <t>K07156189_22_20260208T170743Z.jpg</t>
  </si>
  <si>
    <t>5 Крыльцо общага\K07156189_22_20260208T170743Z.jpg</t>
  </si>
  <si>
    <t>вс 08.02.2026 — 17:07:43</t>
  </si>
  <si>
    <t>E33149364_6_20260207T155743Z.jpg</t>
  </si>
  <si>
    <t>1 Ангар Склад 2 въезд\E33149364_6_20260207T155743Z.jpg</t>
  </si>
  <si>
    <t>сб 07.02.2026 — 15:57:43</t>
  </si>
  <si>
    <t>E33149364_6_20260207T164623Z.jpg</t>
  </si>
  <si>
    <t>1 Ангар Склад 2 въезд\E33149364_6_20260207T164623Z.jpg</t>
  </si>
  <si>
    <t>сб 07.02.2026 — 16:46:23</t>
  </si>
  <si>
    <t>E33149364_6_20260208T181304Z.jpg</t>
  </si>
  <si>
    <t>1 Ангар Склад 2 въезд\E33149364_6_20260208T181304Z.jpg</t>
  </si>
  <si>
    <t>вс 08.02.2026 — 18:13:04</t>
  </si>
  <si>
    <t>826398429_1_20260207T082541Z.jpg</t>
  </si>
  <si>
    <t>6 Площадка 1 общага\826398429_1_20260207T082541Z.jpg</t>
  </si>
  <si>
    <t>сб 07.02.2026 — 08:25:41</t>
  </si>
  <si>
    <t>826398429_1_20260208T162122Z.jpg</t>
  </si>
  <si>
    <t>6 Площадка 1 общага\826398429_1_20260208T162122Z.jpg</t>
  </si>
  <si>
    <t>вс 08.02.2026 — 16:21:22</t>
  </si>
  <si>
    <t>E33149364_2_20260207T090957Z.jpg</t>
  </si>
  <si>
    <t>8 Рейсмус\E33149364_2_20260207T090957Z.jpg</t>
  </si>
  <si>
    <t>сб 07.02.2026 — 09:09:57</t>
  </si>
  <si>
    <t>E33149364_2_20260208T113020Z.jpg</t>
  </si>
  <si>
    <t>8 Рейсмус\E33149364_2_20260208T113020Z.jpg</t>
  </si>
  <si>
    <t>вс 08.02.2026 — 11:30:20</t>
  </si>
  <si>
    <t>E33149364_2_20260208T130744Z.jpg</t>
  </si>
  <si>
    <t>8 Рейсмус\E33149364_2_20260208T130744Z.jpg</t>
  </si>
  <si>
    <t>вс 08.02.2026 — 13:07:44</t>
  </si>
  <si>
    <t>E33149364_2_20260208T225257Z.jpg</t>
  </si>
  <si>
    <t>8 Рейсмус\E33149364_2_20260208T225257Z.jpg</t>
  </si>
  <si>
    <t>вс 08.02.2026 — 22:52:57</t>
  </si>
  <si>
    <t>E33149364_1_20260207T180132Z.jpg</t>
  </si>
  <si>
    <t>9 Ангар пилорама\E33149364_1_20260207T180132Z.jpg</t>
  </si>
  <si>
    <t>сб 07.02.2026 — 18:01:32</t>
  </si>
  <si>
    <t>E33149364_1_20260208T110558Z.jpg</t>
  </si>
  <si>
    <t>9 Ангар пилорама\E33149364_1_20260208T110558Z.jpg</t>
  </si>
  <si>
    <t>вс 08.02.2026 — 11:05:58</t>
  </si>
  <si>
    <t>E33149364_1_20260208T110947Z.jpg</t>
  </si>
  <si>
    <t>9 Ангар пилорама\E33149364_1_20260208T110947Z.jpg</t>
  </si>
  <si>
    <t>вс 08.02.2026 — 11:09:47</t>
  </si>
  <si>
    <t>E33149364_1_20260208T114033Z.jpg</t>
  </si>
  <si>
    <t>9 Ангар пилорама\E33149364_1_20260208T114033Z.jpg</t>
  </si>
  <si>
    <t>вс 08.02.2026 — 11:40:33</t>
  </si>
  <si>
    <t>E33149364_1_20260208T124046Z.jpg</t>
  </si>
  <si>
    <t>9 Ангар пилорама\E33149364_1_20260208T124046Z.jpg</t>
  </si>
  <si>
    <t>вс 08.02.2026 — 12:40:46</t>
  </si>
  <si>
    <t>E33149364_1_20260208T182024Z.jpg</t>
  </si>
  <si>
    <t>9 Ангар пилорама\E33149364_1_20260208T182024Z.jpg</t>
  </si>
  <si>
    <t>вс 08.02.2026 — 18:20:24</t>
  </si>
  <si>
    <t>E33149364_1_20260208T221726Z.jpg</t>
  </si>
  <si>
    <t>9 Ангар пилорама\E33149364_1_20260208T221726Z.jpg</t>
  </si>
  <si>
    <t>вс 08.02.2026 — 22:17:26</t>
  </si>
  <si>
    <t>E33149364_1_20260209T090524Z.jpg</t>
  </si>
  <si>
    <t>9 Ангар пилорама\E33149364_1_20260209T090524Z.jpg</t>
  </si>
  <si>
    <t>пн 09.02.2026 — 09:05:24</t>
  </si>
  <si>
    <t>E33149364_1_20260209T113149Z.jpg</t>
  </si>
  <si>
    <t>9 Ангар пилорама\E33149364_1_20260209T113149Z.jpg</t>
  </si>
  <si>
    <t>пн 09.02.2026 — 11:31:49</t>
  </si>
  <si>
    <t>E33149364_1_20260209T162733Z.jpg</t>
  </si>
  <si>
    <t>9 Ангар пилорама\E33149364_1_20260209T162733Z.jpg</t>
  </si>
  <si>
    <t>пн 09.02.2026 — 16:27:33</t>
  </si>
  <si>
    <t>E33149364_3_20260207T164800Z.jpg</t>
  </si>
  <si>
    <t>10 Сушилка навес\E33149364_3_20260207T164800Z.jpg</t>
  </si>
  <si>
    <t>сб 07.02.2026 — 16:48:00</t>
  </si>
  <si>
    <t>E33149364_3_20260208T114050Z.jpg</t>
  </si>
  <si>
    <t>10 Сушилка навес\E33149364_3_20260208T114050Z.jpg</t>
  </si>
  <si>
    <t>вс 08.02.2026 — 11:40:50</t>
  </si>
  <si>
    <t>E33149364_3_20260208T124245Z.jpg</t>
  </si>
  <si>
    <t>10 Сушилка навес\E33149364_3_20260208T124245Z.jpg</t>
  </si>
  <si>
    <t>вс 08.02.2026 — 12:42:45</t>
  </si>
  <si>
    <t>E33149364_4_20260207T154614Z.jpg</t>
  </si>
  <si>
    <t>11 С ангара на базу\E33149364_4_20260207T154614Z.jpg</t>
  </si>
  <si>
    <t>сб 07.02.2026 — 15:46:14</t>
  </si>
  <si>
    <t>E33149364_4_20260208T174951Z.jpg</t>
  </si>
  <si>
    <t>11 С ангара на базу\E33149364_4_20260208T174951Z.jpg</t>
  </si>
  <si>
    <t>вс 08.02.2026 — 17:49:51</t>
  </si>
  <si>
    <t>K07156189_20_20260207T081255Z.jpg</t>
  </si>
  <si>
    <t>12 Площадка 3 кран\K07156189_20_20260207T081255Z.jpg</t>
  </si>
  <si>
    <t>сб 07.02.2026 — 08:12:55</t>
  </si>
  <si>
    <t>K07156189_20_20260208T161615Z.jpg</t>
  </si>
  <si>
    <t>12 Площадка 3 кран\K07156189_20_20260208T161615Z.jpg</t>
  </si>
  <si>
    <t>вс 08.02.2026 — 16:16:15</t>
  </si>
  <si>
    <t>K07156189_20_20260208T165851Z.jpg</t>
  </si>
  <si>
    <t>12 Площадка 3 кран\K07156189_20_20260208T165851Z.jpg</t>
  </si>
  <si>
    <t>вс 08.02.2026 — 16:58:51</t>
  </si>
  <si>
    <t>K07156189_20_20260208T172543Z.jpg</t>
  </si>
  <si>
    <t>12 Площадка 3 кран\K07156189_20_20260208T172543Z.jpg</t>
  </si>
  <si>
    <t>вс 08.02.2026 — 17:25:43</t>
  </si>
  <si>
    <t>K07156189_23_20260207T173048Z.jpg</t>
  </si>
  <si>
    <t>13 Склад хол\K07156189_23_20260207T173048Z.jpg</t>
  </si>
  <si>
    <t>сб 07.02.2026 — 17:30:48</t>
  </si>
  <si>
    <t>K07156189_23_20260208T165446Z.jpg</t>
  </si>
  <si>
    <t>13 Склад хол\K07156189_23_20260208T165446Z.jpg</t>
  </si>
  <si>
    <t>вс 08.02.2026 — 16:54:46</t>
  </si>
  <si>
    <t>Легковая красная</t>
  </si>
  <si>
    <t>E33149364_7_20260208T165553Z.jpg</t>
  </si>
  <si>
    <t>2 Пилорама поката\E33149364_7_20260208T165553Z.jpg</t>
  </si>
  <si>
    <t>вс 08.02.2026 — 16:55:53</t>
  </si>
  <si>
    <t>K07156189_18_20260207T180358Z.jpg</t>
  </si>
  <si>
    <t>7 Площадка 2 бетонщики\K07156189_18_20260207T180358Z.jpg</t>
  </si>
  <si>
    <t>сб 07.02.2026 — 18:03:58</t>
  </si>
  <si>
    <t>K07156189_18_20260208T165200Z.jpg</t>
  </si>
  <si>
    <t>7 Площадка 2 бетонщики\K07156189_18_20260208T165200Z.jpg</t>
  </si>
  <si>
    <t>вс 08.02.2026 — 16:52:00</t>
  </si>
  <si>
    <t>легковая красная</t>
  </si>
  <si>
    <t>Сотрудник, мужчина, мешки</t>
  </si>
  <si>
    <t>K07156189_18_20260209T155947Z.jpg</t>
  </si>
  <si>
    <t>7 Площадка 2 бетонщики\K07156189_18_20260209T155947Z.jpg</t>
  </si>
  <si>
    <t>пн 09.02.2026 — 15:59:47</t>
  </si>
  <si>
    <t>K07156189_18_20260209T180728Z.jpg</t>
  </si>
  <si>
    <t>7 Площадка 2 бетонщики\K07156189_18_20260209T180728Z.jpg</t>
  </si>
  <si>
    <t>пн 09.02.2026 — 18:07:28</t>
  </si>
  <si>
    <t>K07156189_18_20260210T094822Z.jpg</t>
  </si>
  <si>
    <t>7 Площадка 2 бетонщики\K07156189_18_20260210T094822Z.jpg</t>
  </si>
  <si>
    <t>вт 10.02.2026 — 09:48:22</t>
  </si>
  <si>
    <t>K07156189_18_20260210T145929Z.jpg</t>
  </si>
  <si>
    <t>7 Площадка 2 бетонщики\K07156189_18_20260210T145929Z.jpg</t>
  </si>
  <si>
    <t>вт 10.02.2026 — 14:59:29</t>
  </si>
  <si>
    <t>K07156189_18_20260210T182542Z.jpg</t>
  </si>
  <si>
    <t>7 Площадка 2 бетонщики\K07156189_18_20260210T182542Z.jpg</t>
  </si>
  <si>
    <t>вт 10.02.2026 — 18:25:42</t>
  </si>
  <si>
    <t>K07156189_18_20260210T183409Z.jpg</t>
  </si>
  <si>
    <t>7 Площадка 2 бетонщики\K07156189_18_20260210T183409Z.jpg</t>
  </si>
  <si>
    <t>вт 10.02.2026 — 18:34:09</t>
  </si>
  <si>
    <t>K07156189_18_20260211T105120Z.jpg</t>
  </si>
  <si>
    <t>7 Площадка 2 бетонщики\K07156189_18_20260211T105120Z.jpg</t>
  </si>
  <si>
    <t>ср 11.02.2026 — 10:51:20</t>
  </si>
  <si>
    <t>K07156189_18_20260211T141837Z.jpg</t>
  </si>
  <si>
    <t>7 Площадка 2 бетонщики\K07156189_18_20260211T141837Z.jpg</t>
  </si>
  <si>
    <t>ср 11.02.2026 — 14:18:37</t>
  </si>
  <si>
    <t>K07156189_18_20260212T104009Z.jpg</t>
  </si>
  <si>
    <t>7 Площадка 2 бетонщики\K07156189_18_20260212T104009Z.jpg</t>
  </si>
  <si>
    <t>чт 12.02.2026 — 10:40:09</t>
  </si>
  <si>
    <t>K07156189_18_20260212T121302Z.jpg</t>
  </si>
  <si>
    <t>7 Площадка 2 бетонщики\K07156189_18_20260212T121302Z.jpg</t>
  </si>
  <si>
    <t>чт 12.02.2026 — 12:13:02</t>
  </si>
  <si>
    <t>K07156189_18_20260212T122229Z.jpg</t>
  </si>
  <si>
    <t>7 Площадка 2 бетонщики\K07156189_18_20260212T122229Z.jpg</t>
  </si>
  <si>
    <t>чт 12.02.2026 — 12:22:29</t>
  </si>
  <si>
    <t>K07156189_18_20260212T173524Z.jpg</t>
  </si>
  <si>
    <t>7 Площадка 2 бетонщики\K07156189_18_20260212T173524Z.jpg</t>
  </si>
  <si>
    <t>чт 12.02.2026 — 17:35:24</t>
  </si>
  <si>
    <t>K07156189_20_20260209T090928Z.jpg</t>
  </si>
  <si>
    <t>12 Площадка 3 кран\K07156189_20_20260209T090928Z.jpg</t>
  </si>
  <si>
    <t>пн 09.02.2026 — 09:09:28</t>
  </si>
  <si>
    <t>K07156189_20_20260209T171858Z.jpg</t>
  </si>
  <si>
    <t>12 Площадка 3 кран\K07156189_20_20260209T171858Z.jpg</t>
  </si>
  <si>
    <t>пн 09.02.2026 — 17:18:58</t>
  </si>
  <si>
    <t>K07156189_20_20260210T113247Z.jpg</t>
  </si>
  <si>
    <t>12 Площадка 3 кран\K07156189_20_20260210T113247Z.jpg</t>
  </si>
  <si>
    <t>вт 10.02.2026 — 11:32:47</t>
  </si>
  <si>
    <t>K07156189_20_20260210T120307Z.jpg</t>
  </si>
  <si>
    <t>12 Площадка 3 кран\K07156189_20_20260210T120307Z.jpg</t>
  </si>
  <si>
    <t>вт 10.02.2026 — 12:03:07</t>
  </si>
  <si>
    <t>K07156189_20_20260210T182756Z.jpg</t>
  </si>
  <si>
    <t>12 Площадка 3 кран\K07156189_20_20260210T182756Z.jpg</t>
  </si>
  <si>
    <t>вт 10.02.2026 — 18:27:56</t>
  </si>
  <si>
    <t>K07156189_20_20260210T183415Z.jpg</t>
  </si>
  <si>
    <t>12 Площадка 3 кран\K07156189_20_20260210T183415Z.jpg</t>
  </si>
  <si>
    <t>вт 10.02.2026 — 18:34:15</t>
  </si>
  <si>
    <t>K07156189_20_20260211T084202Z.jpg</t>
  </si>
  <si>
    <t>12 Площадка 3 кран\K07156189_20_20260211T084202Z.jpg</t>
  </si>
  <si>
    <t>ср 11.02.2026 — 08:42:02</t>
  </si>
  <si>
    <t>K07156189_20_20260212T110341Z.jpg</t>
  </si>
  <si>
    <t>12 Площадка 3 кран\K07156189_20_20260212T110341Z.jpg</t>
  </si>
  <si>
    <t>чт 12.02.2026 — 11:03:41</t>
  </si>
  <si>
    <t>K07156189_20_20260212T164940Z.jpg</t>
  </si>
  <si>
    <t>12 Площадка 3 кран\K07156189_20_20260212T164940Z.jpg</t>
  </si>
  <si>
    <t>чт 12.02.2026 — 16:49:40</t>
  </si>
  <si>
    <t>K07156189_23_20260209T111627Z.jpg</t>
  </si>
  <si>
    <t>13 Склад хол\K07156189_23_20260209T111627Z.jpg</t>
  </si>
  <si>
    <t>пн 09.02.2026 — 11:16:27</t>
  </si>
  <si>
    <t>K07156189_23_20260209T163506Z.jpg</t>
  </si>
  <si>
    <t>13 Склад хол\K07156189_23_20260209T163506Z.jpg</t>
  </si>
  <si>
    <t>пн 09.02.2026 — 16:35:06</t>
  </si>
  <si>
    <t>K07156189_23_20260210T083307Z.jpg</t>
  </si>
  <si>
    <t>13 Склад хол\K07156189_23_20260210T083307Z.jpg</t>
  </si>
  <si>
    <t>вт 10.02.2026 — 08:33:07</t>
  </si>
  <si>
    <t>K07156189_23_20260210T145026Z.jpg</t>
  </si>
  <si>
    <t>13 Склад хол\K07156189_23_20260210T145026Z.jpg</t>
  </si>
  <si>
    <t>вт 10.02.2026 — 14:50:26</t>
  </si>
  <si>
    <t>K07156189_23_20260211T104210Z.jpg</t>
  </si>
  <si>
    <t>13 Склад хол\K07156189_23_20260211T104210Z.jpg</t>
  </si>
  <si>
    <t>ср 11.02.2026 — 10:42:10</t>
  </si>
  <si>
    <t>K07156189_23_20260211T110125Z.jpg</t>
  </si>
  <si>
    <t>13 Склад хол\K07156189_23_20260211T110125Z.jpg</t>
  </si>
  <si>
    <t>ср 11.02.2026 — 11:01:25</t>
  </si>
  <si>
    <t>K07156189_23_20260211T174302Z.jpg</t>
  </si>
  <si>
    <t>13 Склад хол\K07156189_23_20260211T174302Z.jpg</t>
  </si>
  <si>
    <t>ср 11.02.2026 — 17:43:02</t>
  </si>
  <si>
    <t>K07156189_23_20260212T104009Z.jpg</t>
  </si>
  <si>
    <t>13 Склад хол\K07156189_23_20260212T104009Z.jpg</t>
  </si>
  <si>
    <t>K07156189_23_20260212T104039Z.jpg</t>
  </si>
  <si>
    <t>13 Склад хол\K07156189_23_20260212T104039Z.jpg</t>
  </si>
  <si>
    <t>чт 12.02.2026 — 10:40:39</t>
  </si>
  <si>
    <t>K07156189_23_20260212T122206Z.jpg</t>
  </si>
  <si>
    <t>13 Склад хол\K07156189_23_20260212T122206Z.jpg</t>
  </si>
  <si>
    <t>чт 12.02.2026 — 12:22:06</t>
  </si>
  <si>
    <t>K07156189_21_20260209T104146Z.jpg</t>
  </si>
  <si>
    <t>4 Крыльцо офиса\K07156189_21_20260209T104146Z.jpg</t>
  </si>
  <si>
    <t>пн 09.02.2026 — 10:41:46</t>
  </si>
  <si>
    <t>K07156189_21_20260210T082532Z.jpg</t>
  </si>
  <si>
    <t>4 Крыльцо офиса\K07156189_21_20260210T082532Z.jpg</t>
  </si>
  <si>
    <t>вт 10.02.2026 — 08:25:32</t>
  </si>
  <si>
    <t>K07156189_21_20260210T085600Z.jpg</t>
  </si>
  <si>
    <t>4 Крыльцо офиса\K07156189_21_20260210T085600Z.jpg</t>
  </si>
  <si>
    <t>вт 10.02.2026 — 08:56:00</t>
  </si>
  <si>
    <t>K07156189_21_20260211T104112Z.jpg</t>
  </si>
  <si>
    <t>4 Крыльцо офиса\K07156189_21_20260211T104112Z.jpg</t>
  </si>
  <si>
    <t>ср 11.02.2026 — 10:41:12</t>
  </si>
  <si>
    <t>K07156189_21_20260211T135618Z.jpg</t>
  </si>
  <si>
    <t>4 Крыльцо офиса\K07156189_21_20260211T135618Z.jpg</t>
  </si>
  <si>
    <t>ср 11.02.2026 — 13:56:18</t>
  </si>
  <si>
    <t>K07156189_21_20260212T083908Z.jpg</t>
  </si>
  <si>
    <t>4 Крыльцо офиса\K07156189_21_20260212T083908Z.jpg</t>
  </si>
  <si>
    <t>чт 12.02.2026 — 08:39:08</t>
  </si>
  <si>
    <t>K07156189_21_20260212T085156Z.jpg</t>
  </si>
  <si>
    <t>4 Крыльцо офиса\K07156189_21_20260212T085156Z.jpg</t>
  </si>
  <si>
    <t>чт 12.02.2026 — 08:51:56</t>
  </si>
  <si>
    <t>K07156189_21_20260212T091722Z.jpg</t>
  </si>
  <si>
    <t>4 Крыльцо офиса\K07156189_21_20260212T091722Z.jpg</t>
  </si>
  <si>
    <t>чт 12.02.2026 — 09:17:22</t>
  </si>
  <si>
    <t>K07156189_21_20260212T092905Z.jpg</t>
  </si>
  <si>
    <t>4 Крыльцо офиса\K07156189_21_20260212T092905Z.jpg</t>
  </si>
  <si>
    <t>чт 12.02.2026 — 09:29:05</t>
  </si>
  <si>
    <t>K07156189_22_20260209T091749Z.jpg</t>
  </si>
  <si>
    <t>5 Крыльцо общага\K07156189_22_20260209T091749Z.jpg</t>
  </si>
  <si>
    <t>пн 09.02.2026 — 09:17:49</t>
  </si>
  <si>
    <t>K07156189_22_20260210T082851Z.jpg</t>
  </si>
  <si>
    <t>5 Крыльцо общага\K07156189_22_20260210T082851Z.jpg</t>
  </si>
  <si>
    <t>вт 10.02.2026 — 08:28:51</t>
  </si>
  <si>
    <t>K07156189_22_20260210T083305Z.jpg</t>
  </si>
  <si>
    <t>5 Крыльцо общага\K07156189_22_20260210T083305Z.jpg</t>
  </si>
  <si>
    <t>вт 10.02.2026 — 08:33:05</t>
  </si>
  <si>
    <t>K07156189_22_20260210T085551Z.jpg</t>
  </si>
  <si>
    <t>5 Крыльцо общага\K07156189_22_20260210T085551Z.jpg</t>
  </si>
  <si>
    <t>вт 10.02.2026 — 08:55:51</t>
  </si>
  <si>
    <t>K07156189_22_20260210T144916Z.jpg</t>
  </si>
  <si>
    <t>5 Крыльцо общага\K07156189_22_20260210T144916Z.jpg</t>
  </si>
  <si>
    <t>вт 10.02.2026 — 14:49:16</t>
  </si>
  <si>
    <t>K07156189_22_20260211T105320Z.jpg</t>
  </si>
  <si>
    <t>5 Крыльцо общага\K07156189_22_20260211T105320Z.jpg</t>
  </si>
  <si>
    <t>ср 11.02.2026 — 10:53:20</t>
  </si>
  <si>
    <t>K07156189_22_20260211T135111Z.jpg</t>
  </si>
  <si>
    <t>5 Крыльцо общага\K07156189_22_20260211T135111Z.jpg</t>
  </si>
  <si>
    <t>ср 11.02.2026 — 13:51:11</t>
  </si>
  <si>
    <t>K07156189_22_20260211T170433Z.jpg</t>
  </si>
  <si>
    <t>5 Крыльцо общага\K07156189_22_20260211T170433Z.jpg</t>
  </si>
  <si>
    <t>ср 11.02.2026 — 17:04:33</t>
  </si>
  <si>
    <t>K07156189_22_20260212T091627Z.jpg</t>
  </si>
  <si>
    <t>5 Крыльцо общага\K07156189_22_20260212T091627Z.jpg</t>
  </si>
  <si>
    <t>чт 12.02.2026 — 09:16:27</t>
  </si>
  <si>
    <t>K07156189_22_20260212T164239Z.jpg</t>
  </si>
  <si>
    <t>5 Крыльцо общага\K07156189_22_20260212T164239Z.jpg</t>
  </si>
  <si>
    <t>чт 12.02.2026 — 16:42:39</t>
  </si>
  <si>
    <t>826398429_1_20260209T150405Z.jpg</t>
  </si>
  <si>
    <t>6 Площадка 1 общага\826398429_1_20260209T150405Z.jpg</t>
  </si>
  <si>
    <t>пн 09.02.2026 — 15:04:05</t>
  </si>
  <si>
    <t>826398429_1_20260210T123610Z.jpg</t>
  </si>
  <si>
    <t>6 Площадка 1 общага\826398429_1_20260210T123610Z.jpg</t>
  </si>
  <si>
    <t>вт 10.02.2026 — 12:36:10</t>
  </si>
  <si>
    <t>826398429_1_20260210T151237Z.jpg</t>
  </si>
  <si>
    <t>6 Площадка 1 общага\826398429_1_20260210T151237Z.jpg</t>
  </si>
  <si>
    <t>вт 10.02.2026 — 15:12:37</t>
  </si>
  <si>
    <t>826398429_1_20260210T182804Z.jpg</t>
  </si>
  <si>
    <t>6 Площадка 1 общага\826398429_1_20260210T182804Z.jpg</t>
  </si>
  <si>
    <t>вт 10.02.2026 — 18:28:04</t>
  </si>
  <si>
    <t>826398429_1_20260211T100313Z.jpg</t>
  </si>
  <si>
    <t>6 Площадка 1 общага\826398429_1_20260211T100313Z.jpg</t>
  </si>
  <si>
    <t>ср 11.02.2026 — 10:03:13</t>
  </si>
  <si>
    <t>826398429_1_20260211T180338Z.jpg</t>
  </si>
  <si>
    <t>6 Площадка 1 общага\826398429_1_20260211T180338Z.jpg</t>
  </si>
  <si>
    <t>ср 11.02.2026 — 18:03:38</t>
  </si>
  <si>
    <t>826398429_1_20260212T142949Z.jpg</t>
  </si>
  <si>
    <t>6 Площадка 1 общага\826398429_1_20260212T142949Z.jpg</t>
  </si>
  <si>
    <t>чт 12.02.2026 — 14:29:49</t>
  </si>
  <si>
    <t>826398429_1_20260212T164340Z.jpg</t>
  </si>
  <si>
    <t>6 Площадка 1 общага\826398429_1_20260212T164340Z.jpg</t>
  </si>
  <si>
    <t>чт 12.02.2026 — 16:43:40</t>
  </si>
  <si>
    <t>Проезд на территорию</t>
  </si>
  <si>
    <t>Легковая белая с закрытым прицепом</t>
  </si>
  <si>
    <t>Загрузка мешка с материалами</t>
  </si>
  <si>
    <t>Вывоз бревен трактором базы</t>
  </si>
  <si>
    <t>Смена ракурса камеры</t>
  </si>
  <si>
    <t>перемещение бревен</t>
  </si>
  <si>
    <t>доставленные бревна</t>
  </si>
  <si>
    <t>Провоз контейнера с отходами распиловки</t>
  </si>
  <si>
    <t>K07156189_20_20260213T135109Z.jpg</t>
  </si>
  <si>
    <t>12 Площадка 3 кран\K07156189_20_20260213T135109Z.jpg</t>
  </si>
  <si>
    <t>пт 13.02.2026 — 13:51:09</t>
  </si>
  <si>
    <t>K07156189_20_20260214T152146Z.jpg</t>
  </si>
  <si>
    <t>12 Площадка 3 кран\K07156189_20_20260214T152146Z.jpg</t>
  </si>
  <si>
    <t>сб 14.02.2026 — 15:21:46</t>
  </si>
  <si>
    <t>K07156189_23_20260213T104313Z.jpg</t>
  </si>
  <si>
    <t>13 Склад хол\K07156189_23_20260213T104313Z.jpg</t>
  </si>
  <si>
    <t>пт 13.02.2026 — 10:43:13</t>
  </si>
  <si>
    <t>K07156189_23_20260214T180609Z.jpg</t>
  </si>
  <si>
    <t>13 Склад хол\K07156189_23_20260214T180609Z.jpg</t>
  </si>
  <si>
    <t>сб 14.02.2026 — 18:06:09</t>
  </si>
  <si>
    <t>K07156189_21_20260213T134848Z.jpg</t>
  </si>
  <si>
    <t>4 Крыльцо офиса\K07156189_21_20260213T134848Z.jpg</t>
  </si>
  <si>
    <t>пт 13.02.2026 — 13:48:48</t>
  </si>
  <si>
    <t>K07156189_21_20260213T164035Z.jpg</t>
  </si>
  <si>
    <t>4 Крыльцо офиса\K07156189_21_20260213T164035Z.jpg</t>
  </si>
  <si>
    <t>пт 13.02.2026 — 16:40:35</t>
  </si>
  <si>
    <t>K07156189_21_20260213T165402Z.jpg</t>
  </si>
  <si>
    <t>4 Крыльцо офиса\K07156189_21_20260213T165402Z.jpg</t>
  </si>
  <si>
    <t>пт 13.02.2026 — 16:54:02</t>
  </si>
  <si>
    <t>K07156189_21_20260214T101848Z.jpg</t>
  </si>
  <si>
    <t>4 Крыльцо офиса\K07156189_21_20260214T101848Z.jpg</t>
  </si>
  <si>
    <t>сб 14.02.2026 — 10:18:48</t>
  </si>
  <si>
    <t>K07156189_21_20260214T212129Z.jpg</t>
  </si>
  <si>
    <t>4 Крыльцо офиса\K07156189_21_20260214T212129Z.jpg</t>
  </si>
  <si>
    <t>сб 14.02.2026 — 21:21:29</t>
  </si>
  <si>
    <t>K07156189_21_20260214T213654Z.jpg</t>
  </si>
  <si>
    <t>4 Крыльцо офиса\K07156189_21_20260214T213654Z.jpg</t>
  </si>
  <si>
    <t>сб 14.02.2026 — 21:36:54</t>
  </si>
  <si>
    <t>K07156189_22_20260213T113137Z.jpg</t>
  </si>
  <si>
    <t>5 Крыльцо общага\K07156189_22_20260213T113137Z.jpg</t>
  </si>
  <si>
    <t>пт 13.02.2026 — 11:31:37</t>
  </si>
  <si>
    <t>K07156189_22_20260213T164041Z.jpg</t>
  </si>
  <si>
    <t>5 Крыльцо общага\K07156189_22_20260213T164041Z.jpg</t>
  </si>
  <si>
    <t>пт 13.02.2026 — 16:40:41</t>
  </si>
  <si>
    <t>K07156189_22_20260213T165350Z.jpg</t>
  </si>
  <si>
    <t>5 Крыльцо общага\K07156189_22_20260213T165350Z.jpg</t>
  </si>
  <si>
    <t>пт 13.02.2026 — 16:53:50</t>
  </si>
  <si>
    <t>826398429_1_20260213T093616Z.jpg</t>
  </si>
  <si>
    <t>6 Площадка 1 общага\826398429_1_20260213T093616Z.jpg</t>
  </si>
  <si>
    <t>пт 13.02.2026 — 09:36:16</t>
  </si>
  <si>
    <t>826398429_1_20260213T181318Z.jpg</t>
  </si>
  <si>
    <t>6 Площадка 1 общага\826398429_1_20260213T181318Z.jpg</t>
  </si>
  <si>
    <t>пт 13.02.2026 — 18:13:18</t>
  </si>
  <si>
    <t>826398429_1_20260214T161218Z.jpg</t>
  </si>
  <si>
    <t>6 Площадка 1 общага\826398429_1_20260214T161218Z.jpg</t>
  </si>
  <si>
    <t>сб 14.02.2026 — 16:12:18</t>
  </si>
  <si>
    <t>легковая на заднем плане</t>
  </si>
  <si>
    <t>Volkswagen Polo белый</t>
  </si>
  <si>
    <t>Обратный проезд, стоянка</t>
  </si>
  <si>
    <t>Сотрудники с кульками</t>
  </si>
  <si>
    <t>Проезд на територию</t>
  </si>
  <si>
    <t>K07156189_18_20260213T093024Z.jpg</t>
  </si>
  <si>
    <t>7 Площадка 2 бетонщики\K07156189_18_20260213T093024Z.jpg</t>
  </si>
  <si>
    <t>пт 13.02.2026 — 09:30:24</t>
  </si>
  <si>
    <t>K07156189_18_20260213T165252Z.jpg</t>
  </si>
  <si>
    <t>7 Площадка 2 бетонщики\K07156189_18_20260213T165252Z.jpg</t>
  </si>
  <si>
    <t>пт 13.02.2026 — 16:52:52</t>
  </si>
  <si>
    <t>K07156189_18_20260214T152529Z.jpg</t>
  </si>
  <si>
    <t>7 Площадка 2 бетонщики\K07156189_18_20260214T152529Z.jpg</t>
  </si>
  <si>
    <t>сб 14.02.2026 — 15:25:29</t>
  </si>
  <si>
    <t>Сотрудники с тюками</t>
  </si>
  <si>
    <t>K07156189_22_20260214T152136Z.jpg</t>
  </si>
  <si>
    <t>5 Крыльцо общага\K07156189_22_20260214T152136Z.jpg</t>
  </si>
  <si>
    <t>сб 14.02.2026 — 15:21:36</t>
  </si>
  <si>
    <t>826398429_1_20260215T103546Z.jpg</t>
  </si>
  <si>
    <t>6 Площадка 1 общага\826398429_1_20260215T103546Z.jpg</t>
  </si>
  <si>
    <t>вс 15.02.2026 — 10:35:46</t>
  </si>
  <si>
    <t>826398429_1_20260215T180058Z.jpg</t>
  </si>
  <si>
    <t>6 Площадка 1 общага\826398429_1_20260215T180058Z.jpg</t>
  </si>
  <si>
    <t>вс 15.02.2026 — 18:00:58</t>
  </si>
  <si>
    <t>K07156189_21_20260215T154656Z.jpg</t>
  </si>
  <si>
    <t>4 Крыльцо офиса\K07156189_21_20260215T154656Z.jpg</t>
  </si>
  <si>
    <t>вс 15.02.2026 — 15:46:56</t>
  </si>
  <si>
    <t>K07156189_22_20260215T120101Z.jpg</t>
  </si>
  <si>
    <t>5 Крыльцо общага\K07156189_22_20260215T120101Z.jpg</t>
  </si>
  <si>
    <t>вс 15.02.2026 — 12:01:01</t>
  </si>
  <si>
    <t>K07156189_20_20260215T120146Z.jpg</t>
  </si>
  <si>
    <t>12 Площадка 3 кран\K07156189_20_20260215T120146Z.jpg</t>
  </si>
  <si>
    <t>вс 15.02.2026 — 12:01:46</t>
  </si>
  <si>
    <t>K07156189_20_20260215T120208Z.jpg</t>
  </si>
  <si>
    <t>12 Площадка 3 кран\K07156189_20_20260215T120208Z.jpg</t>
  </si>
  <si>
    <t>вс 15.02.2026 — 12:02:08</t>
  </si>
  <si>
    <t>K07156189_20_20260215T134944Z.jpg</t>
  </si>
  <si>
    <t>12 Площадка 3 кран\K07156189_20_20260215T134944Z.jpg</t>
  </si>
  <si>
    <t>вс 15.02.2026 — 13:49:44</t>
  </si>
  <si>
    <t>K07156189_20_20260215T175028Z.jpg</t>
  </si>
  <si>
    <t>12 Площадка 3 кран\K07156189_20_20260215T175028Z.jpg</t>
  </si>
  <si>
    <t>вс 15.02.2026 — 17:50:28</t>
  </si>
  <si>
    <t>K07156189_23_20260215T154902Z.jpg</t>
  </si>
  <si>
    <t>13 Склад хол\K07156189_23_20260215T154902Z.jpg</t>
  </si>
  <si>
    <t>вс 15.02.2026 — 15:49:02</t>
  </si>
  <si>
    <t>K07156189_18_20260215T161257Z.jpg</t>
  </si>
  <si>
    <t>7 Площадка 2 бетонщики\K07156189_18_20260215T161257Z.jpg</t>
  </si>
  <si>
    <t>вс 15.02.2026 — 16:12:57</t>
  </si>
  <si>
    <t>Сотрудник с мешком (дальний план у избушки)</t>
  </si>
  <si>
    <t>C:\ВИДЕОНАБЛЮДЕНИЕ\19 Хронометраж\</t>
  </si>
  <si>
    <t>сб 14.02.2026 — 09:38:16</t>
  </si>
  <si>
    <t>сб 14.02.2026 — 09:39:19</t>
  </si>
  <si>
    <t>сб 14.02.2026 — 11:27:19</t>
  </si>
  <si>
    <t>сб 14.02.2026 — 11:33:28</t>
  </si>
  <si>
    <t>сб 14.02.2026 — 12:00:00</t>
  </si>
  <si>
    <t>сб 14.02.2026 — 12:30:02</t>
  </si>
  <si>
    <t>сб 14.02.2026 — 13:57:47</t>
  </si>
  <si>
    <t>сб 14.02.2026 — 15:26:01</t>
  </si>
  <si>
    <t>сб 14.02.2026 — 16:52:53</t>
  </si>
  <si>
    <t>K07156189_22_20260214T125532Z.jpg</t>
  </si>
  <si>
    <t>19 Хронометраж\K07156189_22_20260214T125532Z.jpg</t>
  </si>
  <si>
    <t>сб 14.02.2026 — 12:55:32</t>
  </si>
  <si>
    <t>сб 14.02.2026 — 09:18:03</t>
  </si>
  <si>
    <t>сб 14.02.2026 — 09:20:53</t>
  </si>
  <si>
    <t>сб 14.02.2026 — 10:55:07</t>
  </si>
  <si>
    <t>сб 14.02.2026 — 11:26:18</t>
  </si>
  <si>
    <t>сб 14.02.2026 — 11:27:44</t>
  </si>
  <si>
    <t>сб 14.02.2026 — 11:53:22</t>
  </si>
  <si>
    <t>сб 14.02.2026 — 11:58:20</t>
  </si>
  <si>
    <t>сб 14.02.2026 — 12:24:44</t>
  </si>
  <si>
    <t>сб 14.02.2026 — 12:26:41</t>
  </si>
  <si>
    <t>сб 14.02.2026 — 12:55:27</t>
  </si>
  <si>
    <t>сб 14.02.2026 — 13:56:40</t>
  </si>
  <si>
    <t>сб 14.02.2026 — 15:22:04</t>
  </si>
  <si>
    <t>сб 14.02.2026 — 16:52:29</t>
  </si>
  <si>
    <t>сб 14.02.2026 — 16:57:47</t>
  </si>
  <si>
    <t>вс 15.02.2026 — 09:44:17</t>
  </si>
  <si>
    <t>вс 15.02.2026 — 15:10:45</t>
  </si>
  <si>
    <t>вс 15.02.2026 — 15:25:47</t>
  </si>
  <si>
    <t>вс 15.02.2026 — 16:34:58</t>
  </si>
  <si>
    <t>K07156189_22_20260214T091803Z.jpg</t>
  </si>
  <si>
    <t>19 Хронометраж\K07156189_22_20260214T091803Z.jpg</t>
  </si>
  <si>
    <t>K07156189_22_20260214T092053Z.jpg</t>
  </si>
  <si>
    <t>19 Хронометраж\K07156189_22_20260214T092053Z.jpg</t>
  </si>
  <si>
    <t>K07156189_22_20260214T093816Z.jpg</t>
  </si>
  <si>
    <t>19 Хронометраж\K07156189_22_20260214T093816Z.jpg</t>
  </si>
  <si>
    <t>K07156189_22_20260214T093919Z.jpg</t>
  </si>
  <si>
    <t>19 Хронометраж\K07156189_22_20260214T093919Z.jpg</t>
  </si>
  <si>
    <t>K07156189_22_20260214T105507Z.jpg</t>
  </si>
  <si>
    <t>19 Хронометраж\K07156189_22_20260214T105507Z.jpg</t>
  </si>
  <si>
    <t>K07156189_22_20260214T112618Z.jpg</t>
  </si>
  <si>
    <t>19 Хронометраж\K07156189_22_20260214T112618Z.jpg</t>
  </si>
  <si>
    <t>K07156189_22_20260214T112719Z.jpg</t>
  </si>
  <si>
    <t>19 Хронометраж\K07156189_22_20260214T112719Z.jpg</t>
  </si>
  <si>
    <t>K07156189_22_20260214T112744Z.jpg</t>
  </si>
  <si>
    <t>19 Хронометраж\K07156189_22_20260214T112744Z.jpg</t>
  </si>
  <si>
    <t>K07156189_22_20260214T113328Z.jpg</t>
  </si>
  <si>
    <t>19 Хронометраж\K07156189_22_20260214T113328Z.jpg</t>
  </si>
  <si>
    <t>K07156189_22_20260214T115322Z.jpg</t>
  </si>
  <si>
    <t>19 Хронометраж\K07156189_22_20260214T115322Z.jpg</t>
  </si>
  <si>
    <t>K07156189_22_20260214T115820Z.jpg</t>
  </si>
  <si>
    <t>19 Хронометраж\K07156189_22_20260214T115820Z.jpg</t>
  </si>
  <si>
    <t>K07156189_22_20260214T120000Z.jpg</t>
  </si>
  <si>
    <t>19 Хронометраж\K07156189_22_20260214T120000Z.jpg</t>
  </si>
  <si>
    <t>K07156189_22_20260214T122444Z.jpg</t>
  </si>
  <si>
    <t>19 Хронометраж\K07156189_22_20260214T122444Z.jpg</t>
  </si>
  <si>
    <t>K07156189_22_20260214T122641Z.jpg</t>
  </si>
  <si>
    <t>19 Хронометраж\K07156189_22_20260214T122641Z.jpg</t>
  </si>
  <si>
    <t>K07156189_22_20260214T123002Z.jpg</t>
  </si>
  <si>
    <t>19 Хронометраж\K07156189_22_20260214T123002Z.jpg</t>
  </si>
  <si>
    <t>K07156189_22_20260214T125527Z.jpg</t>
  </si>
  <si>
    <t>19 Хронометраж\K07156189_22_20260214T125527Z.jpg</t>
  </si>
  <si>
    <t>K07156189_22_20260214T135640Z.jpg</t>
  </si>
  <si>
    <t>19 Хронометраж\K07156189_22_20260214T135640Z.jpg</t>
  </si>
  <si>
    <t>K07156189_22_20260214T135747Z.jpg</t>
  </si>
  <si>
    <t>19 Хронометраж\K07156189_22_20260214T135747Z.jpg</t>
  </si>
  <si>
    <t>K07156189_22_20260214T152204Z.jpg</t>
  </si>
  <si>
    <t>19 Хронометраж\K07156189_22_20260214T152204Z.jpg</t>
  </si>
  <si>
    <t>K07156189_22_20260214T152529Z.jpg</t>
  </si>
  <si>
    <t>19 Хронометраж\K07156189_22_20260214T152529Z.jpg</t>
  </si>
  <si>
    <t>K07156189_22_20260214T152601Z.jpg</t>
  </si>
  <si>
    <t>19 Хронометраж\K07156189_22_20260214T152601Z.jpg</t>
  </si>
  <si>
    <t>K07156189_22_20260214T165229Z.jpg</t>
  </si>
  <si>
    <t>19 Хронометраж\K07156189_22_20260214T165229Z.jpg</t>
  </si>
  <si>
    <t>K07156189_22_20260214T165253Z.jpg</t>
  </si>
  <si>
    <t>19 Хронометраж\K07156189_22_20260214T165253Z.jpg</t>
  </si>
  <si>
    <t>K07156189_22_20260214T165747Z.jpg</t>
  </si>
  <si>
    <t>19 Хронометраж\K07156189_22_20260214T165747Z.jpg</t>
  </si>
  <si>
    <t>K07156189_22_20260215T094417Z.jpg</t>
  </si>
  <si>
    <t>19 Хронометраж\K07156189_22_20260215T094417Z.jpg</t>
  </si>
  <si>
    <t>K07156189_22_20260215T095029Z.jpg</t>
  </si>
  <si>
    <t>19 Хронометраж\K07156189_22_20260215T095029Z.jpg</t>
  </si>
  <si>
    <t>вс 15.02.2026 — 09:50:29</t>
  </si>
  <si>
    <t>K07156189_22_20260215T131658Z.jpg</t>
  </si>
  <si>
    <t>19 Хронометраж\K07156189_22_20260215T131658Z.jpg</t>
  </si>
  <si>
    <t>вс 15.02.2026 — 13:16:58</t>
  </si>
  <si>
    <t>K07156189_22_20260215T134929Z.jpg</t>
  </si>
  <si>
    <t>19 Хронометраж\K07156189_22_20260215T134929Z.jpg</t>
  </si>
  <si>
    <t>вс 15.02.2026 — 13:49:29</t>
  </si>
  <si>
    <t>K07156189_22_20260215T135034Z.jpg</t>
  </si>
  <si>
    <t>19 Хронометраж\K07156189_22_20260215T135034Z.jpg</t>
  </si>
  <si>
    <t>вс 15.02.2026 — 13:50:34</t>
  </si>
  <si>
    <t>K07156189_22_20260215T142730Z.jpg</t>
  </si>
  <si>
    <t>19 Хронометраж\K07156189_22_20260215T142730Z.jpg</t>
  </si>
  <si>
    <t>вс 15.02.2026 — 14:27:30</t>
  </si>
  <si>
    <t>K07156189_22_20260215T142740Z.jpg</t>
  </si>
  <si>
    <t>19 Хронометраж\K07156189_22_20260215T142740Z.jpg</t>
  </si>
  <si>
    <t>вс 15.02.2026 — 14:27:40</t>
  </si>
  <si>
    <t>K07156189_22_20260215T145421Z.jpg</t>
  </si>
  <si>
    <t>19 Хронометраж\K07156189_22_20260215T145421Z.jpg</t>
  </si>
  <si>
    <t>вс 15.02.2026 — 14:54:21</t>
  </si>
  <si>
    <t>K07156189_22_20260215T151045Z.jpg</t>
  </si>
  <si>
    <t>19 Хронометраж\K07156189_22_20260215T151045Z.jpg</t>
  </si>
  <si>
    <t>K07156189_23_20260215T152513Z.jpg</t>
  </si>
  <si>
    <t>19 Хронометраж\K07156189_23_20260215T152513Z.jpg</t>
  </si>
  <si>
    <t>вс 15.02.2026 — 15:25:13</t>
  </si>
  <si>
    <t>K07156189_22_20260215T152547Z.jpg</t>
  </si>
  <si>
    <t>19 Хронометраж\K07156189_22_20260215T152547Z.jpg</t>
  </si>
  <si>
    <t>K07156189_22_20260215T163458Z.jpg</t>
  </si>
  <si>
    <t>19 Хронометраж\K07156189_22_20260215T163458Z.jpg</t>
  </si>
  <si>
    <t>Хронометраж</t>
  </si>
  <si>
    <t>Время прихода на рабочее место</t>
  </si>
  <si>
    <t>Сотрудник в оранжевой куртке</t>
  </si>
  <si>
    <t>Сотрудник в темной куртке</t>
  </si>
  <si>
    <t>Обработка корней бревен</t>
  </si>
  <si>
    <t>Оба сотрудника</t>
  </si>
  <si>
    <t>Время ухода с рабочего места</t>
  </si>
  <si>
    <t>ходил за инструментом</t>
  </si>
  <si>
    <t>слева в кадре</t>
  </si>
  <si>
    <t>Перемещение на другое место работы</t>
  </si>
  <si>
    <t>Отсутствие в зоне видимости</t>
  </si>
  <si>
    <t>GD7678666_1_20260217T163036Z.jpg</t>
  </si>
  <si>
    <t>14 На гаражи\GD7678666_1_20260217T163036Z.jpg</t>
  </si>
  <si>
    <t>вт 17.02.2026 — 16:30:36</t>
  </si>
  <si>
    <t>GD7678666_1_20260218T121218Z.jpg</t>
  </si>
  <si>
    <t>14 На гаражи\GD7678666_1_20260218T121218Z.jpg</t>
  </si>
  <si>
    <t>ср 18.02.2026 — 12:12:18</t>
  </si>
  <si>
    <t>K07156189_22_20260216T141909Z.jpg</t>
  </si>
  <si>
    <t>5 Крыльцо общага\K07156189_22_20260216T141909Z.jpg</t>
  </si>
  <si>
    <t>пн 16.02.2026 — 14:19:09</t>
  </si>
  <si>
    <t>K07156189_22_20260217T142941Z.jpg</t>
  </si>
  <si>
    <t>5 Крыльцо общага\K07156189_22_20260217T142941Z.jpg</t>
  </si>
  <si>
    <t>вт 17.02.2026 — 14:29:41</t>
  </si>
  <si>
    <t>K07156189_22_20260217T164921Z.jpg</t>
  </si>
  <si>
    <t>5 Крыльцо общага\K07156189_22_20260217T164921Z.jpg</t>
  </si>
  <si>
    <t>вт 17.02.2026 — 16:49:21</t>
  </si>
  <si>
    <t>K07156189_22_20260218T092349Z.jpg</t>
  </si>
  <si>
    <t>5 Крыльцо общага\K07156189_22_20260218T092349Z.jpg</t>
  </si>
  <si>
    <t>ср 18.02.2026 — 09:23:49</t>
  </si>
  <si>
    <t>K07156189_22_20260218T093004Z.jpg</t>
  </si>
  <si>
    <t>5 Крыльцо общага\K07156189_22_20260218T093004Z.jpg</t>
  </si>
  <si>
    <t>ср 18.02.2026 — 09:30:04</t>
  </si>
  <si>
    <t>K07156189_22_20260218T095019Z.jpg</t>
  </si>
  <si>
    <t>5 Крыльцо общага\K07156189_22_20260218T095019Z.jpg</t>
  </si>
  <si>
    <t>ср 18.02.2026 — 09:50:19</t>
  </si>
  <si>
    <t>K07156189_22_20260218T102243Z.jpg</t>
  </si>
  <si>
    <t>5 Крыльцо общага\K07156189_22_20260218T102243Z.jpg</t>
  </si>
  <si>
    <t>ср 18.02.2026 — 10:22:43</t>
  </si>
  <si>
    <t>134160575_1_20260216T120457Z.jpg</t>
  </si>
  <si>
    <t>7 Площадка 2 бетонщики\134160575_1_20260216T120457Z.jpg</t>
  </si>
  <si>
    <t>134160575_1_20260216T122139Z.jpg</t>
  </si>
  <si>
    <t>7 Площадка 2 бетонщики\134160575_1_20260216T122139Z.jpg</t>
  </si>
  <si>
    <t>134160575_1_20260216T133525Z.jpg</t>
  </si>
  <si>
    <t>7 Площадка 2 бетонщики\134160575_1_20260216T133525Z.jpg</t>
  </si>
  <si>
    <t>134160575_1_20260216T162943Z.jpg</t>
  </si>
  <si>
    <t>7 Площадка 2 бетонщики\134160575_1_20260216T162943Z.jpg</t>
  </si>
  <si>
    <t>134160575_1_20260217T104139Z.jpg</t>
  </si>
  <si>
    <t>7 Площадка 2 бетонщики\134160575_1_20260217T104139Z.jpg</t>
  </si>
  <si>
    <t>134160575_1_20260217T142917Z.jpg</t>
  </si>
  <si>
    <t>7 Площадка 2 бетонщики\134160575_1_20260217T142917Z.jpg</t>
  </si>
  <si>
    <t>134160575_1_20260217T170938Z.jpg</t>
  </si>
  <si>
    <t>7 Площадка 2 бетонщики\134160575_1_20260217T170938Z.jpg</t>
  </si>
  <si>
    <t>134160575_1_20260218T095023Z.jpg</t>
  </si>
  <si>
    <t>7 Площадка 2 бетонщики\134160575_1_20260218T095023Z.jpg</t>
  </si>
  <si>
    <t>134160575_1_20260218T101455Z.jpg</t>
  </si>
  <si>
    <t>7 Площадка 2 бетонщики\134160575_1_20260218T101455Z.jpg</t>
  </si>
  <si>
    <t>134160575_1_20260218T122352Z.jpg</t>
  </si>
  <si>
    <t>7 Площадка 2 бетонщики\134160575_1_20260218T122352Z.jpg</t>
  </si>
  <si>
    <t>134160575_1_20260218T184205Z.jpg</t>
  </si>
  <si>
    <t>7 Площадка 2 бетонщики\134160575_1_20260218T184205Z.jpg</t>
  </si>
  <si>
    <t>K07156189_20_20260216T093502Z.jpg</t>
  </si>
  <si>
    <t>12 Площадка 3 кран\K07156189_20_20260216T093502Z.jpg</t>
  </si>
  <si>
    <t>пн 16.02.2026 — 09:35:02</t>
  </si>
  <si>
    <t>K07156189_20_20260216T145806Z.jpg</t>
  </si>
  <si>
    <t>12 Площадка 3 кран\K07156189_20_20260216T145806Z.jpg</t>
  </si>
  <si>
    <t>пн 16.02.2026 — 14:58:06</t>
  </si>
  <si>
    <t>K07156189_20_20260216T165658Z.jpg</t>
  </si>
  <si>
    <t>12 Площадка 3 кран\K07156189_20_20260216T165658Z.jpg</t>
  </si>
  <si>
    <t>пн 16.02.2026 — 16:56:58</t>
  </si>
  <si>
    <t>K07156189_20_20260217T111602Z.jpg</t>
  </si>
  <si>
    <t>12 Площадка 3 кран\K07156189_20_20260217T111602Z.jpg</t>
  </si>
  <si>
    <t>вт 17.02.2026 — 11:16:02</t>
  </si>
  <si>
    <t>K07156189_20_20260217T124357Z.jpg</t>
  </si>
  <si>
    <t>12 Площадка 3 кран\K07156189_20_20260217T124357Z.jpg</t>
  </si>
  <si>
    <t>вт 17.02.2026 — 12:43:57</t>
  </si>
  <si>
    <t>K07156189_20_20260217T181435Z.jpg</t>
  </si>
  <si>
    <t>12 Площадка 3 кран\K07156189_20_20260217T181435Z.jpg</t>
  </si>
  <si>
    <t>вт 17.02.2026 — 18:14:35</t>
  </si>
  <si>
    <t>K07156189_20_20260218T120416Z.jpg</t>
  </si>
  <si>
    <t>12 Площадка 3 кран\K07156189_20_20260218T120416Z.jpg</t>
  </si>
  <si>
    <t>ср 18.02.2026 — 12:04:16</t>
  </si>
  <si>
    <t>K07156189_20_20260218T175846Z.jpg</t>
  </si>
  <si>
    <t>12 Площадка 3 кран\K07156189_20_20260218T175846Z.jpg</t>
  </si>
  <si>
    <t>ср 18.02.2026 — 17:58:46</t>
  </si>
  <si>
    <t>K07156189_21_20260216T143656Z.jpg</t>
  </si>
  <si>
    <t>4 Крыльцо офиса\K07156189_21_20260216T143656Z.jpg</t>
  </si>
  <si>
    <t>пн 16.02.2026 — 14:36:56</t>
  </si>
  <si>
    <t>K07156189_21_20260217T103142Z.jpg</t>
  </si>
  <si>
    <t>4 Крыльцо офиса\K07156189_21_20260217T103142Z.jpg</t>
  </si>
  <si>
    <t>вт 17.02.2026 — 10:31:42</t>
  </si>
  <si>
    <t>K07156189_21_20260217T103907Z.jpg</t>
  </si>
  <si>
    <t>4 Крыльцо офиса\K07156189_21_20260217T103907Z.jpg</t>
  </si>
  <si>
    <t>вт 17.02.2026 — 10:39:07</t>
  </si>
  <si>
    <t>K07156189_21_20260217T104725Z.jpg</t>
  </si>
  <si>
    <t>4 Крыльцо офиса\K07156189_21_20260217T104725Z.jpg</t>
  </si>
  <si>
    <t>вт 17.02.2026 — 10:47:25</t>
  </si>
  <si>
    <t>K07156189_21_20260217T121757Z.jpg</t>
  </si>
  <si>
    <t>4 Крыльцо офиса\K07156189_21_20260217T121757Z.jpg</t>
  </si>
  <si>
    <t>вт 17.02.2026 — 12:17:57</t>
  </si>
  <si>
    <t>K07156189_21_20260217T151952Z.jpg</t>
  </si>
  <si>
    <t>4 Крыльцо офиса\K07156189_21_20260217T151952Z.jpg</t>
  </si>
  <si>
    <t>вт 17.02.2026 — 15:19:52</t>
  </si>
  <si>
    <t>K07156189_21_20260217T160529Z.jpg</t>
  </si>
  <si>
    <t>4 Крыльцо офиса\K07156189_21_20260217T160529Z.jpg</t>
  </si>
  <si>
    <t>вт 17.02.2026 — 16:05:29</t>
  </si>
  <si>
    <t>K07156189_21_20260217T164434Z.jpg</t>
  </si>
  <si>
    <t>4 Крыльцо офиса\K07156189_21_20260217T164434Z.jpg</t>
  </si>
  <si>
    <t>вт 17.02.2026 — 16:44:34</t>
  </si>
  <si>
    <t>K07156189_21_20260218T120355Z.jpg</t>
  </si>
  <si>
    <t>4 Крыльцо офиса\K07156189_21_20260218T120355Z.jpg</t>
  </si>
  <si>
    <t>ср 18.02.2026 — 12:03:55</t>
  </si>
  <si>
    <t>K07156189_21_20260218T121626Z.jpg</t>
  </si>
  <si>
    <t>4 Крыльцо офиса\K07156189_21_20260218T121626Z.jpg</t>
  </si>
  <si>
    <t>ср 18.02.2026 — 12:16:26</t>
  </si>
  <si>
    <t>K07156189_21_20260218T121848Z.jpg</t>
  </si>
  <si>
    <t>4 Крыльцо офиса\K07156189_21_20260218T121848Z.jpg</t>
  </si>
  <si>
    <t>ср 18.02.2026 — 12:18:48</t>
  </si>
  <si>
    <t>K07156189_21_20260218T122347Z.jpg</t>
  </si>
  <si>
    <t>4 Крыльцо офиса\K07156189_21_20260218T122347Z.jpg</t>
  </si>
  <si>
    <t>ср 18.02.2026 — 12:23:47</t>
  </si>
  <si>
    <t>K07156189_21_20260218T123604Z.jpg</t>
  </si>
  <si>
    <t>4 Крыльцо офиса\K07156189_21_20260218T123604Z.jpg</t>
  </si>
  <si>
    <t>ср 18.02.2026 — 12:36:04</t>
  </si>
  <si>
    <t>K07156189_21_20260218T142546Z.jpg</t>
  </si>
  <si>
    <t>4 Крыльцо офиса\K07156189_21_20260218T142546Z.jpg</t>
  </si>
  <si>
    <t>ср 18.02.2026 — 14:25:46</t>
  </si>
  <si>
    <t>K07156189_23_20260216T120553Z.jpg</t>
  </si>
  <si>
    <t>13 Склад хол\K07156189_23_20260216T120553Z.jpg</t>
  </si>
  <si>
    <t>пн 16.02.2026 — 12:05:53</t>
  </si>
  <si>
    <t>K07156189_23_20260216T142318Z.jpg</t>
  </si>
  <si>
    <t>13 Склад хол\K07156189_23_20260216T142318Z.jpg</t>
  </si>
  <si>
    <t>пн 16.02.2026 — 14:23:18</t>
  </si>
  <si>
    <t>K07156189_23_20260216T144526Z.jpg</t>
  </si>
  <si>
    <t>13 Склад хол\K07156189_23_20260216T144526Z.jpg</t>
  </si>
  <si>
    <t>пн 16.02.2026 — 14:45:26</t>
  </si>
  <si>
    <t>K07156189_23_20260217T163912Z.jpg</t>
  </si>
  <si>
    <t>13 Склад хол\K07156189_23_20260217T163912Z.jpg</t>
  </si>
  <si>
    <t>вт 17.02.2026 — 16:39:12</t>
  </si>
  <si>
    <t>K07156189_23_20260217T184841Z.jpg</t>
  </si>
  <si>
    <t>13 Склад хол\K07156189_23_20260217T184841Z.jpg</t>
  </si>
  <si>
    <t>вт 17.02.2026 — 18:48:41</t>
  </si>
  <si>
    <t>K07156189_23_20260217T191411Z.jpg</t>
  </si>
  <si>
    <t>13 Склад хол\K07156189_23_20260217T191411Z.jpg</t>
  </si>
  <si>
    <t>вт 17.02.2026 — 19:14:11</t>
  </si>
  <si>
    <t>K07156189_23_20260218T102701Z.jpg</t>
  </si>
  <si>
    <t>13 Склад хол\K07156189_23_20260218T102701Z.jpg</t>
  </si>
  <si>
    <t>ср 18.02.2026 — 10:27:01</t>
  </si>
  <si>
    <t>K07156189_23_20260218T102732Z.jpg</t>
  </si>
  <si>
    <t>13 Склад хол\K07156189_23_20260218T102732Z.jpg</t>
  </si>
  <si>
    <t>ср 18.02.2026 — 10:27:32</t>
  </si>
  <si>
    <t>K07156189_23_20260218T124708Z.jpg</t>
  </si>
  <si>
    <t>13 Склад хол\K07156189_23_20260218T124708Z.jpg</t>
  </si>
  <si>
    <t>ср 18.02.2026 — 12:47:08</t>
  </si>
  <si>
    <t>K07156189_23_20260218T165142Z.jpg</t>
  </si>
  <si>
    <t>13 Склад хол\K07156189_23_20260218T165142Z.jpg</t>
  </si>
  <si>
    <t>ср 18.02.2026 — 16:51:42</t>
  </si>
  <si>
    <t>K07156189_23_20260218T181504Z.jpg</t>
  </si>
  <si>
    <t>13 Склад хол\K07156189_23_20260218T181504Z.jpg</t>
  </si>
  <si>
    <t>ср 18.02.2026 — 18:15:04</t>
  </si>
  <si>
    <t>826398429_1_20260216T090057Z.jpg</t>
  </si>
  <si>
    <t>6 Площадка 1 общага\826398429_1_20260216T090057Z.jpg</t>
  </si>
  <si>
    <t>пн 16.02.2026 — 09:00:57</t>
  </si>
  <si>
    <t>826398429_1_20260216T092545Z.jpg</t>
  </si>
  <si>
    <t>6 Площадка 1 общага\826398429_1_20260216T092545Z.jpg</t>
  </si>
  <si>
    <t>пн 16.02.2026 — 09:25:45</t>
  </si>
  <si>
    <t>826398429_1_20260216T095422Z.jpg</t>
  </si>
  <si>
    <t>6 Площадка 1 общага\826398429_1_20260216T095422Z.jpg</t>
  </si>
  <si>
    <t>пн 16.02.2026 — 09:54:22</t>
  </si>
  <si>
    <t>826398429_1_20260216T105134Z.jpg</t>
  </si>
  <si>
    <t>6 Площадка 1 общага\826398429_1_20260216T105134Z.jpg</t>
  </si>
  <si>
    <t>пн 16.02.2026 — 10:51:34</t>
  </si>
  <si>
    <t>826398429_1_20260216T123231Z.jpg</t>
  </si>
  <si>
    <t>6 Площадка 1 общага\826398429_1_20260216T123231Z.jpg</t>
  </si>
  <si>
    <t>пн 16.02.2026 — 12:32:31</t>
  </si>
  <si>
    <t>826398429_1_20260216T143129Z.jpg</t>
  </si>
  <si>
    <t>6 Площадка 1 общага\826398429_1_20260216T143129Z.jpg</t>
  </si>
  <si>
    <t>пн 16.02.2026 — 14:31:29</t>
  </si>
  <si>
    <t>826398429_1_20260216T173908Z.jpg</t>
  </si>
  <si>
    <t>6 Площадка 1 общага\826398429_1_20260216T173908Z.jpg</t>
  </si>
  <si>
    <t>пн 16.02.2026 — 17:39:08</t>
  </si>
  <si>
    <t>826398429_1_20260217T160729Z.jpg</t>
  </si>
  <si>
    <t>6 Площадка 1 общага\826398429_1_20260217T160729Z.jpg</t>
  </si>
  <si>
    <t>вт 17.02.2026 — 16:07:29</t>
  </si>
  <si>
    <t>826398429_1_20260218T121259Z.jpg</t>
  </si>
  <si>
    <t>6 Площадка 1 общага\826398429_1_20260218T121259Z.jpg</t>
  </si>
  <si>
    <t>ср 18.02.2026 — 12:12:59</t>
  </si>
  <si>
    <t>пн 16.02.2026 — 12:04:57</t>
  </si>
  <si>
    <t>пн 16.02.2026 — 12:21:39</t>
  </si>
  <si>
    <t>пн 16.02.2026 — 13:35:25</t>
  </si>
  <si>
    <t>пн 16.02.2026 — 16:29:43</t>
  </si>
  <si>
    <t>вт 17.02.2026 — 10:41:39</t>
  </si>
  <si>
    <t>вт 17.02.2026 — 14:29:17</t>
  </si>
  <si>
    <t>вт 17.02.2026 — 17:09:38</t>
  </si>
  <si>
    <t>ср 18.02.2026 — 09:50:23</t>
  </si>
  <si>
    <t>ср 18.02.2026 — 10:14:55</t>
  </si>
  <si>
    <t>ср 18.02.2026 — 12:23:52</t>
  </si>
  <si>
    <t>ср 18.02.2026 — 18:42:05</t>
  </si>
  <si>
    <t>Перемещение деревянных деталей</t>
  </si>
  <si>
    <t>Конструкция из древянных деталей</t>
  </si>
  <si>
    <t>Легковая белая с закрытым фургоном</t>
  </si>
  <si>
    <t>K07156189_21_20260218T095005Z.jpg</t>
  </si>
  <si>
    <t>4 Крыльцо офиса\K07156189_21_20260218T095005Z.jpg</t>
  </si>
  <si>
    <t>ср 18.02.2026 — 09:50:05</t>
  </si>
  <si>
    <t>Перемещение отрезков бревен</t>
  </si>
  <si>
    <t>Легковая с дугами</t>
  </si>
  <si>
    <t>скамейка</t>
  </si>
  <si>
    <t>на крыше авто</t>
  </si>
  <si>
    <t>Перемещение распиленных бревен</t>
  </si>
  <si>
    <t>Работа на площадке</t>
  </si>
  <si>
    <t>Человек с инструментами</t>
  </si>
  <si>
    <t>На гаражи</t>
  </si>
  <si>
    <t>Въезд на територию</t>
  </si>
  <si>
    <t>K07156189_20_20260219T093632Z.jpg</t>
  </si>
  <si>
    <t>12 Площадка 3 кран\K07156189_20_20260219T093632Z.jpg</t>
  </si>
  <si>
    <t>чт 19.02.2026 — 09:36:32</t>
  </si>
  <si>
    <t>K07156189_20_20260219T095434Z.jpg</t>
  </si>
  <si>
    <t>12 Площадка 3 кран\K07156189_20_20260219T095434Z.jpg</t>
  </si>
  <si>
    <t>чт 19.02.2026 — 09:54:34</t>
  </si>
  <si>
    <t>K07156189_20_20260219T113200Z.jpg</t>
  </si>
  <si>
    <t>12 Площадка 3 кран\K07156189_20_20260219T113200Z.jpg</t>
  </si>
  <si>
    <t>чт 19.02.2026 — 11:32:00</t>
  </si>
  <si>
    <t>K07156189_20_20260219T150114Z.jpg</t>
  </si>
  <si>
    <t>12 Площадка 3 кран\K07156189_20_20260219T150114Z.jpg</t>
  </si>
  <si>
    <t>чт 19.02.2026 — 15:01:14</t>
  </si>
  <si>
    <t>K07156189_20_20260219T160748Z.jpg</t>
  </si>
  <si>
    <t>12 Площадка 3 кран\K07156189_20_20260219T160748Z.jpg</t>
  </si>
  <si>
    <t>чт 19.02.2026 — 16:07:48</t>
  </si>
  <si>
    <t>K07156189_20_20260219T173446Z.jpg</t>
  </si>
  <si>
    <t>12 Площадка 3 кран\K07156189_20_20260219T173446Z.jpg</t>
  </si>
  <si>
    <t>чт 19.02.2026 — 17:34:46</t>
  </si>
  <si>
    <t>K07156189_20_20260219T191056Z.jpg</t>
  </si>
  <si>
    <t>12 Площадка 3 кран\K07156189_20_20260219T191056Z.jpg</t>
  </si>
  <si>
    <t>чт 19.02.2026 — 19:10:56</t>
  </si>
  <si>
    <t>K07156189_23_20260219T100911Z.jpg</t>
  </si>
  <si>
    <t>13 Склад хол\K07156189_23_20260219T100911Z.jpg</t>
  </si>
  <si>
    <t>чт 19.02.2026 — 10:09:11</t>
  </si>
  <si>
    <t>K07156189_23_20260219T101029Z.jpg</t>
  </si>
  <si>
    <t>13 Склад хол\K07156189_23_20260219T101029Z.jpg</t>
  </si>
  <si>
    <t>чт 19.02.2026 — 10:10:29</t>
  </si>
  <si>
    <t>K07156189_23_20260219T110550Z.jpg</t>
  </si>
  <si>
    <t>13 Склад хол\K07156189_23_20260219T110550Z.jpg</t>
  </si>
  <si>
    <t>чт 19.02.2026 — 11:05:50</t>
  </si>
  <si>
    <t>K07156189_23_20260219T135330Z.jpg</t>
  </si>
  <si>
    <t>13 Склад хол\K07156189_23_20260219T135330Z.jpg</t>
  </si>
  <si>
    <t>чт 19.02.2026 — 13:53:30</t>
  </si>
  <si>
    <t>K07156189_23_20260219T143241Z.jpg</t>
  </si>
  <si>
    <t>13 Склад хол\K07156189_23_20260219T143241Z.jpg</t>
  </si>
  <si>
    <t>чт 19.02.2026 — 14:32:41</t>
  </si>
  <si>
    <t>K07156189_23_20260219T143303Z.jpg</t>
  </si>
  <si>
    <t>13 Склад хол\K07156189_23_20260219T143303Z.jpg</t>
  </si>
  <si>
    <t>чт 19.02.2026 — 14:33:03</t>
  </si>
  <si>
    <t>K07156189_23_20260219T143332Z.jpg</t>
  </si>
  <si>
    <t>13 Склад хол\K07156189_23_20260219T143332Z.jpg</t>
  </si>
  <si>
    <t>чт 19.02.2026 — 14:33:32</t>
  </si>
  <si>
    <t>C:\ВИДЕОНАБЛЮДЕНИЕ\14 На гаражи\</t>
  </si>
  <si>
    <t>K07156189_22_20260219T102939Z.jpg</t>
  </si>
  <si>
    <t>5 Крыльцо общага\K07156189_22_20260219T102939Z.jpg</t>
  </si>
  <si>
    <t>чт 19.02.2026 — 10:29:39</t>
  </si>
  <si>
    <t>K07156189_22_20260219T105737Z.jpg</t>
  </si>
  <si>
    <t>5 Крыльцо общага\K07156189_22_20260219T105737Z.jpg</t>
  </si>
  <si>
    <t>чт 19.02.2026 — 10:57:37</t>
  </si>
  <si>
    <t>K07156189_22_20260219T134933Z.jpg</t>
  </si>
  <si>
    <t>5 Крыльцо общага\K07156189_22_20260219T134933Z.jpg</t>
  </si>
  <si>
    <t>чт 19.02.2026 — 13:49:33</t>
  </si>
  <si>
    <t>K07156189_22_20260219T143200Z.jpg</t>
  </si>
  <si>
    <t>5 Крыльцо общага\K07156189_22_20260219T143200Z.jpg</t>
  </si>
  <si>
    <t>чт 19.02.2026 — 14:32:00</t>
  </si>
  <si>
    <t>K07156189_22_20260219T165722Z.jpg</t>
  </si>
  <si>
    <t>5 Крыльцо общага\K07156189_22_20260219T165722Z.jpg</t>
  </si>
  <si>
    <t>чт 19.02.2026 — 16:57:22</t>
  </si>
  <si>
    <t>K07156189_21_20260219T095346Z.jpg</t>
  </si>
  <si>
    <t>4 Крыльцо офиса\K07156189_21_20260219T095346Z.jpg</t>
  </si>
  <si>
    <t>чт 19.02.2026 — 09:53:46</t>
  </si>
  <si>
    <t>K07156189_21_20260219T105727Z.jpg</t>
  </si>
  <si>
    <t>4 Крыльцо офиса\K07156189_21_20260219T105727Z.jpg</t>
  </si>
  <si>
    <t>чт 19.02.2026 — 10:57:27</t>
  </si>
  <si>
    <t>K07156189_21_20260219T110007Z.jpg</t>
  </si>
  <si>
    <t>4 Крыльцо офиса\K07156189_21_20260219T110007Z.jpg</t>
  </si>
  <si>
    <t>чт 19.02.2026 — 11:00:07</t>
  </si>
  <si>
    <t>K07156189_21_20260219T135947Z.jpg</t>
  </si>
  <si>
    <t>4 Крыльцо офиса\K07156189_21_20260219T135947Z.jpg</t>
  </si>
  <si>
    <t>чт 19.02.2026 — 13:59:47</t>
  </si>
  <si>
    <t>K07156189_21_20260219T143157Z.jpg</t>
  </si>
  <si>
    <t>4 Крыльцо офиса\K07156189_21_20260219T143157Z.jpg</t>
  </si>
  <si>
    <t>чт 19.02.2026 — 14:31:57</t>
  </si>
  <si>
    <t>K07156189_21_20260219T143540Z.jpg</t>
  </si>
  <si>
    <t>4 Крыльцо офиса\K07156189_21_20260219T143540Z.jpg</t>
  </si>
  <si>
    <t>чт 19.02.2026 — 14:35:40</t>
  </si>
  <si>
    <t>826398429_1_20260219T111202Z.jpg</t>
  </si>
  <si>
    <t>6 Площадка 1 общага\826398429_1_20260219T111202Z.jpg</t>
  </si>
  <si>
    <t>чт 19.02.2026 — 11:12:02</t>
  </si>
  <si>
    <t>826398429_1_20260219T142834Z.jpg</t>
  </si>
  <si>
    <t>6 Площадка 1 общага\826398429_1_20260219T142834Z.jpg</t>
  </si>
  <si>
    <t>чт 19.02.2026 — 14:28:34</t>
  </si>
  <si>
    <t>826398429_1_20260219T144009Z.jpg</t>
  </si>
  <si>
    <t>6 Площадка 1 общага\826398429_1_20260219T144009Z.jpg</t>
  </si>
  <si>
    <t>чт 19.02.2026 — 14:40:09</t>
  </si>
  <si>
    <t>826398429_1_20260219T152713Z.jpg</t>
  </si>
  <si>
    <t>6 Площадка 1 общага\826398429_1_20260219T152713Z.jpg</t>
  </si>
  <si>
    <t>чт 19.02.2026 — 15:27:13</t>
  </si>
  <si>
    <t>134160575_1_20260219T101349Z.jpg</t>
  </si>
  <si>
    <t>7 Площадка 2 бетонщики\134160575_1_20260219T101349Z.jpg</t>
  </si>
  <si>
    <t>чт 19.02.2026 — 10:13:49</t>
  </si>
  <si>
    <t>134160575_1_20260219T120739Z.jpg</t>
  </si>
  <si>
    <t>7 Площадка 2 бетонщики\134160575_1_20260219T120739Z.jpg</t>
  </si>
  <si>
    <t>чт 19.02.2026 — 12:07:39</t>
  </si>
  <si>
    <t>134160575_1_20260219T122728Z.jpg</t>
  </si>
  <si>
    <t>7 Площадка 2 бетонщики\134160575_1_20260219T122728Z.jpg</t>
  </si>
  <si>
    <t>чт 19.02.2026 — 12:27:28</t>
  </si>
  <si>
    <t>134160575_1_20260219T152920Z.jpg</t>
  </si>
  <si>
    <t>7 Площадка 2 бетонщики\134160575_1_20260219T152920Z.jpg</t>
  </si>
  <si>
    <t>чт 19.02.2026 — 15:29:20</t>
  </si>
  <si>
    <t>134160575_1_20260219T182821Z.jpg</t>
  </si>
  <si>
    <t>7 Площадка 2 бетонщики\134160575_1_20260219T182821Z.jpg</t>
  </si>
  <si>
    <t>чт 19.02.2026 — 18:28:21</t>
  </si>
  <si>
    <t>134160575_1_20260219T190339Z.jpg</t>
  </si>
  <si>
    <t>7 Площадка 2 бетонщики\134160575_1_20260219T190339Z.jpg</t>
  </si>
  <si>
    <t>чт 19.02.2026 — 19:03:39</t>
  </si>
  <si>
    <t>Легковая серая</t>
  </si>
  <si>
    <t>установщика камер</t>
  </si>
  <si>
    <t>легковая Renault Koleos</t>
  </si>
  <si>
    <t>в кадре справа вверху</t>
  </si>
  <si>
    <t>Проезд к пилораме</t>
  </si>
  <si>
    <t>несет сотрудник</t>
  </si>
  <si>
    <t>несут два сотрудника</t>
  </si>
  <si>
    <t>GD7678666_1_20260219T152911Z.jpg</t>
  </si>
  <si>
    <t>14 На гаражи\GD7678666_1_20260219T152911Z.jpg</t>
  </si>
  <si>
    <t>чт 19.02.2026 — 15:29:11</t>
  </si>
  <si>
    <t>GD7678666_1_20260219T154415Z.jpg</t>
  </si>
  <si>
    <t>14 На гаражи\GD7678666_1_20260219T154415Z.jpg</t>
  </si>
  <si>
    <t>чт 19.02.2026 — 15:44:15</t>
  </si>
  <si>
    <t>K07156189_21_20260220T154901Z.jpg</t>
  </si>
  <si>
    <t>4 Крыльцо офиса\K07156189_21_20260220T154901Z.jpg</t>
  </si>
  <si>
    <t>пт 20.02.2026 — 15:49:01</t>
  </si>
  <si>
    <t>K07156189_21_20260220T155145Z.jpg</t>
  </si>
  <si>
    <t>4 Крыльцо офиса\K07156189_21_20260220T155145Z.jpg</t>
  </si>
  <si>
    <t>пт 20.02.2026 — 15:51:45</t>
  </si>
  <si>
    <t>K07156189_21_20260220T155202Z.jpg</t>
  </si>
  <si>
    <t>4 Крыльцо офиса\K07156189_21_20260220T155202Z.jpg</t>
  </si>
  <si>
    <t>пт 20.02.2026 — 15:52:02</t>
  </si>
  <si>
    <t>134160575_1_20260220T094427Z.jpg</t>
  </si>
  <si>
    <t>7 Площадка 2 бетонщики\134160575_1_20260220T094427Z.jpg</t>
  </si>
  <si>
    <t>пт 20.02.2026 — 09:44:27</t>
  </si>
  <si>
    <t>134160575_1_20260220T131848Z.jpg</t>
  </si>
  <si>
    <t>7 Площадка 2 бетонщики\134160575_1_20260220T131848Z.jpg</t>
  </si>
  <si>
    <t>пт 20.02.2026 — 13:18:48</t>
  </si>
  <si>
    <t>134160575_1_20260220T154959Z.jpg</t>
  </si>
  <si>
    <t>7 Площадка 2 бетонщики\134160575_1_20260220T154959Z.jpg</t>
  </si>
  <si>
    <t>пт 20.02.2026 — 15:49:59</t>
  </si>
  <si>
    <t>134160575_1_20260220T185450Z.jpg</t>
  </si>
  <si>
    <t>7 Площадка 2 бетонщики\134160575_1_20260220T185450Z.jpg</t>
  </si>
  <si>
    <t>пт 20.02.2026 — 18:54:50</t>
  </si>
  <si>
    <t>K07156189_22_20260220T154914Z.jpg</t>
  </si>
  <si>
    <t>5 Крыльцо общага\K07156189_22_20260220T154914Z.jpg</t>
  </si>
  <si>
    <t>пт 20.02.2026 — 15:49:14</t>
  </si>
  <si>
    <t>K07156189_22_20260220T180920Z.jpg</t>
  </si>
  <si>
    <t>5 Крыльцо общага\K07156189_22_20260220T180920Z.jpg</t>
  </si>
  <si>
    <t>пт 20.02.2026 — 18:09:20</t>
  </si>
  <si>
    <t>826398429_1_20260220T103301Z.jpg</t>
  </si>
  <si>
    <t>6 Площадка 1 общага\826398429_1_20260220T103301Z.jpg</t>
  </si>
  <si>
    <t>пт 20.02.2026 — 10:33:01</t>
  </si>
  <si>
    <t>826398429_1_20260220T104447Z.jpg</t>
  </si>
  <si>
    <t>6 Площадка 1 общага\826398429_1_20260220T104447Z.jpg</t>
  </si>
  <si>
    <t>пт 20.02.2026 — 10:44:47</t>
  </si>
  <si>
    <t>826398429_1_20260220T144809Z.jpg</t>
  </si>
  <si>
    <t>6 Площадка 1 общага\826398429_1_20260220T144809Z.jpg</t>
  </si>
  <si>
    <t>пт 20.02.2026 — 14:48:09</t>
  </si>
  <si>
    <t>826398429_1_20260220T175322Z.jpg</t>
  </si>
  <si>
    <t>6 Площадка 1 общага\826398429_1_20260220T175322Z.jpg</t>
  </si>
  <si>
    <t>пт 20.02.2026 — 17:53:22</t>
  </si>
  <si>
    <t>K07156189_20_20260220T084624Z.jpg</t>
  </si>
  <si>
    <t>12 Площадка 3 кран\K07156189_20_20260220T084624Z.jpg</t>
  </si>
  <si>
    <t>пт 20.02.2026 — 08:46:24</t>
  </si>
  <si>
    <t>K07156189_20_20260220T111631Z.jpg</t>
  </si>
  <si>
    <t>12 Площадка 3 кран\K07156189_20_20260220T111631Z.jpg</t>
  </si>
  <si>
    <t>пт 20.02.2026 — 11:16:31</t>
  </si>
  <si>
    <t>K07156189_20_20260220T143549Z.jpg</t>
  </si>
  <si>
    <t>12 Площадка 3 кран\K07156189_20_20260220T143549Z.jpg</t>
  </si>
  <si>
    <t>пт 20.02.2026 — 14:35:49</t>
  </si>
  <si>
    <t>K07156189_20_20260220T170807Z.jpg</t>
  </si>
  <si>
    <t>12 Площадка 3 кран\K07156189_20_20260220T170807Z.jpg</t>
  </si>
  <si>
    <t>пт 20.02.2026 — 17:08:07</t>
  </si>
  <si>
    <t>K07156189_20_20260220T172759Z.jpg</t>
  </si>
  <si>
    <t>12 Площадка 3 кран\K07156189_20_20260220T172759Z.jpg</t>
  </si>
  <si>
    <t>пт 20.02.2026 — 17:27:59</t>
  </si>
  <si>
    <t>K07156189_20_20260220T183743Z.jpg</t>
  </si>
  <si>
    <t>12 Площадка 3 кран\K07156189_20_20260220T183743Z.jpg</t>
  </si>
  <si>
    <t>пт 20.02.2026 — 18:37:43</t>
  </si>
  <si>
    <t>K07156189_20_20260220T190901Z.jpg</t>
  </si>
  <si>
    <t>12 Площадка 3 кран\K07156189_20_20260220T190901Z.jpg</t>
  </si>
  <si>
    <t>пт 20.02.2026 — 19:09:01</t>
  </si>
  <si>
    <t>K07156189_23_20260220T091017Z.jpg</t>
  </si>
  <si>
    <t>13 Склад хол\K07156189_23_20260220T091017Z.jpg</t>
  </si>
  <si>
    <t>пт 20.02.2026 — 09:10:17</t>
  </si>
  <si>
    <t>K07156189_23_20260220T102746Z.jpg</t>
  </si>
  <si>
    <t>13 Склад хол\K07156189_23_20260220T102746Z.jpg</t>
  </si>
  <si>
    <t>пт 20.02.2026 — 10:27:46</t>
  </si>
  <si>
    <t>K07156189_23_20260220T150523Z.jpg</t>
  </si>
  <si>
    <t>13 Склад хол\K07156189_23_20260220T150523Z.jpg</t>
  </si>
  <si>
    <t>пт 20.02.2026 — 15:05:23</t>
  </si>
  <si>
    <t>GD7678666_1_20260220T122352Z.jpg</t>
  </si>
  <si>
    <t>14 На гаражи\GD7678666_1_20260220T122352Z.jpg</t>
  </si>
  <si>
    <t>пт 20.02.2026 — 12:23:52</t>
  </si>
  <si>
    <t>GD7678666_1_20260220T144934Z.jpg</t>
  </si>
  <si>
    <t>14 На гаражи\GD7678666_1_20260220T144934Z.jpg</t>
  </si>
  <si>
    <t>пт 20.02.2026 — 14:49:34</t>
  </si>
  <si>
    <t>GD7678666_1_20260220T150253Z.jpg</t>
  </si>
  <si>
    <t>14 На гаражи\GD7678666_1_20260220T150253Z.jpg</t>
  </si>
  <si>
    <t>пт 20.02.2026 — 15:02:53</t>
  </si>
  <si>
    <t>GD7678666_1_20260220T174328Z.jpg</t>
  </si>
  <si>
    <t>14 На гаражи\GD7678666_1_20260220T174328Z.jpg</t>
  </si>
  <si>
    <t>пт 20.02.2026 — 17:43:28</t>
  </si>
  <si>
    <t>GD7678666_1_20260220T175222Z.jpg</t>
  </si>
  <si>
    <t>14 На гаражи\GD7678666_1_20260220T175222Z.jpg</t>
  </si>
  <si>
    <t>пт 20.02.2026 — 17:52:22</t>
  </si>
  <si>
    <t>GD7678666_1_20260220T182150Z.jpg</t>
  </si>
  <si>
    <t>14 На гаражи\GD7678666_1_20260220T182150Z.jpg</t>
  </si>
  <si>
    <t>пт 20.02.2026 — 18:21:50</t>
  </si>
  <si>
    <t>GD7678666_1_20260220T183502Z.jpg</t>
  </si>
  <si>
    <t>14 На гаражи\GD7678666_1_20260220T183502Z.jpg</t>
  </si>
  <si>
    <t>пт 20.02.2026 — 18:35:02</t>
  </si>
  <si>
    <t>GD7678666_1_20260220T191020Z.jpg</t>
  </si>
  <si>
    <t>14 На гаражи\GD7678666_1_20260220T191020Z.jpg</t>
  </si>
  <si>
    <t>пт 20.02.2026 — 19:10:20</t>
  </si>
  <si>
    <t>предположительно чураки</t>
  </si>
  <si>
    <t>Возвращение с территории</t>
  </si>
  <si>
    <t>Задний ход для разгрузки</t>
  </si>
  <si>
    <t>Разгрузка (на дальнем плане)</t>
  </si>
  <si>
    <t>не видно что разгружают</t>
  </si>
  <si>
    <t>Доставка досок</t>
  </si>
  <si>
    <t>предположительно чурак</t>
  </si>
  <si>
    <t>чурак</t>
  </si>
  <si>
    <t>K07156189_21_20260221T083417Z.jpg</t>
  </si>
  <si>
    <t>4 Крыльцо офиса\K07156189_21_20260221T083417Z.jpg</t>
  </si>
  <si>
    <t>сб 21.02.2026 — 08:34:17</t>
  </si>
  <si>
    <t>K07156189_21_20260221T083705Z.jpg</t>
  </si>
  <si>
    <t>4 Крыльцо офиса\K07156189_21_20260221T083705Z.jpg</t>
  </si>
  <si>
    <t>сб 21.02.2026 — 08:37:05</t>
  </si>
  <si>
    <t>K07156189_21_20260221T084013Z.jpg</t>
  </si>
  <si>
    <t>4 Крыльцо офиса\K07156189_21_20260221T084013Z.jpg</t>
  </si>
  <si>
    <t>сб 21.02.2026 — 08:40:13</t>
  </si>
  <si>
    <t>K07156189_21_20260221T090934Z.jpg</t>
  </si>
  <si>
    <t>4 Крыльцо офиса\K07156189_21_20260221T090934Z.jpg</t>
  </si>
  <si>
    <t>сб 21.02.2026 — 09:09:34</t>
  </si>
  <si>
    <t>K07156189_21_20260221T112042Z.jpg</t>
  </si>
  <si>
    <t>4 Крыльцо офиса\K07156189_21_20260221T112042Z.jpg</t>
  </si>
  <si>
    <t>сб 21.02.2026 — 11:20:42</t>
  </si>
  <si>
    <t>K07156189_21_20260221T143000Z.jpg</t>
  </si>
  <si>
    <t>4 Крыльцо офиса\K07156189_21_20260221T143000Z.jpg</t>
  </si>
  <si>
    <t>сб 21.02.2026 — 14:30:00</t>
  </si>
  <si>
    <t>K07156189_21_20260221T150023Z.jpg</t>
  </si>
  <si>
    <t>4 Крыльцо офиса\K07156189_21_20260221T150023Z.jpg</t>
  </si>
  <si>
    <t>сб 21.02.2026 — 15:00:23</t>
  </si>
  <si>
    <t>K07156189_21_20260222T134353Z.jpg</t>
  </si>
  <si>
    <t>4 Крыльцо офиса\K07156189_21_20260222T134353Z.jpg</t>
  </si>
  <si>
    <t>вс 22.02.2026 — 13:43:53</t>
  </si>
  <si>
    <t>K07156189_21_20260222T185816Z.jpg</t>
  </si>
  <si>
    <t>4 Крыльцо офиса\K07156189_21_20260222T185816Z.jpg</t>
  </si>
  <si>
    <t>вс 22.02.2026 — 18:58:16</t>
  </si>
  <si>
    <t>K07156189_20_20260221T083452Z.jpg</t>
  </si>
  <si>
    <t>12 Площадка 3 кран\K07156189_20_20260221T083452Z.jpg</t>
  </si>
  <si>
    <t>сб 21.02.2026 — 08:34:52</t>
  </si>
  <si>
    <t>K07156189_20_20260221T093108Z.jpg</t>
  </si>
  <si>
    <t>12 Площадка 3 кран\K07156189_20_20260221T093108Z.jpg</t>
  </si>
  <si>
    <t>сб 21.02.2026 — 09:31:08</t>
  </si>
  <si>
    <t>K07156189_20_20260221T103043Z.jpg</t>
  </si>
  <si>
    <t>12 Площадка 3 кран\K07156189_20_20260221T103043Z.jpg</t>
  </si>
  <si>
    <t>сб 21.02.2026 — 10:30:43</t>
  </si>
  <si>
    <t>K07156189_20_20260221T110554Z.jpg</t>
  </si>
  <si>
    <t>12 Площадка 3 кран\K07156189_20_20260221T110554Z.jpg</t>
  </si>
  <si>
    <t>сб 21.02.2026 — 11:05:54</t>
  </si>
  <si>
    <t>K07156189_20_20260221T180208Z.jpg</t>
  </si>
  <si>
    <t>12 Площадка 3 кран\K07156189_20_20260221T180208Z.jpg</t>
  </si>
  <si>
    <t>сб 21.02.2026 — 18:02:08</t>
  </si>
  <si>
    <t>K07156189_20_20260221T185800Z.jpg</t>
  </si>
  <si>
    <t>12 Площадка 3 кран\K07156189_20_20260221T185800Z.jpg</t>
  </si>
  <si>
    <t>сб 21.02.2026 — 18:58:00</t>
  </si>
  <si>
    <t>K07156189_20_20260222T092721Z.jpg</t>
  </si>
  <si>
    <t>12 Площадка 3 кран\K07156189_20_20260222T092721Z.jpg</t>
  </si>
  <si>
    <t>вс 22.02.2026 — 09:27:21</t>
  </si>
  <si>
    <t>K07156189_20_20260222T135608Z.jpg</t>
  </si>
  <si>
    <t>12 Площадка 3 кран\K07156189_20_20260222T135608Z.jpg</t>
  </si>
  <si>
    <t>вс 22.02.2026 — 13:56:08</t>
  </si>
  <si>
    <t>K07156189_20_20260222T172248Z.jpg</t>
  </si>
  <si>
    <t>12 Площадка 3 кран\K07156189_20_20260222T172248Z.jpg</t>
  </si>
  <si>
    <t>вс 22.02.2026 — 17:22:48</t>
  </si>
  <si>
    <t>K07156189_20_20260222T185523Z.jpg</t>
  </si>
  <si>
    <t>12 Площадка 3 кран\K07156189_20_20260222T185523Z.jpg</t>
  </si>
  <si>
    <t>вс 22.02.2026 — 18:55:23</t>
  </si>
  <si>
    <t>K07156189_23_20260221T101807Z.jpg</t>
  </si>
  <si>
    <t>13 Склад хол\K07156189_23_20260221T101807Z.jpg</t>
  </si>
  <si>
    <t>сб 21.02.2026 — 10:18:07</t>
  </si>
  <si>
    <t>K07156189_23_20260221T165707Z.jpg</t>
  </si>
  <si>
    <t>13 Склад хол\K07156189_23_20260221T165707Z.jpg</t>
  </si>
  <si>
    <t>сб 21.02.2026 — 16:57:07</t>
  </si>
  <si>
    <t>K07156189_23_20260222T175917Z.jpg</t>
  </si>
  <si>
    <t>13 Склад хол\K07156189_23_20260222T175917Z.jpg</t>
  </si>
  <si>
    <t>вс 22.02.2026 — 17:59:17</t>
  </si>
  <si>
    <t>GD7678666_1_20260221T092720Z.jpg</t>
  </si>
  <si>
    <t>14 На гаражи\GD7678666_1_20260221T092720Z.jpg</t>
  </si>
  <si>
    <t>сб 21.02.2026 — 09:27:20</t>
  </si>
  <si>
    <t>GD7678666_1_20260221T111927Z.jpg</t>
  </si>
  <si>
    <t>14 На гаражи\GD7678666_1_20260221T111927Z.jpg</t>
  </si>
  <si>
    <t>сб 21.02.2026 — 11:19:27</t>
  </si>
  <si>
    <t>GD7678666_1_20260221T155439Z.jpg</t>
  </si>
  <si>
    <t>14 На гаражи\GD7678666_1_20260221T155439Z.jpg</t>
  </si>
  <si>
    <t>сб 21.02.2026 — 15:54:39</t>
  </si>
  <si>
    <t>GD7678666_1_20260221T163302Z.jpg</t>
  </si>
  <si>
    <t>14 На гаражи\GD7678666_1_20260221T163302Z.jpg</t>
  </si>
  <si>
    <t>сб 21.02.2026 — 16:33:02</t>
  </si>
  <si>
    <t>GD7678666_1_20260221T191033Z.jpg</t>
  </si>
  <si>
    <t>14 На гаражи\GD7678666_1_20260221T191033Z.jpg</t>
  </si>
  <si>
    <t>сб 21.02.2026 — 19:10:33</t>
  </si>
  <si>
    <t>GD7678666_1_20260221T192354Z.jpg</t>
  </si>
  <si>
    <t>14 На гаражи\GD7678666_1_20260221T192354Z.jpg</t>
  </si>
  <si>
    <t>сб 21.02.2026 — 19:23:54</t>
  </si>
  <si>
    <t>GD7678666_1_20260221T193658Z.jpg</t>
  </si>
  <si>
    <t>14 На гаражи\GD7678666_1_20260221T193658Z.jpg</t>
  </si>
  <si>
    <t>сб 21.02.2026 — 19:36:58</t>
  </si>
  <si>
    <t>GD7678666_1_20260221T194927Z.jpg</t>
  </si>
  <si>
    <t>14 На гаражи\GD7678666_1_20260221T194927Z.jpg</t>
  </si>
  <si>
    <t>сб 21.02.2026 — 19:49:27</t>
  </si>
  <si>
    <t>GD7678666_1_20260222T083901Z.jpg</t>
  </si>
  <si>
    <t>14 На гаражи\GD7678666_1_20260222T083901Z.jpg</t>
  </si>
  <si>
    <t>вс 22.02.2026 — 08:39:01</t>
  </si>
  <si>
    <t>GD7678666_1_20260222T091412Z.jpg</t>
  </si>
  <si>
    <t>14 На гаражи\GD7678666_1_20260222T091412Z.jpg</t>
  </si>
  <si>
    <t>вс 22.02.2026 — 09:14:12</t>
  </si>
  <si>
    <t>GD7678666_1_20260222T104800Z.jpg</t>
  </si>
  <si>
    <t>14 На гаражи\GD7678666_1_20260222T104800Z.jpg</t>
  </si>
  <si>
    <t>вс 22.02.2026 — 10:48:00</t>
  </si>
  <si>
    <t>GD7678666_1_20260222T141907Z.jpg</t>
  </si>
  <si>
    <t>14 На гаражи\GD7678666_1_20260222T141907Z.jpg</t>
  </si>
  <si>
    <t>вс 22.02.2026 — 14:19:07</t>
  </si>
  <si>
    <t>GD7678666_1_20260222T174729Z.jpg</t>
  </si>
  <si>
    <t>14 На гаражи\GD7678666_1_20260222T174729Z.jpg</t>
  </si>
  <si>
    <t>вс 22.02.2026 — 17:47:29</t>
  </si>
  <si>
    <t>GD7678666_1_20260222T190617Z.jpg</t>
  </si>
  <si>
    <t>14 На гаражи\GD7678666_1_20260222T190617Z.jpg</t>
  </si>
  <si>
    <t>вс 22.02.2026 — 19:06:17</t>
  </si>
  <si>
    <t>GD7678666_1_20260222T192455Z.jpg</t>
  </si>
  <si>
    <t>14 На гаражи\GD7678666_1_20260222T192455Z.jpg</t>
  </si>
  <si>
    <t>вс 22.02.2026 — 19:24:55</t>
  </si>
  <si>
    <t>K07156189_22_20260221T143030Z.jpg</t>
  </si>
  <si>
    <t>5 Крыльцо общага\K07156189_22_20260221T143030Z.jpg</t>
  </si>
  <si>
    <t>сб 21.02.2026 — 14:30:30</t>
  </si>
  <si>
    <t>K07156189_22_20260221T152730Z.jpg</t>
  </si>
  <si>
    <t>5 Крыльцо общага\K07156189_22_20260221T152730Z.jpg</t>
  </si>
  <si>
    <t>сб 21.02.2026 — 15:27:30</t>
  </si>
  <si>
    <t>K07156189_22_20260222T171325Z.jpg</t>
  </si>
  <si>
    <t>5 Крыльцо общага\K07156189_22_20260222T171325Z.jpg</t>
  </si>
  <si>
    <t>вс 22.02.2026 — 17:13:25</t>
  </si>
  <si>
    <t>826398429_1_20260221T102117Z.jpg</t>
  </si>
  <si>
    <t>6 Площадка 1 общага\826398429_1_20260221T102117Z.jpg</t>
  </si>
  <si>
    <t>сб 21.02.2026 — 10:21:17</t>
  </si>
  <si>
    <t>826398429_1_20260221T163956Z.jpg</t>
  </si>
  <si>
    <t>6 Площадка 1 общага\826398429_1_20260221T163956Z.jpg</t>
  </si>
  <si>
    <t>сб 21.02.2026 — 16:39:56</t>
  </si>
  <si>
    <t>826398429_1_20260221T173356Z.jpg</t>
  </si>
  <si>
    <t>6 Площадка 1 общага\826398429_1_20260221T173356Z.jpg</t>
  </si>
  <si>
    <t>сб 21.02.2026 — 17:33:56</t>
  </si>
  <si>
    <t>826398429_1_20260221T180123Z.jpg</t>
  </si>
  <si>
    <t>6 Площадка 1 общага\826398429_1_20260221T180123Z.jpg</t>
  </si>
  <si>
    <t>сб 21.02.2026 — 18:01:23</t>
  </si>
  <si>
    <t>826398429_1_20260221T185637Z.jpg</t>
  </si>
  <si>
    <t>6 Площадка 1 общага\826398429_1_20260221T185637Z.jpg</t>
  </si>
  <si>
    <t>сб 21.02.2026 — 18:56:37</t>
  </si>
  <si>
    <t>826398429_1_20260222T091411Z.jpg</t>
  </si>
  <si>
    <t>6 Площадка 1 общага\826398429_1_20260222T091411Z.jpg</t>
  </si>
  <si>
    <t>вс 22.02.2026 — 09:14:11</t>
  </si>
  <si>
    <t>826398429_1_20260222T114726Z.jpg</t>
  </si>
  <si>
    <t>6 Площадка 1 общага\826398429_1_20260222T114726Z.jpg</t>
  </si>
  <si>
    <t>вс 22.02.2026 — 11:47:26</t>
  </si>
  <si>
    <t>826398429_1_20260222T170656Z.jpg</t>
  </si>
  <si>
    <t>6 Площадка 1 общага\826398429_1_20260222T170656Z.jpg</t>
  </si>
  <si>
    <t>вс 22.02.2026 — 17:06:56</t>
  </si>
  <si>
    <t>826398429_1_20260222T180409Z.jpg</t>
  </si>
  <si>
    <t>6 Площадка 1 общага\826398429_1_20260222T180409Z.jpg</t>
  </si>
  <si>
    <t>вс 22.02.2026 — 18:04:09</t>
  </si>
  <si>
    <t>134160575_1_20260221T090604Z.jpg</t>
  </si>
  <si>
    <t>7 Площадка 2 бетонщики\134160575_1_20260221T090604Z.jpg</t>
  </si>
  <si>
    <t>сб 21.02.2026 — 09:06:04</t>
  </si>
  <si>
    <t>134160575_1_20260221T091400Z.jpg</t>
  </si>
  <si>
    <t>7 Площадка 2 бетонщики\134160575_1_20260221T091400Z.jpg</t>
  </si>
  <si>
    <t>сб 21.02.2026 — 09:14:00</t>
  </si>
  <si>
    <t>134160575_1_20260221T103435Z.jpg</t>
  </si>
  <si>
    <t>7 Площадка 2 бетонщики\134160575_1_20260221T103435Z.jpg</t>
  </si>
  <si>
    <t>сб 21.02.2026 — 10:34:35</t>
  </si>
  <si>
    <t>134160575_1_20260221T112717Z.jpg</t>
  </si>
  <si>
    <t>7 Площадка 2 бетонщики\134160575_1_20260221T112717Z.jpg</t>
  </si>
  <si>
    <t>сб 21.02.2026 — 11:27:17</t>
  </si>
  <si>
    <t>134160575_1_20260221T183538Z.jpg</t>
  </si>
  <si>
    <t>7 Площадка 2 бетонщики\134160575_1_20260221T183538Z.jpg</t>
  </si>
  <si>
    <t>сб 21.02.2026 — 18:35:38</t>
  </si>
  <si>
    <t>134160575_1_20260222T111514Z.jpg</t>
  </si>
  <si>
    <t>7 Площадка 2 бетонщики\134160575_1_20260222T111514Z.jpg</t>
  </si>
  <si>
    <t>вс 22.02.2026 — 11:15:14</t>
  </si>
  <si>
    <t>134160575_1_20260222T163321Z.jpg</t>
  </si>
  <si>
    <t>7 Площадка 2 бетонщики\134160575_1_20260222T163321Z.jpg</t>
  </si>
  <si>
    <t>вс 22.02.2026 — 16:33:21</t>
  </si>
  <si>
    <t>134160575_1_20260222T184815Z.jpg</t>
  </si>
  <si>
    <t>7 Площадка 2 бетонщики\134160575_1_20260222T184815Z.jpg</t>
  </si>
  <si>
    <t>вс 22.02.2026 — 18:48:15</t>
  </si>
  <si>
    <t>легковая Toyota Land Cruiser</t>
  </si>
  <si>
    <t>Легковая вишневая</t>
  </si>
  <si>
    <t>K07156189_21_20260223T075028Z.jpg</t>
  </si>
  <si>
    <t>4 Крыльцо офиса\K07156189_21_20260223T075028Z.jpg</t>
  </si>
  <si>
    <t>пн 23.02.2026 — 07:50:28</t>
  </si>
  <si>
    <t>K07156189_21_20260223T080225Z.jpg</t>
  </si>
  <si>
    <t>4 Крыльцо офиса\K07156189_21_20260223T080225Z.jpg</t>
  </si>
  <si>
    <t>пн 23.02.2026 — 08:02:25</t>
  </si>
  <si>
    <t>K07156189_21_20260223T082251Z.jpg</t>
  </si>
  <si>
    <t>4 Крыльцо офиса\K07156189_21_20260223T082251Z.jpg</t>
  </si>
  <si>
    <t>пн 23.02.2026 — 08:22:51</t>
  </si>
  <si>
    <t>K07156189_21_20260223T100852Z.jpg</t>
  </si>
  <si>
    <t>4 Крыльцо офиса\K07156189_21_20260223T100852Z.jpg</t>
  </si>
  <si>
    <t>пн 23.02.2026 — 10:08:52</t>
  </si>
  <si>
    <t>K07156189_21_20260223T100951Z.jpg</t>
  </si>
  <si>
    <t>4 Крыльцо офиса\K07156189_21_20260223T100951Z.jpg</t>
  </si>
  <si>
    <t>пн 23.02.2026 — 10:09:51</t>
  </si>
  <si>
    <t>K07156189_21_20260223T103531Z.jpg</t>
  </si>
  <si>
    <t>4 Крыльцо офиса\K07156189_21_20260223T103531Z.jpg</t>
  </si>
  <si>
    <t>пн 23.02.2026 — 10:35:31</t>
  </si>
  <si>
    <t>C:\ВИДЕОНАБЛЮДЕНИЕ\5 Крыльцо общага\captrue\</t>
  </si>
  <si>
    <t>K07156189_22_20260223T081037Z.jpg</t>
  </si>
  <si>
    <t>5 Крыльцо общага\K07156189_22_20260223T081037Z.jpg</t>
  </si>
  <si>
    <t>пн 23.02.2026 — 08:10:37</t>
  </si>
  <si>
    <t>K07156189_22_20260223T081212Z.jpg</t>
  </si>
  <si>
    <t>5 Крыльцо общага\K07156189_22_20260223T081212Z.jpg</t>
  </si>
  <si>
    <t>пн 23.02.2026 — 08:12:12</t>
  </si>
  <si>
    <t>K07156189_22_20260223T081259Z.jpg</t>
  </si>
  <si>
    <t>5 Крыльцо общага\K07156189_22_20260223T081259Z.jpg</t>
  </si>
  <si>
    <t>пн 23.02.2026 — 08:12:59</t>
  </si>
  <si>
    <t>K07156189_22_20260223T081546Z.jpg</t>
  </si>
  <si>
    <t>5 Крыльцо общага\K07156189_22_20260223T081546Z.jpg</t>
  </si>
  <si>
    <t>пн 23.02.2026 — 08:15:46</t>
  </si>
  <si>
    <t>K07156189_22_20260223T082324Z.jpg</t>
  </si>
  <si>
    <t>5 Крыльцо общага\K07156189_22_20260223T082324Z.jpg</t>
  </si>
  <si>
    <t>пн 23.02.2026 — 08:23:24</t>
  </si>
  <si>
    <t>K07156189_22_20260223T091105Z.jpg</t>
  </si>
  <si>
    <t>5 Крыльцо общага\K07156189_22_20260223T091105Z.jpg</t>
  </si>
  <si>
    <t>пн 23.02.2026 — 09:11:05</t>
  </si>
  <si>
    <t>K07156189_22_20260223T100948Z.jpg</t>
  </si>
  <si>
    <t>5 Крыльцо общага\K07156189_22_20260223T100948Z.jpg</t>
  </si>
  <si>
    <t>пн 23.02.2026 — 10:09:48</t>
  </si>
  <si>
    <t>K07156189_22_20260223T103514Z.jpg</t>
  </si>
  <si>
    <t>5 Крыльцо общага\K07156189_22_20260223T103514Z.jpg</t>
  </si>
  <si>
    <t>пн 23.02.2026 — 10:35:14</t>
  </si>
  <si>
    <t>826398429_1_20260223T081031Z.jpg</t>
  </si>
  <si>
    <t>6 Площадка 1 общага\826398429_1_20260223T081031Z.jpg</t>
  </si>
  <si>
    <t>пн 23.02.2026 — 08:10:31</t>
  </si>
  <si>
    <t>826398429_1_20260223T082705Z.jpg</t>
  </si>
  <si>
    <t>6 Площадка 1 общага\826398429_1_20260223T082705Z.jpg</t>
  </si>
  <si>
    <t>пн 23.02.2026 — 08:27:05</t>
  </si>
  <si>
    <t>826398429_1_20260223T083634Z.jpg</t>
  </si>
  <si>
    <t>6 Площадка 1 общага\826398429_1_20260223T083634Z.jpg</t>
  </si>
  <si>
    <t>пн 23.02.2026 — 08:36:34</t>
  </si>
  <si>
    <t>826398429_1_20260223T084345Z.jpg</t>
  </si>
  <si>
    <t>6 Площадка 1 общага\826398429_1_20260223T084345Z.jpg</t>
  </si>
  <si>
    <t>пн 23.02.2026 — 08:43:45</t>
  </si>
  <si>
    <t>826398429_1_20260223T085447Z.jpg</t>
  </si>
  <si>
    <t>6 Площадка 1 общага\826398429_1_20260223T085447Z.jpg</t>
  </si>
  <si>
    <t>пн 23.02.2026 — 08:54:47</t>
  </si>
  <si>
    <t>826398429_1_20260223T090301Z.jpg</t>
  </si>
  <si>
    <t>6 Площадка 1 общага\826398429_1_20260223T090301Z.jpg</t>
  </si>
  <si>
    <t>пн 23.02.2026 — 09:03:01</t>
  </si>
  <si>
    <t>826398429_1_20260223T090555Z.jpg</t>
  </si>
  <si>
    <t>6 Площадка 1 общага\826398429_1_20260223T090555Z.jpg</t>
  </si>
  <si>
    <t>пн 23.02.2026 — 09:05:55</t>
  </si>
  <si>
    <t>826398429_1_20260223T091131Z.jpg</t>
  </si>
  <si>
    <t>6 Площадка 1 общага\826398429_1_20260223T091131Z.jpg</t>
  </si>
  <si>
    <t>пн 23.02.2026 — 09:11:31</t>
  </si>
  <si>
    <t>826398429_1_20260223T092157Z.jpg</t>
  </si>
  <si>
    <t>6 Площадка 1 общага\826398429_1_20260223T092157Z.jpg</t>
  </si>
  <si>
    <t>пн 23.02.2026 — 09:21:57</t>
  </si>
  <si>
    <t>826398429_1_20260223T092509Z.jpg</t>
  </si>
  <si>
    <t>6 Площадка 1 общага\826398429_1_20260223T092509Z.jpg</t>
  </si>
  <si>
    <t>пн 23.02.2026 — 09:25:09</t>
  </si>
  <si>
    <t>826398429_1_20260223T092719Z.jpg</t>
  </si>
  <si>
    <t>6 Площадка 1 общага\826398429_1_20260223T092719Z.jpg</t>
  </si>
  <si>
    <t>пн 23.02.2026 — 09:27:19</t>
  </si>
  <si>
    <t>826398429_1_20260223T093146Z.jpg</t>
  </si>
  <si>
    <t>6 Площадка 1 общага\826398429_1_20260223T093146Z.jpg</t>
  </si>
  <si>
    <t>пн 23.02.2026 — 09:31:46</t>
  </si>
  <si>
    <t>826398429_1_20260223T093608Z.jpg</t>
  </si>
  <si>
    <t>6 Площадка 1 общага\826398429_1_20260223T093608Z.jpg</t>
  </si>
  <si>
    <t>пн 23.02.2026 — 09:36:08</t>
  </si>
  <si>
    <t>826398429_1_20260223T094052Z.jpg</t>
  </si>
  <si>
    <t>6 Площадка 1 общага\826398429_1_20260223T094052Z.jpg</t>
  </si>
  <si>
    <t>пн 23.02.2026 — 09:40:52</t>
  </si>
  <si>
    <t>826398429_1_20260223T094329Z.jpg</t>
  </si>
  <si>
    <t>6 Площадка 1 общага\826398429_1_20260223T094329Z.jpg</t>
  </si>
  <si>
    <t>пн 23.02.2026 — 09:43:29</t>
  </si>
  <si>
    <t>826398429_1_20260223T094600Z.jpg</t>
  </si>
  <si>
    <t>6 Площадка 1 общага\826398429_1_20260223T094600Z.jpg</t>
  </si>
  <si>
    <t>пн 23.02.2026 — 09:46:00</t>
  </si>
  <si>
    <t>826398429_1_20260223T095007Z.jpg</t>
  </si>
  <si>
    <t>6 Площадка 1 общага\826398429_1_20260223T095007Z.jpg</t>
  </si>
  <si>
    <t>пн 23.02.2026 — 09:50:07</t>
  </si>
  <si>
    <t>826398429_1_20260223T095251Z.jpg</t>
  </si>
  <si>
    <t>6 Площадка 1 общага\826398429_1_20260223T095251Z.jpg</t>
  </si>
  <si>
    <t>пн 23.02.2026 — 09:52:51</t>
  </si>
  <si>
    <t>826398429_1_20260223T095515Z.jpg</t>
  </si>
  <si>
    <t>6 Площадка 1 общага\826398429_1_20260223T095515Z.jpg</t>
  </si>
  <si>
    <t>пн 23.02.2026 — 09:55:15</t>
  </si>
  <si>
    <t>826398429_1_20260223T095756Z.jpg</t>
  </si>
  <si>
    <t>6 Площадка 1 общага\826398429_1_20260223T095756Z.jpg</t>
  </si>
  <si>
    <t>пн 23.02.2026 — 09:57:56</t>
  </si>
  <si>
    <t>826398429_1_20260223T100632Z.jpg</t>
  </si>
  <si>
    <t>6 Площадка 1 общага\826398429_1_20260223T100632Z.jpg</t>
  </si>
  <si>
    <t>пн 23.02.2026 — 10:06:32</t>
  </si>
  <si>
    <t>826398429_1_20260223T100843Z.jpg</t>
  </si>
  <si>
    <t>6 Площадка 1 общага\826398429_1_20260223T100843Z.jpg</t>
  </si>
  <si>
    <t>пн 23.02.2026 — 10:08:43</t>
  </si>
  <si>
    <t>826398429_1_20260223T102935Z.jpg</t>
  </si>
  <si>
    <t>6 Площадка 1 общага\826398429_1_20260223T102935Z.jpg</t>
  </si>
  <si>
    <t>пн 23.02.2026 — 10:29:35</t>
  </si>
  <si>
    <t>826398429_1_20260223T113502Z.jpg</t>
  </si>
  <si>
    <t>6 Площадка 1 общага\826398429_1_20260223T113502Z.jpg</t>
  </si>
  <si>
    <t>пн 23.02.2026 — 11:35:02</t>
  </si>
  <si>
    <t>826398429_1_20260223T121807Z.jpg</t>
  </si>
  <si>
    <t>6 Площадка 1 общага\826398429_1_20260223T121807Z.jpg</t>
  </si>
  <si>
    <t>пн 23.02.2026 — 12:18:07</t>
  </si>
  <si>
    <t>826398429_1_20260223T185153Z.jpg</t>
  </si>
  <si>
    <t>6 Площадка 1 общага\826398429_1_20260223T185153Z.jpg</t>
  </si>
  <si>
    <t>пн 23.02.2026 — 18:51:53</t>
  </si>
  <si>
    <t>134160575_1_20260223T113849Z.jpg</t>
  </si>
  <si>
    <t>7 Площадка 2 бетонщики\134160575_1_20260223T113849Z.jpg</t>
  </si>
  <si>
    <t>пн 23.02.2026 — 11:38:49</t>
  </si>
  <si>
    <t>134160575_1_20260223T184551Z.jpg</t>
  </si>
  <si>
    <t>7 Площадка 2 бетонщики\134160575_1_20260223T184551Z.jpg</t>
  </si>
  <si>
    <t>пн 23.02.2026 — 18:45:51</t>
  </si>
  <si>
    <t>134160575_1_20260223T190317Z.jpg</t>
  </si>
  <si>
    <t>7 Площадка 2 бетонщики\134160575_1_20260223T190317Z.jpg</t>
  </si>
  <si>
    <t>пн 23.02.2026 — 19:03:17</t>
  </si>
  <si>
    <t>K07156189_20_20260223T091906Z.jpg</t>
  </si>
  <si>
    <t>12 Площадка 3 кран\K07156189_20_20260223T091906Z.jpg</t>
  </si>
  <si>
    <t>пн 23.02.2026 — 09:19:06</t>
  </si>
  <si>
    <t>K07156189_20_20260223T205448Z.jpg</t>
  </si>
  <si>
    <t>12 Площадка 3 кран\K07156189_20_20260223T205448Z.jpg</t>
  </si>
  <si>
    <t>пн 23.02.2026 — 20:54:48</t>
  </si>
  <si>
    <t>K07156189_23_20260223T182742Z.jpg</t>
  </si>
  <si>
    <t>13 Склад хол\K07156189_23_20260223T182742Z.jpg</t>
  </si>
  <si>
    <t>пн 23.02.2026 — 18:27:42</t>
  </si>
  <si>
    <t>GD7678666_1_20260223T081820Z.jpg</t>
  </si>
  <si>
    <t>14 На гаражи\GD7678666_1_20260223T081820Z.jpg</t>
  </si>
  <si>
    <t>пн 23.02.2026 — 08:18:20</t>
  </si>
  <si>
    <t>GD7678666_1_20260223T111814Z.jpg</t>
  </si>
  <si>
    <t>14 На гаражи\GD7678666_1_20260223T111814Z.jpg</t>
  </si>
  <si>
    <t>пн 23.02.2026 — 11:18:14</t>
  </si>
  <si>
    <t>GD7678666_1_20260223T185224Z.jpg</t>
  </si>
  <si>
    <t>14 На гаражи\GD7678666_1_20260223T185224Z.jpg</t>
  </si>
  <si>
    <t>пн 23.02.2026 — 18:52:24</t>
  </si>
  <si>
    <t>Грузовик красный с краном</t>
  </si>
  <si>
    <t>Грузовой с темно-зеленой кабиной, с длинным полуприцепом</t>
  </si>
  <si>
    <t>Убытие на другую площадку</t>
  </si>
  <si>
    <t>Проезд на загрузку</t>
  </si>
  <si>
    <t>Сотрудник с рулонами</t>
  </si>
  <si>
    <t>Проезд после загрузки</t>
  </si>
  <si>
    <t>Подготовка бревен к загрузке</t>
  </si>
  <si>
    <t>Переезд на новое место загрузки</t>
  </si>
  <si>
    <t>GA3948333_9_20260224T101744Z.jpg</t>
  </si>
  <si>
    <t>C:\ВИДЕОНАБЛЮДЕНИЕ\15 Вход столярка\captrue\</t>
  </si>
  <si>
    <t>15 Вход столярка\GA3948333_9_20260224T101744Z.jpg</t>
  </si>
  <si>
    <t>вт 24.02.2026 — 10:17:44</t>
  </si>
  <si>
    <t>GA3948333_9_20260224T164436Z.jpg</t>
  </si>
  <si>
    <t>15 Вход столярка\GA3948333_9_20260224T164436Z.jpg</t>
  </si>
  <si>
    <t>вт 24.02.2026 — 16:44:36</t>
  </si>
  <si>
    <t>GA3948333_9_20260225T095757Z.jpg</t>
  </si>
  <si>
    <t>15 Вход столярка\GA3948333_9_20260225T095757Z.jpg</t>
  </si>
  <si>
    <t>ср 25.02.2026 — 09:57:57</t>
  </si>
  <si>
    <t>GA3948333_9_20260225T095937Z.jpg</t>
  </si>
  <si>
    <t>15 Вход столярка\GA3948333_9_20260225T095937Z.jpg</t>
  </si>
  <si>
    <t>ср 25.02.2026 — 09:59:37</t>
  </si>
  <si>
    <t>GA3948333_9_20260225T121545Z.jpg</t>
  </si>
  <si>
    <t>15 Вход столярка\GA3948333_9_20260225T121545Z.jpg</t>
  </si>
  <si>
    <t>ср 25.02.2026 — 12:15:45</t>
  </si>
  <si>
    <t>GA3948333_9_20260225T185953Z.jpg</t>
  </si>
  <si>
    <t>15 Вход столярка\GA3948333_9_20260225T185953Z.jpg</t>
  </si>
  <si>
    <t>ср 25.02.2026 — 18:59:53</t>
  </si>
  <si>
    <t>GA3948333_10_20260224T095554Z.jpg</t>
  </si>
  <si>
    <t>GA3948333_10_20260224T100111Z.jpg</t>
  </si>
  <si>
    <t>GA3948333_10_20260224T220601Z.jpg</t>
  </si>
  <si>
    <t>GA3948333_4_20260224T091038Z.jpg</t>
  </si>
  <si>
    <t>1 Ангар Склад 2 въезд\GA3948333_4_20260224T091038Z.jpg</t>
  </si>
  <si>
    <t>вт 24.02.2026 — 09:10:38</t>
  </si>
  <si>
    <t>GA3948333_4_20260224T093740Z.jpg</t>
  </si>
  <si>
    <t>1 Ангар Склад 2 въезд\GA3948333_4_20260224T093740Z.jpg</t>
  </si>
  <si>
    <t>вт 24.02.2026 — 09:37:40</t>
  </si>
  <si>
    <t>GA3948333_4_20260224T101243Z.jpg</t>
  </si>
  <si>
    <t>1 Ангар Склад 2 въезд\GA3948333_4_20260224T101243Z.jpg</t>
  </si>
  <si>
    <t>вт 24.02.2026 — 10:12:43</t>
  </si>
  <si>
    <t>GA3948333_4_20260224T220440Z.jpg</t>
  </si>
  <si>
    <t>1 Ангар Склад 2 въезд\GA3948333_4_20260224T220440Z.jpg</t>
  </si>
  <si>
    <t>вт 24.02.2026 — 22:04:40</t>
  </si>
  <si>
    <t>GA3948333_4_20260225T095830Z.jpg</t>
  </si>
  <si>
    <t>1 Ангар Склад 2 въезд\GA3948333_4_20260225T095830Z.jpg</t>
  </si>
  <si>
    <t>ср 25.02.2026 — 09:58:30</t>
  </si>
  <si>
    <t>GA3948333_4_20260225T101439Z.jpg</t>
  </si>
  <si>
    <t>1 Ангар Склад 2 въезд\GA3948333_4_20260225T101439Z.jpg</t>
  </si>
  <si>
    <t>ср 25.02.2026 — 10:14:39</t>
  </si>
  <si>
    <t>GA3948333_4_20260225T121929Z.jpg</t>
  </si>
  <si>
    <t>1 Ангар Склад 2 въезд\GA3948333_4_20260225T121929Z.jpg</t>
  </si>
  <si>
    <t>ср 25.02.2026 — 12:19:29</t>
  </si>
  <si>
    <t>GA3948333_4_20260225T125844Z.jpg</t>
  </si>
  <si>
    <t>1 Ангар Склад 2 въезд\GA3948333_4_20260225T125844Z.jpg</t>
  </si>
  <si>
    <t>ср 25.02.2026 — 12:58:44</t>
  </si>
  <si>
    <t>GA3948333_3_20260224T151512Z.jpg</t>
  </si>
  <si>
    <t>вт 24.02.2026 — 15:15:12</t>
  </si>
  <si>
    <t>GA3948333_3_20260225T125840Z.jpg</t>
  </si>
  <si>
    <t>ср 25.02.2026 — 12:58:40</t>
  </si>
  <si>
    <t>GA3948333_8_20260224T154250Z.jpg</t>
  </si>
  <si>
    <t>2 Пилорама поката\GA3948333_8_20260224T154250Z.jpg</t>
  </si>
  <si>
    <t>вт 24.02.2026 — 15:42:50</t>
  </si>
  <si>
    <t>GA3948333_8_20260225T180245Z.jpg</t>
  </si>
  <si>
    <t>2 Пилорама поката\GA3948333_8_20260225T180245Z.jpg</t>
  </si>
  <si>
    <t>ср 25.02.2026 — 18:02:45</t>
  </si>
  <si>
    <t>K07156189_21_20260224T095815Z.jpg</t>
  </si>
  <si>
    <t>4 Крыльцо офиса\K07156189_21_20260224T095815Z.jpg</t>
  </si>
  <si>
    <t>вт 24.02.2026 — 09:58:15</t>
  </si>
  <si>
    <t>K07156189_21_20260224T100709Z.jpg</t>
  </si>
  <si>
    <t>4 Крыльцо офиса\K07156189_21_20260224T100709Z.jpg</t>
  </si>
  <si>
    <t>вт 24.02.2026 — 10:07:09</t>
  </si>
  <si>
    <t>K07156189_21_20260224T221150Z.jpg</t>
  </si>
  <si>
    <t>4 Крыльцо офиса\K07156189_21_20260224T221150Z.jpg</t>
  </si>
  <si>
    <t>вт 24.02.2026 — 22:11:50</t>
  </si>
  <si>
    <t>K07156189_21_20260225T075958Z.jpg</t>
  </si>
  <si>
    <t>4 Крыльцо офиса\K07156189_21_20260225T075958Z.jpg</t>
  </si>
  <si>
    <t>ср 25.02.2026 — 07:59:58</t>
  </si>
  <si>
    <t>K07156189_21_20260225T083218Z.jpg</t>
  </si>
  <si>
    <t>4 Крыльцо офиса\K07156189_21_20260225T083218Z.jpg</t>
  </si>
  <si>
    <t>ср 25.02.2026 — 08:32:18</t>
  </si>
  <si>
    <t>K07156189_21_20260225T083802Z.jpg</t>
  </si>
  <si>
    <t>4 Крыльцо офиса\K07156189_21_20260225T083802Z.jpg</t>
  </si>
  <si>
    <t>ср 25.02.2026 — 08:38:02</t>
  </si>
  <si>
    <t>K07156189_21_20260225T084341Z.jpg</t>
  </si>
  <si>
    <t>4 Крыльцо офиса\K07156189_21_20260225T084341Z.jpg</t>
  </si>
  <si>
    <t>ср 25.02.2026 — 08:43:41</t>
  </si>
  <si>
    <t>K07156189_21_20260225T084740Z.jpg</t>
  </si>
  <si>
    <t>4 Крыльцо офиса\K07156189_21_20260225T084740Z.jpg</t>
  </si>
  <si>
    <t>ср 25.02.2026 — 08:47:40</t>
  </si>
  <si>
    <t>K07156189_21_20260225T085215Z.jpg</t>
  </si>
  <si>
    <t>4 Крыльцо офиса\K07156189_21_20260225T085215Z.jpg</t>
  </si>
  <si>
    <t>ср 25.02.2026 — 08:52:15</t>
  </si>
  <si>
    <t>K07156189_21_20260225T085400Z.jpg</t>
  </si>
  <si>
    <t>4 Крыльцо офиса\K07156189_21_20260225T085400Z.jpg</t>
  </si>
  <si>
    <t>ср 25.02.2026 — 08:54:00</t>
  </si>
  <si>
    <t>K07156189_21_20260225T085747Z.jpg</t>
  </si>
  <si>
    <t>4 Крыльцо офиса\K07156189_21_20260225T085747Z.jpg</t>
  </si>
  <si>
    <t>ср 25.02.2026 — 08:57:47</t>
  </si>
  <si>
    <t>K07156189_21_20260225T090119Z.jpg</t>
  </si>
  <si>
    <t>4 Крыльцо офиса\K07156189_21_20260225T090119Z.jpg</t>
  </si>
  <si>
    <t>ср 25.02.2026 — 09:01:19</t>
  </si>
  <si>
    <t>K07156189_21_20260225T090523Z.jpg</t>
  </si>
  <si>
    <t>4 Крыльцо офиса\K07156189_21_20260225T090523Z.jpg</t>
  </si>
  <si>
    <t>ср 25.02.2026 — 09:05:23</t>
  </si>
  <si>
    <t>K07156189_21_20260225T090908Z.jpg</t>
  </si>
  <si>
    <t>4 Крыльцо офиса\K07156189_21_20260225T090908Z.jpg</t>
  </si>
  <si>
    <t>ср 25.02.2026 — 09:09:08</t>
  </si>
  <si>
    <t>K07156189_21_20260225T091302Z.jpg</t>
  </si>
  <si>
    <t>4 Крыльцо офиса\K07156189_21_20260225T091302Z.jpg</t>
  </si>
  <si>
    <t>ср 25.02.2026 — 09:13:02</t>
  </si>
  <si>
    <t>K07156189_21_20260225T091721Z.jpg</t>
  </si>
  <si>
    <t>4 Крыльцо офиса\K07156189_21_20260225T091721Z.jpg</t>
  </si>
  <si>
    <t>ср 25.02.2026 — 09:17:21</t>
  </si>
  <si>
    <t>K07156189_21_20260225T092023Z.jpg</t>
  </si>
  <si>
    <t>4 Крыльцо офиса\K07156189_21_20260225T092023Z.jpg</t>
  </si>
  <si>
    <t>ср 25.02.2026 — 09:20:23</t>
  </si>
  <si>
    <t>K07156189_21_20260225T092334Z.jpg</t>
  </si>
  <si>
    <t>4 Крыльцо офиса\K07156189_21_20260225T092334Z.jpg</t>
  </si>
  <si>
    <t>ср 25.02.2026 — 09:23:34</t>
  </si>
  <si>
    <t>K07156189_21_20260225T092648Z.jpg</t>
  </si>
  <si>
    <t>4 Крыльцо офиса\K07156189_21_20260225T092648Z.jpg</t>
  </si>
  <si>
    <t>ср 25.02.2026 — 09:26:48</t>
  </si>
  <si>
    <t>K07156189_21_20260225T093010Z.jpg</t>
  </si>
  <si>
    <t>4 Крыльцо офиса\K07156189_21_20260225T093010Z.jpg</t>
  </si>
  <si>
    <t>ср 25.02.2026 — 09:30:10</t>
  </si>
  <si>
    <t>K07156189_21_20260225T093347Z.jpg</t>
  </si>
  <si>
    <t>4 Крыльцо офиса\K07156189_21_20260225T093347Z.jpg</t>
  </si>
  <si>
    <t>ср 25.02.2026 — 09:33:47</t>
  </si>
  <si>
    <t>K07156189_21_20260225T093657Z.jpg</t>
  </si>
  <si>
    <t>4 Крыльцо офиса\K07156189_21_20260225T093657Z.jpg</t>
  </si>
  <si>
    <t>ср 25.02.2026 — 09:36:57</t>
  </si>
  <si>
    <t>K07156189_21_20260225T094215Z.jpg</t>
  </si>
  <si>
    <t>4 Крыльцо офиса\K07156189_21_20260225T094215Z.jpg</t>
  </si>
  <si>
    <t>ср 25.02.2026 — 09:42:15</t>
  </si>
  <si>
    <t>K07156189_21_20260225T094639Z.jpg</t>
  </si>
  <si>
    <t>4 Крыльцо офиса\K07156189_21_20260225T094639Z.jpg</t>
  </si>
  <si>
    <t>ср 25.02.2026 — 09:46:39</t>
  </si>
  <si>
    <t>K07156189_21_20260225T095059Z.jpg</t>
  </si>
  <si>
    <t>4 Крыльцо офиса\K07156189_21_20260225T095059Z.jpg</t>
  </si>
  <si>
    <t>ср 25.02.2026 — 09:50:59</t>
  </si>
  <si>
    <t>K07156189_21_20260225T100303Z.jpg</t>
  </si>
  <si>
    <t>4 Крыльцо офиса\K07156189_21_20260225T100303Z.jpg</t>
  </si>
  <si>
    <t>ср 25.02.2026 — 10:03:03</t>
  </si>
  <si>
    <t>K07156189_21_20260225T100519Z.jpg</t>
  </si>
  <si>
    <t>4 Крыльцо офиса\K07156189_21_20260225T100519Z.jpg</t>
  </si>
  <si>
    <t>ср 25.02.2026 — 10:05:19</t>
  </si>
  <si>
    <t>K07156189_21_20260225T101427Z.jpg</t>
  </si>
  <si>
    <t>4 Крыльцо офиса\K07156189_21_20260225T101427Z.jpg</t>
  </si>
  <si>
    <t>ср 25.02.2026 — 10:14:27</t>
  </si>
  <si>
    <t>K07156189_21_20260225T113805Z.jpg</t>
  </si>
  <si>
    <t>4 Крыльцо офиса\K07156189_21_20260225T113805Z.jpg</t>
  </si>
  <si>
    <t>ср 25.02.2026 — 11:38:05</t>
  </si>
  <si>
    <t>K07156189_21_20260225T175038Z.jpg</t>
  </si>
  <si>
    <t>4 Крыльцо офиса\K07156189_21_20260225T175038Z.jpg</t>
  </si>
  <si>
    <t>ср 25.02.2026 — 17:50:38</t>
  </si>
  <si>
    <t>K07156189_22_20260224T100015Z.jpg</t>
  </si>
  <si>
    <t>5 Крыльцо общага\K07156189_22_20260224T100015Z.jpg</t>
  </si>
  <si>
    <t>вт 24.02.2026 — 10:00:15</t>
  </si>
  <si>
    <t>K07156189_22_20260224T100727Z.jpg</t>
  </si>
  <si>
    <t>5 Крыльцо общага\K07156189_22_20260224T100727Z.jpg</t>
  </si>
  <si>
    <t>вт 24.02.2026 — 10:07:27</t>
  </si>
  <si>
    <t>K07156189_22_20260224T101223Z.jpg</t>
  </si>
  <si>
    <t>5 Крыльцо общага\K07156189_22_20260224T101223Z.jpg</t>
  </si>
  <si>
    <t>вт 24.02.2026 — 10:12:23</t>
  </si>
  <si>
    <t>K07156189_22_20260225T083316Z.jpg</t>
  </si>
  <si>
    <t>5 Крыльцо общага\K07156189_22_20260225T083316Z.jpg</t>
  </si>
  <si>
    <t>ср 25.02.2026 — 08:33:16</t>
  </si>
  <si>
    <t>K07156189_22_20260225T093918Z.jpg</t>
  </si>
  <si>
    <t>5 Крыльцо общага\K07156189_22_20260225T093918Z.jpg</t>
  </si>
  <si>
    <t>ср 25.02.2026 — 09:39:18</t>
  </si>
  <si>
    <t>K07156189_22_20260225T113803Z.jpg</t>
  </si>
  <si>
    <t>5 Крыльцо общага\K07156189_22_20260225T113803Z.jpg</t>
  </si>
  <si>
    <t>ср 25.02.2026 — 11:38:03</t>
  </si>
  <si>
    <t>K07156189_22_20260225T172728Z.jpg</t>
  </si>
  <si>
    <t>5 Крыльцо общага\K07156189_22_20260225T172728Z.jpg</t>
  </si>
  <si>
    <t>ср 25.02.2026 — 17:27:28</t>
  </si>
  <si>
    <t>826398429_1_20260224T102859Z.jpg</t>
  </si>
  <si>
    <t>C:\ВИДЕОНАБЛЮДЕНИЕ\6 Площадка 1 общага\captrue\</t>
  </si>
  <si>
    <t>6 Площадка 1 общага\826398429_1_20260224T102859Z.jpg</t>
  </si>
  <si>
    <t>вт 24.02.2026 — 10:28:59</t>
  </si>
  <si>
    <t>826398429_1_20260224T164139Z.jpg</t>
  </si>
  <si>
    <t>6 Площадка 1 общага\826398429_1_20260224T164139Z.jpg</t>
  </si>
  <si>
    <t>вт 24.02.2026 — 16:41:39</t>
  </si>
  <si>
    <t>826398429_1_20260224T182046Z.jpg</t>
  </si>
  <si>
    <t>6 Площадка 1 общага\826398429_1_20260224T182046Z.jpg</t>
  </si>
  <si>
    <t>вт 24.02.2026 — 18:20:46</t>
  </si>
  <si>
    <t>826398429_1_20260225T164113Z.jpg</t>
  </si>
  <si>
    <t>6 Площадка 1 общага\826398429_1_20260225T164113Z.jpg</t>
  </si>
  <si>
    <t>ср 25.02.2026 — 16:41:13</t>
  </si>
  <si>
    <t>826398429_1_20260225T164120Z.jpg</t>
  </si>
  <si>
    <t>6 Площадка 1 общага\826398429_1_20260225T164120Z.jpg</t>
  </si>
  <si>
    <t>ср 25.02.2026 — 16:41:20</t>
  </si>
  <si>
    <t>826398429_1_20260225T172954Z.jpg</t>
  </si>
  <si>
    <t>6 Площадка 1 общага\826398429_1_20260225T172954Z.jpg</t>
  </si>
  <si>
    <t>ср 25.02.2026 — 17:29:54</t>
  </si>
  <si>
    <t>GA3948333_1_20260224T091721Z.jpg</t>
  </si>
  <si>
    <t>C:\ВИДЕОНАБЛЮДЕНИЕ\8 Рейсмус\captrue\</t>
  </si>
  <si>
    <t>8 Рейсмус\GA3948333_1_20260224T091721Z.jpg</t>
  </si>
  <si>
    <t>вт 24.02.2026 — 09:17:21</t>
  </si>
  <si>
    <t>GA3948333_1_20260224T092707Z.jpg</t>
  </si>
  <si>
    <t>8 Рейсмус\GA3948333_1_20260224T092707Z.jpg</t>
  </si>
  <si>
    <t>вт 24.02.2026 — 09:27:07</t>
  </si>
  <si>
    <t>GA3948333_1_20260224T093940Z.jpg</t>
  </si>
  <si>
    <t>8 Рейсмус\GA3948333_1_20260224T093940Z.jpg</t>
  </si>
  <si>
    <t>вт 24.02.2026 — 09:39:40</t>
  </si>
  <si>
    <t>GA3948333_1_20260224T104110Z.jpg</t>
  </si>
  <si>
    <t>8 Рейсмус\GA3948333_1_20260224T104110Z.jpg</t>
  </si>
  <si>
    <t>вт 24.02.2026 — 10:41:10</t>
  </si>
  <si>
    <t>GA3948333_1_20260224T152711Z.jpg</t>
  </si>
  <si>
    <t>8 Рейсмус\GA3948333_1_20260224T152711Z.jpg</t>
  </si>
  <si>
    <t>вт 24.02.2026 — 15:27:11</t>
  </si>
  <si>
    <t>GA3948333_1_20260224T175603Z.jpg</t>
  </si>
  <si>
    <t>8 Рейсмус\GA3948333_1_20260224T175603Z.jpg</t>
  </si>
  <si>
    <t>вт 24.02.2026 — 17:56:03</t>
  </si>
  <si>
    <t>GA3948333_1_20260225T100127Z.jpg</t>
  </si>
  <si>
    <t>8 Рейсмус\GA3948333_1_20260225T100127Z.jpg</t>
  </si>
  <si>
    <t>ср 25.02.2026 — 10:01:27</t>
  </si>
  <si>
    <t>GA3948333_1_20260225T153035Z.jpg</t>
  </si>
  <si>
    <t>8 Рейсмус\GA3948333_1_20260225T153035Z.jpg</t>
  </si>
  <si>
    <t>ср 25.02.2026 — 15:30:35</t>
  </si>
  <si>
    <t>GA3948333_1_20260225T204517Z.jpg</t>
  </si>
  <si>
    <t>8 Рейсмус\GA3948333_1_20260225T204517Z.jpg</t>
  </si>
  <si>
    <t>ср 25.02.2026 — 20:45:17</t>
  </si>
  <si>
    <t>GA3948333_2_20260224T090845Z.jpg</t>
  </si>
  <si>
    <t>C:\ВИДЕОНАБЛЮДЕНИЕ\9 Ангар пилорама\captrue\</t>
  </si>
  <si>
    <t>9 Ангар пилорама\GA3948333_2_20260224T090845Z.jpg</t>
  </si>
  <si>
    <t>вт 24.02.2026 — 09:08:45</t>
  </si>
  <si>
    <t>GA3948333_2_20260224T153247Z.jpg</t>
  </si>
  <si>
    <t>9 Ангар пилорама\GA3948333_2_20260224T153247Z.jpg</t>
  </si>
  <si>
    <t>вт 24.02.2026 — 15:32:47</t>
  </si>
  <si>
    <t>GA3948333_2_20260224T155408Z.jpg</t>
  </si>
  <si>
    <t>9 Ангар пилорама\GA3948333_2_20260224T155408Z.jpg</t>
  </si>
  <si>
    <t>вт 24.02.2026 — 15:54:08</t>
  </si>
  <si>
    <t>GA3948333_2_20260224T180230Z.jpg</t>
  </si>
  <si>
    <t>9 Ангар пилорама\GA3948333_2_20260224T180230Z.jpg</t>
  </si>
  <si>
    <t>вт 24.02.2026 — 18:02:30</t>
  </si>
  <si>
    <t>GA3948333_2_20260225T100608Z.jpg</t>
  </si>
  <si>
    <t>9 Ангар пилорама\GA3948333_2_20260225T100608Z.jpg</t>
  </si>
  <si>
    <t>ср 25.02.2026 — 10:06:08</t>
  </si>
  <si>
    <t>GA3948333_2_20260225T102349Z.jpg</t>
  </si>
  <si>
    <t>9 Ангар пилорама\GA3948333_2_20260225T102349Z.jpg</t>
  </si>
  <si>
    <t>ср 25.02.2026 — 10:23:49</t>
  </si>
  <si>
    <t>GA3948333_2_20260225T102557Z.jpg</t>
  </si>
  <si>
    <t>9 Ангар пилорама\GA3948333_2_20260225T102557Z.jpg</t>
  </si>
  <si>
    <t>ср 25.02.2026 — 10:25:57</t>
  </si>
  <si>
    <t>GA3948333_2_20260225T112523Z.jpg</t>
  </si>
  <si>
    <t>9 Ангар пилорама\GA3948333_2_20260225T112523Z.jpg</t>
  </si>
  <si>
    <t>ср 25.02.2026 — 11:25:23</t>
  </si>
  <si>
    <t>GA3948333_2_20260225T153154Z.jpg</t>
  </si>
  <si>
    <t>9 Ангар пилорама\GA3948333_2_20260225T153154Z.jpg</t>
  </si>
  <si>
    <t>ср 25.02.2026 — 15:31:54</t>
  </si>
  <si>
    <t>GA3948333_2_20260225T204516Z.jpg</t>
  </si>
  <si>
    <t>9 Ангар пилорама\GA3948333_2_20260225T204516Z.jpg</t>
  </si>
  <si>
    <t>ср 25.02.2026 — 20:45:16</t>
  </si>
  <si>
    <t>GA3948333_2_20260225T231516Z.jpg</t>
  </si>
  <si>
    <t>9 Ангар пилорама\GA3948333_2_20260225T231516Z.jpg</t>
  </si>
  <si>
    <t>ср 25.02.2026 — 23:15:16</t>
  </si>
  <si>
    <t>GA3948333_2_20260225T235529Z.jpg</t>
  </si>
  <si>
    <t>9 Ангар пилорама\GA3948333_2_20260225T235529Z.jpg</t>
  </si>
  <si>
    <t>ср 25.02.2026 — 23:55:29</t>
  </si>
  <si>
    <t>134160575_1_20260224T100833Z.jpg</t>
  </si>
  <si>
    <t>C:\ВИДЕОНАБЛЮДЕНИЕ\7 Площадка 2 бетонщики\captrue\</t>
  </si>
  <si>
    <t>7 Площадка 2 бетонщики\134160575_1_20260224T100833Z.jpg</t>
  </si>
  <si>
    <t>вт 24.02.2026 — 10:08:33</t>
  </si>
  <si>
    <t>134160575_1_20260224T100929Z.jpg</t>
  </si>
  <si>
    <t>7 Площадка 2 бетонщики\134160575_1_20260224T100929Z.jpg</t>
  </si>
  <si>
    <t>вт 24.02.2026 — 10:09:29</t>
  </si>
  <si>
    <t>134160575_1_20260224T101020Z.jpg</t>
  </si>
  <si>
    <t>7 Площадка 2 бетонщики\134160575_1_20260224T101020Z.jpg</t>
  </si>
  <si>
    <t>вт 24.02.2026 — 10:10:20</t>
  </si>
  <si>
    <t>134160575_1_20260224T101030Z.jpg</t>
  </si>
  <si>
    <t>7 Площадка 2 бетонщики\134160575_1_20260224T101030Z.jpg</t>
  </si>
  <si>
    <t>вт 24.02.2026 — 10:10:30</t>
  </si>
  <si>
    <t>134160575_1_20260224T101136Z.jpg</t>
  </si>
  <si>
    <t>7 Площадка 2 бетонщики\134160575_1_20260224T101136Z.jpg</t>
  </si>
  <si>
    <t>вт 24.02.2026 — 10:11:36</t>
  </si>
  <si>
    <t>134160575_1_20260224T151537Z.jpg</t>
  </si>
  <si>
    <t>7 Площадка 2 бетонщики\134160575_1_20260224T151537Z.jpg</t>
  </si>
  <si>
    <t>вт 24.02.2026 — 15:15:37</t>
  </si>
  <si>
    <t>134160575_1_20260225T095858Z.jpg</t>
  </si>
  <si>
    <t>7 Площадка 2 бетонщики\134160575_1_20260225T095858Z.jpg</t>
  </si>
  <si>
    <t>ср 25.02.2026 — 09:58:58</t>
  </si>
  <si>
    <t>134160575_1_20260225T095938Z.jpg</t>
  </si>
  <si>
    <t>7 Площадка 2 бетонщики\134160575_1_20260225T095938Z.jpg</t>
  </si>
  <si>
    <t>ср 25.02.2026 — 09:59:38</t>
  </si>
  <si>
    <t>134160575_1_20260225T100028Z.jpg</t>
  </si>
  <si>
    <t>7 Площадка 2 бетонщики\134160575_1_20260225T100028Z.jpg</t>
  </si>
  <si>
    <t>ср 25.02.2026 — 10:00:28</t>
  </si>
  <si>
    <t>134160575_1_20260225T121551Z.jpg</t>
  </si>
  <si>
    <t>7 Площадка 2 бетонщики\134160575_1_20260225T121551Z.jpg</t>
  </si>
  <si>
    <t>ср 25.02.2026 — 12:15:51</t>
  </si>
  <si>
    <t>134160575_1_20260225T121904Z.jpg</t>
  </si>
  <si>
    <t>7 Площадка 2 бетонщики\134160575_1_20260225T121904Z.jpg</t>
  </si>
  <si>
    <t>ср 25.02.2026 — 12:19:04</t>
  </si>
  <si>
    <t>134160575_1_20260225T170343Z.jpg</t>
  </si>
  <si>
    <t>7 Площадка 2 бетонщики\134160575_1_20260225T170343Z.jpg</t>
  </si>
  <si>
    <t>ср 25.02.2026 — 17:03:43</t>
  </si>
  <si>
    <t>134160575_1_20260225T190347Z.jpg</t>
  </si>
  <si>
    <t>7 Площадка 2 бетонщики\134160575_1_20260225T190347Z.jpg</t>
  </si>
  <si>
    <t>ср 25.02.2026 — 19:03:47</t>
  </si>
  <si>
    <t>GA3948333_5_20260224T093424Z.jpg</t>
  </si>
  <si>
    <t>11 С ангара на базу\GA3948333_5_20260224T093424Z.jpg</t>
  </si>
  <si>
    <t>вт 24.02.2026 — 09:34:24</t>
  </si>
  <si>
    <t>GA3948333_5_20260224T093508Z.jpg</t>
  </si>
  <si>
    <t>11 С ангара на базу\GA3948333_5_20260224T093508Z.jpg</t>
  </si>
  <si>
    <t>вт 24.02.2026 — 09:35:08</t>
  </si>
  <si>
    <t>GA3948333_5_20260224T093822Z.jpg</t>
  </si>
  <si>
    <t>11 С ангара на базу\GA3948333_5_20260224T093822Z.jpg</t>
  </si>
  <si>
    <t>вт 24.02.2026 — 09:38:22</t>
  </si>
  <si>
    <t>GA3948333_5_20260224T094125Z.jpg</t>
  </si>
  <si>
    <t>11 С ангара на базу\GA3948333_5_20260224T094125Z.jpg</t>
  </si>
  <si>
    <t>вт 24.02.2026 — 09:41:25</t>
  </si>
  <si>
    <t>GA3948333_5_20260224T094307Z.jpg</t>
  </si>
  <si>
    <t>11 С ангара на базу\GA3948333_5_20260224T094307Z.jpg</t>
  </si>
  <si>
    <t>вт 24.02.2026 — 09:43:07</t>
  </si>
  <si>
    <t>GA3948333_5_20260224T190918Z.jpg</t>
  </si>
  <si>
    <t>11 С ангара на базу\GA3948333_5_20260224T190918Z.jpg</t>
  </si>
  <si>
    <t>вт 24.02.2026 — 19:09:18</t>
  </si>
  <si>
    <t>GA3948333_5_20260225T084044Z.jpg</t>
  </si>
  <si>
    <t>11 С ангара на базу\GA3948333_5_20260225T084044Z.jpg</t>
  </si>
  <si>
    <t>ср 25.02.2026 — 08:40:44</t>
  </si>
  <si>
    <t>GA3948333_5_20260225T085851Z.jpg</t>
  </si>
  <si>
    <t>11 С ангара на базу\GA3948333_5_20260225T085851Z.jpg</t>
  </si>
  <si>
    <t>ср 25.02.2026 — 08:58:51</t>
  </si>
  <si>
    <t>GA3948333_5_20260225T090715Z.jpg</t>
  </si>
  <si>
    <t>11 С ангара на базу\GA3948333_5_20260225T090715Z.jpg</t>
  </si>
  <si>
    <t>ср 25.02.2026 — 09:07:15</t>
  </si>
  <si>
    <t>GA3948333_5_20260225T093507Z.jpg</t>
  </si>
  <si>
    <t>11 С ангара на базу\GA3948333_5_20260225T093507Z.jpg</t>
  </si>
  <si>
    <t>ср 25.02.2026 — 09:35:07</t>
  </si>
  <si>
    <t>GA3948333_5_20260225T180245Z.jpg</t>
  </si>
  <si>
    <t>11 С ангара на базу\GA3948333_5_20260225T180245Z.jpg</t>
  </si>
  <si>
    <t>GA3948333_6_20260224T103410Z.jpg</t>
  </si>
  <si>
    <t>10 Сушилка навес\GA3948333_6_20260224T103410Z.jpg</t>
  </si>
  <si>
    <t>вт 24.02.2026 — 10:34:10</t>
  </si>
  <si>
    <t>GA3948333_6_20260224T155735Z.jpg</t>
  </si>
  <si>
    <t>10 Сушилка навес\GA3948333_6_20260224T155735Z.jpg</t>
  </si>
  <si>
    <t>вт 24.02.2026 — 15:57:35</t>
  </si>
  <si>
    <t>GA3948333_6_20260224T184814Z.jpg</t>
  </si>
  <si>
    <t>10 Сушилка навес\GA3948333_6_20260224T184814Z.jpg</t>
  </si>
  <si>
    <t>вт 24.02.2026 — 18:48:14</t>
  </si>
  <si>
    <t>GA3948333_6_20260225T113324Z.jpg</t>
  </si>
  <si>
    <t>10 Сушилка навес\GA3948333_6_20260225T113324Z.jpg</t>
  </si>
  <si>
    <t>ср 25.02.2026 — 11:33:24</t>
  </si>
  <si>
    <t>GA3948333_6_20260225T113414Z.jpg</t>
  </si>
  <si>
    <t>10 Сушилка навес\GA3948333_6_20260225T113414Z.jpg</t>
  </si>
  <si>
    <t>ср 25.02.2026 — 11:34:14</t>
  </si>
  <si>
    <t>GA3948333_6_20260225T113501Z.jpg</t>
  </si>
  <si>
    <t>10 Сушилка навес\GA3948333_6_20260225T113501Z.jpg</t>
  </si>
  <si>
    <t>ср 25.02.2026 — 11:35:01</t>
  </si>
  <si>
    <t>GA3948333_6_20260225T113733Z.jpg</t>
  </si>
  <si>
    <t>10 Сушилка навес\GA3948333_6_20260225T113733Z.jpg</t>
  </si>
  <si>
    <t>ср 25.02.2026 — 11:37:33</t>
  </si>
  <si>
    <t>GA3948333_6_20260225T115941Z.jpg</t>
  </si>
  <si>
    <t>10 Сушилка навес\GA3948333_6_20260225T115941Z.jpg</t>
  </si>
  <si>
    <t>ср 25.02.2026 — 11:59:41</t>
  </si>
  <si>
    <t>GA3948333_6_20260225T143616Z.jpg</t>
  </si>
  <si>
    <t>10 Сушилка навес\GA3948333_6_20260225T143616Z.jpg</t>
  </si>
  <si>
    <t>ср 25.02.2026 — 14:36:16</t>
  </si>
  <si>
    <t>GA3948333_6_20260225T143625Z.jpg</t>
  </si>
  <si>
    <t>10 Сушилка навес\GA3948333_6_20260225T143625Z.jpg</t>
  </si>
  <si>
    <t>ср 25.02.2026 — 14:36:25</t>
  </si>
  <si>
    <t>GA3948333_6_20260225T185714Z.jpg</t>
  </si>
  <si>
    <t>10 Сушилка навес\GA3948333_6_20260225T185714Z.jpg</t>
  </si>
  <si>
    <t>ср 25.02.2026 — 18:57:14</t>
  </si>
  <si>
    <t>K07156189_20_20260224T093653Z.jpg</t>
  </si>
  <si>
    <t>C:\ВИДЕОНАБЛЮДЕНИЕ\12 Площадка 3 кран\captrue\</t>
  </si>
  <si>
    <t>12 Площадка 3 кран\K07156189_20_20260224T093653Z.jpg</t>
  </si>
  <si>
    <t>вт 24.02.2026 — 09:36:53</t>
  </si>
  <si>
    <t>K07156189_20_20260224T154757Z.jpg</t>
  </si>
  <si>
    <t>12 Площадка 3 кран\K07156189_20_20260224T154757Z.jpg</t>
  </si>
  <si>
    <t>вт 24.02.2026 — 15:47:57</t>
  </si>
  <si>
    <t>K07156189_20_20260224T181409Z.jpg</t>
  </si>
  <si>
    <t>12 Площадка 3 кран\K07156189_20_20260224T181409Z.jpg</t>
  </si>
  <si>
    <t>вт 24.02.2026 — 18:14:09</t>
  </si>
  <si>
    <t>K07156189_20_20260224T191908Z.jpg</t>
  </si>
  <si>
    <t>12 Площадка 3 кран\K07156189_20_20260224T191908Z.jpg</t>
  </si>
  <si>
    <t>вт 24.02.2026 — 19:19:08</t>
  </si>
  <si>
    <t>K07156189_20_20260225T092531Z.jpg</t>
  </si>
  <si>
    <t>12 Площадка 3 кран\K07156189_20_20260225T092531Z.jpg</t>
  </si>
  <si>
    <t>ср 25.02.2026 — 09:25:31</t>
  </si>
  <si>
    <t>K07156189_20_20260225T111241Z.jpg</t>
  </si>
  <si>
    <t>12 Площадка 3 кран\K07156189_20_20260225T111241Z.jpg</t>
  </si>
  <si>
    <t>ср 25.02.2026 — 11:12:41</t>
  </si>
  <si>
    <t>K07156189_20_20260225T140333Z.jpg</t>
  </si>
  <si>
    <t>12 Площадка 3 кран\K07156189_20_20260225T140333Z.jpg</t>
  </si>
  <si>
    <t>ср 25.02.2026 — 14:03:33</t>
  </si>
  <si>
    <t>K07156189_20_20260225T160441Z.jpg</t>
  </si>
  <si>
    <t>12 Площадка 3 кран\K07156189_20_20260225T160441Z.jpg</t>
  </si>
  <si>
    <t>ср 25.02.2026 — 16:04:41</t>
  </si>
  <si>
    <t>K07156189_20_20260225T191228Z.jpg</t>
  </si>
  <si>
    <t>12 Площадка 3 кран\K07156189_20_20260225T191228Z.jpg</t>
  </si>
  <si>
    <t>ср 25.02.2026 — 19:12:28</t>
  </si>
  <si>
    <t>GD7678666_1_20260224T095444Z.jpg</t>
  </si>
  <si>
    <t>C:\ВИДЕОНАБЛЮДЕНИЕ\14 На гаражи\captrue\</t>
  </si>
  <si>
    <t>14 На гаражи\GD7678666_1_20260224T095444Z.jpg</t>
  </si>
  <si>
    <t>вт 24.02.2026 — 09:54:44</t>
  </si>
  <si>
    <t>GD7678666_1_20260224T162319Z.jpg</t>
  </si>
  <si>
    <t>14 На гаражи\GD7678666_1_20260224T162319Z.jpg</t>
  </si>
  <si>
    <t>вт 24.02.2026 — 16:23:19</t>
  </si>
  <si>
    <t>GD7678666_1_20260224T191045Z.jpg</t>
  </si>
  <si>
    <t>14 На гаражи\GD7678666_1_20260224T191045Z.jpg</t>
  </si>
  <si>
    <t>вт 24.02.2026 — 19:10:45</t>
  </si>
  <si>
    <t>GD7678666_1_20260225T084514Z.jpg</t>
  </si>
  <si>
    <t>14 На гаражи\GD7678666_1_20260225T084514Z.jpg</t>
  </si>
  <si>
    <t>ср 25.02.2026 — 08:45:14</t>
  </si>
  <si>
    <t>GD7678666_1_20260225T133912Z.jpg</t>
  </si>
  <si>
    <t>14 На гаражи\GD7678666_1_20260225T133912Z.jpg</t>
  </si>
  <si>
    <t>ср 25.02.2026 — 13:39:12</t>
  </si>
  <si>
    <t>GD7678666_1_20260225T185007Z.jpg</t>
  </si>
  <si>
    <t>14 На гаражи\GD7678666_1_20260225T185007Z.jpg</t>
  </si>
  <si>
    <t>ср 25.02.2026 — 18:50:07</t>
  </si>
  <si>
    <t>K07156189_23_20260224T170745Z.jpg</t>
  </si>
  <si>
    <t>C:\ВИДЕОНАБЛЮДЕНИЕ\13 Склад хол\captrue\</t>
  </si>
  <si>
    <t>13 Склад хол\K07156189_23_20260224T170745Z.jpg</t>
  </si>
  <si>
    <t>вт 24.02.2026 — 17:07:45</t>
  </si>
  <si>
    <t>K07156189_23_20260225T074036Z.jpg</t>
  </si>
  <si>
    <t>13 Склад хол\K07156189_23_20260225T074036Z.jpg</t>
  </si>
  <si>
    <t>ср 25.02.2026 — 07:40:36</t>
  </si>
  <si>
    <t>K07156189_23_20260225T085655Z.jpg</t>
  </si>
  <si>
    <t>13 Склад хол\K07156189_23_20260225T085655Z.jpg</t>
  </si>
  <si>
    <t>ср 25.02.2026 — 08:56:55</t>
  </si>
  <si>
    <t>K07156189_23_20260225T090945Z.jpg</t>
  </si>
  <si>
    <t>13 Склад хол\K07156189_23_20260225T090945Z.jpg</t>
  </si>
  <si>
    <t>ср 25.02.2026 — 09:09:45</t>
  </si>
  <si>
    <t>K07156189_23_20260225T113442Z.jpg</t>
  </si>
  <si>
    <t>13 Склад хол\K07156189_23_20260225T113442Z.jpg</t>
  </si>
  <si>
    <t>ср 25.02.2026 — 11:34:42</t>
  </si>
  <si>
    <t>K07156189_23_20260225T173135Z.jpg</t>
  </si>
  <si>
    <t>13 Склад хол\K07156189_23_20260225T173135Z.jpg</t>
  </si>
  <si>
    <t>ср 25.02.2026 — 17:31:35</t>
  </si>
  <si>
    <t>GA3948333_9_20260224T094315Z.jpg</t>
  </si>
  <si>
    <t>15 Вход столярка\GA3948333_9_20260224T094315Z.jpg</t>
  </si>
  <si>
    <t>вт 24.02.2026 — 09:43:15</t>
  </si>
  <si>
    <t>GA3948333_9_20260224T094329Z.jpg</t>
  </si>
  <si>
    <t>15 Вход столярка\GA3948333_9_20260224T094329Z.jpg</t>
  </si>
  <si>
    <t>вт 24.02.2026 — 09:43:29</t>
  </si>
  <si>
    <t>GA3948333_9_20260224T094615Z.jpg</t>
  </si>
  <si>
    <t>15 Вход столярка\GA3948333_9_20260224T094615Z.jpg</t>
  </si>
  <si>
    <t>вт 24.02.2026 — 09:46:15</t>
  </si>
  <si>
    <t>GA3948333_11_20260224T093201Z.jpg</t>
  </si>
  <si>
    <t>C:\ВИДЕОНАБЛЮДЕНИЕ\16 Столярка\captrue\</t>
  </si>
  <si>
    <t>16 Столярка\GA3948333_11_20260224T093201Z.jpg</t>
  </si>
  <si>
    <t>вт 24.02.2026 — 09:32:01</t>
  </si>
  <si>
    <t>GA3948333_11_20260224T235421Z.jpg</t>
  </si>
  <si>
    <t>16 Столярка\GA3948333_11_20260224T235421Z.jpg</t>
  </si>
  <si>
    <t>вт 24.02.2026 — 23:54:21</t>
  </si>
  <si>
    <t>GA3948333_11_20260225T025243Z.jpg</t>
  </si>
  <si>
    <t>16 Столярка\GA3948333_11_20260225T025243Z.jpg</t>
  </si>
  <si>
    <t>ср 25.02.2026 — 02:52:43</t>
  </si>
  <si>
    <t>GA3948333_11_20260225T183019Z.jpg</t>
  </si>
  <si>
    <t>16 Столярка\GA3948333_11_20260225T183019Z.jpg</t>
  </si>
  <si>
    <t>ср 25.02.2026 — 18:30:19</t>
  </si>
  <si>
    <t>GA3948333_11_20260225T202934Z.jpg</t>
  </si>
  <si>
    <t>16 Столярка\GA3948333_11_20260225T202934Z.jpg</t>
  </si>
  <si>
    <t>ср 25.02.2026 — 20:29:34</t>
  </si>
  <si>
    <t>GA3948333_10_20260224T094304Z.jpg</t>
  </si>
  <si>
    <t>C:\ВИДЕОНАБЛЮДЕНИЕ\17 Площадка с навесом\</t>
  </si>
  <si>
    <t>17 Площадка с навесом\GA3948333_10_20260224T094304Z.jpg</t>
  </si>
  <si>
    <t>вт 24.02.2026 — 09:43:04</t>
  </si>
  <si>
    <t>C:\ВИДЕОНАБЛЮДЕНИЕ\17 Площадка с навесом\captrue\</t>
  </si>
  <si>
    <t>17 Площадка с навесом\GA3948333_10_20260224T095554Z.jpg</t>
  </si>
  <si>
    <t>вт 24.02.2026 — 09:55:54</t>
  </si>
  <si>
    <t>17 Площадка с навесом\GA3948333_10_20260224T100111Z.jpg</t>
  </si>
  <si>
    <t>вт 24.02.2026 — 10:01:11</t>
  </si>
  <si>
    <t>GA3948333_10_20260224T182005Z.jpg</t>
  </si>
  <si>
    <t>17 Площадка с навесом\GA3948333_10_20260224T182005Z.jpg</t>
  </si>
  <si>
    <t>вт 24.02.2026 — 18:20:05</t>
  </si>
  <si>
    <t>17 Площадка с навесом\GA3948333_10_20260224T220601Z.jpg</t>
  </si>
  <si>
    <t>вт 24.02.2026 — 22:06:01</t>
  </si>
  <si>
    <t>GA3948333_10_20260225T093126Z.jpg</t>
  </si>
  <si>
    <t>17 Площадка с навесом\GA3948333_10_20260225T093126Z.jpg</t>
  </si>
  <si>
    <t>ср 25.02.2026 — 09:31:26</t>
  </si>
  <si>
    <t>GA3948333_10_20260225T095925Z.jpg</t>
  </si>
  <si>
    <t>17 Площадка с навесом\GA3948333_10_20260225T095925Z.jpg</t>
  </si>
  <si>
    <t>ср 25.02.2026 — 09:59:25</t>
  </si>
  <si>
    <t>GA3948333_10_20260225T121603Z.jpg</t>
  </si>
  <si>
    <t>17 Площадка с навесом\GA3948333_10_20260225T121603Z.jpg</t>
  </si>
  <si>
    <t>ср 25.02.2026 — 12:16:03</t>
  </si>
  <si>
    <t>GA3948333_10_20260225T121904Z.jpg</t>
  </si>
  <si>
    <t>17 Площадка с навесом\GA3948333_10_20260225T121904Z.jpg</t>
  </si>
  <si>
    <t>C:\ВИДЕОНАБЛЮДЕНИЕ\3 Парковка офиса\</t>
  </si>
  <si>
    <t>3 Парковка офиса\E33149364_8_20251110T082754Z.jpg</t>
  </si>
  <si>
    <t>3 Парковка офиса\E33149364_8_20251110T090347Z.jpg</t>
  </si>
  <si>
    <t>3 Парковка офиса\E33149364_8_20251110T114027Z.jpg</t>
  </si>
  <si>
    <t>3 Парковка офиса\E33149364_8_20251110T120230Z.jpg</t>
  </si>
  <si>
    <t>3 Парковка офиса\E33149364_8_20251110T134046Z.jpg</t>
  </si>
  <si>
    <t>3 Парковка офиса\E33149364_8_20251110T171433Z.jpg</t>
  </si>
  <si>
    <t>3 Парковка офиса\E33149364_8_20251111T092346Z.jpg</t>
  </si>
  <si>
    <t>3 Парковка офиса\E33149364_8_20251111T104416Z.jpg</t>
  </si>
  <si>
    <t>3 Парковка офиса\E33149364_8_20251111T104848Z.jpg</t>
  </si>
  <si>
    <t>3 Парковка офиса\E33149364_8_20251111T113746Z.jpg</t>
  </si>
  <si>
    <t>3 Парковка офиса\E33149364_8_20251111T113755Z.jpg</t>
  </si>
  <si>
    <t>3 Парковка офиса\E33149364_8_20251111T124853Z.jpg</t>
  </si>
  <si>
    <t>3 Парковка офиса\E33149364_8_20251111T125221Z.jpg</t>
  </si>
  <si>
    <t>3 Парковка офиса\E33149364_8_20251111T152132Z.jpg</t>
  </si>
  <si>
    <t>3 Парковка офиса\E33149364_8_20251112T161540Z.jpg</t>
  </si>
  <si>
    <t>3 Парковка офиса\E33149364_8_20251112T162729Z.jpg</t>
  </si>
  <si>
    <t>3 Парковка офиса\E33149364_8_20251112T170236Z.jpg</t>
  </si>
  <si>
    <t>3 Парковка офиса\E33149364_8_20251112T173715Z.jpg</t>
  </si>
  <si>
    <t>3 Парковка офиса\E33149364_8_20251113T085525Z.jpg</t>
  </si>
  <si>
    <t>3 Парковка офиса\E33149364_8_20251113T093029Z.jpg</t>
  </si>
  <si>
    <t>3 Парковка офиса\E33149364_8_20251113T093420Z.jpg</t>
  </si>
  <si>
    <t>3 Парковка офиса\E33149364_8_20251113T123527Z.jpg</t>
  </si>
  <si>
    <t>3 Парковка офиса\E33149364_8_20251113T143145Z.jpg</t>
  </si>
  <si>
    <t>3 Парковка офиса\E33149364_8_20251113T173042Z.jpg</t>
  </si>
  <si>
    <t>3 Парковка офиса\E33149364_8_20251114T093145Z.jpg</t>
  </si>
  <si>
    <t>3 Парковка офиса\E33149364_8_20251114T131548Z.jpg</t>
  </si>
  <si>
    <t>3 Парковка офиса\E33149364_8_20251114T134620Z.jpg</t>
  </si>
  <si>
    <t>3 Парковка офиса\E33149364_8_20251114T172857Z.jpg</t>
  </si>
  <si>
    <t>3 Парковка офиса\E33149364_8_20251115T102828Z.jpg</t>
  </si>
  <si>
    <t>3 Парковка офиса\E33149364_8_20251115T111424Z.jpg</t>
  </si>
  <si>
    <t>3 Парковка офиса\E33149364_8_20251115T115624Z.jpg</t>
  </si>
  <si>
    <t>3 Парковка офиса\E33149364_8_20251115T151520Z.jpg</t>
  </si>
  <si>
    <t>3 Парковка офиса\E33149364_8_20251115T152636Z.jpg</t>
  </si>
  <si>
    <t>3 Парковка офиса\E33149364_8_20251115T173038Z.jpg</t>
  </si>
  <si>
    <t>3 Парковка офиса\E33149364_8_20251116T085207Z.jpg</t>
  </si>
  <si>
    <t>3 Парковка офиса\E33149364_8_20251116T141440Z.jpg</t>
  </si>
  <si>
    <t>3 Парковка офиса\E33149364_8_20251116T171627Z.jpg</t>
  </si>
  <si>
    <t>3 Парковка офиса\E33149364_8_20251117T172418Z.jpg</t>
  </si>
  <si>
    <t>3 Парковка офиса\E33149364_8_20251118T090052Z.jpg</t>
  </si>
  <si>
    <t>3 Парковка офиса\E33149364_8_20251118T135928Z.jpg</t>
  </si>
  <si>
    <t>3 Парковка офиса\E33149364_8_20251119T114812Z.jpg</t>
  </si>
  <si>
    <t>3 Парковка офиса\E33149364_8_20251120T142609Z.jpg</t>
  </si>
  <si>
    <t>3 Парковка офиса\E33149364_8_20251120T171848Z.jpg</t>
  </si>
  <si>
    <t>3 Парковка офиса\E33149364_8_20251121T103406Z.jpg</t>
  </si>
  <si>
    <t>3 Парковка офиса\E33149364_8_20251121T172500Z.jpg</t>
  </si>
  <si>
    <t>3 Парковка офиса\E33149364_8_20251122T172018Z.jpg</t>
  </si>
  <si>
    <t>3 Парковка офиса\E33149364_8_20251123T161608Z.jpg</t>
  </si>
  <si>
    <t>3 Парковка офиса\E33149364_8_20251124T104145Z.jpg</t>
  </si>
  <si>
    <t>3 Парковка офиса\E33149364_8_20251124T133131Z.jpg</t>
  </si>
  <si>
    <t>3 Парковка офиса\E33149364_8_20251124T174021Z.jpg</t>
  </si>
  <si>
    <t>3 Парковка офиса\E33149364_8_20251124T181127Z.jpg</t>
  </si>
  <si>
    <t>3 Парковка офиса\E33149364_8_20251125T121702Z.jpg</t>
  </si>
  <si>
    <t>3 Парковка офиса\E33149364_8_20251125T163640Z.jpg</t>
  </si>
  <si>
    <t>3 Парковка офиса\E33149364_8_20251126T105137Z.jpg</t>
  </si>
  <si>
    <t>3 Парковка офиса\E33149364_8_20251126T122408Z.jpg</t>
  </si>
  <si>
    <t>3 Парковка офиса\E33149364_8_20251127T113135Z.jpg</t>
  </si>
  <si>
    <t>3 Парковка офиса\E33149364_8_20251127T164038Z.jpg</t>
  </si>
  <si>
    <t>3 Парковка офиса\E33149364_8_20251128T111419Z.jpg</t>
  </si>
  <si>
    <t>3 Парковка офиса\E33149364_8_20251128T170013Z.jpg</t>
  </si>
  <si>
    <t>3 Парковка офиса\E33149364_8_20251129T123740Z.jpg</t>
  </si>
  <si>
    <t>3 Парковка офиса\E33149364_8_20251129T153527Z.jpg</t>
  </si>
  <si>
    <t>3 Парковка офиса\E33149364_8_20251129T171034Z.jpg</t>
  </si>
  <si>
    <t>3 Парковка офиса\E33149364_8_20251130T164529Z.jpg</t>
  </si>
  <si>
    <t>3 Парковка офиса\E33149364_8_20251201T103424Z.jpg</t>
  </si>
  <si>
    <t>3 Парковка офиса\E33149364_8_20251201T205154Z.jpg</t>
  </si>
  <si>
    <t>3 Парковка офиса\E33149364_8_20251202T141514Z.jpg</t>
  </si>
  <si>
    <t>3 Парковка офиса\E33149364_8_20251203T150957Z.jpg</t>
  </si>
  <si>
    <t>3 Парковка офиса\E33149364_8_20251204T122652Z.jpg</t>
  </si>
  <si>
    <t>3 Парковка офиса\E33149364_8_20251205T142318Z.jpg</t>
  </si>
  <si>
    <t>3 Парковка офиса\E33149364_8_20251206T154538Z.jpg</t>
  </si>
  <si>
    <t>3 Парковка офиса\E33149364_8_20251207T160921Z.jpg</t>
  </si>
  <si>
    <t>3 Парковка офиса\E33149364_8_20251208T115423Z.jpg</t>
  </si>
  <si>
    <t>3 Парковка офиса\E33149364_8_20251208T163559Z.jpg</t>
  </si>
  <si>
    <t>3 Парковка офиса\E33149364_8_20251209T121555Z.jpg</t>
  </si>
  <si>
    <t>3 Парковка офиса\E33149364_8_20251209T125803Z.jpg</t>
  </si>
  <si>
    <t>3 Парковка офиса\E33149364_8_20251209T170557Z.jpg</t>
  </si>
  <si>
    <t>3 Парковка офиса\E33149364_8_20251210T151750Z.jpg</t>
  </si>
  <si>
    <t>3 Парковка офиса\E33149364_8_20251211T132921Z.jpg</t>
  </si>
  <si>
    <t>3 Парковка офиса\E33149364_8_20251211T160622Z.jpg</t>
  </si>
  <si>
    <t>3 Парковка офиса\E33149364_8_20251212T113525Z.jpg</t>
  </si>
  <si>
    <t>3 Парковка офиса\E33149364_8_20251213T094752Z.jpg</t>
  </si>
  <si>
    <t>3 Парковка офиса\E33149364_8_20251213T124738Z.jpg</t>
  </si>
  <si>
    <t>3 Парковка офиса\E33149364_8_20251213T170414Z.jpg</t>
  </si>
  <si>
    <t>3 Парковка офиса\E33149364_8_20251214T162604Z.jpg</t>
  </si>
  <si>
    <t>3 Парковка офиса\E33149364_8_20251215T121806Z.jpg</t>
  </si>
  <si>
    <t>3 Парковка офиса\E33149364_8_20251216T110426Z.jpg</t>
  </si>
  <si>
    <t>3 Парковка офиса\E33149364_8_20251217T150338Z.jpg</t>
  </si>
  <si>
    <t>3 Парковка офиса\E33149364_8_20251218T143702Z.jpg</t>
  </si>
  <si>
    <t>3 Парковка офиса\E33149364_8_20251219T161320Z.jpg</t>
  </si>
  <si>
    <t>3 Парковка офиса\E33149364_8_20251220T162309Z.jpg</t>
  </si>
  <si>
    <t>3 Парковка офиса\E33149364_8_20251221T170200Z.jpg</t>
  </si>
  <si>
    <t>3 Парковка офиса\E33149364_8_20251222T163200Z.jpg</t>
  </si>
  <si>
    <t>3 Парковка офиса\E33149364_8_20251223T170929Z.jpg</t>
  </si>
  <si>
    <t>3 Парковка офиса\E33149364_8_20251223T193452Z.jpg</t>
  </si>
  <si>
    <t>3 Парковка офиса\E33149364_8_20251224T120857Z.jpg</t>
  </si>
  <si>
    <t>3 Парковка офиса\E33149364_8_20251225T090811Z.jpg</t>
  </si>
  <si>
    <t>3 Парковка офиса\E33149364_8_20251225T111058Z.jpg</t>
  </si>
  <si>
    <t>3 Парковка офиса\E33149364_8_20251225T162713Z.jpg</t>
  </si>
  <si>
    <t>3 Парковка офиса\E33149364_8_20251226T094614Z.jpg</t>
  </si>
  <si>
    <t>3 Парковка офиса\E33149364_8_20251226T094702Z.jpg</t>
  </si>
  <si>
    <t>3 Парковка офиса\E33149364_8_20251226T094704Z.jpg</t>
  </si>
  <si>
    <t>3 Парковка офиса\E33149364_8_20251227T114720Z.jpg</t>
  </si>
  <si>
    <t>3 Парковка офиса\E33149364_8_20251227T134908Z.jpg</t>
  </si>
  <si>
    <t>3 Парковка офиса\E33149364_8_20251228T125508Z.jpg</t>
  </si>
  <si>
    <t>3 Парковка офиса\E33149364_8_20251228T165008Z.jpg</t>
  </si>
  <si>
    <t>3 Парковка офиса\E33149364_8_20251229T154323Z.jpg</t>
  </si>
  <si>
    <t>3 Парковка офиса\E33149364_8_20251230T170421Z.jpg</t>
  </si>
  <si>
    <t>3 Парковка офиса\E33149364_8_20251231T163412Z.jpg</t>
  </si>
  <si>
    <t>3 Парковка офиса\E33149364_8_20260101T171408Z.jpg</t>
  </si>
  <si>
    <t>3 Парковка офиса\E33149364_8_20260102T140620Z.jpg</t>
  </si>
  <si>
    <t>3 Парковка офиса\E33149364_8_20260103T161030Z.jpg</t>
  </si>
  <si>
    <t>3 Парковка офиса\E33149364_8_20260104T155859Z.jpg</t>
  </si>
  <si>
    <t>3 Парковка офиса\E33149364_8_20260105T162306Z.jpg</t>
  </si>
  <si>
    <t>3 Парковка офиса\E33149364_8_20260106T140140Z.jpg</t>
  </si>
  <si>
    <t>3 Парковка офиса\E33149364_8_20260107T131440Z.jpg</t>
  </si>
  <si>
    <t>3 Парковка офиса\E33149364_8_20260108T132835Z.jpg</t>
  </si>
  <si>
    <t>3 Парковка офиса\E33149364_8_20260109T160339Z.jpg</t>
  </si>
  <si>
    <t>3 Парковка офиса\E33149364_8_20260110T130856Z.jpg</t>
  </si>
  <si>
    <t>3 Парковка офиса\E33149364_8_20260111T164048Z.jpg</t>
  </si>
  <si>
    <t>3 Парковка офиса\E33149364_8_20260112T102742Z.jpg</t>
  </si>
  <si>
    <t>3 Парковка офиса\E33149364_8_20260113T095337Z.jpg</t>
  </si>
  <si>
    <t>3 Парковка офиса\E33149364_8_20260113T095343Z.jpg</t>
  </si>
  <si>
    <t>3 Парковка офиса\E33149364_8_20260113T114146Z.jpg</t>
  </si>
  <si>
    <t>3 Парковка офиса\E33149364_8_20260114T152209Z.jpg</t>
  </si>
  <si>
    <t>3 Парковка офиса\E33149364_8_20260115T102859Z.jpg</t>
  </si>
  <si>
    <t>3 Парковка офиса\E33149364_8_20260115T160458Z.jpg</t>
  </si>
  <si>
    <t>3 Парковка офиса\E33149364_8_20260116T135301Z.jpg</t>
  </si>
  <si>
    <t>3 Парковка офиса\E33149364_8_20260117T150313Z.jpg</t>
  </si>
  <si>
    <t>3 Парковка офиса\E33149364_8_20260118T163332Z.jpg</t>
  </si>
  <si>
    <t>3 Парковка офиса\E33149364_8_20260119T161911Z.jpg</t>
  </si>
  <si>
    <t>3 Парковка офиса\E33149364_8_20260120T134540Z.jpg</t>
  </si>
  <si>
    <t>3 Парковка офиса\E33149364_8_20260121T123533Z.jpg</t>
  </si>
  <si>
    <t>3 Парковка офиса\E33149364_8_20260121T164131Z.jpg</t>
  </si>
  <si>
    <t>3 Парковка офиса\E33149364_8_20260122T113325Z.jpg</t>
  </si>
  <si>
    <t>3 Парковка офиса\E33149364_8_20260123T105539Z.jpg</t>
  </si>
  <si>
    <t>3 Парковка офиса\E33149364_8_20260124T160859Z.jpg</t>
  </si>
  <si>
    <t>3 Парковка офиса\E33149364_8_20260125T170136Z.jpg</t>
  </si>
  <si>
    <t>3 Парковка офиса\E33149364_8_20260126T152552Z.jpg</t>
  </si>
  <si>
    <t>3 Парковка офиса\E33149364_8_20260127T163132Z.jpg</t>
  </si>
  <si>
    <t>3 Парковка офиса\E33149364_8_20260128T130845Z.jpg</t>
  </si>
  <si>
    <t>3 Парковка офиса\E33149364_8_20260129T121721Z.jpg</t>
  </si>
  <si>
    <t>3 Парковка офиса\E33149364_8_20260130T103758Z.jpg</t>
  </si>
  <si>
    <t>3 Парковка офиса\E33149364_8_20260130T175152Z.jpg</t>
  </si>
  <si>
    <t>3 Парковка офиса\E33149364_8_20260131T114212Z.jpg</t>
  </si>
  <si>
    <t>3 Парковка офиса\E33149364_8_20260201T172346Z.jpg</t>
  </si>
  <si>
    <t>3 Парковка офиса\E33149364_8_20260202T101543Z.jpg</t>
  </si>
  <si>
    <t>3 Парковка офиса\E33149364_8_20260203T104152Z.jpg</t>
  </si>
  <si>
    <t>3 Парковка офиса\E33149364_8_20260203T164927Z.jpg</t>
  </si>
  <si>
    <t>3 Парковка офиса\E33149364_8_20260204T123750Z.jpg</t>
  </si>
  <si>
    <t>3 Парковка офиса\E33149364_8_20260205T131136Z.jpg</t>
  </si>
  <si>
    <t>3 Парковка офиса\E33149364_8_20260205T131616Z.jpg</t>
  </si>
  <si>
    <t>3 Парковка офиса\E33149364_8_20260205T140303Z.jpg</t>
  </si>
  <si>
    <t>3 Парковка офиса\E33149364_8_20260205T140619Z.jpg</t>
  </si>
  <si>
    <t>3 Парковка офиса\E33149364_8_20260205T142910Z.jpg</t>
  </si>
  <si>
    <t>3 Парковка офиса\E33149364_8_20260205T164253Z.jpg</t>
  </si>
  <si>
    <t>3 Парковка офиса\E33149364_8_20260205T164311Z.jpg</t>
  </si>
  <si>
    <t>3 Парковка офиса\E33149364_8_20260205T164324Z.jpg</t>
  </si>
  <si>
    <t>3 Парковка офиса\E33149364_8_20260206T131917Z.jpg</t>
  </si>
  <si>
    <t>3 Парковка офиса\E33149364_8_20260207T160026Z.jpg</t>
  </si>
  <si>
    <t>3 Парковка офиса\E33149364_8_20260208T172419Z.jpg</t>
  </si>
  <si>
    <t>C:\ВИДЕОНАБЛЮДЕНИЕ\3 Парковка офиса\captrue\</t>
  </si>
  <si>
    <t>3 Парковка офиса\GA3948333_3_20260224T151512Z.jpg</t>
  </si>
  <si>
    <t>3 Парковка офиса\GA3948333_3_20260225T125840Z.jpg</t>
  </si>
  <si>
    <t>Газель, серый тент</t>
  </si>
  <si>
    <t>Газель, бежевый тент</t>
  </si>
  <si>
    <t>Лесовоз с длинным полуприцепом</t>
  </si>
  <si>
    <t>время выезда не зафиксировано, не работали камеры в этот период</t>
  </si>
  <si>
    <t>Легковая темная</t>
  </si>
  <si>
    <t>Парковка офиса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</si>
</sst>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1" applyNumberFormat="1"/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20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3" fillId="0" borderId="0" xfId="0" applyNumberFormat="1" applyFont="1"/>
  </cellXfs>
  <cellStyles count="2">
    <cellStyle name="Гиперссылка" xfId="1" builtinId="8"/>
    <cellStyle name="Обычный" xfId="0" builtinId="0"/>
  </cellStyles>
  <dxfs count="1049"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[$-F400]h:mm:ss\ AM/PM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25" formatCode="h:mm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5" formatCode="h:mm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D6C9D9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99FFCC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FF0000"/>
      </font>
      <fill>
        <patternFill>
          <bgColor theme="5" tint="0.599963377788628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FFCC"/>
      <color rgb="FFD6C9D9"/>
      <color rgb="FFC3B0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CC4D67-CBB9-42A8-AB9C-9EFFCE2EAA98}" autoFormatId="16" applyNumberFormats="0" applyBorderFormats="0" applyFontFormats="0" applyPatternFormats="0" applyAlignmentFormats="0" applyWidthHeightFormats="0">
  <queryTableRefresh nextId="47" unboundColumnsRight="2">
    <queryTableFields count="14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  <queryTableField id="45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92F647AE-BC39-4CFB-A5BF-F061B45F956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E1767D81-30F8-41B0-916A-CFF26993C4E0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0710D1B5-D349-49C5-84AA-D006CBE970C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A3B218EF-22CC-47C4-BE73-82DDA05E04C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E374610E-209A-428E-A271-85318850BF6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94EE713B-6EEE-4F50-9C22-A9D07107D2AC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FC5F7406-1862-4A36-ACBD-D3F92C922FB1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8" xr16:uid="{C5B5B3B7-59A9-4791-9B8E-845933ABE266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DD119D9-7F92-4E78-916F-EE9C976B43C4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E75D2C4-902B-47F8-AB24-632C416D20CE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9A3254-11ED-4B57-B063-7A1F06511961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69D9897-BBEB-4E1C-997D-D7B11908FE19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2E08AA4-A19E-4BFF-A6F0-8FF4AAB303B3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0137812-85CB-420C-B3E8-06DE3F268CDE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0B345E48-4B4E-4DA5-A94F-2D415D9E3102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6CC6D0AD-B0A9-4F86-BA67-B65183D73476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FB87FFD-FC7D-41D1-93A1-B0953C6FD36F}" autoFormatId="16" applyNumberFormats="0" applyBorderFormats="0" applyFontFormats="0" applyPatternFormats="0" applyAlignmentFormats="0" applyWidthHeightFormats="0">
  <queryTableRefresh nextId="45" unboundColumnsRight="1">
    <queryTableFields count="13">
      <queryTableField id="39" name="День нед" tableColumnId="11"/>
      <queryTableField id="19" name="Дата" tableColumnId="8"/>
      <queryTableField id="20" name="Время" tableColumnId="9"/>
      <queryTableField id="27" name="Событие" tableColumnId="5"/>
      <queryTableField id="29" name="Объект" tableColumnId="7"/>
      <queryTableField id="30" name="Груз" tableColumnId="10"/>
      <queryTableField id="31" name="Кол-во" tableColumnId="13"/>
      <queryTableField id="32" name="Примечание" tableColumnId="14"/>
      <queryTableField id="14" name="Name" tableColumnId="4"/>
      <queryTableField id="11" name="Folder Path" tableColumnId="1"/>
      <queryTableField id="2" name="RelativePath" tableColumnId="2"/>
      <queryTableField id="23" name="Подпись" tableColumnId="12"/>
      <queryTableField id="3" dataBound="0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3C56455A-1A3F-4DB3-A851-D2F3AAF3BAC6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День нед" tableColumnId="1"/>
      <queryTableField id="2" name="Дата" tableColumnId="2"/>
      <queryTableField id="3" name="Время" tableColumnId="3"/>
      <queryTableField id="4" name="Событие" tableColumnId="4"/>
      <queryTableField id="5" name="Объект" tableColumnId="5"/>
      <queryTableField id="6" name="Груз" tableColumnId="6"/>
      <queryTableField id="7" name="Кол-во" tableColumnId="7"/>
      <queryTableField id="8" name="Примечание" tableColumnId="8"/>
      <queryTableField id="9" name="Name" tableColumnId="9"/>
      <queryTableField id="10" name="Folder Path" tableColumnId="10"/>
      <queryTableField id="11" name="RelativePath" tableColumnId="11"/>
      <queryTableField id="12" name="Подпись" tableColumnId="12"/>
      <queryTableField id="13" dataBound="0" tableColumnId="1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381536E4-D180-4D52-9CE9-7E154EB823EE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День нед" tableColumnId="1"/>
      <queryTableField id="2" name="Дата" tableColumnId="2"/>
      <queryTableField id="3" name="Время" tableColumnId="3"/>
      <queryTableField id="4" name="Событие" tableColumnId="4"/>
      <queryTableField id="5" name="Объект" tableColumnId="5"/>
      <queryTableField id="6" name="Груз" tableColumnId="6"/>
      <queryTableField id="7" name="Кол-во" tableColumnId="7"/>
      <queryTableField id="8" name="Примечание" tableColumnId="8"/>
      <queryTableField id="9" name="Name" tableColumnId="9"/>
      <queryTableField id="10" name="Folder Path" tableColumnId="10"/>
      <queryTableField id="11" name="RelativePath" tableColumnId="11"/>
      <queryTableField id="12" name="Подпись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68AF39-21AE-47BD-BA18-EADB2FC1D520}" name="склад2въезд" displayName="склад2въезд" ref="A1:N259" tableType="queryTable" totalsRowShown="0">
  <autoFilter ref="A1:N259" xr:uid="{B468AF39-21AE-47BD-BA18-EADB2FC1D520}"/>
  <tableColumns count="14">
    <tableColumn id="11" xr3:uid="{6F8E650D-029B-40AD-86B4-92C160128A4F}" uniqueName="11" name="День нед" queryTableFieldId="39" dataDxfId="1040"/>
    <tableColumn id="8" xr3:uid="{7C2AA400-8F21-45B7-B47D-9CF2CFB5DD00}" uniqueName="8" name="Дата" queryTableFieldId="19" dataDxfId="1039"/>
    <tableColumn id="9" xr3:uid="{7CB7ABF0-C98D-49E4-A494-985A43D5F40F}" uniqueName="9" name="Время" queryTableFieldId="20" dataDxfId="1038"/>
    <tableColumn id="5" xr3:uid="{613A944B-9245-4C6D-9CCE-5037AD552DED}" uniqueName="5" name="Событие" queryTableFieldId="27" dataDxfId="1037"/>
    <tableColumn id="7" xr3:uid="{FFEA85A5-3527-4483-91CE-57F760AB9F33}" uniqueName="7" name="Объект" queryTableFieldId="29" dataDxfId="1036"/>
    <tableColumn id="10" xr3:uid="{A2E2C27E-C1B2-4B74-A427-E1854B0E2C76}" uniqueName="10" name="Груз" queryTableFieldId="30" dataDxfId="1035"/>
    <tableColumn id="13" xr3:uid="{AB674DCD-0F60-4883-BFF7-A30E966D200F}" uniqueName="13" name="Кол-во" queryTableFieldId="31"/>
    <tableColumn id="14" xr3:uid="{D8488D76-D14B-449E-8E8F-1CB357011AC0}" uniqueName="14" name="Примечание" queryTableFieldId="32" dataDxfId="1034"/>
    <tableColumn id="4" xr3:uid="{B2B57637-8A7D-4C5F-A6F8-E38F3EA43620}" uniqueName="4" name="Name" queryTableFieldId="14" dataDxfId="1033"/>
    <tableColumn id="1" xr3:uid="{79275791-6385-434B-9F1B-8BDC003824A7}" uniqueName="1" name="Folder Path" queryTableFieldId="11" dataDxfId="1032"/>
    <tableColumn id="2" xr3:uid="{50583BB7-B8EA-4423-BEF7-17D576686CF7}" uniqueName="2" name="RelativePath" queryTableFieldId="2"/>
    <tableColumn id="12" xr3:uid="{60696081-272C-495A-8355-8B4F143E181C}" uniqueName="12" name="Подпись" queryTableFieldId="23"/>
    <tableColumn id="3" xr3:uid="{94D24BDB-3014-4110-BD38-842CF55F76A9}" uniqueName="3" name="Ссылка на фото" queryTableFieldId="3" dataDxfId="1031" dataCellStyle="Гиперссылка">
      <calculatedColumnFormula>HYPERLINK(склад2въезд[[#This Row],[RelativePath]])</calculatedColumnFormula>
    </tableColumn>
    <tableColumn id="6" xr3:uid="{C0B12114-AD04-4077-92E1-69698E6901AC}" uniqueName="6" name="Камера" queryTableFieldId="45" dataDxfId="1030">
      <calculatedColumnFormula>VLOOKUP(склад2въезд[[#This Row],[Name]], СпрСобытий!$F:$G, 2, FALSE)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78437E-DF25-42E3-A639-D251D2C25B36}" name="склад2въезд14" displayName="склад2въезд14" ref="A1:M281" tableType="queryTable" totalsRowShown="0">
  <autoFilter ref="A1:M281" xr:uid="{B468AF39-21AE-47BD-BA18-EADB2FC1D520}"/>
  <tableColumns count="13">
    <tableColumn id="11" xr3:uid="{6804E693-7D64-41A5-9B58-B7D348C4DC92}" uniqueName="11" name="День нед" queryTableFieldId="39" dataDxfId="138"/>
    <tableColumn id="8" xr3:uid="{40827FD9-94EC-4CF6-B212-59CF3E913897}" uniqueName="8" name="Дата" queryTableFieldId="19" dataDxfId="137"/>
    <tableColumn id="9" xr3:uid="{1F8E8ADE-5BFB-4171-9A0A-859E22042D3B}" uniqueName="9" name="Время" queryTableFieldId="20" dataDxfId="136"/>
    <tableColumn id="5" xr3:uid="{9D19F2E1-3C70-4F2F-8ED7-6D41C17A9366}" uniqueName="5" name="Событие" queryTableFieldId="27" dataDxfId="135"/>
    <tableColumn id="7" xr3:uid="{8C8CC69A-BA0A-4417-AE7D-B89E26F69F9B}" uniqueName="7" name="Объект" queryTableFieldId="29" dataDxfId="134"/>
    <tableColumn id="10" xr3:uid="{375C36FB-077D-4AA3-B6F7-74ACE46C2638}" uniqueName="10" name="Груз" queryTableFieldId="30" dataDxfId="133"/>
    <tableColumn id="13" xr3:uid="{81ED3F67-619B-4A16-8B4E-D625F79E4618}" uniqueName="13" name="Кол-во" queryTableFieldId="31"/>
    <tableColumn id="14" xr3:uid="{F0A631A4-7DA2-4318-BC1E-7D9C0FC7F958}" uniqueName="14" name="Примечание" queryTableFieldId="32" dataDxfId="132"/>
    <tableColumn id="4" xr3:uid="{4A5BB282-D54C-4C68-A1D9-B3A819F9FCF6}" uniqueName="4" name="Name" queryTableFieldId="14" dataDxfId="131"/>
    <tableColumn id="1" xr3:uid="{7BD19058-41FF-4EFE-8283-68501A5B1623}" uniqueName="1" name="Folder Path" queryTableFieldId="11" dataDxfId="130"/>
    <tableColumn id="2" xr3:uid="{C0D011CD-12CC-40C6-A4C2-5C5924BC0CE8}" uniqueName="2" name="RelativePath" queryTableFieldId="2"/>
    <tableColumn id="12" xr3:uid="{E1E19A69-F8B5-4906-87CB-F6F597CD0A04}" uniqueName="12" name="Подпись" queryTableFieldId="23"/>
    <tableColumn id="3" xr3:uid="{AD949686-AA02-4C8F-939B-B93E0B9CB447}" uniqueName="3" name="Ссылка на фото" queryTableFieldId="3" dataDxfId="129" dataCellStyle="Гиперссылка">
      <calculatedColumnFormula>HYPERLINK(склад2въезд14[[#This Row],[RelativePath]])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5D9200F-8646-4189-8FE2-2D74568CD34D}" name="склад2въезд18" displayName="склад2въезд18" ref="A1:M163" tableType="queryTable" totalsRowShown="0">
  <autoFilter ref="A1:M163" xr:uid="{B468AF39-21AE-47BD-BA18-EADB2FC1D520}"/>
  <tableColumns count="13">
    <tableColumn id="11" xr3:uid="{8C7989A8-AE95-4BFB-859E-9F3F94DCD873}" uniqueName="11" name="День нед" queryTableFieldId="39" dataDxfId="1029"/>
    <tableColumn id="8" xr3:uid="{B651DAE5-1AB7-4761-9820-CB58DA0D9C46}" uniqueName="8" name="Дата" queryTableFieldId="19" dataDxfId="1028"/>
    <tableColumn id="9" xr3:uid="{22B6AE73-6E8B-4F81-B85C-3D141AD4D773}" uniqueName="9" name="Время" queryTableFieldId="20" dataDxfId="1027"/>
    <tableColumn id="5" xr3:uid="{CB5AF0FF-A861-4F29-BFD9-751A47066C68}" uniqueName="5" name="Событие" queryTableFieldId="27" dataDxfId="1026"/>
    <tableColumn id="7" xr3:uid="{63916370-0910-4B95-ABB4-D88865AA9E43}" uniqueName="7" name="Объект" queryTableFieldId="29" dataDxfId="1025"/>
    <tableColumn id="10" xr3:uid="{DDC7656E-7390-4778-A2CE-EEC7AC518263}" uniqueName="10" name="Груз" queryTableFieldId="30" dataDxfId="1024"/>
    <tableColumn id="13" xr3:uid="{4463FFB4-0652-440D-8482-87D1855937EE}" uniqueName="13" name="Кол-во" queryTableFieldId="31"/>
    <tableColumn id="14" xr3:uid="{09BCE72F-589D-4690-9E88-0D2CF7AE17B1}" uniqueName="14" name="Примечание" queryTableFieldId="32" dataDxfId="1023"/>
    <tableColumn id="4" xr3:uid="{96665EED-E1B8-437C-869A-35CB5BA419D3}" uniqueName="4" name="Name" queryTableFieldId="14" dataDxfId="1022"/>
    <tableColumn id="1" xr3:uid="{1F225BD8-B59D-4058-9D99-17124C1F38FB}" uniqueName="1" name="Folder Path" queryTableFieldId="11" dataDxfId="1021"/>
    <tableColumn id="2" xr3:uid="{8B9441C5-A40B-49FF-A353-74DA85DFBAFB}" uniqueName="2" name="RelativePath" queryTableFieldId="2"/>
    <tableColumn id="12" xr3:uid="{9561A71C-FB8E-4FBD-A9C5-ABEFF75149BD}" uniqueName="12" name="Подпись" queryTableFieldId="23"/>
    <tableColumn id="3" xr3:uid="{24213E06-E9FE-4EB9-8129-7D188870CDFE}" uniqueName="3" name="Ссылка на фото" queryTableFieldId="3" dataDxfId="1020" dataCellStyle="Гиперссылка">
      <calculatedColumnFormula>HYPERLINK(склад2въезд18[[#This Row],[RelativePath]])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03833C3-A4ED-4039-95A7-46694D1CE00F}" name="СпрСклад2въезд" displayName="СпрСклад2въезд" ref="A1:G4121" totalsRowShown="0">
  <autoFilter ref="A1:G4121" xr:uid="{803833C3-A4ED-4039-95A7-46694D1CE00F}">
    <filterColumn colId="6">
      <filters>
        <filter val="Парковка офиса"/>
      </filters>
    </filterColumn>
  </autoFilter>
  <tableColumns count="7">
    <tableColumn id="2" xr3:uid="{8587D406-750A-438B-BB0E-C88724DDFFE1}" name="Событие"/>
    <tableColumn id="6" xr3:uid="{4E30FC4B-01D2-4C14-A759-803F0D63D379}" name="Объект"/>
    <tableColumn id="5" xr3:uid="{4F9CF1A6-1913-46DB-B3B1-A9653D06B049}" name="Груз"/>
    <tableColumn id="3" xr3:uid="{7DBC9D61-FD8A-43A0-B549-D3142D4BEE5B}" name="Кол-во"/>
    <tableColumn id="7" xr3:uid="{E800D44A-3115-4CA1-A57D-D86F55A0E8BC}" name="Примечание"/>
    <tableColumn id="1" xr3:uid="{31141AA7-A012-496F-850F-2E334334DBAA}" name="Name"/>
    <tableColumn id="4" xr3:uid="{9485AE07-9B59-4BA3-8F01-BF4B501AD6A1}" name="Наименование точки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23115F-AE52-45B7-A551-6473482FD415}" name="склад2въезд13" displayName="склад2въезд13" ref="A1:M262" tableType="queryTable" totalsRowShown="0">
  <tableColumns count="13">
    <tableColumn id="11" xr3:uid="{F25D1388-C4DF-49FB-9BF5-0132CEDCCAEA}" uniqueName="11" name="День нед" queryTableFieldId="39" dataDxfId="1019"/>
    <tableColumn id="8" xr3:uid="{9EDCCA26-9FD6-4F66-9134-186F89CA663B}" uniqueName="8" name="Дата" queryTableFieldId="19" dataDxfId="1018"/>
    <tableColumn id="9" xr3:uid="{FB005DB9-8D3C-48A5-94F1-246606C665DD}" uniqueName="9" name="Время" queryTableFieldId="20" dataDxfId="1017"/>
    <tableColumn id="5" xr3:uid="{6D19407C-64CF-4FC5-95E7-163AA12EB226}" uniqueName="5" name="Событие" queryTableFieldId="27" dataDxfId="1016"/>
    <tableColumn id="7" xr3:uid="{007BF834-0BCB-4416-8941-11DA4EDFCE5B}" uniqueName="7" name="Объект" queryTableFieldId="29" dataDxfId="1015"/>
    <tableColumn id="10" xr3:uid="{E896F002-4451-441D-B0CB-52AD69A6E5C3}" uniqueName="10" name="Груз" queryTableFieldId="30" dataDxfId="1014"/>
    <tableColumn id="13" xr3:uid="{71ED881F-DB96-49B4-8EB6-0965DF3B4E1D}" uniqueName="13" name="Кол-во" queryTableFieldId="31"/>
    <tableColumn id="14" xr3:uid="{7F71EF15-8B53-4729-8B8E-03910AA280C0}" uniqueName="14" name="Примечание" queryTableFieldId="32" dataDxfId="1013"/>
    <tableColumn id="4" xr3:uid="{9F6560FA-27F8-4BE9-BA58-3B0E40F582E5}" uniqueName="4" name="Name" queryTableFieldId="14" dataDxfId="1012"/>
    <tableColumn id="1" xr3:uid="{44892CD0-9118-4535-9434-E49462140346}" uniqueName="1" name="Folder Path" queryTableFieldId="11" dataDxfId="1011"/>
    <tableColumn id="2" xr3:uid="{0589704F-1F91-45A9-B461-C51F9508D545}" uniqueName="2" name="RelativePath" queryTableFieldId="2"/>
    <tableColumn id="12" xr3:uid="{E0E86CA4-5140-481F-BA8B-27853BD1F848}" uniqueName="12" name="Подпись" queryTableFieldId="23"/>
    <tableColumn id="3" xr3:uid="{CA2D6CF4-A791-44F5-A7E6-D7D4C1263363}" uniqueName="3" name="Ссылка на фото" queryTableFieldId="3" dataDxfId="1010" dataCellStyle="Гиперссылка">
      <calculatedColumnFormula>HYPERLINK(склад2въезд13[[#This Row],[RelativePath]])</calculatedColumnFormula>
    </tableColumn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CEBC4B-C1F7-440A-89E1-D2C387C57505}" name="склад2въезд1319" displayName="склад2въезд1319" ref="A1:M360" tableType="queryTable" totalsRowShown="0">
  <tableColumns count="13">
    <tableColumn id="11" xr3:uid="{390CB009-E9E0-4C0F-93C3-AF6B408B816B}" uniqueName="11" name="День нед" queryTableFieldId="39" dataDxfId="1009"/>
    <tableColumn id="8" xr3:uid="{E0A1C296-A368-479C-9A74-85306B3C03D4}" uniqueName="8" name="Дата" queryTableFieldId="19" dataDxfId="1008"/>
    <tableColumn id="9" xr3:uid="{86401298-83EB-49D3-ACBA-E743586F5CCB}" uniqueName="9" name="Время" queryTableFieldId="20" dataDxfId="1007"/>
    <tableColumn id="5" xr3:uid="{FFB4F03A-A400-4544-A729-2375A1F7D5E8}" uniqueName="5" name="Событие" queryTableFieldId="27" dataDxfId="1006"/>
    <tableColumn id="7" xr3:uid="{D96DCF3C-D325-4D0C-94A1-DBE97CC5C9DC}" uniqueName="7" name="Объект" queryTableFieldId="29" dataDxfId="1005"/>
    <tableColumn id="10" xr3:uid="{76D99262-42F5-447E-95AC-9C2A84BF344C}" uniqueName="10" name="Груз" queryTableFieldId="30" dataDxfId="1004"/>
    <tableColumn id="13" xr3:uid="{9E0DFA30-4E38-4C7F-A920-948C68AB5961}" uniqueName="13" name="Кол-во" queryTableFieldId="31"/>
    <tableColumn id="14" xr3:uid="{8D017526-0906-42CD-84C7-6F5633D731AA}" uniqueName="14" name="Примечание" queryTableFieldId="32" dataDxfId="1003"/>
    <tableColumn id="4" xr3:uid="{D16AEB37-7A8A-406F-8ED7-B8D53BAA9BD9}" uniqueName="4" name="Name" queryTableFieldId="14" dataDxfId="1002"/>
    <tableColumn id="1" xr3:uid="{1746BE5F-089A-476F-AE8D-5F2B27E9AEEA}" uniqueName="1" name="Folder Path" queryTableFieldId="11" dataDxfId="1001"/>
    <tableColumn id="2" xr3:uid="{371602A2-FCBB-4D63-8C56-F0ABDDA2EB01}" uniqueName="2" name="RelativePath" queryTableFieldId="2"/>
    <tableColumn id="12" xr3:uid="{CEAC1587-D10C-4CD2-B948-898418535E4B}" uniqueName="12" name="Подпись" queryTableFieldId="23"/>
    <tableColumn id="3" xr3:uid="{94A18438-2800-42C3-B705-35A251A4E9DB}" uniqueName="3" name="Ссылка на фото" queryTableFieldId="3" dataDxfId="1000" dataCellStyle="Гиперссылка">
      <calculatedColumnFormula>HYPERLINK(склад2въезд1319[[#This Row],[RelativePath]])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8F4ACDB-DB88-4A9C-BA31-8E383171EE0D}" name="склад2въезд131920" displayName="склад2въезд131920" ref="A1:M204" tableType="queryTable" totalsRowShown="0">
  <tableColumns count="13">
    <tableColumn id="11" xr3:uid="{45D23538-AB74-404E-8577-E2B7A36436AF}" uniqueName="11" name="День нед" queryTableFieldId="39" dataDxfId="999"/>
    <tableColumn id="8" xr3:uid="{40B01B94-168F-4547-A2BC-AA7F91350AB3}" uniqueName="8" name="Дата" queryTableFieldId="19" dataDxfId="998"/>
    <tableColumn id="9" xr3:uid="{A2C94EFB-3081-4BA9-85C2-DFF0455AFA43}" uniqueName="9" name="Время" queryTableFieldId="20" dataDxfId="997"/>
    <tableColumn id="5" xr3:uid="{244D3D34-C9EC-4B9C-BE81-12A0C0BB4342}" uniqueName="5" name="Событие" queryTableFieldId="27" dataDxfId="996"/>
    <tableColumn id="7" xr3:uid="{C449A112-E8A8-4956-B85C-2BA12316F170}" uniqueName="7" name="Объект" queryTableFieldId="29" dataDxfId="995"/>
    <tableColumn id="10" xr3:uid="{C8411557-C312-4542-93DA-DF5949399E11}" uniqueName="10" name="Груз" queryTableFieldId="30" dataDxfId="994"/>
    <tableColumn id="13" xr3:uid="{728CDA5C-7E8A-4466-AA7E-283B880FBCFF}" uniqueName="13" name="Кол-во" queryTableFieldId="31"/>
    <tableColumn id="14" xr3:uid="{44F4DC42-7B60-4953-840A-E24DB944EB12}" uniqueName="14" name="Примечание" queryTableFieldId="32" dataDxfId="993"/>
    <tableColumn id="4" xr3:uid="{6A396D44-0898-4737-A4C1-8D6D40981793}" uniqueName="4" name="Name" queryTableFieldId="14" dataDxfId="992"/>
    <tableColumn id="1" xr3:uid="{328F21C9-48B9-4081-9B8C-BBD168BD38D1}" uniqueName="1" name="Folder Path" queryTableFieldId="11" dataDxfId="991"/>
    <tableColumn id="2" xr3:uid="{3705F086-3D5A-401E-8F67-966277F18B1E}" uniqueName="2" name="RelativePath" queryTableFieldId="2"/>
    <tableColumn id="12" xr3:uid="{CDB905A2-F005-4E58-9652-9A2090A0817F}" uniqueName="12" name="Подпись" queryTableFieldId="23"/>
    <tableColumn id="3" xr3:uid="{70835F14-5E8D-4CDE-9048-BDFE727D7AC5}" uniqueName="3" name="Ссылка на фото" queryTableFieldId="3" dataDxfId="990" dataCellStyle="Гиперссылка">
      <calculatedColumnFormula>HYPERLINK(склад2въезд131920[[#This Row],[RelativePath]])</calculatedColumnFormula>
    </tableColumn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E213CBC-E0EB-4ADF-8EF9-0CF8C6E2E044}" name="склад2въезд13192021" displayName="склад2въезд13192021" ref="A1:M328" tableType="queryTable" totalsRowShown="0">
  <tableColumns count="13">
    <tableColumn id="11" xr3:uid="{2311EAC9-4673-4BE2-ADB0-E8CEB0BD9945}" uniqueName="11" name="День нед" queryTableFieldId="39" dataDxfId="128"/>
    <tableColumn id="8" xr3:uid="{F1C9804A-F8E7-4755-B717-859265C587A2}" uniqueName="8" name="Дата" queryTableFieldId="19" dataDxfId="127"/>
    <tableColumn id="9" xr3:uid="{1C2BA522-8D4F-4713-849C-1F60357B476E}" uniqueName="9" name="Время" queryTableFieldId="20" dataDxfId="126"/>
    <tableColumn id="5" xr3:uid="{6E084A00-DC62-4E93-8ABC-4651FD4D2408}" uniqueName="5" name="Событие" queryTableFieldId="27" dataDxfId="125"/>
    <tableColumn id="7" xr3:uid="{C9F6EF14-DBE7-4655-9D20-5B253923C11E}" uniqueName="7" name="Объект" queryTableFieldId="29" dataDxfId="124"/>
    <tableColumn id="10" xr3:uid="{0ADEC0F9-9FE9-4E92-BD38-0B8CDDE1BDBD}" uniqueName="10" name="Груз" queryTableFieldId="30" dataDxfId="123"/>
    <tableColumn id="13" xr3:uid="{364531C4-5E2D-40F1-92E4-426F02069FF4}" uniqueName="13" name="Кол-во" queryTableFieldId="31"/>
    <tableColumn id="14" xr3:uid="{BA19AB3B-8FBB-4409-ADBC-B2604B0F169D}" uniqueName="14" name="Примечание" queryTableFieldId="32" dataDxfId="122"/>
    <tableColumn id="4" xr3:uid="{FE606B6B-0A78-44A2-B44F-54FBA553BAD6}" uniqueName="4" name="Name" queryTableFieldId="14" dataDxfId="121"/>
    <tableColumn id="1" xr3:uid="{34274AB2-665A-4EF1-8C79-4944C9C122A7}" uniqueName="1" name="Folder Path" queryTableFieldId="11" dataDxfId="120"/>
    <tableColumn id="2" xr3:uid="{BBF6B4F2-75F4-45AA-8E2F-273BC1796C35}" uniqueName="2" name="RelativePath" queryTableFieldId="2"/>
    <tableColumn id="12" xr3:uid="{477C980D-135F-4FE5-9991-5C385F9261DC}" uniqueName="12" name="Подпись" queryTableFieldId="23"/>
    <tableColumn id="3" xr3:uid="{3137ECA1-193C-433B-B573-56E36643DA35}" uniqueName="3" name="Ссылка на фото" queryTableFieldId="3" dataDxfId="119" dataCellStyle="Гиперссылка">
      <calculatedColumnFormula>HYPERLINK(склад2въезд13192021[[#This Row],[RelativePath]])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01666C7-2ADC-41E5-9698-D1FCAF1C95C5}" name="склад2въезд1319202122" displayName="склад2въезд1319202122" ref="A1:M299" tableType="queryTable" totalsRowShown="0">
  <tableColumns count="13">
    <tableColumn id="11" xr3:uid="{72CE202A-C56C-4D63-9F9F-0DFF72BB5190}" uniqueName="11" name="День нед" queryTableFieldId="39" dataDxfId="118"/>
    <tableColumn id="8" xr3:uid="{0D9F5C4C-70B0-46E2-9E29-649E206B6616}" uniqueName="8" name="Дата" queryTableFieldId="19" dataDxfId="117"/>
    <tableColumn id="9" xr3:uid="{7C8561D4-BD7D-493F-BC95-213F2D55F3FD}" uniqueName="9" name="Время" queryTableFieldId="20" dataDxfId="116"/>
    <tableColumn id="5" xr3:uid="{E48795B2-2732-4E4A-81E8-B1585581420B}" uniqueName="5" name="Событие" queryTableFieldId="27" dataDxfId="115"/>
    <tableColumn id="7" xr3:uid="{F684EE24-0636-4EC2-AB94-A65EA5355534}" uniqueName="7" name="Объект" queryTableFieldId="29" dataDxfId="114"/>
    <tableColumn id="10" xr3:uid="{0C1B5273-277F-4438-B52D-9F868AD13DEE}" uniqueName="10" name="Груз" queryTableFieldId="30" dataDxfId="113"/>
    <tableColumn id="13" xr3:uid="{11C2785F-3A2F-40C1-A811-32F611DCB4C1}" uniqueName="13" name="Кол-во" queryTableFieldId="31"/>
    <tableColumn id="14" xr3:uid="{87191137-0169-4119-A8F8-91543021FBD6}" uniqueName="14" name="Примечание" queryTableFieldId="32" dataDxfId="112"/>
    <tableColumn id="4" xr3:uid="{729433F6-F4FD-435B-851D-D34CC9060068}" uniqueName="4" name="Name" queryTableFieldId="14" dataDxfId="111"/>
    <tableColumn id="1" xr3:uid="{7A9B9B80-B872-4A82-9D9D-98A75E20F89B}" uniqueName="1" name="Folder Path" queryTableFieldId="11" dataDxfId="110"/>
    <tableColumn id="2" xr3:uid="{E88A71B9-AF3F-4A8B-A11B-CB806CF47852}" uniqueName="2" name="RelativePath" queryTableFieldId="2"/>
    <tableColumn id="12" xr3:uid="{3E85E07A-B6DD-435B-AD36-2A267B0A4EED}" uniqueName="12" name="Подпись" queryTableFieldId="23"/>
    <tableColumn id="3" xr3:uid="{F5DBCAE6-89E4-4C52-A4A0-21D736CC62F3}" uniqueName="3" name="Ссылка на фото" queryTableFieldId="3" dataDxfId="109" dataCellStyle="Гиперссылка">
      <calculatedColumnFormula>HYPERLINK(склад2въезд1319202122[[#This Row],[RelativePath]])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903BDD-2226-43CD-B4F2-91F8CB0922B3}" name="склад2въезд13192021222" displayName="склад2въезд13192021222" ref="A1:M615" tableType="queryTable" totalsRowShown="0">
  <tableColumns count="13">
    <tableColumn id="11" xr3:uid="{2CE691F0-1D02-41BD-8E81-7716875609CD}" uniqueName="11" name="День нед" queryTableFieldId="39" dataDxfId="108"/>
    <tableColumn id="8" xr3:uid="{1A2A3B97-F602-468E-8AD3-5DD492638A71}" uniqueName="8" name="Дата" queryTableFieldId="19" dataDxfId="107"/>
    <tableColumn id="9" xr3:uid="{E8725BDD-FF6C-47C3-9100-825160B93721}" uniqueName="9" name="Время" queryTableFieldId="20" dataDxfId="106"/>
    <tableColumn id="5" xr3:uid="{F68EB906-7F6F-4765-A5C8-9B40064179BE}" uniqueName="5" name="Событие" queryTableFieldId="27" dataDxfId="105"/>
    <tableColumn id="7" xr3:uid="{812FE0F9-0D7E-497C-893A-B104BA069155}" uniqueName="7" name="Объект" queryTableFieldId="29" dataDxfId="104"/>
    <tableColumn id="10" xr3:uid="{1679E688-A047-4936-9EBC-9BDCFEA4CD95}" uniqueName="10" name="Груз" queryTableFieldId="30" dataDxfId="103"/>
    <tableColumn id="13" xr3:uid="{0D808D7A-A301-4F46-9B16-B3B1BA2A38CB}" uniqueName="13" name="Кол-во" queryTableFieldId="31"/>
    <tableColumn id="14" xr3:uid="{B9C5A903-FDAD-4765-A8A6-FDCF4E43A5DB}" uniqueName="14" name="Примечание" queryTableFieldId="32" dataDxfId="102"/>
    <tableColumn id="4" xr3:uid="{F9F7F55E-2CCF-4A6B-892F-1C76C0668832}" uniqueName="4" name="Name" queryTableFieldId="14" dataDxfId="101"/>
    <tableColumn id="1" xr3:uid="{0AF9B05B-8D0E-4B8A-81D0-358A18429CE8}" uniqueName="1" name="Folder Path" queryTableFieldId="11" dataDxfId="100"/>
    <tableColumn id="2" xr3:uid="{3CBD6510-6BBF-44B3-92AF-7F24779AC0A7}" uniqueName="2" name="RelativePath" queryTableFieldId="2"/>
    <tableColumn id="12" xr3:uid="{F63A70E4-09D6-4151-A422-1D10EE1CA254}" uniqueName="12" name="Подпись" queryTableFieldId="23"/>
    <tableColumn id="3" xr3:uid="{27273983-B6FF-40BF-94E3-6F75AD1E3097}" uniqueName="3" name="Ссылка на фото" queryTableFieldId="3" dataDxfId="99" dataCellStyle="Гиперссылка">
      <calculatedColumnFormula>HYPERLINK(склад2въезд13192021222[[#This Row],[RelativePath]])</calculatedColumnFormula>
    </tableColumn>
  </tableColumns>
  <tableStyleInfo name="TableStyleLight1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ABA9EC-2604-4E01-8D83-50A76DC6BE2E}" name="склад2въезд131920212223" displayName="склад2въезд131920212223" ref="A1:M633" tableType="queryTable" totalsRowShown="0">
  <tableColumns count="13">
    <tableColumn id="11" xr3:uid="{96A6BDDB-7ED5-4607-80F3-3FD842EAEE0A}" uniqueName="11" name="День нед" queryTableFieldId="39" dataDxfId="98"/>
    <tableColumn id="8" xr3:uid="{FBEC9ECA-BD5C-442E-BB86-7CCAEF9464D2}" uniqueName="8" name="Дата" queryTableFieldId="19" dataDxfId="97"/>
    <tableColumn id="9" xr3:uid="{68242AF7-BC60-4380-843B-35A6CC4A66E6}" uniqueName="9" name="Время" queryTableFieldId="20" dataDxfId="96"/>
    <tableColumn id="5" xr3:uid="{C98BCFD6-9DE9-4A28-B769-F5737933429D}" uniqueName="5" name="Событие" queryTableFieldId="27" dataDxfId="95"/>
    <tableColumn id="7" xr3:uid="{4D44F8D4-93A4-4851-894E-AC8CDD93BD71}" uniqueName="7" name="Объект" queryTableFieldId="29" dataDxfId="94"/>
    <tableColumn id="10" xr3:uid="{0A838B00-A88A-40EE-A542-7E8E08968D89}" uniqueName="10" name="Груз" queryTableFieldId="30" dataDxfId="93"/>
    <tableColumn id="13" xr3:uid="{9FBAF186-646A-4BE0-A16E-D38F0B863C8B}" uniqueName="13" name="Кол-во" queryTableFieldId="31"/>
    <tableColumn id="14" xr3:uid="{7A7D71D5-8981-4AAD-BAE4-398304605172}" uniqueName="14" name="Примечание" queryTableFieldId="32" dataDxfId="92"/>
    <tableColumn id="4" xr3:uid="{4FA2E248-D5A3-4824-875F-C328FA9AC2F9}" uniqueName="4" name="Name" queryTableFieldId="14" dataDxfId="91"/>
    <tableColumn id="1" xr3:uid="{B01A6B83-82C4-4172-AD5B-D2AF410DBE1B}" uniqueName="1" name="Folder Path" queryTableFieldId="11" dataDxfId="90"/>
    <tableColumn id="2" xr3:uid="{36F23A81-C182-4B96-AD4F-045C3BB1AE52}" uniqueName="2" name="RelativePath" queryTableFieldId="2"/>
    <tableColumn id="12" xr3:uid="{935DD45A-7AC9-4D7E-9CCF-23E198588F2C}" uniqueName="12" name="Подпись" queryTableFieldId="23"/>
    <tableColumn id="3" xr3:uid="{A9966869-4716-4ABD-B14F-CFFD1BF3FF87}" uniqueName="3" name="Ссылка на фото" queryTableFieldId="3" dataDxfId="89" dataCellStyle="Гиперссылка">
      <calculatedColumnFormula>HYPERLINK(склад2въезд131920212223[[#This Row],[RelativePath]])</calculatedColumnFormula>
    </tableColumn>
  </tableColumns>
  <tableStyleInfo name="TableStyleLight1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F16578D-E04F-40F0-B158-4859132E2925}" name="склад2въезд1319202122237" displayName="склад2въезд1319202122237" ref="A1:M314" tableType="queryTable" totalsRowShown="0">
  <tableColumns count="13">
    <tableColumn id="11" xr3:uid="{2AD64508-44AB-4871-8C82-4C5A1E5A5DD2}" uniqueName="11" name="День нед" queryTableFieldId="39" dataDxfId="88"/>
    <tableColumn id="8" xr3:uid="{C788117B-4896-492B-97B3-B2502F0537D8}" uniqueName="8" name="Дата" queryTableFieldId="19" dataDxfId="87"/>
    <tableColumn id="9" xr3:uid="{E3EF5757-6705-492A-BD76-A47D414757C0}" uniqueName="9" name="Время" queryTableFieldId="20" dataDxfId="86"/>
    <tableColumn id="5" xr3:uid="{EF049B28-F832-4F3D-AB4F-3C396920BF5B}" uniqueName="5" name="Событие" queryTableFieldId="27" dataDxfId="85"/>
    <tableColumn id="7" xr3:uid="{DDB63E42-2809-4377-A568-A326109989E9}" uniqueName="7" name="Объект" queryTableFieldId="29" dataDxfId="84"/>
    <tableColumn id="10" xr3:uid="{A4FCF3D3-582A-4DEF-8FB8-9D050C82517D}" uniqueName="10" name="Груз" queryTableFieldId="30" dataDxfId="83"/>
    <tableColumn id="13" xr3:uid="{7FFA3FD7-FA79-41AD-B08D-DFF0328826F1}" uniqueName="13" name="Кол-во" queryTableFieldId="31"/>
    <tableColumn id="14" xr3:uid="{6CD2FBA5-04E8-46EA-9F48-5BC770178C2A}" uniqueName="14" name="Примечание" queryTableFieldId="32" dataDxfId="82"/>
    <tableColumn id="4" xr3:uid="{DA63B8EC-3587-40B4-A86A-92B91C78723D}" uniqueName="4" name="Name" queryTableFieldId="14" dataDxfId="81"/>
    <tableColumn id="1" xr3:uid="{360C7476-DEC6-4377-8E95-D472C6673B12}" uniqueName="1" name="Folder Path" queryTableFieldId="11" dataDxfId="80"/>
    <tableColumn id="2" xr3:uid="{C7F5155C-DC23-49BC-B05A-561AE34FCE17}" uniqueName="2" name="RelativePath" queryTableFieldId="2"/>
    <tableColumn id="12" xr3:uid="{E0B1EDAF-9E63-47B2-81B5-F7F92F58367F}" uniqueName="12" name="Подпись" queryTableFieldId="23"/>
    <tableColumn id="3" xr3:uid="{FD9D18DE-9242-4455-BED4-1081811B6FC0}" uniqueName="3" name="Ссылка на фото" queryTableFieldId="3" dataDxfId="79" dataCellStyle="Гиперссылка">
      <calculatedColumnFormula>HYPERLINK(склад2въезд1319202122237[[#This Row],[RelativePath]])</calculatedColumnFormula>
    </tableColumn>
  </tableColumns>
  <tableStyleInfo name="TableStyleLight1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892581-70D3-4878-8547-D5446AA754A9}" name="склад2въезд13192021222378" displayName="склад2въезд13192021222378" ref="A1:M248" tableType="queryTable" totalsRowShown="0">
  <tableColumns count="13">
    <tableColumn id="11" xr3:uid="{C40005DE-8CA6-428A-9DF2-E715CC943F02}" uniqueName="11" name="День нед" queryTableFieldId="39" dataDxfId="78"/>
    <tableColumn id="8" xr3:uid="{55C75F47-F14F-483C-9C7A-95288D9463D6}" uniqueName="8" name="Дата" queryTableFieldId="19" dataDxfId="77"/>
    <tableColumn id="9" xr3:uid="{79D3981C-638A-4D64-BACB-D64D85DAC855}" uniqueName="9" name="Время" queryTableFieldId="20" dataDxfId="76"/>
    <tableColumn id="5" xr3:uid="{B0B848B5-29B2-4292-89A5-7DE5A2F72D15}" uniqueName="5" name="Событие" queryTableFieldId="27" dataDxfId="75"/>
    <tableColumn id="7" xr3:uid="{A9E0C8AC-2336-4969-BC3E-110E6C33529C}" uniqueName="7" name="Объект" queryTableFieldId="29" dataDxfId="74"/>
    <tableColumn id="10" xr3:uid="{F8691CA5-2689-452F-9550-C52E06B35BD6}" uniqueName="10" name="Груз" queryTableFieldId="30" dataDxfId="73"/>
    <tableColumn id="13" xr3:uid="{B76CA90C-80A6-4113-9508-639148A532FE}" uniqueName="13" name="Кол-во" queryTableFieldId="31"/>
    <tableColumn id="14" xr3:uid="{61246AFF-D24F-4835-8905-11E7E4B6703E}" uniqueName="14" name="Примечание" queryTableFieldId="32" dataDxfId="72"/>
    <tableColumn id="4" xr3:uid="{E9716AC2-8439-4E67-8698-BA6CD84F7B9C}" uniqueName="4" name="Name" queryTableFieldId="14" dataDxfId="71"/>
    <tableColumn id="1" xr3:uid="{9AB30DEC-91E3-4633-A156-B937B586CECB}" uniqueName="1" name="Folder Path" queryTableFieldId="11" dataDxfId="70"/>
    <tableColumn id="2" xr3:uid="{AB07D8A2-605D-4F30-9BBC-543473817AD5}" uniqueName="2" name="RelativePath" queryTableFieldId="2"/>
    <tableColumn id="12" xr3:uid="{E3EB9334-2561-4913-99D1-4568DB0E4771}" uniqueName="12" name="Подпись" queryTableFieldId="23"/>
    <tableColumn id="3" xr3:uid="{5A1CB639-3CAB-4304-B2F4-3C39383AA3D9}" uniqueName="3" name="Ссылка на фото" queryTableFieldId="3" dataDxfId="69" dataCellStyle="Гиперссылка">
      <calculatedColumnFormula>HYPERLINK(склад2въезд13192021222378[[#This Row],[RelativePath]])</calculatedColumnFormula>
    </tableColumn>
  </tableColumns>
  <tableStyleInfo name="TableStyleLight1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56B6E0-CB90-4912-9508-CAD4D9CE8021}" name="склад2въезд131920212223789" displayName="склад2въезд131920212223789" ref="A1:M209" tableType="queryTable" totalsRowShown="0">
  <tableColumns count="13">
    <tableColumn id="11" xr3:uid="{B21CFC33-55C8-4073-BBD2-E0A5154A10D6}" uniqueName="11" name="День нед" queryTableFieldId="39" dataDxfId="46"/>
    <tableColumn id="8" xr3:uid="{004370C0-0D3C-4162-A392-32C741C3A58B}" uniqueName="8" name="Дата" queryTableFieldId="19" dataDxfId="45"/>
    <tableColumn id="9" xr3:uid="{6537DA5E-247D-44FB-ACE3-933B3C9B9408}" uniqueName="9" name="Время" queryTableFieldId="20" dataDxfId="44"/>
    <tableColumn id="5" xr3:uid="{4FA9309D-407E-48C1-B1F9-C33DEA7645B1}" uniqueName="5" name="Событие" queryTableFieldId="27" dataDxfId="43"/>
    <tableColumn id="7" xr3:uid="{76E54E9E-D730-4C99-9BF5-96E9384FF63C}" uniqueName="7" name="Объект" queryTableFieldId="29" dataDxfId="42"/>
    <tableColumn id="10" xr3:uid="{B9F78DE2-7938-486B-9BE2-F824D0E7A6C4}" uniqueName="10" name="Груз" queryTableFieldId="30" dataDxfId="41"/>
    <tableColumn id="13" xr3:uid="{7EA685FC-1E5C-44AB-9351-A2A1406114E7}" uniqueName="13" name="Кол-во" queryTableFieldId="31"/>
    <tableColumn id="14" xr3:uid="{D9B5BB24-F3A6-47FF-982A-CC5A0BAA1B06}" uniqueName="14" name="Примечание" queryTableFieldId="32" dataDxfId="40"/>
    <tableColumn id="4" xr3:uid="{921D28C1-5761-48A7-B447-6A4446F87545}" uniqueName="4" name="Name" queryTableFieldId="14" dataDxfId="39"/>
    <tableColumn id="1" xr3:uid="{F1A648C1-8DB5-4DEF-B011-BD85E17FCAA3}" uniqueName="1" name="Folder Path" queryTableFieldId="11" dataDxfId="38"/>
    <tableColumn id="2" xr3:uid="{92722281-25C2-4975-9C90-A4C6DB4E30AC}" uniqueName="2" name="RelativePath" queryTableFieldId="2"/>
    <tableColumn id="12" xr3:uid="{08774137-9F9D-4151-B213-FB3021CC5846}" uniqueName="12" name="Подпись" queryTableFieldId="23"/>
    <tableColumn id="3" xr3:uid="{8AE043D7-B40C-4B97-9613-F77A0D59F3BE}" uniqueName="3" name="Ссылка на фото" queryTableFieldId="3" dataDxfId="37" dataCellStyle="Гиперссылка">
      <calculatedColumnFormula>HYPERLINK(склад2въезд131920212223789[[#This Row],[RelativePath]])</calculatedColumnFormula>
    </tableColumn>
  </tableColumns>
  <tableStyleInfo name="TableStyleLight1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321E6D3-C155-4B7D-8944-21E4899808CA}" name="склад2въезд131920212223789106" displayName="склад2въезд131920212223789106" ref="A1:M37" tableType="queryTable" totalsRowShown="0">
  <tableColumns count="13">
    <tableColumn id="11" xr3:uid="{326CF8DE-8E4F-4540-A010-20CF489342A6}" uniqueName="11" name="День нед" queryTableFieldId="39" dataDxfId="68"/>
    <tableColumn id="8" xr3:uid="{B803C26B-EDF7-4F4B-99B7-759FDE206BB4}" uniqueName="8" name="Дата" queryTableFieldId="19" dataDxfId="67"/>
    <tableColumn id="9" xr3:uid="{691C5FBB-50CD-4B8E-845B-069A5BEF4054}" uniqueName="9" name="Время" queryTableFieldId="20" dataDxfId="66"/>
    <tableColumn id="5" xr3:uid="{963AEB35-E363-4027-9FA3-EA15F072700D}" uniqueName="5" name="Событие" queryTableFieldId="27" dataDxfId="65"/>
    <tableColumn id="7" xr3:uid="{9C2F1BAF-3932-43E9-9155-EA713BB0011D}" uniqueName="7" name="Объект" queryTableFieldId="29" dataDxfId="64"/>
    <tableColumn id="10" xr3:uid="{5D4CEE63-A195-4AD7-9985-38CAADCF8E9D}" uniqueName="10" name="Груз" queryTableFieldId="30" dataDxfId="63"/>
    <tableColumn id="13" xr3:uid="{7298E84C-ACAB-4631-8905-CF20AC72E0EA}" uniqueName="13" name="Кол-во" queryTableFieldId="31" dataDxfId="62"/>
    <tableColumn id="14" xr3:uid="{7C8EF3A5-15A6-4571-8EB7-C981C6BEB025}" uniqueName="14" name="Примечание" queryTableFieldId="32" dataDxfId="61"/>
    <tableColumn id="4" xr3:uid="{D4638119-06B9-4DD4-899F-6281EFBF2A28}" uniqueName="4" name="Name" queryTableFieldId="14" dataDxfId="60"/>
    <tableColumn id="1" xr3:uid="{53F21A0B-EBC8-48C0-B8DE-B46C5D45C7AE}" uniqueName="1" name="Folder Path" queryTableFieldId="11" dataDxfId="59"/>
    <tableColumn id="2" xr3:uid="{9DEE7646-FD73-41A8-962D-43754F08EB39}" uniqueName="2" name="RelativePath" queryTableFieldId="2"/>
    <tableColumn id="12" xr3:uid="{37FBCAD2-B021-4F27-8C03-C06B401B6428}" uniqueName="12" name="Подпись" queryTableFieldId="23"/>
    <tableColumn id="3" xr3:uid="{07B05000-FBF0-498D-B443-927A52DE04E5}" uniqueName="3" name="Ссылка на фото" queryTableFieldId="3" dataDxfId="58" dataCellStyle="Гиперссылка">
      <calculatedColumnFormula>HYPERLINK(склад2въезд131920212223789106[[#This Row],[RelativePath]])</calculatedColumnFormula>
    </tableColumn>
  </tableColumns>
  <tableStyleInfo name="TableStyleMedium14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1F35C3B-7D8E-4C99-8055-F56ED07495D3}" name="входСтолярка" displayName="входСтолярка" ref="A1:M10" tableType="queryTable" totalsRowShown="0">
  <tableColumns count="13">
    <tableColumn id="11" xr3:uid="{0CFDC447-3A1C-4713-8714-972F5D0CA073}" uniqueName="11" name="День нед" queryTableFieldId="39" dataDxfId="57"/>
    <tableColumn id="8" xr3:uid="{0C391974-E2F5-4A95-A1CF-60789D499629}" uniqueName="8" name="Дата" queryTableFieldId="19" dataDxfId="56"/>
    <tableColumn id="9" xr3:uid="{FA3DAD09-E88C-4F5F-BF0D-4C339BEA0379}" uniqueName="9" name="Время" queryTableFieldId="20" dataDxfId="55"/>
    <tableColumn id="5" xr3:uid="{A64C6221-99CB-4F4A-8D59-9A565B539E8F}" uniqueName="5" name="Событие" queryTableFieldId="27" dataDxfId="54"/>
    <tableColumn id="7" xr3:uid="{A450DCE6-DF8B-4086-A9AC-461A34512F32}" uniqueName="7" name="Объект" queryTableFieldId="29" dataDxfId="53"/>
    <tableColumn id="10" xr3:uid="{10063D90-AC03-4F75-A11D-AC21D3D60004}" uniqueName="10" name="Груз" queryTableFieldId="30" dataDxfId="52"/>
    <tableColumn id="13" xr3:uid="{181B76AA-1C08-4D33-806D-1F2F74743310}" uniqueName="13" name="Кол-во" queryTableFieldId="31" dataDxfId="51"/>
    <tableColumn id="14" xr3:uid="{4521D51C-620E-4319-B053-8C6D64C3EDE6}" uniqueName="14" name="Примечание" queryTableFieldId="32" dataDxfId="50"/>
    <tableColumn id="4" xr3:uid="{D15D4B57-C607-4304-9179-11BE299FB124}" uniqueName="4" name="Name" queryTableFieldId="14" dataDxfId="49"/>
    <tableColumn id="1" xr3:uid="{A0C0E586-D0B7-448D-928A-8F553900221D}" uniqueName="1" name="Folder Path" queryTableFieldId="11" dataDxfId="48"/>
    <tableColumn id="2" xr3:uid="{48CC36A0-457A-46B6-B2DB-7F8C7F261069}" uniqueName="2" name="RelativePath" queryTableFieldId="2"/>
    <tableColumn id="12" xr3:uid="{B2AD7CDB-B6B5-4BA0-829F-4BD6249C4267}" uniqueName="12" name="Подпись" queryTableFieldId="23"/>
    <tableColumn id="3" xr3:uid="{F6ED19CF-EB17-4C61-A1A7-3F30A661D8FD}" uniqueName="3" name="Ссылка на фото" queryTableFieldId="3" dataDxfId="47" dataCellStyle="Гиперссылка">
      <calculatedColumnFormula>HYPERLINK(входСтолярка[[#This Row],[RelativePath]])</calculatedColumnFormula>
    </tableColumn>
  </tableColumns>
  <tableStyleInfo name="TableStyleMedium14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7B8578-F08D-466A-A0B8-1B8534FD2C92}" name="столярка" displayName="столярка" ref="A1:M6" tableType="queryTable" totalsRowShown="0">
  <tableColumns count="13">
    <tableColumn id="11" xr3:uid="{DBE515D3-C915-413E-AB17-4F456480DC24}" uniqueName="11" name="День нед" queryTableFieldId="39" dataDxfId="36"/>
    <tableColumn id="8" xr3:uid="{3F87D45A-256D-42F9-A0B8-BE1BF846E410}" uniqueName="8" name="Дата" queryTableFieldId="19" dataDxfId="35"/>
    <tableColumn id="9" xr3:uid="{465B1309-C725-4992-B63E-A70188E91281}" uniqueName="9" name="Время" queryTableFieldId="20" dataDxfId="34"/>
    <tableColumn id="5" xr3:uid="{50C1A202-1B56-40A2-AB13-2511D2291499}" uniqueName="5" name="Событие" queryTableFieldId="27" dataDxfId="33"/>
    <tableColumn id="7" xr3:uid="{FDB3318C-D13D-4B0B-9853-1EF40B58299A}" uniqueName="7" name="Объект" queryTableFieldId="29" dataDxfId="32"/>
    <tableColumn id="10" xr3:uid="{1CEBC306-6BF1-49C1-A704-CC239C79F10B}" uniqueName="10" name="Груз" queryTableFieldId="30" dataDxfId="31"/>
    <tableColumn id="13" xr3:uid="{3EE0C05E-6FF0-490E-B1B0-19B341DAD03E}" uniqueName="13" name="Кол-во" queryTableFieldId="31" dataDxfId="30"/>
    <tableColumn id="14" xr3:uid="{2D68CF85-753C-481D-8DC1-3B9EC9B7EC53}" uniqueName="14" name="Примечание" queryTableFieldId="32" dataDxfId="29"/>
    <tableColumn id="4" xr3:uid="{C8B35D61-7E66-45AB-93A9-51E52D8140C2}" uniqueName="4" name="Name" queryTableFieldId="14" dataDxfId="28"/>
    <tableColumn id="1" xr3:uid="{7D5853A1-56B3-42B3-9B8D-B85E9D9A2D1A}" uniqueName="1" name="Folder Path" queryTableFieldId="11" dataDxfId="27"/>
    <tableColumn id="2" xr3:uid="{866221BD-9D98-419A-9FF0-539551B20C44}" uniqueName="2" name="RelativePath" queryTableFieldId="2"/>
    <tableColumn id="12" xr3:uid="{6B3135FE-D7EC-484B-B017-D4406E99742A}" uniqueName="12" name="Подпись" queryTableFieldId="23"/>
    <tableColumn id="3" xr3:uid="{656F7E07-F3EF-4B76-B785-5E73C0F9E216}" uniqueName="3" name="Ссылка на фото" queryTableFieldId="3" dataDxfId="26" dataCellStyle="Гиперссылка">
      <calculatedColumnFormula>HYPERLINK(столярка[[#This Row],[RelativePath]])</calculatedColumnFormula>
    </tableColumn>
  </tableColumns>
  <tableStyleInfo name="TableStyleMedium14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3348653-210C-4A83-8742-F3C2D4CBC41D}" name="площадкаСнавесом" displayName="площадкаСнавесом" ref="A1:M10" tableType="queryTable" totalsRowShown="0">
  <tableColumns count="13">
    <tableColumn id="11" xr3:uid="{C2F51F72-E32B-452E-A758-54D19EA7554C}" uniqueName="11" name="День нед" queryTableFieldId="39" dataDxfId="25"/>
    <tableColumn id="8" xr3:uid="{5605969B-3DDA-4935-9901-BA1373284B0A}" uniqueName="8" name="Дата" queryTableFieldId="19" dataDxfId="24"/>
    <tableColumn id="9" xr3:uid="{D9EC7471-58C0-46C9-8780-F73898B23AC2}" uniqueName="9" name="Время" queryTableFieldId="20" dataDxfId="23"/>
    <tableColumn id="5" xr3:uid="{96518AE6-7E5C-4C8D-B54C-F54D11234D6C}" uniqueName="5" name="Событие" queryTableFieldId="27" dataDxfId="22"/>
    <tableColumn id="7" xr3:uid="{F862865E-2F4F-4BAD-8D28-E2820B418659}" uniqueName="7" name="Объект" queryTableFieldId="29" dataDxfId="21"/>
    <tableColumn id="10" xr3:uid="{476FE760-4B7E-4311-B61C-EB76222CEA80}" uniqueName="10" name="Груз" queryTableFieldId="30" dataDxfId="20"/>
    <tableColumn id="13" xr3:uid="{E29E2A9C-9B65-42B8-A282-C804C29C0986}" uniqueName="13" name="Кол-во" queryTableFieldId="31" dataDxfId="19"/>
    <tableColumn id="14" xr3:uid="{410D0DD1-9316-49BC-A307-70ADAE7FB021}" uniqueName="14" name="Примечание" queryTableFieldId="32" dataDxfId="18"/>
    <tableColumn id="4" xr3:uid="{F032B895-AD2B-487F-A174-968F9099A5EC}" uniqueName="4" name="Name" queryTableFieldId="14" dataDxfId="17"/>
    <tableColumn id="1" xr3:uid="{EDB0C229-E24E-4FEA-A0EA-4864FD102E8A}" uniqueName="1" name="Folder Path" queryTableFieldId="11" dataDxfId="16"/>
    <tableColumn id="2" xr3:uid="{5E458DA9-C684-405C-B3F3-96B76ACEB7A6}" uniqueName="2" name="RelativePath" queryTableFieldId="2"/>
    <tableColumn id="12" xr3:uid="{51FDE117-DEF9-4743-A53B-A1FE1C720472}" uniqueName="12" name="Подпись" queryTableFieldId="23"/>
    <tableColumn id="3" xr3:uid="{F0707694-A69B-4881-ADEA-160A282CC4C6}" uniqueName="3" name="Ссылка на фото" queryTableFieldId="3" dataDxfId="15" dataCellStyle="Гиперссылка">
      <calculatedColumnFormula>HYPERLINK(площадкаСнавесом[[#This Row],[RelativePath]])</calculatedColumnFormula>
    </tableColumn>
  </tableColumns>
  <tableStyleInfo name="TableStyleMedium14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408276-C79E-441F-AB5F-0A6F9CD9B334}" name="склад2въезд13192021222378910" displayName="склад2въезд13192021222378910" ref="A1:M39" tableType="queryTable" totalsRowShown="0">
  <tableColumns count="13">
    <tableColumn id="11" xr3:uid="{789F1DE9-5F62-44CA-84AA-51D36355EDD2}" uniqueName="11" name="День нед" queryTableFieldId="39" dataDxfId="14"/>
    <tableColumn id="8" xr3:uid="{60928C38-9593-43BD-B23F-A707A8BA6BF4}" uniqueName="8" name="Дата" queryTableFieldId="19" dataDxfId="13"/>
    <tableColumn id="9" xr3:uid="{9E5D4465-E1ED-428A-B708-C10ADDB65305}" uniqueName="9" name="Время" queryTableFieldId="20" dataDxfId="12"/>
    <tableColumn id="5" xr3:uid="{A9911CA3-0E83-4156-B13A-725D5483CB80}" uniqueName="5" name="Событие" queryTableFieldId="27" dataDxfId="1048"/>
    <tableColumn id="7" xr3:uid="{22ACAF1F-F285-43EB-B67C-1DAA0609E04C}" uniqueName="7" name="Объект" queryTableFieldId="29" dataDxfId="1047"/>
    <tableColumn id="10" xr3:uid="{8E679C38-5159-496B-8534-CDFA63A95BDF}" uniqueName="10" name="Груз" queryTableFieldId="30" dataDxfId="1046"/>
    <tableColumn id="13" xr3:uid="{A06491EC-5198-4E5F-9576-1A3B2FF455BF}" uniqueName="13" name="Кол-во" queryTableFieldId="31" dataDxfId="11"/>
    <tableColumn id="14" xr3:uid="{881B0B85-064A-4D8F-922A-E2F2D20FE30E}" uniqueName="14" name="Примечание" queryTableFieldId="32" dataDxfId="1045"/>
    <tableColumn id="4" xr3:uid="{83859021-3431-4733-9E28-9475D80139E8}" uniqueName="4" name="Name" queryTableFieldId="14" dataDxfId="1044"/>
    <tableColumn id="1" xr3:uid="{F6AD7BBE-7CE0-4E30-97C2-B8AA8EFFB52B}" uniqueName="1" name="Folder Path" queryTableFieldId="11" dataDxfId="1043"/>
    <tableColumn id="2" xr3:uid="{D7BA0B55-CCA8-4861-8DB1-E4658539D479}" uniqueName="2" name="RelativePath" queryTableFieldId="2"/>
    <tableColumn id="12" xr3:uid="{D938B844-E6A4-4A06-A846-D57E36FBC666}" uniqueName="12" name="Подпись" queryTableFieldId="23"/>
    <tableColumn id="3" xr3:uid="{604945C7-9D8D-494D-849F-595D61A8A304}" uniqueName="3" name="Ссылка на фото" queryTableFieldId="3" dataDxfId="10" dataCellStyle="Гиперссылка">
      <calculatedColumnFormula>HYPERLINK(склад2въезд13192021222378910[[#This Row],[RelativePath]])</calculatedColumnFormula>
    </tableColumn>
  </tableColumns>
  <tableStyleInfo name="TableStyleLight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6D5DF-B535-4FB1-B418-CBC4B76C174A}" name="Таблица3" displayName="Таблица3" ref="A1:M255" tableType="queryTable" totalsRowShown="0">
  <autoFilter ref="A1:M255" xr:uid="{34F6D5DF-B535-4FB1-B418-CBC4B76C174A}"/>
  <tableColumns count="13">
    <tableColumn id="1" xr3:uid="{A9417591-EE1C-4FCF-A9DE-546847216A4D}" uniqueName="1" name="День нед" queryTableFieldId="1"/>
    <tableColumn id="2" xr3:uid="{3019A727-3826-4B11-9F36-8030E84F0207}" uniqueName="2" name="Дата" queryTableFieldId="2" dataDxfId="9"/>
    <tableColumn id="3" xr3:uid="{8C3702C1-E43C-496C-A204-7587B7ED5C05}" uniqueName="3" name="Время" queryTableFieldId="3" dataDxfId="8"/>
    <tableColumn id="4" xr3:uid="{C16264D0-558B-425C-8205-E671C6E3EB9E}" uniqueName="4" name="Событие" queryTableFieldId="4" dataDxfId="7"/>
    <tableColumn id="5" xr3:uid="{704C03AA-AEFB-4BC0-9B1F-AA2EECFA0C4D}" uniqueName="5" name="Объект" queryTableFieldId="5"/>
    <tableColumn id="6" xr3:uid="{DED7548F-D1CE-46E8-B1E7-8A5A06603C00}" uniqueName="6" name="Груз" queryTableFieldId="6"/>
    <tableColumn id="7" xr3:uid="{2B8646BA-144D-4684-B159-8751A6D941E6}" uniqueName="7" name="Кол-во" queryTableFieldId="7"/>
    <tableColumn id="8" xr3:uid="{D7ACFC57-AE7D-42C5-9D93-BBAFFBFB84CA}" uniqueName="8" name="Примечание" queryTableFieldId="8"/>
    <tableColumn id="9" xr3:uid="{2BC0F9EA-6A13-41D3-82A5-F4CFE7150460}" uniqueName="9" name="Name" queryTableFieldId="9" dataDxfId="1042"/>
    <tableColumn id="10" xr3:uid="{37082223-0A57-495F-97B8-0BCE1F173A2E}" uniqueName="10" name="Folder Path" queryTableFieldId="10" dataDxfId="1041"/>
    <tableColumn id="11" xr3:uid="{EBD0C845-C42C-451D-83F4-EBC294BB2922}" uniqueName="11" name="RelativePath" queryTableFieldId="11"/>
    <tableColumn id="12" xr3:uid="{8C3E88FE-F826-4E20-978D-18AD86489ED3}" uniqueName="12" name="Подпись" queryTableFieldId="12"/>
    <tableColumn id="13" xr3:uid="{0C2584DC-3A1B-4C4E-BD86-497B7F970B06}" uniqueName="13" name="Ссылка на фото" queryTableFieldId="13" dataDxfId="6" dataCellStyle="Гиперссылка">
      <calculatedColumnFormula>HYPERLINK(Таблица3[[#This Row],[RelativePath]])</calculatedColumnFormula>
    </tableColumn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D6A7BD-F20C-48FF-BC40-E14A40EFAB36}" name="СторонТрансп" displayName="СторонТрансп" ref="A1:M165" tableType="queryTable" totalsRowShown="0">
  <tableColumns count="13">
    <tableColumn id="1" xr3:uid="{858CB388-E343-467B-BA8A-53D69E23D756}" uniqueName="1" name="День нед" queryTableFieldId="1"/>
    <tableColumn id="2" xr3:uid="{F5CABA67-3CE5-4553-B70E-837B2217100D}" uniqueName="2" name="Дата" queryTableFieldId="2" dataDxfId="5"/>
    <tableColumn id="3" xr3:uid="{A5BADAB4-5066-43B1-85E5-70A52776C24E}" uniqueName="3" name="Время" queryTableFieldId="3" dataDxfId="4"/>
    <tableColumn id="4" xr3:uid="{B1D585FC-DA3D-434B-94C8-40BA68B5131D}" uniqueName="4" name="Событие" queryTableFieldId="4" dataDxfId="3"/>
    <tableColumn id="5" xr3:uid="{398D4202-3874-46B1-9870-9B7E0340B7DD}" uniqueName="5" name="Объект" queryTableFieldId="5"/>
    <tableColumn id="6" xr3:uid="{CF0283CE-9B5F-4CCA-9837-192116BBFC0C}" uniqueName="6" name="Груз" queryTableFieldId="6"/>
    <tableColumn id="7" xr3:uid="{710B0949-5E10-403E-AA3B-B2D275F86F4A}" uniqueName="7" name="Кол-во" queryTableFieldId="7"/>
    <tableColumn id="8" xr3:uid="{65B12C1B-3354-41F8-83DC-7E7248EC2E3E}" uniqueName="8" name="Примечание" queryTableFieldId="8"/>
    <tableColumn id="9" xr3:uid="{B7BE0FDB-41A6-4908-BCC5-7DC825279AC8}" uniqueName="9" name="Name" queryTableFieldId="9" dataDxfId="2"/>
    <tableColumn id="10" xr3:uid="{2646CF32-E994-4A14-AEA5-9E938118AF27}" uniqueName="10" name="Folder Path" queryTableFieldId="10" dataDxfId="1"/>
    <tableColumn id="11" xr3:uid="{49C8BFF4-92D3-4258-8648-1A963AE4A14F}" uniqueName="11" name="RelativePath" queryTableFieldId="11"/>
    <tableColumn id="12" xr3:uid="{3E7BA114-C5F2-4345-889D-0EE87FEDC827}" uniqueName="12" name="Подпись" queryTableFieldId="12"/>
    <tableColumn id="13" xr3:uid="{91DD4FF9-6DD7-4BF6-9690-90C0B76AF9CC}" uniqueName="13" name="Ссылка на фото" queryTableFieldId="13" dataDxfId="0" dataCellStyle="Гиперссылка">
      <calculatedColumnFormula>HYPERLINK(СторонТрансп[[#This Row],[RelativePath]])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4E88-FECC-4219-8E24-9FF5159CA675}">
  <sheetPr>
    <tabColor theme="4" tint="-0.499984740745262"/>
  </sheetPr>
  <dimension ref="A1:N259"/>
  <sheetViews>
    <sheetView zoomScale="90" zoomScaleNormal="90" workbookViewId="0">
      <pane ySplit="1" topLeftCell="A242" activePane="bottomLeft" state="frozen"/>
      <selection pane="bottomLeft" activeCell="I252" sqref="I252:I259"/>
    </sheetView>
  </sheetViews>
  <sheetFormatPr defaultRowHeight="15" x14ac:dyDescent="0.25"/>
  <cols>
    <col min="1" max="1" width="14.7109375" style="2" bestFit="1" customWidth="1"/>
    <col min="2" max="2" width="11" style="2" bestFit="1" customWidth="1"/>
    <col min="3" max="3" width="11.85546875" style="2" bestFit="1" customWidth="1"/>
    <col min="4" max="4" width="43.7109375" bestFit="1" customWidth="1"/>
    <col min="5" max="5" width="41" bestFit="1" customWidth="1"/>
    <col min="6" max="6" width="31.7109375" bestFit="1" customWidth="1"/>
    <col min="7" max="7" width="9.7109375" bestFit="1" customWidth="1"/>
    <col min="8" max="8" width="81.140625" bestFit="1" customWidth="1"/>
    <col min="9" max="9" width="35.7109375" bestFit="1" customWidth="1"/>
    <col min="10" max="10" width="45.5703125" hidden="1" customWidth="1"/>
    <col min="11" max="11" width="56.85546875" hidden="1" customWidth="1"/>
    <col min="12" max="12" width="24.5703125" hidden="1" customWidth="1"/>
    <col min="13" max="13" width="56.85546875" hidden="1" customWidth="1"/>
    <col min="14" max="14" width="25.28515625" hidden="1" customWidth="1"/>
    <col min="15" max="15" width="16.42578125" bestFit="1" customWidth="1"/>
    <col min="16" max="16" width="22.85546875" bestFit="1" customWidth="1"/>
    <col min="17" max="17" width="24.5703125" bestFit="1" customWidth="1"/>
    <col min="18" max="18" width="58.42578125" bestFit="1" customWidth="1"/>
    <col min="19" max="19" width="17.7109375" bestFit="1" customWidth="1"/>
    <col min="20" max="20" width="58.42578125" bestFit="1" customWidth="1"/>
    <col min="21" max="21" width="16.28515625" customWidth="1"/>
    <col min="22" max="22" width="126.7109375" customWidth="1"/>
    <col min="23" max="23" width="58.42578125" bestFit="1" customWidth="1"/>
    <col min="24" max="24" width="98.7109375" customWidth="1"/>
  </cols>
  <sheetData>
    <row r="1" spans="1:14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  <c r="N1" t="s">
        <v>2880</v>
      </c>
    </row>
    <row r="2" spans="1:14" x14ac:dyDescent="0.25">
      <c r="A2" s="2" t="s">
        <v>13</v>
      </c>
      <c r="B2" s="4">
        <v>45971</v>
      </c>
      <c r="C2" s="5">
        <v>0.49480324074074072</v>
      </c>
      <c r="D2" s="9" t="s">
        <v>62</v>
      </c>
      <c r="E2" s="9" t="s">
        <v>55</v>
      </c>
      <c r="F2" s="9" t="s">
        <v>51</v>
      </c>
      <c r="H2" s="9"/>
      <c r="I2" s="9" t="s">
        <v>26</v>
      </c>
      <c r="J2" s="9" t="s">
        <v>2936</v>
      </c>
      <c r="K2" t="s">
        <v>3058</v>
      </c>
      <c r="L2" t="s">
        <v>3059</v>
      </c>
      <c r="M2" s="3" t="str">
        <f>HYPERLINK(склад2въезд[[#This Row],[RelativePath]])</f>
        <v>1 Ангар Склад 2 въезд\E33149364_6_20251110T115231Z.jpg</v>
      </c>
      <c r="N2" s="9" t="str">
        <f>VLOOKUP(склад2въезд[[#This Row],[Name]], СпрСобытий!$F:$G, 2, FALSE)</f>
        <v>Ангар Склад 2 въезд</v>
      </c>
    </row>
    <row r="3" spans="1:14" x14ac:dyDescent="0.25">
      <c r="A3" s="2" t="s">
        <v>13</v>
      </c>
      <c r="B3" s="4">
        <v>45971</v>
      </c>
      <c r="C3" s="5">
        <v>0.50054398148148149</v>
      </c>
      <c r="D3" s="9" t="s">
        <v>91</v>
      </c>
      <c r="E3" s="9" t="s">
        <v>56</v>
      </c>
      <c r="F3" s="9" t="s">
        <v>51</v>
      </c>
      <c r="H3" s="9"/>
      <c r="I3" s="9" t="s">
        <v>27</v>
      </c>
      <c r="J3" s="9" t="s">
        <v>2936</v>
      </c>
      <c r="K3" t="s">
        <v>3060</v>
      </c>
      <c r="L3" t="s">
        <v>3061</v>
      </c>
      <c r="M3" s="3" t="str">
        <f>HYPERLINK(склад2въезд[[#This Row],[RelativePath]])</f>
        <v>1 Ангар Склад 2 въезд\E33149364_6_20251110T120047Z.jpg</v>
      </c>
      <c r="N3" s="9" t="str">
        <f>VLOOKUP(склад2въезд[[#This Row],[Name]], СпрСобытий!$F:$G, 2, FALSE)</f>
        <v>Ангар Склад 2 въезд</v>
      </c>
    </row>
    <row r="4" spans="1:14" x14ac:dyDescent="0.25">
      <c r="A4" s="2" t="s">
        <v>13</v>
      </c>
      <c r="B4" s="4">
        <v>45971</v>
      </c>
      <c r="C4" s="5">
        <v>0.5006018518518518</v>
      </c>
      <c r="D4" s="9" t="s">
        <v>91</v>
      </c>
      <c r="E4" s="9" t="s">
        <v>56</v>
      </c>
      <c r="F4" s="9" t="s">
        <v>51</v>
      </c>
      <c r="H4" s="9"/>
      <c r="I4" s="9" t="s">
        <v>28</v>
      </c>
      <c r="J4" s="9" t="s">
        <v>2936</v>
      </c>
      <c r="K4" t="s">
        <v>3062</v>
      </c>
      <c r="L4" t="s">
        <v>3063</v>
      </c>
      <c r="M4" s="3" t="str">
        <f>HYPERLINK(склад2въезд[[#This Row],[RelativePath]])</f>
        <v>1 Ангар Склад 2 въезд\E33149364_6_20251110T120052Z.jpg</v>
      </c>
      <c r="N4" s="9" t="str">
        <f>VLOOKUP(склад2въезд[[#This Row],[Name]], СпрСобытий!$F:$G, 2, FALSE)</f>
        <v>Ангар Склад 2 въезд</v>
      </c>
    </row>
    <row r="5" spans="1:14" x14ac:dyDescent="0.25">
      <c r="A5" s="2" t="s">
        <v>13</v>
      </c>
      <c r="B5" s="4">
        <v>45971</v>
      </c>
      <c r="C5" s="5">
        <v>0.51984953703703707</v>
      </c>
      <c r="D5" s="9" t="s">
        <v>62</v>
      </c>
      <c r="E5" s="9" t="s">
        <v>56</v>
      </c>
      <c r="F5" s="9" t="s">
        <v>53</v>
      </c>
      <c r="G5">
        <v>3</v>
      </c>
      <c r="H5" s="9"/>
      <c r="I5" s="9" t="s">
        <v>29</v>
      </c>
      <c r="J5" s="9" t="s">
        <v>2936</v>
      </c>
      <c r="K5" t="s">
        <v>3064</v>
      </c>
      <c r="L5" t="s">
        <v>3065</v>
      </c>
      <c r="M5" s="3" t="str">
        <f>HYPERLINK(склад2въезд[[#This Row],[RelativePath]])</f>
        <v>1 Ангар Склад 2 въезд\E33149364_6_20251110T122835Z.jpg</v>
      </c>
      <c r="N5" s="9" t="str">
        <f>VLOOKUP(склад2въезд[[#This Row],[Name]], СпрСобытий!$F:$G, 2, FALSE)</f>
        <v>Ангар Склад 2 въезд</v>
      </c>
    </row>
    <row r="6" spans="1:14" x14ac:dyDescent="0.25">
      <c r="A6" s="2" t="s">
        <v>13</v>
      </c>
      <c r="B6" s="4">
        <v>45971</v>
      </c>
      <c r="C6" s="5">
        <v>0.56978009259259255</v>
      </c>
      <c r="D6" s="9" t="s">
        <v>91</v>
      </c>
      <c r="E6" s="9" t="s">
        <v>55</v>
      </c>
      <c r="F6" s="9" t="s">
        <v>58</v>
      </c>
      <c r="H6" s="9"/>
      <c r="I6" s="9" t="s">
        <v>30</v>
      </c>
      <c r="J6" s="9" t="s">
        <v>2936</v>
      </c>
      <c r="K6" t="s">
        <v>3066</v>
      </c>
      <c r="L6" t="s">
        <v>3067</v>
      </c>
      <c r="M6" s="3" t="str">
        <f>HYPERLINK(склад2въезд[[#This Row],[RelativePath]])</f>
        <v>1 Ангар Склад 2 въезд\E33149364_6_20251110T134029Z.jpg</v>
      </c>
      <c r="N6" s="9" t="str">
        <f>VLOOKUP(склад2въезд[[#This Row],[Name]], СпрСобытий!$F:$G, 2, FALSE)</f>
        <v>Ангар Склад 2 въезд</v>
      </c>
    </row>
    <row r="7" spans="1:14" x14ac:dyDescent="0.25">
      <c r="A7" s="2" t="s">
        <v>13</v>
      </c>
      <c r="B7" s="4">
        <v>45971</v>
      </c>
      <c r="C7" s="5">
        <v>0.57337962962962963</v>
      </c>
      <c r="D7" s="9" t="s">
        <v>62</v>
      </c>
      <c r="E7" s="9" t="s">
        <v>55</v>
      </c>
      <c r="F7" s="9" t="s">
        <v>58</v>
      </c>
      <c r="H7" s="9" t="s">
        <v>59</v>
      </c>
      <c r="I7" s="9" t="s">
        <v>31</v>
      </c>
      <c r="J7" s="9" t="s">
        <v>2936</v>
      </c>
      <c r="K7" t="s">
        <v>3068</v>
      </c>
      <c r="L7" t="s">
        <v>3069</v>
      </c>
      <c r="M7" s="3" t="str">
        <f>HYPERLINK(склад2въезд[[#This Row],[RelativePath]])</f>
        <v>1 Ангар Склад 2 въезд\E33149364_6_20251110T134540Z.jpg</v>
      </c>
      <c r="N7" s="9" t="str">
        <f>VLOOKUP(склад2въезд[[#This Row],[Name]], СпрСобытий!$F:$G, 2, FALSE)</f>
        <v>Ангар Склад 2 въезд</v>
      </c>
    </row>
    <row r="8" spans="1:14" x14ac:dyDescent="0.25">
      <c r="A8" s="2" t="s">
        <v>13</v>
      </c>
      <c r="B8" s="4">
        <v>45971</v>
      </c>
      <c r="C8" s="5">
        <v>0.60597222222222225</v>
      </c>
      <c r="D8" s="9" t="s">
        <v>91</v>
      </c>
      <c r="E8" s="9" t="s">
        <v>55</v>
      </c>
      <c r="F8" s="9" t="s">
        <v>58</v>
      </c>
      <c r="H8" s="9" t="s">
        <v>59</v>
      </c>
      <c r="I8" s="9" t="s">
        <v>32</v>
      </c>
      <c r="J8" s="9" t="s">
        <v>2936</v>
      </c>
      <c r="K8" t="s">
        <v>3070</v>
      </c>
      <c r="L8" t="s">
        <v>3071</v>
      </c>
      <c r="M8" s="3" t="str">
        <f>HYPERLINK(склад2въезд[[#This Row],[RelativePath]])</f>
        <v>1 Ангар Склад 2 въезд\E33149364_6_20251110T143236Z.jpg</v>
      </c>
      <c r="N8" s="9" t="str">
        <f>VLOOKUP(склад2въезд[[#This Row],[Name]], СпрСобытий!$F:$G, 2, FALSE)</f>
        <v>Ангар Склад 2 въезд</v>
      </c>
    </row>
    <row r="9" spans="1:14" x14ac:dyDescent="0.25">
      <c r="A9" s="2" t="s">
        <v>14</v>
      </c>
      <c r="B9" s="4">
        <v>45972</v>
      </c>
      <c r="C9" s="5">
        <v>0.39128472222222221</v>
      </c>
      <c r="D9" s="9" t="s">
        <v>91</v>
      </c>
      <c r="E9" s="9" t="s">
        <v>67</v>
      </c>
      <c r="F9" s="9" t="s">
        <v>51</v>
      </c>
      <c r="H9" s="9"/>
      <c r="I9" s="9" t="s">
        <v>33</v>
      </c>
      <c r="J9" s="9" t="s">
        <v>2936</v>
      </c>
      <c r="K9" t="s">
        <v>3072</v>
      </c>
      <c r="L9" t="s">
        <v>3073</v>
      </c>
      <c r="M9" s="3" t="str">
        <f>HYPERLINK(склад2въезд[[#This Row],[RelativePath]])</f>
        <v>1 Ангар Склад 2 въезд\E33149364_6_20251111T092327Z.jpg</v>
      </c>
      <c r="N9" s="9" t="str">
        <f>VLOOKUP(склад2въезд[[#This Row],[Name]], СпрСобытий!$F:$G, 2, FALSE)</f>
        <v>Ангар Склад 2 въезд</v>
      </c>
    </row>
    <row r="10" spans="1:14" x14ac:dyDescent="0.25">
      <c r="A10" s="2" t="s">
        <v>14</v>
      </c>
      <c r="B10" s="4">
        <v>45972</v>
      </c>
      <c r="C10" s="5">
        <v>0.44765046296296296</v>
      </c>
      <c r="D10" s="9" t="s">
        <v>62</v>
      </c>
      <c r="E10" s="9" t="s">
        <v>67</v>
      </c>
      <c r="F10" s="9" t="s">
        <v>440</v>
      </c>
      <c r="H10" s="9"/>
      <c r="I10" s="9" t="s">
        <v>34</v>
      </c>
      <c r="J10" s="9" t="s">
        <v>2936</v>
      </c>
      <c r="K10" t="s">
        <v>3074</v>
      </c>
      <c r="L10" t="s">
        <v>3075</v>
      </c>
      <c r="M10" s="3" t="str">
        <f>HYPERLINK(склад2въезд[[#This Row],[RelativePath]])</f>
        <v>1 Ангар Склад 2 въезд\E33149364_6_20251111T104437Z.jpg</v>
      </c>
      <c r="N10" s="9" t="str">
        <f>VLOOKUP(склад2въезд[[#This Row],[Name]], СпрСобытий!$F:$G, 2, FALSE)</f>
        <v>Ангар Склад 2 въезд</v>
      </c>
    </row>
    <row r="11" spans="1:14" x14ac:dyDescent="0.25">
      <c r="A11" s="2" t="s">
        <v>14</v>
      </c>
      <c r="B11" s="4">
        <v>45972</v>
      </c>
      <c r="C11" s="5">
        <v>0.44944444444444442</v>
      </c>
      <c r="D11" s="9" t="s">
        <v>91</v>
      </c>
      <c r="E11" s="9" t="s">
        <v>63</v>
      </c>
      <c r="F11" s="9" t="s">
        <v>51</v>
      </c>
      <c r="H11" s="9"/>
      <c r="I11" s="9" t="s">
        <v>35</v>
      </c>
      <c r="J11" s="9" t="s">
        <v>2936</v>
      </c>
      <c r="K11" t="s">
        <v>3076</v>
      </c>
      <c r="L11" t="s">
        <v>3077</v>
      </c>
      <c r="M11" s="3" t="str">
        <f>HYPERLINK(склад2въезд[[#This Row],[RelativePath]])</f>
        <v>1 Ангар Склад 2 въезд\E33149364_6_20251111T104712Z.jpg</v>
      </c>
      <c r="N11" s="9" t="str">
        <f>VLOOKUP(склад2въезд[[#This Row],[Name]], СпрСобытий!$F:$G, 2, FALSE)</f>
        <v>Ангар Склад 2 въезд</v>
      </c>
    </row>
    <row r="12" spans="1:14" x14ac:dyDescent="0.25">
      <c r="A12" s="2" t="s">
        <v>14</v>
      </c>
      <c r="B12" s="4">
        <v>45972</v>
      </c>
      <c r="C12" s="5">
        <v>0.45118055555555553</v>
      </c>
      <c r="D12" s="9" t="s">
        <v>89</v>
      </c>
      <c r="E12" s="9" t="s">
        <v>63</v>
      </c>
      <c r="F12" s="9" t="s">
        <v>51</v>
      </c>
      <c r="H12" s="9"/>
      <c r="I12" s="9" t="s">
        <v>36</v>
      </c>
      <c r="J12" s="9" t="s">
        <v>2936</v>
      </c>
      <c r="K12" t="s">
        <v>3078</v>
      </c>
      <c r="L12" t="s">
        <v>3079</v>
      </c>
      <c r="M12" s="3" t="str">
        <f>HYPERLINK(склад2въезд[[#This Row],[RelativePath]])</f>
        <v>1 Ангар Склад 2 въезд\E33149364_6_20251111T104942Z.jpg</v>
      </c>
      <c r="N12" s="9" t="str">
        <f>VLOOKUP(склад2въезд[[#This Row],[Name]], СпрСобытий!$F:$G, 2, FALSE)</f>
        <v>Ангар Склад 2 въезд</v>
      </c>
    </row>
    <row r="13" spans="1:14" x14ac:dyDescent="0.25">
      <c r="A13" s="2" t="s">
        <v>14</v>
      </c>
      <c r="B13" s="4">
        <v>45972</v>
      </c>
      <c r="C13" s="5">
        <v>0.45136574074074076</v>
      </c>
      <c r="D13" s="9" t="s">
        <v>64</v>
      </c>
      <c r="E13" s="9" t="s">
        <v>63</v>
      </c>
      <c r="F13" s="9" t="s">
        <v>51</v>
      </c>
      <c r="H13" s="9"/>
      <c r="I13" s="9" t="s">
        <v>37</v>
      </c>
      <c r="J13" s="9" t="s">
        <v>2936</v>
      </c>
      <c r="K13" t="s">
        <v>3080</v>
      </c>
      <c r="L13" t="s">
        <v>3081</v>
      </c>
      <c r="M13" s="3" t="str">
        <f>HYPERLINK(склад2въезд[[#This Row],[RelativePath]])</f>
        <v>1 Ангар Склад 2 въезд\E33149364_6_20251111T104958Z.jpg</v>
      </c>
      <c r="N13" s="9" t="str">
        <f>VLOOKUP(склад2въезд[[#This Row],[Name]], СпрСобытий!$F:$G, 2, FALSE)</f>
        <v>Ангар Склад 2 въезд</v>
      </c>
    </row>
    <row r="14" spans="1:14" x14ac:dyDescent="0.25">
      <c r="A14" s="2" t="s">
        <v>14</v>
      </c>
      <c r="B14" s="4">
        <v>45972</v>
      </c>
      <c r="C14" s="5">
        <v>0.48476851851851854</v>
      </c>
      <c r="D14" s="9" t="s">
        <v>62</v>
      </c>
      <c r="E14" s="9" t="s">
        <v>63</v>
      </c>
      <c r="F14" s="9" t="s">
        <v>58</v>
      </c>
      <c r="H14" s="9"/>
      <c r="I14" s="9" t="s">
        <v>38</v>
      </c>
      <c r="J14" s="9" t="s">
        <v>2936</v>
      </c>
      <c r="K14" t="s">
        <v>3082</v>
      </c>
      <c r="L14" t="s">
        <v>3083</v>
      </c>
      <c r="M14" s="3" t="str">
        <f>HYPERLINK(склад2въезд[[#This Row],[RelativePath]])</f>
        <v>1 Ангар Склад 2 въезд\E33149364_6_20251111T113804Z.jpg</v>
      </c>
      <c r="N14" s="9" t="str">
        <f>VLOOKUP(склад2въезд[[#This Row],[Name]], СпрСобытий!$F:$G, 2, FALSE)</f>
        <v>Ангар Склад 2 въезд</v>
      </c>
    </row>
    <row r="15" spans="1:14" x14ac:dyDescent="0.25">
      <c r="A15" s="2" t="s">
        <v>14</v>
      </c>
      <c r="B15" s="4">
        <v>45972</v>
      </c>
      <c r="C15" s="5">
        <v>0.53641203703703699</v>
      </c>
      <c r="D15" s="9" t="s">
        <v>62</v>
      </c>
      <c r="E15" s="9" t="s">
        <v>55</v>
      </c>
      <c r="F15" s="9" t="s">
        <v>65</v>
      </c>
      <c r="H15" s="9"/>
      <c r="I15" s="9" t="s">
        <v>39</v>
      </c>
      <c r="J15" s="9" t="s">
        <v>2936</v>
      </c>
      <c r="K15" t="s">
        <v>3084</v>
      </c>
      <c r="L15" t="s">
        <v>3085</v>
      </c>
      <c r="M15" s="3" t="str">
        <f>HYPERLINK(склад2въезд[[#This Row],[RelativePath]])</f>
        <v>1 Ангар Склад 2 въезд\E33149364_6_20251111T125226Z.jpg</v>
      </c>
      <c r="N15" s="9" t="str">
        <f>VLOOKUP(склад2въезд[[#This Row],[Name]], СпрСобытий!$F:$G, 2, FALSE)</f>
        <v>Ангар Склад 2 въезд</v>
      </c>
    </row>
    <row r="16" spans="1:14" x14ac:dyDescent="0.25">
      <c r="A16" s="2" t="s">
        <v>14</v>
      </c>
      <c r="B16" s="4">
        <v>45972</v>
      </c>
      <c r="C16" s="5">
        <v>0.65542824074074069</v>
      </c>
      <c r="D16" s="9" t="s">
        <v>91</v>
      </c>
      <c r="E16" s="9" t="s">
        <v>55</v>
      </c>
      <c r="F16" s="9" t="s">
        <v>51</v>
      </c>
      <c r="H16" s="9"/>
      <c r="I16" s="9" t="s">
        <v>40</v>
      </c>
      <c r="J16" s="9" t="s">
        <v>2936</v>
      </c>
      <c r="K16" t="s">
        <v>3086</v>
      </c>
      <c r="L16" t="s">
        <v>3087</v>
      </c>
      <c r="M16" s="3" t="str">
        <f>HYPERLINK(склад2въезд[[#This Row],[RelativePath]])</f>
        <v>1 Ангар Склад 2 въезд\E33149364_6_20251111T154349Z.jpg</v>
      </c>
      <c r="N16" s="9" t="str">
        <f>VLOOKUP(склад2въезд[[#This Row],[Name]], СпрСобытий!$F:$G, 2, FALSE)</f>
        <v>Ангар Склад 2 въезд</v>
      </c>
    </row>
    <row r="17" spans="1:14" x14ac:dyDescent="0.25">
      <c r="A17" s="2" t="s">
        <v>15</v>
      </c>
      <c r="B17" s="4">
        <v>45973</v>
      </c>
      <c r="C17" s="5">
        <v>0.67682870370370374</v>
      </c>
      <c r="D17" s="9" t="s">
        <v>91</v>
      </c>
      <c r="E17" s="9" t="s">
        <v>66</v>
      </c>
      <c r="F17" s="9" t="s">
        <v>68</v>
      </c>
      <c r="H17" s="9"/>
      <c r="I17" s="9" t="s">
        <v>41</v>
      </c>
      <c r="J17" s="9" t="s">
        <v>2936</v>
      </c>
      <c r="K17" t="s">
        <v>3088</v>
      </c>
      <c r="L17" t="s">
        <v>3089</v>
      </c>
      <c r="M17" s="3" t="str">
        <f>HYPERLINK(склад2въезд[[#This Row],[RelativePath]])</f>
        <v>1 Ангар Склад 2 въезд\E33149364_6_20251112T161438Z.jpg</v>
      </c>
      <c r="N17" s="9" t="str">
        <f>VLOOKUP(склад2въезд[[#This Row],[Name]], СпрСобытий!$F:$G, 2, FALSE)</f>
        <v>Ангар Склад 2 въезд</v>
      </c>
    </row>
    <row r="18" spans="1:14" x14ac:dyDescent="0.25">
      <c r="A18" s="2" t="s">
        <v>15</v>
      </c>
      <c r="B18" s="4">
        <v>45973</v>
      </c>
      <c r="C18" s="5">
        <v>0.71020833333333333</v>
      </c>
      <c r="D18" s="9" t="s">
        <v>62</v>
      </c>
      <c r="E18" s="9" t="s">
        <v>66</v>
      </c>
      <c r="F18" s="9" t="s">
        <v>69</v>
      </c>
      <c r="H18" s="9"/>
      <c r="I18" s="9" t="s">
        <v>42</v>
      </c>
      <c r="J18" s="9" t="s">
        <v>2936</v>
      </c>
      <c r="K18" t="s">
        <v>3090</v>
      </c>
      <c r="L18" t="s">
        <v>3091</v>
      </c>
      <c r="M18" s="3" t="str">
        <f>HYPERLINK(склад2въезд[[#This Row],[RelativePath]])</f>
        <v>1 Ангар Склад 2 въезд\E33149364_6_20251112T170242Z.jpg</v>
      </c>
      <c r="N18" s="9" t="str">
        <f>VLOOKUP(склад2въезд[[#This Row],[Name]], СпрСобытий!$F:$G, 2, FALSE)</f>
        <v>Ангар Склад 2 въезд</v>
      </c>
    </row>
    <row r="19" spans="1:14" x14ac:dyDescent="0.25">
      <c r="A19" s="2" t="s">
        <v>16</v>
      </c>
      <c r="B19" s="4">
        <v>45974</v>
      </c>
      <c r="C19" s="5">
        <v>0.3674074074074074</v>
      </c>
      <c r="D19" s="9" t="s">
        <v>62</v>
      </c>
      <c r="E19" s="9" t="s">
        <v>55</v>
      </c>
      <c r="F19" s="9" t="s">
        <v>51</v>
      </c>
      <c r="H19" s="9"/>
      <c r="I19" s="9" t="s">
        <v>44</v>
      </c>
      <c r="J19" s="9" t="s">
        <v>2936</v>
      </c>
      <c r="K19" t="s">
        <v>3092</v>
      </c>
      <c r="L19" t="s">
        <v>3093</v>
      </c>
      <c r="M19" s="3" t="str">
        <f>HYPERLINK(склад2въезд[[#This Row],[RelativePath]])</f>
        <v>1 Ангар Склад 2 въезд\E33149364_6_20251113T084904Z.jpg</v>
      </c>
      <c r="N19" s="9" t="str">
        <f>VLOOKUP(склад2въезд[[#This Row],[Name]], СпрСобытий!$F:$G, 2, FALSE)</f>
        <v>Ангар Склад 2 въезд</v>
      </c>
    </row>
    <row r="20" spans="1:14" x14ac:dyDescent="0.25">
      <c r="A20" s="2" t="s">
        <v>16</v>
      </c>
      <c r="B20" s="4">
        <v>45974</v>
      </c>
      <c r="C20" s="5">
        <v>0.37163194444444442</v>
      </c>
      <c r="D20" s="9" t="s">
        <v>91</v>
      </c>
      <c r="E20" s="9" t="s">
        <v>70</v>
      </c>
      <c r="F20" s="9" t="s">
        <v>51</v>
      </c>
      <c r="H20" s="9"/>
      <c r="I20" s="9" t="s">
        <v>45</v>
      </c>
      <c r="J20" s="9" t="s">
        <v>2936</v>
      </c>
      <c r="K20" t="s">
        <v>3094</v>
      </c>
      <c r="L20" t="s">
        <v>3095</v>
      </c>
      <c r="M20" s="3" t="str">
        <f>HYPERLINK(склад2въезд[[#This Row],[RelativePath]])</f>
        <v>1 Ангар Склад 2 въезд\E33149364_6_20251113T085509Z.jpg</v>
      </c>
      <c r="N20" s="9" t="str">
        <f>VLOOKUP(склад2въезд[[#This Row],[Name]], СпрСобытий!$F:$G, 2, FALSE)</f>
        <v>Ангар Склад 2 въезд</v>
      </c>
    </row>
    <row r="21" spans="1:14" x14ac:dyDescent="0.25">
      <c r="A21" s="2" t="s">
        <v>16</v>
      </c>
      <c r="B21" s="4">
        <v>45974</v>
      </c>
      <c r="C21" s="5">
        <v>0.37842592592592594</v>
      </c>
      <c r="D21" s="9" t="s">
        <v>62</v>
      </c>
      <c r="E21" s="9" t="s">
        <v>70</v>
      </c>
      <c r="F21" s="9" t="s">
        <v>51</v>
      </c>
      <c r="H21" s="9"/>
      <c r="I21" s="9" t="s">
        <v>46</v>
      </c>
      <c r="J21" s="9" t="s">
        <v>2936</v>
      </c>
      <c r="K21" t="s">
        <v>3096</v>
      </c>
      <c r="L21" t="s">
        <v>3097</v>
      </c>
      <c r="M21" s="3" t="str">
        <f>HYPERLINK(склад2въезд[[#This Row],[RelativePath]])</f>
        <v>1 Ангар Склад 2 въезд\E33149364_6_20251113T090456Z.jpg</v>
      </c>
      <c r="N21" s="9" t="str">
        <f>VLOOKUP(склад2въезд[[#This Row],[Name]], СпрСобытий!$F:$G, 2, FALSE)</f>
        <v>Ангар Склад 2 въезд</v>
      </c>
    </row>
    <row r="22" spans="1:14" x14ac:dyDescent="0.25">
      <c r="A22" s="2" t="s">
        <v>16</v>
      </c>
      <c r="B22" s="4">
        <v>45974</v>
      </c>
      <c r="C22" s="5">
        <v>0.37847222222222221</v>
      </c>
      <c r="D22" s="9" t="s">
        <v>64</v>
      </c>
      <c r="E22" s="9" t="s">
        <v>70</v>
      </c>
      <c r="F22" s="9" t="s">
        <v>51</v>
      </c>
      <c r="H22" s="9"/>
      <c r="I22" s="9" t="s">
        <v>47</v>
      </c>
      <c r="J22" s="9" t="s">
        <v>2936</v>
      </c>
      <c r="K22" t="s">
        <v>3098</v>
      </c>
      <c r="L22" t="s">
        <v>3099</v>
      </c>
      <c r="M22" s="3" t="str">
        <f>HYPERLINK(склад2въезд[[#This Row],[RelativePath]])</f>
        <v>1 Ангар Склад 2 въезд\E33149364_6_20251113T090500Z.jpg</v>
      </c>
      <c r="N22" s="9" t="str">
        <f>VLOOKUP(склад2въезд[[#This Row],[Name]], СпрСобытий!$F:$G, 2, FALSE)</f>
        <v>Ангар Склад 2 въезд</v>
      </c>
    </row>
    <row r="23" spans="1:14" x14ac:dyDescent="0.25">
      <c r="A23" s="2" t="s">
        <v>16</v>
      </c>
      <c r="B23" s="4">
        <v>45974</v>
      </c>
      <c r="C23" s="5">
        <v>0.39534722222222224</v>
      </c>
      <c r="D23" s="9" t="s">
        <v>91</v>
      </c>
      <c r="E23" s="9" t="s">
        <v>70</v>
      </c>
      <c r="F23" s="9" t="s">
        <v>58</v>
      </c>
      <c r="H23" s="9"/>
      <c r="I23" s="9" t="s">
        <v>48</v>
      </c>
      <c r="J23" s="9" t="s">
        <v>2936</v>
      </c>
      <c r="K23" t="s">
        <v>3100</v>
      </c>
      <c r="L23" t="s">
        <v>3101</v>
      </c>
      <c r="M23" s="3" t="str">
        <f>HYPERLINK(склад2въезд[[#This Row],[RelativePath]])</f>
        <v>1 Ангар Склад 2 въезд\E33149364_6_20251113T092918Z.jpg</v>
      </c>
      <c r="N23" s="9" t="str">
        <f>VLOOKUP(склад2въезд[[#This Row],[Name]], СпрСобытий!$F:$G, 2, FALSE)</f>
        <v>Ангар Склад 2 въезд</v>
      </c>
    </row>
    <row r="24" spans="1:14" x14ac:dyDescent="0.25">
      <c r="A24" s="2" t="s">
        <v>16</v>
      </c>
      <c r="B24" s="4">
        <v>45974</v>
      </c>
      <c r="C24" s="5">
        <v>0.39893518518518517</v>
      </c>
      <c r="D24" s="9" t="s">
        <v>62</v>
      </c>
      <c r="E24" s="9" t="s">
        <v>70</v>
      </c>
      <c r="F24" s="9" t="s">
        <v>58</v>
      </c>
      <c r="H24" s="9"/>
      <c r="I24" s="9" t="s">
        <v>49</v>
      </c>
      <c r="J24" s="9" t="s">
        <v>2936</v>
      </c>
      <c r="K24" t="s">
        <v>3102</v>
      </c>
      <c r="L24" t="s">
        <v>3103</v>
      </c>
      <c r="M24" s="3" t="str">
        <f>HYPERLINK(склад2въезд[[#This Row],[RelativePath]])</f>
        <v>1 Ангар Склад 2 въезд\E33149364_6_20251113T093428Z.jpg</v>
      </c>
      <c r="N24" s="9" t="str">
        <f>VLOOKUP(склад2въезд[[#This Row],[Name]], СпрСобытий!$F:$G, 2, FALSE)</f>
        <v>Ангар Склад 2 въезд</v>
      </c>
    </row>
    <row r="25" spans="1:14" x14ac:dyDescent="0.25">
      <c r="A25" s="2" t="s">
        <v>16</v>
      </c>
      <c r="B25" s="4">
        <v>45974</v>
      </c>
      <c r="C25" s="5">
        <v>0.52414351851851848</v>
      </c>
      <c r="D25" s="9" t="s">
        <v>91</v>
      </c>
      <c r="E25" s="9" t="s">
        <v>55</v>
      </c>
      <c r="F25" s="9" t="s">
        <v>51</v>
      </c>
      <c r="H25" s="9"/>
      <c r="I25" s="9" t="s">
        <v>50</v>
      </c>
      <c r="J25" s="9" t="s">
        <v>2936</v>
      </c>
      <c r="K25" t="s">
        <v>3104</v>
      </c>
      <c r="L25" t="s">
        <v>3105</v>
      </c>
      <c r="M25" s="3" t="str">
        <f>HYPERLINK(склад2въезд[[#This Row],[RelativePath]])</f>
        <v>1 Ангар Склад 2 въезд\E33149364_6_20251113T123446Z.jpg</v>
      </c>
      <c r="N25" s="9" t="str">
        <f>VLOOKUP(склад2въезд[[#This Row],[Name]], СпрСобытий!$F:$G, 2, FALSE)</f>
        <v>Ангар Склад 2 въезд</v>
      </c>
    </row>
    <row r="26" spans="1:14" x14ac:dyDescent="0.25">
      <c r="A26" s="2" t="s">
        <v>17</v>
      </c>
      <c r="B26" s="4">
        <v>45975</v>
      </c>
      <c r="C26" s="5">
        <v>0.3659722222222222</v>
      </c>
      <c r="D26" s="9" t="s">
        <v>62</v>
      </c>
      <c r="E26" s="9" t="s">
        <v>55</v>
      </c>
      <c r="F26" s="9" t="s">
        <v>51</v>
      </c>
      <c r="H26" s="9"/>
      <c r="I26" s="9" t="s">
        <v>71</v>
      </c>
      <c r="J26" s="9" t="s">
        <v>2936</v>
      </c>
      <c r="K26" t="s">
        <v>3106</v>
      </c>
      <c r="L26" t="s">
        <v>3107</v>
      </c>
      <c r="M26" s="3" t="str">
        <f>HYPERLINK(склад2въезд[[#This Row],[RelativePath]])</f>
        <v>1 Ангар Склад 2 въезд\E33149364_6_20251114T084700Z.jpg</v>
      </c>
      <c r="N26" s="9" t="str">
        <f>VLOOKUP(склад2въезд[[#This Row],[Name]], СпрСобытий!$F:$G, 2, FALSE)</f>
        <v>Ангар Склад 2 въезд</v>
      </c>
    </row>
    <row r="27" spans="1:14" x14ac:dyDescent="0.25">
      <c r="A27" s="2" t="s">
        <v>17</v>
      </c>
      <c r="B27" s="4">
        <v>45975</v>
      </c>
      <c r="C27" s="5">
        <v>0.53131944444444446</v>
      </c>
      <c r="D27" s="9" t="s">
        <v>85</v>
      </c>
      <c r="E27" s="9" t="s">
        <v>86</v>
      </c>
      <c r="F27" s="9" t="s">
        <v>51</v>
      </c>
      <c r="H27" s="9"/>
      <c r="I27" s="9" t="s">
        <v>72</v>
      </c>
      <c r="J27" s="9" t="s">
        <v>2936</v>
      </c>
      <c r="K27" t="s">
        <v>3108</v>
      </c>
      <c r="L27" t="s">
        <v>3109</v>
      </c>
      <c r="M27" s="3" t="str">
        <f>HYPERLINK(склад2въезд[[#This Row],[RelativePath]])</f>
        <v>1 Ангар Склад 2 въезд\E33149364_6_20251114T124506Z.jpg</v>
      </c>
      <c r="N27" s="9" t="str">
        <f>VLOOKUP(склад2въезд[[#This Row],[Name]], СпрСобытий!$F:$G, 2, FALSE)</f>
        <v>Ангар Склад 2 въезд</v>
      </c>
    </row>
    <row r="28" spans="1:14" x14ac:dyDescent="0.25">
      <c r="A28" s="2" t="s">
        <v>17</v>
      </c>
      <c r="B28" s="4">
        <v>45975</v>
      </c>
      <c r="C28" s="5">
        <v>0.53512731481481479</v>
      </c>
      <c r="D28" s="9" t="s">
        <v>91</v>
      </c>
      <c r="E28" s="9" t="s">
        <v>86</v>
      </c>
      <c r="F28" s="9" t="s">
        <v>87</v>
      </c>
      <c r="G28">
        <v>1</v>
      </c>
      <c r="H28" s="9"/>
      <c r="I28" s="9" t="s">
        <v>73</v>
      </c>
      <c r="J28" s="9" t="s">
        <v>2936</v>
      </c>
      <c r="K28" t="s">
        <v>3110</v>
      </c>
      <c r="L28" t="s">
        <v>3111</v>
      </c>
      <c r="M28" s="3" t="str">
        <f>HYPERLINK(склад2въезд[[#This Row],[RelativePath]])</f>
        <v>1 Ангар Склад 2 въезд\E33149364_6_20251114T125035Z.jpg</v>
      </c>
      <c r="N28" s="9" t="str">
        <f>VLOOKUP(склад2въезд[[#This Row],[Name]], СпрСобытий!$F:$G, 2, FALSE)</f>
        <v>Ангар Склад 2 въезд</v>
      </c>
    </row>
    <row r="29" spans="1:14" x14ac:dyDescent="0.25">
      <c r="A29" s="2" t="s">
        <v>17</v>
      </c>
      <c r="B29" s="4">
        <v>45975</v>
      </c>
      <c r="C29" s="5">
        <v>0.53766203703703708</v>
      </c>
      <c r="D29" s="9" t="s">
        <v>62</v>
      </c>
      <c r="E29" s="9" t="s">
        <v>86</v>
      </c>
      <c r="F29" s="9" t="s">
        <v>51</v>
      </c>
      <c r="H29" s="9"/>
      <c r="I29" s="9" t="s">
        <v>74</v>
      </c>
      <c r="J29" s="9" t="s">
        <v>2936</v>
      </c>
      <c r="K29" t="s">
        <v>3112</v>
      </c>
      <c r="L29" t="s">
        <v>3113</v>
      </c>
      <c r="M29" s="3" t="str">
        <f>HYPERLINK(склад2въезд[[#This Row],[RelativePath]])</f>
        <v>1 Ангар Склад 2 въезд\E33149364_6_20251114T125414Z.jpg</v>
      </c>
      <c r="N29" s="9" t="str">
        <f>VLOOKUP(склад2въезд[[#This Row],[Name]], СпрСобытий!$F:$G, 2, FALSE)</f>
        <v>Ангар Склад 2 въезд</v>
      </c>
    </row>
    <row r="30" spans="1:14" x14ac:dyDescent="0.25">
      <c r="A30" s="2" t="s">
        <v>17</v>
      </c>
      <c r="B30" s="4">
        <v>45975</v>
      </c>
      <c r="C30" s="5">
        <v>0.53960648148148149</v>
      </c>
      <c r="D30" s="9" t="s">
        <v>89</v>
      </c>
      <c r="E30" s="9" t="s">
        <v>66</v>
      </c>
      <c r="F30" s="9" t="s">
        <v>88</v>
      </c>
      <c r="G30">
        <v>1</v>
      </c>
      <c r="H30" s="9"/>
      <c r="I30" s="9" t="s">
        <v>75</v>
      </c>
      <c r="J30" s="9" t="s">
        <v>2936</v>
      </c>
      <c r="K30" t="s">
        <v>3114</v>
      </c>
      <c r="L30" t="s">
        <v>3115</v>
      </c>
      <c r="M30" s="3" t="str">
        <f>HYPERLINK(склад2въезд[[#This Row],[RelativePath]])</f>
        <v>1 Ангар Склад 2 въезд\E33149364_6_20251114T125702Z.jpg</v>
      </c>
      <c r="N30" s="9" t="str">
        <f>VLOOKUP(склад2въезд[[#This Row],[Name]], СпрСобытий!$F:$G, 2, FALSE)</f>
        <v>Ангар Склад 2 въезд</v>
      </c>
    </row>
    <row r="31" spans="1:14" x14ac:dyDescent="0.25">
      <c r="A31" s="2" t="s">
        <v>17</v>
      </c>
      <c r="B31" s="4">
        <v>45975</v>
      </c>
      <c r="C31" s="5">
        <v>0.54020833333333329</v>
      </c>
      <c r="D31" s="9" t="s">
        <v>64</v>
      </c>
      <c r="E31" s="9" t="s">
        <v>86</v>
      </c>
      <c r="F31" s="9" t="s">
        <v>87</v>
      </c>
      <c r="G31">
        <v>1</v>
      </c>
      <c r="H31" s="9"/>
      <c r="I31" s="9" t="s">
        <v>76</v>
      </c>
      <c r="J31" s="9" t="s">
        <v>2936</v>
      </c>
      <c r="K31" t="s">
        <v>3116</v>
      </c>
      <c r="L31" t="s">
        <v>3117</v>
      </c>
      <c r="M31" s="3" t="str">
        <f>HYPERLINK(склад2въезд[[#This Row],[RelativePath]])</f>
        <v>1 Ангар Склад 2 въезд\E33149364_6_20251114T125754Z.jpg</v>
      </c>
      <c r="N31" s="9" t="str">
        <f>VLOOKUP(склад2въезд[[#This Row],[Name]], СпрСобытий!$F:$G, 2, FALSE)</f>
        <v>Ангар Склад 2 въезд</v>
      </c>
    </row>
    <row r="32" spans="1:14" x14ac:dyDescent="0.25">
      <c r="A32" s="2" t="s">
        <v>17</v>
      </c>
      <c r="B32" s="4">
        <v>45975</v>
      </c>
      <c r="C32" s="5">
        <v>0.54204861111111113</v>
      </c>
      <c r="D32" s="9" t="s">
        <v>62</v>
      </c>
      <c r="E32" s="9" t="s">
        <v>66</v>
      </c>
      <c r="F32" s="9" t="s">
        <v>51</v>
      </c>
      <c r="H32" s="9"/>
      <c r="I32" s="9" t="s">
        <v>77</v>
      </c>
      <c r="J32" s="9" t="s">
        <v>2936</v>
      </c>
      <c r="K32" t="s">
        <v>3118</v>
      </c>
      <c r="L32" t="s">
        <v>3119</v>
      </c>
      <c r="M32" s="3" t="str">
        <f>HYPERLINK(склад2въезд[[#This Row],[RelativePath]])</f>
        <v>1 Ангар Склад 2 въезд\E33149364_6_20251114T130033Z.jpg</v>
      </c>
      <c r="N32" s="9" t="str">
        <f>VLOOKUP(склад2въезд[[#This Row],[Name]], СпрСобытий!$F:$G, 2, FALSE)</f>
        <v>Ангар Склад 2 въезд</v>
      </c>
    </row>
    <row r="33" spans="1:14" x14ac:dyDescent="0.25">
      <c r="A33" s="2" t="s">
        <v>17</v>
      </c>
      <c r="B33" s="4">
        <v>45975</v>
      </c>
      <c r="C33" s="5">
        <v>0.55090277777777774</v>
      </c>
      <c r="D33" s="9" t="s">
        <v>89</v>
      </c>
      <c r="E33" s="9" t="s">
        <v>66</v>
      </c>
      <c r="F33" s="9" t="s">
        <v>88</v>
      </c>
      <c r="G33">
        <v>1</v>
      </c>
      <c r="H33" s="9"/>
      <c r="I33" s="9" t="s">
        <v>78</v>
      </c>
      <c r="J33" s="9" t="s">
        <v>2936</v>
      </c>
      <c r="K33" t="s">
        <v>3120</v>
      </c>
      <c r="L33" t="s">
        <v>3121</v>
      </c>
      <c r="M33" s="3" t="str">
        <f>HYPERLINK(склад2въезд[[#This Row],[RelativePath]])</f>
        <v>1 Ангар Склад 2 въезд\E33149364_6_20251114T131318Z.jpg</v>
      </c>
      <c r="N33" s="9" t="str">
        <f>VLOOKUP(склад2въезд[[#This Row],[Name]], СпрСобытий!$F:$G, 2, FALSE)</f>
        <v>Ангар Склад 2 въезд</v>
      </c>
    </row>
    <row r="34" spans="1:14" x14ac:dyDescent="0.25">
      <c r="A34" s="2" t="s">
        <v>17</v>
      </c>
      <c r="B34" s="4">
        <v>45975</v>
      </c>
      <c r="C34" s="5">
        <v>0.55299768518518522</v>
      </c>
      <c r="D34" s="9" t="s">
        <v>62</v>
      </c>
      <c r="E34" s="9" t="s">
        <v>66</v>
      </c>
      <c r="F34" s="9" t="s">
        <v>51</v>
      </c>
      <c r="H34" s="9"/>
      <c r="I34" s="9" t="s">
        <v>79</v>
      </c>
      <c r="J34" s="9" t="s">
        <v>2936</v>
      </c>
      <c r="K34" t="s">
        <v>3122</v>
      </c>
      <c r="L34" t="s">
        <v>3123</v>
      </c>
      <c r="M34" s="3" t="str">
        <f>HYPERLINK(склад2въезд[[#This Row],[RelativePath]])</f>
        <v>1 Ангар Склад 2 въезд\E33149364_6_20251114T131619Z.jpg</v>
      </c>
      <c r="N34" s="9" t="str">
        <f>VLOOKUP(склад2въезд[[#This Row],[Name]], СпрСобытий!$F:$G, 2, FALSE)</f>
        <v>Ангар Склад 2 въезд</v>
      </c>
    </row>
    <row r="35" spans="1:14" x14ac:dyDescent="0.25">
      <c r="A35" s="2" t="s">
        <v>17</v>
      </c>
      <c r="B35" s="4">
        <v>45975</v>
      </c>
      <c r="C35" s="5">
        <v>0.56123842592592588</v>
      </c>
      <c r="D35" s="9" t="s">
        <v>89</v>
      </c>
      <c r="E35" s="9" t="s">
        <v>66</v>
      </c>
      <c r="F35" s="9" t="s">
        <v>88</v>
      </c>
      <c r="G35">
        <v>1</v>
      </c>
      <c r="H35" s="9"/>
      <c r="I35" s="9" t="s">
        <v>80</v>
      </c>
      <c r="J35" s="9" t="s">
        <v>2936</v>
      </c>
      <c r="K35" t="s">
        <v>3124</v>
      </c>
      <c r="L35" t="s">
        <v>3125</v>
      </c>
      <c r="M35" s="3" t="str">
        <f>HYPERLINK(склад2въезд[[#This Row],[RelativePath]])</f>
        <v>1 Ангар Склад 2 въезд\E33149364_6_20251114T132811Z.jpg</v>
      </c>
      <c r="N35" s="9" t="str">
        <f>VLOOKUP(склад2въезд[[#This Row],[Name]], СпрСобытий!$F:$G, 2, FALSE)</f>
        <v>Ангар Склад 2 въезд</v>
      </c>
    </row>
    <row r="36" spans="1:14" x14ac:dyDescent="0.25">
      <c r="A36" s="2" t="s">
        <v>17</v>
      </c>
      <c r="B36" s="4">
        <v>45975</v>
      </c>
      <c r="C36" s="5">
        <v>0.56293981481481481</v>
      </c>
      <c r="D36" s="9" t="s">
        <v>62</v>
      </c>
      <c r="E36" s="9" t="s">
        <v>66</v>
      </c>
      <c r="F36" s="9" t="s">
        <v>51</v>
      </c>
      <c r="H36" s="9"/>
      <c r="I36" s="9" t="s">
        <v>81</v>
      </c>
      <c r="J36" s="9" t="s">
        <v>2936</v>
      </c>
      <c r="K36" t="s">
        <v>3126</v>
      </c>
      <c r="L36" t="s">
        <v>3127</v>
      </c>
      <c r="M36" s="3" t="str">
        <f>HYPERLINK(склад2въезд[[#This Row],[RelativePath]])</f>
        <v>1 Ангар Склад 2 въезд\E33149364_6_20251114T133038Z.jpg</v>
      </c>
      <c r="N36" s="9" t="str">
        <f>VLOOKUP(склад2въезд[[#This Row],[Name]], СпрСобытий!$F:$G, 2, FALSE)</f>
        <v>Ангар Склад 2 въезд</v>
      </c>
    </row>
    <row r="37" spans="1:14" x14ac:dyDescent="0.25">
      <c r="A37" s="2" t="s">
        <v>17</v>
      </c>
      <c r="B37" s="4">
        <v>45975</v>
      </c>
      <c r="C37" s="5">
        <v>0.57114583333333335</v>
      </c>
      <c r="D37" s="9" t="s">
        <v>89</v>
      </c>
      <c r="E37" s="9" t="s">
        <v>66</v>
      </c>
      <c r="F37" s="9" t="s">
        <v>88</v>
      </c>
      <c r="G37">
        <v>1</v>
      </c>
      <c r="H37" s="9"/>
      <c r="I37" s="9" t="s">
        <v>82</v>
      </c>
      <c r="J37" s="9" t="s">
        <v>2936</v>
      </c>
      <c r="K37" t="s">
        <v>3128</v>
      </c>
      <c r="L37" t="s">
        <v>3129</v>
      </c>
      <c r="M37" s="3" t="str">
        <f>HYPERLINK(склад2въезд[[#This Row],[RelativePath]])</f>
        <v>1 Ангар Склад 2 въезд\E33149364_6_20251114T134227Z.jpg</v>
      </c>
      <c r="N37" s="9" t="str">
        <f>VLOOKUP(склад2въезд[[#This Row],[Name]], СпрСобытий!$F:$G, 2, FALSE)</f>
        <v>Ангар Склад 2 въезд</v>
      </c>
    </row>
    <row r="38" spans="1:14" x14ac:dyDescent="0.25">
      <c r="A38" s="2" t="s">
        <v>17</v>
      </c>
      <c r="B38" s="4">
        <v>45975</v>
      </c>
      <c r="C38" s="5">
        <v>0.57406250000000003</v>
      </c>
      <c r="D38" s="9" t="s">
        <v>62</v>
      </c>
      <c r="E38" s="9" t="s">
        <v>66</v>
      </c>
      <c r="F38" s="9" t="s">
        <v>51</v>
      </c>
      <c r="H38" s="9"/>
      <c r="I38" s="9" t="s">
        <v>83</v>
      </c>
      <c r="J38" s="9" t="s">
        <v>2936</v>
      </c>
      <c r="K38" t="s">
        <v>3130</v>
      </c>
      <c r="L38" t="s">
        <v>3131</v>
      </c>
      <c r="M38" s="3" t="str">
        <f>HYPERLINK(склад2въезд[[#This Row],[RelativePath]])</f>
        <v>1 Ангар Склад 2 въезд\E33149364_6_20251114T134639Z.jpg</v>
      </c>
      <c r="N38" s="9" t="str">
        <f>VLOOKUP(склад2въезд[[#This Row],[Name]], СпрСобытий!$F:$G, 2, FALSE)</f>
        <v>Ангар Склад 2 въезд</v>
      </c>
    </row>
    <row r="39" spans="1:14" x14ac:dyDescent="0.25">
      <c r="A39" s="2" t="s">
        <v>17</v>
      </c>
      <c r="B39" s="4">
        <v>45975</v>
      </c>
      <c r="C39" s="5">
        <v>0.60061342592592593</v>
      </c>
      <c r="D39" s="9" t="s">
        <v>91</v>
      </c>
      <c r="E39" s="9" t="s">
        <v>55</v>
      </c>
      <c r="F39" s="9" t="s">
        <v>51</v>
      </c>
      <c r="H39" s="9"/>
      <c r="I39" s="9" t="s">
        <v>84</v>
      </c>
      <c r="J39" s="9" t="s">
        <v>2936</v>
      </c>
      <c r="K39" t="s">
        <v>3132</v>
      </c>
      <c r="L39" t="s">
        <v>3133</v>
      </c>
      <c r="M39" s="3" t="str">
        <f>HYPERLINK(склад2въезд[[#This Row],[RelativePath]])</f>
        <v>1 Ангар Склад 2 въезд\E33149364_6_20251114T142453Z.jpg</v>
      </c>
      <c r="N39" s="9" t="str">
        <f>VLOOKUP(склад2въезд[[#This Row],[Name]], СпрСобытий!$F:$G, 2, FALSE)</f>
        <v>Ангар Склад 2 въезд</v>
      </c>
    </row>
    <row r="40" spans="1:14" x14ac:dyDescent="0.25">
      <c r="A40" s="2" t="s">
        <v>18</v>
      </c>
      <c r="B40" s="4">
        <v>45976</v>
      </c>
      <c r="C40" s="5">
        <v>0.43630787037037039</v>
      </c>
      <c r="D40" s="9" t="s">
        <v>91</v>
      </c>
      <c r="E40" s="9" t="s">
        <v>56</v>
      </c>
      <c r="F40" s="9" t="s">
        <v>1963</v>
      </c>
      <c r="H40" s="9"/>
      <c r="I40" s="9" t="s">
        <v>1080</v>
      </c>
      <c r="J40" s="9" t="s">
        <v>2936</v>
      </c>
      <c r="K40" t="s">
        <v>3134</v>
      </c>
      <c r="L40" t="s">
        <v>3135</v>
      </c>
      <c r="M40" s="3" t="str">
        <f>HYPERLINK(склад2въезд[[#This Row],[RelativePath]])</f>
        <v>1 Ангар Склад 2 въезд\E33149364_6_20251115T102817Z.jpg</v>
      </c>
      <c r="N40" s="9" t="str">
        <f>VLOOKUP(склад2въезд[[#This Row],[Name]], СпрСобытий!$F:$G, 2, FALSE)</f>
        <v>Ангар Склад 2 въезд</v>
      </c>
    </row>
    <row r="41" spans="1:14" x14ac:dyDescent="0.25">
      <c r="A41" s="2" t="s">
        <v>18</v>
      </c>
      <c r="B41" s="4">
        <v>45976</v>
      </c>
      <c r="C41" s="5">
        <v>0.44349537037037035</v>
      </c>
      <c r="D41" s="9" t="s">
        <v>62</v>
      </c>
      <c r="E41" s="9" t="s">
        <v>55</v>
      </c>
      <c r="F41" s="9" t="s">
        <v>1963</v>
      </c>
      <c r="H41" s="9"/>
      <c r="I41" s="9" t="s">
        <v>1081</v>
      </c>
      <c r="J41" s="9" t="s">
        <v>2936</v>
      </c>
      <c r="K41" t="s">
        <v>3136</v>
      </c>
      <c r="L41" t="s">
        <v>3137</v>
      </c>
      <c r="M41" s="3" t="str">
        <f>HYPERLINK(склад2въезд[[#This Row],[RelativePath]])</f>
        <v>1 Ангар Склад 2 въезд\E33149364_6_20251115T103838Z.jpg</v>
      </c>
      <c r="N41" s="9" t="str">
        <f>VLOOKUP(склад2въезд[[#This Row],[Name]], СпрСобытий!$F:$G, 2, FALSE)</f>
        <v>Ангар Склад 2 въезд</v>
      </c>
    </row>
    <row r="42" spans="1:14" x14ac:dyDescent="0.25">
      <c r="A42" s="2" t="s">
        <v>18</v>
      </c>
      <c r="B42" s="4">
        <v>45976</v>
      </c>
      <c r="C42" s="5">
        <v>0.46813657407407405</v>
      </c>
      <c r="D42" s="9" t="s">
        <v>91</v>
      </c>
      <c r="E42" s="9" t="s">
        <v>1964</v>
      </c>
      <c r="F42" s="9"/>
      <c r="H42" s="9"/>
      <c r="I42" s="9" t="s">
        <v>1082</v>
      </c>
      <c r="J42" s="9" t="s">
        <v>2936</v>
      </c>
      <c r="K42" t="s">
        <v>3138</v>
      </c>
      <c r="L42" t="s">
        <v>3139</v>
      </c>
      <c r="M42" s="3" t="str">
        <f>HYPERLINK(склад2въезд[[#This Row],[RelativePath]])</f>
        <v>1 Ангар Склад 2 въезд\E33149364_6_20251115T111407Z.jpg</v>
      </c>
      <c r="N42" s="9" t="str">
        <f>VLOOKUP(склад2въезд[[#This Row],[Name]], СпрСобытий!$F:$G, 2, FALSE)</f>
        <v>Ангар Склад 2 въезд</v>
      </c>
    </row>
    <row r="43" spans="1:14" x14ac:dyDescent="0.25">
      <c r="A43" s="2" t="s">
        <v>18</v>
      </c>
      <c r="B43" s="4">
        <v>45976</v>
      </c>
      <c r="C43" s="5">
        <v>0.49760416666666668</v>
      </c>
      <c r="D43" s="9" t="s">
        <v>62</v>
      </c>
      <c r="E43" s="9" t="s">
        <v>1964</v>
      </c>
      <c r="F43" s="9"/>
      <c r="H43" s="9"/>
      <c r="I43" s="9" t="s">
        <v>1083</v>
      </c>
      <c r="J43" s="9" t="s">
        <v>2936</v>
      </c>
      <c r="K43" t="s">
        <v>3140</v>
      </c>
      <c r="L43" t="s">
        <v>3141</v>
      </c>
      <c r="M43" s="3" t="str">
        <f>HYPERLINK(склад2въезд[[#This Row],[RelativePath]])</f>
        <v>1 Ангар Склад 2 въезд\E33149364_6_20251115T115633Z.jpg</v>
      </c>
      <c r="N43" s="9" t="str">
        <f>VLOOKUP(склад2въезд[[#This Row],[Name]], СпрСобытий!$F:$G, 2, FALSE)</f>
        <v>Ангар Склад 2 въезд</v>
      </c>
    </row>
    <row r="44" spans="1:14" x14ac:dyDescent="0.25">
      <c r="A44" s="2" t="s">
        <v>18</v>
      </c>
      <c r="B44" s="4">
        <v>45976</v>
      </c>
      <c r="C44" s="5">
        <v>0.62281249999999999</v>
      </c>
      <c r="D44" s="9" t="s">
        <v>91</v>
      </c>
      <c r="E44" s="9" t="s">
        <v>1965</v>
      </c>
      <c r="F44" s="9"/>
      <c r="H44" s="9"/>
      <c r="I44" s="9" t="s">
        <v>1084</v>
      </c>
      <c r="J44" s="9" t="s">
        <v>2936</v>
      </c>
      <c r="K44" t="s">
        <v>3142</v>
      </c>
      <c r="L44" t="s">
        <v>3143</v>
      </c>
      <c r="M44" s="3" t="str">
        <f>HYPERLINK(склад2въезд[[#This Row],[RelativePath]])</f>
        <v>1 Ангар Склад 2 въезд\E33149364_6_20251115T145651Z.jpg</v>
      </c>
      <c r="N44" s="9" t="str">
        <f>VLOOKUP(склад2въезд[[#This Row],[Name]], СпрСобытий!$F:$G, 2, FALSE)</f>
        <v>Ангар Склад 2 въезд</v>
      </c>
    </row>
    <row r="45" spans="1:14" x14ac:dyDescent="0.25">
      <c r="A45" s="2" t="s">
        <v>18</v>
      </c>
      <c r="B45" s="4">
        <v>45976</v>
      </c>
      <c r="C45" s="5">
        <v>0.63025462962962964</v>
      </c>
      <c r="D45" s="9" t="s">
        <v>91</v>
      </c>
      <c r="E45" s="9" t="s">
        <v>55</v>
      </c>
      <c r="F45" s="9" t="s">
        <v>1963</v>
      </c>
      <c r="H45" s="9"/>
      <c r="I45" s="9" t="s">
        <v>1085</v>
      </c>
      <c r="J45" s="9" t="s">
        <v>2936</v>
      </c>
      <c r="K45" t="s">
        <v>3144</v>
      </c>
      <c r="L45" t="s">
        <v>3145</v>
      </c>
      <c r="M45" s="3" t="str">
        <f>HYPERLINK(склад2въезд[[#This Row],[RelativePath]])</f>
        <v>1 Ангар Склад 2 въезд\E33149364_6_20251115T150734Z.jpg</v>
      </c>
      <c r="N45" s="9" t="str">
        <f>VLOOKUP(склад2въезд[[#This Row],[Name]], СпрСобытий!$F:$G, 2, FALSE)</f>
        <v>Ангар Склад 2 въезд</v>
      </c>
    </row>
    <row r="46" spans="1:14" x14ac:dyDescent="0.25">
      <c r="A46" s="2" t="s">
        <v>18</v>
      </c>
      <c r="B46" s="4">
        <v>45976</v>
      </c>
      <c r="C46" s="5">
        <v>0.64368055555555559</v>
      </c>
      <c r="D46" s="9" t="s">
        <v>62</v>
      </c>
      <c r="E46" s="9" t="s">
        <v>1965</v>
      </c>
      <c r="F46" s="9"/>
      <c r="H46" s="9"/>
      <c r="I46" s="9" t="s">
        <v>1086</v>
      </c>
      <c r="J46" s="9" t="s">
        <v>2936</v>
      </c>
      <c r="K46" t="s">
        <v>3146</v>
      </c>
      <c r="L46" t="s">
        <v>3147</v>
      </c>
      <c r="M46" s="3" t="str">
        <f>HYPERLINK(склад2въезд[[#This Row],[RelativePath]])</f>
        <v>1 Ангар Склад 2 въезд\E33149364_6_20251115T152654Z.jpg</v>
      </c>
      <c r="N46" s="9" t="str">
        <f>VLOOKUP(склад2въезд[[#This Row],[Name]], СпрСобытий!$F:$G, 2, FALSE)</f>
        <v>Ангар Склад 2 въезд</v>
      </c>
    </row>
    <row r="47" spans="1:14" x14ac:dyDescent="0.25">
      <c r="A47" s="2" t="s">
        <v>18</v>
      </c>
      <c r="B47" s="4">
        <v>45976</v>
      </c>
      <c r="C47" s="5">
        <v>0.63765046296296302</v>
      </c>
      <c r="D47" s="9" t="s">
        <v>62</v>
      </c>
      <c r="E47" s="9" t="s">
        <v>56</v>
      </c>
      <c r="F47" s="9" t="s">
        <v>200</v>
      </c>
      <c r="H47" s="9"/>
      <c r="I47" s="9" t="s">
        <v>1966</v>
      </c>
      <c r="J47" s="9" t="s">
        <v>2936</v>
      </c>
      <c r="K47" t="s">
        <v>3148</v>
      </c>
      <c r="L47" t="s">
        <v>3149</v>
      </c>
      <c r="M47" s="3" t="str">
        <f>HYPERLINK(склад2въезд[[#This Row],[RelativePath]])</f>
        <v>1 Ангар Склад 2 въезд\E33149364_6_20251115T151813Z.jpg</v>
      </c>
      <c r="N47" s="9" t="str">
        <f>VLOOKUP(склад2въезд[[#This Row],[Name]], СпрСобытий!$F:$G, 2, FALSE)</f>
        <v>Ангар Склад 2 въезд</v>
      </c>
    </row>
    <row r="48" spans="1:14" x14ac:dyDescent="0.25">
      <c r="A48" s="2" t="s">
        <v>13</v>
      </c>
      <c r="B48" s="4">
        <v>45978</v>
      </c>
      <c r="C48" s="5">
        <v>0.73159722222222223</v>
      </c>
      <c r="D48" s="9" t="s">
        <v>1967</v>
      </c>
      <c r="E48" s="9"/>
      <c r="F48" s="9"/>
      <c r="H48" s="9"/>
      <c r="I48" s="9" t="s">
        <v>2012</v>
      </c>
      <c r="J48" s="9" t="s">
        <v>2936</v>
      </c>
      <c r="K48" t="s">
        <v>3150</v>
      </c>
      <c r="L48" t="s">
        <v>3151</v>
      </c>
      <c r="M48" s="3" t="str">
        <f>HYPERLINK(склад2въезд[[#This Row],[RelativePath]])</f>
        <v>1 Ангар Склад 2 въезд\E33149364_6_20251117T173330Z.jpg</v>
      </c>
      <c r="N48" s="9" t="str">
        <f>VLOOKUP(склад2въезд[[#This Row],[Name]], СпрСобытий!$F:$G, 2, FALSE)</f>
        <v>Ангар Склад 2 въезд</v>
      </c>
    </row>
    <row r="49" spans="1:14" x14ac:dyDescent="0.25">
      <c r="A49" s="2" t="s">
        <v>14</v>
      </c>
      <c r="B49" s="4">
        <v>45979</v>
      </c>
      <c r="C49" s="5">
        <v>0.37914351851851852</v>
      </c>
      <c r="D49" s="9" t="s">
        <v>64</v>
      </c>
      <c r="E49" s="9" t="s">
        <v>70</v>
      </c>
      <c r="F49" s="9" t="s">
        <v>51</v>
      </c>
      <c r="H49" s="9"/>
      <c r="I49" s="9" t="s">
        <v>2013</v>
      </c>
      <c r="J49" s="9" t="s">
        <v>2936</v>
      </c>
      <c r="K49" t="s">
        <v>3152</v>
      </c>
      <c r="L49" t="s">
        <v>3153</v>
      </c>
      <c r="M49" s="3" t="str">
        <f>HYPERLINK(склад2въезд[[#This Row],[RelativePath]])</f>
        <v>1 Ангар Склад 2 въезд\E33149364_6_20251118T090558Z.jpg</v>
      </c>
      <c r="N49" s="9" t="str">
        <f>VLOOKUP(склад2въезд[[#This Row],[Name]], СпрСобытий!$F:$G, 2, FALSE)</f>
        <v>Ангар Склад 2 въезд</v>
      </c>
    </row>
    <row r="50" spans="1:14" x14ac:dyDescent="0.25">
      <c r="A50" s="2" t="s">
        <v>14</v>
      </c>
      <c r="B50" s="4">
        <v>45979</v>
      </c>
      <c r="C50" s="5">
        <v>0.40402777777777776</v>
      </c>
      <c r="D50" s="9" t="s">
        <v>62</v>
      </c>
      <c r="E50" s="9" t="s">
        <v>70</v>
      </c>
      <c r="F50" s="9" t="s">
        <v>58</v>
      </c>
      <c r="H50" s="9"/>
      <c r="I50" s="9" t="s">
        <v>2014</v>
      </c>
      <c r="J50" s="9" t="s">
        <v>2936</v>
      </c>
      <c r="K50" t="s">
        <v>3154</v>
      </c>
      <c r="L50" t="s">
        <v>3155</v>
      </c>
      <c r="M50" s="3" t="str">
        <f>HYPERLINK(склад2въезд[[#This Row],[RelativePath]])</f>
        <v>1 Ангар Склад 2 въезд\E33149364_6_20251118T094148Z.jpg</v>
      </c>
      <c r="N50" s="9" t="str">
        <f>VLOOKUP(склад2въезд[[#This Row],[Name]], СпрСобытий!$F:$G, 2, FALSE)</f>
        <v>Ангар Склад 2 въезд</v>
      </c>
    </row>
    <row r="51" spans="1:14" x14ac:dyDescent="0.25">
      <c r="A51" s="2" t="s">
        <v>14</v>
      </c>
      <c r="B51" s="4">
        <v>45979</v>
      </c>
      <c r="C51" s="5">
        <v>0.43164351851851851</v>
      </c>
      <c r="D51" s="9" t="s">
        <v>64</v>
      </c>
      <c r="E51" s="9" t="s">
        <v>2875</v>
      </c>
      <c r="F51" s="9" t="s">
        <v>2876</v>
      </c>
      <c r="H51" s="9"/>
      <c r="I51" s="9" t="s">
        <v>2015</v>
      </c>
      <c r="J51" s="9" t="s">
        <v>2936</v>
      </c>
      <c r="K51" t="s">
        <v>3156</v>
      </c>
      <c r="L51" t="s">
        <v>3157</v>
      </c>
      <c r="M51" s="3" t="str">
        <f>HYPERLINK(склад2въезд[[#This Row],[RelativePath]])</f>
        <v>1 Ангар Склад 2 въезд\E33149364_6_20251118T102134Z.jpg</v>
      </c>
      <c r="N51" s="9" t="str">
        <f>VLOOKUP(склад2въезд[[#This Row],[Name]], СпрСобытий!$F:$G, 2, FALSE)</f>
        <v>Ангар Склад 2 въезд</v>
      </c>
    </row>
    <row r="52" spans="1:14" x14ac:dyDescent="0.25">
      <c r="A52" s="2" t="s">
        <v>14</v>
      </c>
      <c r="B52" s="4">
        <v>45979</v>
      </c>
      <c r="C52" s="5">
        <v>0.43486111111111109</v>
      </c>
      <c r="D52" s="9" t="s">
        <v>62</v>
      </c>
      <c r="E52" s="9" t="s">
        <v>2875</v>
      </c>
      <c r="F52" s="9" t="s">
        <v>2877</v>
      </c>
      <c r="H52" s="9"/>
      <c r="I52" s="9" t="s">
        <v>2016</v>
      </c>
      <c r="J52" s="9" t="s">
        <v>2936</v>
      </c>
      <c r="K52" t="s">
        <v>3158</v>
      </c>
      <c r="L52" t="s">
        <v>3159</v>
      </c>
      <c r="M52" s="3" t="str">
        <f>HYPERLINK(склад2въезд[[#This Row],[RelativePath]])</f>
        <v>1 Ангар Склад 2 въезд\E33149364_6_20251118T102612Z.jpg</v>
      </c>
      <c r="N52" s="9" t="str">
        <f>VLOOKUP(склад2въезд[[#This Row],[Name]], СпрСобытий!$F:$G, 2, FALSE)</f>
        <v>Ангар Склад 2 въезд</v>
      </c>
    </row>
    <row r="53" spans="1:14" x14ac:dyDescent="0.25">
      <c r="A53" s="2" t="s">
        <v>14</v>
      </c>
      <c r="B53" s="4">
        <v>45979</v>
      </c>
      <c r="C53" s="5">
        <v>0.60865740740740737</v>
      </c>
      <c r="D53" s="9" t="s">
        <v>62</v>
      </c>
      <c r="E53" s="9" t="s">
        <v>2878</v>
      </c>
      <c r="F53" s="9" t="s">
        <v>58</v>
      </c>
      <c r="H53" s="9"/>
      <c r="I53" s="9" t="s">
        <v>2017</v>
      </c>
      <c r="J53" s="9" t="s">
        <v>2936</v>
      </c>
      <c r="K53" t="s">
        <v>3160</v>
      </c>
      <c r="L53" t="s">
        <v>3161</v>
      </c>
      <c r="M53" s="3" t="str">
        <f>HYPERLINK(склад2въезд[[#This Row],[RelativePath]])</f>
        <v>1 Ангар Склад 2 въезд\E33149364_6_20251118T143628Z.jpg</v>
      </c>
      <c r="N53" s="9" t="str">
        <f>VLOOKUP(склад2въезд[[#This Row],[Name]], СпрСобытий!$F:$G, 2, FALSE)</f>
        <v>Ангар Склад 2 въезд</v>
      </c>
    </row>
    <row r="54" spans="1:14" x14ac:dyDescent="0.25">
      <c r="A54" s="2" t="s">
        <v>15</v>
      </c>
      <c r="B54" s="4">
        <v>45980</v>
      </c>
      <c r="C54" s="5">
        <v>0.45783564814814814</v>
      </c>
      <c r="D54" s="9" t="s">
        <v>64</v>
      </c>
      <c r="E54" s="9" t="s">
        <v>70</v>
      </c>
      <c r="F54" s="9" t="s">
        <v>51</v>
      </c>
      <c r="H54" s="9"/>
      <c r="I54" s="9" t="s">
        <v>2018</v>
      </c>
      <c r="J54" s="9" t="s">
        <v>2936</v>
      </c>
      <c r="K54" t="s">
        <v>3162</v>
      </c>
      <c r="L54" t="s">
        <v>3163</v>
      </c>
      <c r="M54" s="3" t="str">
        <f>HYPERLINK(склад2въезд[[#This Row],[RelativePath]])</f>
        <v>1 Ангар Склад 2 въезд\E33149364_6_20251119T105917Z.jpg</v>
      </c>
      <c r="N54" s="9" t="str">
        <f>VLOOKUP(склад2въезд[[#This Row],[Name]], СпрСобытий!$F:$G, 2, FALSE)</f>
        <v>Ангар Склад 2 въезд</v>
      </c>
    </row>
    <row r="55" spans="1:14" x14ac:dyDescent="0.25">
      <c r="A55" s="2" t="s">
        <v>15</v>
      </c>
      <c r="B55" s="4">
        <v>45980</v>
      </c>
      <c r="C55" s="5">
        <v>0.48494212962962963</v>
      </c>
      <c r="D55" s="9" t="s">
        <v>62</v>
      </c>
      <c r="E55" s="9" t="s">
        <v>70</v>
      </c>
      <c r="F55" s="9" t="s">
        <v>58</v>
      </c>
      <c r="H55" s="9"/>
      <c r="I55" s="9" t="s">
        <v>2019</v>
      </c>
      <c r="J55" s="9" t="s">
        <v>2936</v>
      </c>
      <c r="K55" t="s">
        <v>3164</v>
      </c>
      <c r="L55" t="s">
        <v>3165</v>
      </c>
      <c r="M55" s="3" t="str">
        <f>HYPERLINK(склад2въезд[[#This Row],[RelativePath]])</f>
        <v>1 Ангар Склад 2 въезд\E33149364_6_20251119T113819Z.jpg</v>
      </c>
      <c r="N55" s="9" t="str">
        <f>VLOOKUP(склад2въезд[[#This Row],[Name]], СпрСобытий!$F:$G, 2, FALSE)</f>
        <v>Ангар Склад 2 въезд</v>
      </c>
    </row>
    <row r="56" spans="1:14" x14ac:dyDescent="0.25">
      <c r="A56" s="2" t="s">
        <v>15</v>
      </c>
      <c r="B56" s="4">
        <v>45980</v>
      </c>
      <c r="C56" s="5">
        <v>0.49100694444444443</v>
      </c>
      <c r="D56" s="9" t="s">
        <v>91</v>
      </c>
      <c r="E56" s="9" t="s">
        <v>1965</v>
      </c>
      <c r="F56" s="9"/>
      <c r="H56" s="9"/>
      <c r="I56" s="9" t="s">
        <v>2020</v>
      </c>
      <c r="J56" s="9" t="s">
        <v>2936</v>
      </c>
      <c r="K56" t="s">
        <v>3166</v>
      </c>
      <c r="L56" t="s">
        <v>3167</v>
      </c>
      <c r="M56" s="3" t="str">
        <f>HYPERLINK(склад2въезд[[#This Row],[RelativePath]])</f>
        <v>1 Ангар Склад 2 въезд\E33149364_6_20251119T114703Z.jpg</v>
      </c>
      <c r="N56" s="9" t="str">
        <f>VLOOKUP(склад2въезд[[#This Row],[Name]], СпрСобытий!$F:$G, 2, FALSE)</f>
        <v>Ангар Склад 2 въезд</v>
      </c>
    </row>
    <row r="57" spans="1:14" x14ac:dyDescent="0.25">
      <c r="A57" s="2" t="s">
        <v>15</v>
      </c>
      <c r="B57" s="4">
        <v>45980</v>
      </c>
      <c r="C57" s="5">
        <v>0.49490740740740741</v>
      </c>
      <c r="D57" s="9" t="s">
        <v>62</v>
      </c>
      <c r="E57" s="9" t="s">
        <v>1965</v>
      </c>
      <c r="F57" s="9"/>
      <c r="H57" s="9"/>
      <c r="I57" s="9" t="s">
        <v>2021</v>
      </c>
      <c r="J57" s="9" t="s">
        <v>2936</v>
      </c>
      <c r="K57" t="s">
        <v>3168</v>
      </c>
      <c r="L57" t="s">
        <v>3169</v>
      </c>
      <c r="M57" s="3" t="str">
        <f>HYPERLINK(склад2въезд[[#This Row],[RelativePath]])</f>
        <v>1 Ангар Склад 2 въезд\E33149364_6_20251119T115240Z.jpg</v>
      </c>
      <c r="N57" s="9" t="str">
        <f>VLOOKUP(склад2въезд[[#This Row],[Name]], СпрСобытий!$F:$G, 2, FALSE)</f>
        <v>Ангар Склад 2 въезд</v>
      </c>
    </row>
    <row r="58" spans="1:14" x14ac:dyDescent="0.25">
      <c r="A58" s="2" t="s">
        <v>16</v>
      </c>
      <c r="B58" s="4">
        <v>45981</v>
      </c>
      <c r="C58" s="5">
        <v>0.7010763888888889</v>
      </c>
      <c r="D58" s="9" t="s">
        <v>1967</v>
      </c>
      <c r="E58" s="9"/>
      <c r="F58" s="9"/>
      <c r="H58" s="9"/>
      <c r="I58" s="9" t="s">
        <v>2022</v>
      </c>
      <c r="J58" s="9" t="s">
        <v>2936</v>
      </c>
      <c r="K58" t="s">
        <v>3170</v>
      </c>
      <c r="L58" t="s">
        <v>3171</v>
      </c>
      <c r="M58" s="3" t="str">
        <f>HYPERLINK(склад2въезд[[#This Row],[RelativePath]])</f>
        <v>1 Ангар Склад 2 въезд\E33149364_6_20251120T164933Z.jpg</v>
      </c>
      <c r="N58" s="9" t="str">
        <f>VLOOKUP(склад2въезд[[#This Row],[Name]], СпрСобытий!$F:$G, 2, FALSE)</f>
        <v>Ангар Склад 2 въезд</v>
      </c>
    </row>
    <row r="59" spans="1:14" x14ac:dyDescent="0.25">
      <c r="A59" s="2" t="s">
        <v>17</v>
      </c>
      <c r="B59" s="4">
        <v>45982</v>
      </c>
      <c r="C59" s="5">
        <v>0.45726851851851852</v>
      </c>
      <c r="D59" s="9" t="s">
        <v>91</v>
      </c>
      <c r="E59" s="9" t="s">
        <v>70</v>
      </c>
      <c r="F59" s="9"/>
      <c r="H59" s="9"/>
      <c r="I59" s="9" t="s">
        <v>2023</v>
      </c>
      <c r="J59" s="9" t="s">
        <v>2936</v>
      </c>
      <c r="K59" t="s">
        <v>3172</v>
      </c>
      <c r="L59" t="s">
        <v>3173</v>
      </c>
      <c r="M59" s="3" t="str">
        <f>HYPERLINK(склад2въезд[[#This Row],[RelativePath]])</f>
        <v>1 Ангар Склад 2 въезд\E33149364_6_20251121T105828Z.jpg</v>
      </c>
      <c r="N59" s="9" t="str">
        <f>VLOOKUP(склад2въезд[[#This Row],[Name]], СпрСобытий!$F:$G, 2, FALSE)</f>
        <v>Ангар Склад 2 въезд</v>
      </c>
    </row>
    <row r="60" spans="1:14" x14ac:dyDescent="0.25">
      <c r="A60" s="2" t="s">
        <v>17</v>
      </c>
      <c r="B60" s="4">
        <v>45982</v>
      </c>
      <c r="C60" s="5">
        <v>0.4588888888888889</v>
      </c>
      <c r="D60" s="9" t="s">
        <v>62</v>
      </c>
      <c r="E60" s="9" t="s">
        <v>70</v>
      </c>
      <c r="F60" s="9"/>
      <c r="H60" s="9" t="s">
        <v>2879</v>
      </c>
      <c r="I60" s="9" t="s">
        <v>2024</v>
      </c>
      <c r="J60" s="9" t="s">
        <v>2936</v>
      </c>
      <c r="K60" t="s">
        <v>3174</v>
      </c>
      <c r="L60" t="s">
        <v>3175</v>
      </c>
      <c r="M60" s="3" t="str">
        <f>HYPERLINK(склад2въезд[[#This Row],[RelativePath]])</f>
        <v>1 Ангар Склад 2 въезд\E33149364_6_20251121T110048Z.jpg</v>
      </c>
      <c r="N60" s="9" t="str">
        <f>VLOOKUP(склад2въезд[[#This Row],[Name]], СпрСобытий!$F:$G, 2, FALSE)</f>
        <v>Ангар Склад 2 въезд</v>
      </c>
    </row>
    <row r="61" spans="1:14" x14ac:dyDescent="0.25">
      <c r="A61" s="2" t="s">
        <v>18</v>
      </c>
      <c r="B61" s="4">
        <v>45983</v>
      </c>
      <c r="C61" s="5">
        <v>0.58160879629629625</v>
      </c>
      <c r="D61" s="9" t="s">
        <v>1967</v>
      </c>
      <c r="E61" s="9"/>
      <c r="F61" s="9"/>
      <c r="H61" s="9"/>
      <c r="I61" s="9" t="s">
        <v>2025</v>
      </c>
      <c r="J61" s="9" t="s">
        <v>2936</v>
      </c>
      <c r="K61" t="s">
        <v>3176</v>
      </c>
      <c r="L61" t="s">
        <v>3177</v>
      </c>
      <c r="M61" s="3" t="str">
        <f>HYPERLINK(склад2въезд[[#This Row],[RelativePath]])</f>
        <v>1 Ангар Склад 2 въезд\E33149364_6_20251122T135731Z.jpg</v>
      </c>
      <c r="N61" s="9" t="str">
        <f>VLOOKUP(склад2въезд[[#This Row],[Name]], СпрСобытий!$F:$G, 2, FALSE)</f>
        <v>Ангар Склад 2 въезд</v>
      </c>
    </row>
    <row r="62" spans="1:14" x14ac:dyDescent="0.25">
      <c r="A62" s="2" t="s">
        <v>22</v>
      </c>
      <c r="B62" s="4">
        <v>45984</v>
      </c>
      <c r="C62" s="5">
        <v>0.6568518518518518</v>
      </c>
      <c r="D62" s="9" t="s">
        <v>1967</v>
      </c>
      <c r="E62" s="9"/>
      <c r="F62" s="9"/>
      <c r="H62" s="9"/>
      <c r="I62" s="9" t="s">
        <v>2026</v>
      </c>
      <c r="J62" s="9" t="s">
        <v>2936</v>
      </c>
      <c r="K62" t="s">
        <v>3178</v>
      </c>
      <c r="L62" t="s">
        <v>3179</v>
      </c>
      <c r="M62" s="3" t="str">
        <f>HYPERLINK(склад2въезд[[#This Row],[RelativePath]])</f>
        <v>1 Ангар Склад 2 въезд\E33149364_6_20251123T154552Z.jpg</v>
      </c>
      <c r="N62" s="9" t="str">
        <f>VLOOKUP(склад2въезд[[#This Row],[Name]], СпрСобытий!$F:$G, 2, FALSE)</f>
        <v>Ангар Склад 2 въезд</v>
      </c>
    </row>
    <row r="63" spans="1:14" x14ac:dyDescent="0.25">
      <c r="A63" s="2" t="s">
        <v>13</v>
      </c>
      <c r="B63" s="4">
        <v>45985</v>
      </c>
      <c r="C63" s="5">
        <v>0.56336805555555558</v>
      </c>
      <c r="D63" s="9" t="s">
        <v>91</v>
      </c>
      <c r="E63" s="9" t="s">
        <v>70</v>
      </c>
      <c r="F63" s="9"/>
      <c r="H63" s="9"/>
      <c r="I63" s="9" t="s">
        <v>2949</v>
      </c>
      <c r="J63" s="9" t="s">
        <v>2936</v>
      </c>
      <c r="K63" t="s">
        <v>2950</v>
      </c>
      <c r="L63" t="s">
        <v>2951</v>
      </c>
      <c r="M63" s="3" t="str">
        <f>HYPERLINK(склад2въезд[[#This Row],[RelativePath]])</f>
        <v>1 Ангар Склад 2 въезд\E33149364_6_20251124T133115Z.jpg</v>
      </c>
      <c r="N63" s="9" t="str">
        <f>VLOOKUP(склад2въезд[[#This Row],[Name]], СпрСобытий!$F:$G, 2, FALSE)</f>
        <v>Ангар Склад 2 въезд</v>
      </c>
    </row>
    <row r="64" spans="1:14" x14ac:dyDescent="0.25">
      <c r="A64" s="2" t="s">
        <v>13</v>
      </c>
      <c r="B64" s="4">
        <v>45985</v>
      </c>
      <c r="C64" s="5">
        <v>0.56994212962962965</v>
      </c>
      <c r="D64" s="9" t="s">
        <v>62</v>
      </c>
      <c r="E64" s="9" t="s">
        <v>70</v>
      </c>
      <c r="F64" s="9"/>
      <c r="H64" s="9"/>
      <c r="I64" s="9" t="s">
        <v>2952</v>
      </c>
      <c r="J64" s="9" t="s">
        <v>2936</v>
      </c>
      <c r="K64" t="s">
        <v>2953</v>
      </c>
      <c r="L64" t="s">
        <v>2954</v>
      </c>
      <c r="M64" s="3" t="str">
        <f>HYPERLINK(склад2въезд[[#This Row],[RelativePath]])</f>
        <v>1 Ангар Склад 2 въезд\E33149364_6_20251124T134043Z.jpg</v>
      </c>
      <c r="N64" s="9" t="str">
        <f>VLOOKUP(склад2въезд[[#This Row],[Name]], СпрСобытий!$F:$G, 2, FALSE)</f>
        <v>Ангар Склад 2 въезд</v>
      </c>
    </row>
    <row r="65" spans="1:14" x14ac:dyDescent="0.25">
      <c r="A65" s="2" t="s">
        <v>13</v>
      </c>
      <c r="B65" s="4">
        <v>45985</v>
      </c>
      <c r="C65" s="5">
        <v>0.70803240740740736</v>
      </c>
      <c r="D65" s="9" t="s">
        <v>2973</v>
      </c>
      <c r="E65" s="9" t="s">
        <v>1570</v>
      </c>
      <c r="F65" s="9" t="s">
        <v>2884</v>
      </c>
      <c r="H65" s="9"/>
      <c r="I65" s="9" t="s">
        <v>2955</v>
      </c>
      <c r="J65" s="9" t="s">
        <v>2936</v>
      </c>
      <c r="K65" t="s">
        <v>2956</v>
      </c>
      <c r="L65" t="s">
        <v>2957</v>
      </c>
      <c r="M65" s="3" t="str">
        <f>HYPERLINK(склад2въезд[[#This Row],[RelativePath]])</f>
        <v>1 Ангар Склад 2 въезд\E33149364_6_20251124T165934Z.jpg</v>
      </c>
      <c r="N65" s="9" t="str">
        <f>VLOOKUP(склад2въезд[[#This Row],[Name]], СпрСобытий!$F:$G, 2, FALSE)</f>
        <v>Ангар Склад 2 въезд</v>
      </c>
    </row>
    <row r="66" spans="1:14" x14ac:dyDescent="0.25">
      <c r="A66" s="2" t="s">
        <v>13</v>
      </c>
      <c r="B66" s="4">
        <v>45985</v>
      </c>
      <c r="C66" s="5">
        <v>0.73373842592592597</v>
      </c>
      <c r="D66" s="9" t="s">
        <v>91</v>
      </c>
      <c r="E66" s="9" t="s">
        <v>70</v>
      </c>
      <c r="F66" s="9" t="s">
        <v>58</v>
      </c>
      <c r="H66" s="9"/>
      <c r="I66" s="9" t="s">
        <v>2958</v>
      </c>
      <c r="J66" s="9" t="s">
        <v>2936</v>
      </c>
      <c r="K66" t="s">
        <v>2959</v>
      </c>
      <c r="L66" t="s">
        <v>2960</v>
      </c>
      <c r="M66" s="3" t="str">
        <f>HYPERLINK(склад2въезд[[#This Row],[RelativePath]])</f>
        <v>1 Ангар Склад 2 въезд\E33149364_6_20251124T173635Z.jpg</v>
      </c>
      <c r="N66" s="9" t="str">
        <f>VLOOKUP(склад2въезд[[#This Row],[Name]], СпрСобытий!$F:$G, 2, FALSE)</f>
        <v>Ангар Склад 2 въезд</v>
      </c>
    </row>
    <row r="67" spans="1:14" x14ac:dyDescent="0.25">
      <c r="A67" s="2" t="s">
        <v>13</v>
      </c>
      <c r="B67" s="4">
        <v>45985</v>
      </c>
      <c r="C67" s="5">
        <v>0.7581134259259259</v>
      </c>
      <c r="D67" s="9" t="s">
        <v>62</v>
      </c>
      <c r="E67" s="9" t="s">
        <v>70</v>
      </c>
      <c r="F67" s="9" t="s">
        <v>51</v>
      </c>
      <c r="H67" s="9"/>
      <c r="I67" s="9" t="s">
        <v>2961</v>
      </c>
      <c r="J67" s="9" t="s">
        <v>2936</v>
      </c>
      <c r="K67" t="s">
        <v>2962</v>
      </c>
      <c r="L67" t="s">
        <v>2963</v>
      </c>
      <c r="M67" s="3" t="str">
        <f>HYPERLINK(склад2въезд[[#This Row],[RelativePath]])</f>
        <v>1 Ангар Склад 2 въезд\E33149364_6_20251124T181141Z.jpg</v>
      </c>
      <c r="N67" s="9" t="str">
        <f>VLOOKUP(склад2въезд[[#This Row],[Name]], СпрСобытий!$F:$G, 2, FALSE)</f>
        <v>Ангар Склад 2 въезд</v>
      </c>
    </row>
    <row r="68" spans="1:14" x14ac:dyDescent="0.25">
      <c r="A68" s="2" t="s">
        <v>14</v>
      </c>
      <c r="B68" s="4">
        <v>45986</v>
      </c>
      <c r="C68" s="5">
        <v>0.64554398148148151</v>
      </c>
      <c r="D68" s="9" t="s">
        <v>91</v>
      </c>
      <c r="E68" s="9" t="s">
        <v>70</v>
      </c>
      <c r="F68" s="9" t="s">
        <v>58</v>
      </c>
      <c r="H68" s="9"/>
      <c r="I68" s="9" t="s">
        <v>2964</v>
      </c>
      <c r="J68" s="9" t="s">
        <v>2936</v>
      </c>
      <c r="K68" t="s">
        <v>2965</v>
      </c>
      <c r="L68" t="s">
        <v>2966</v>
      </c>
      <c r="M68" s="3" t="str">
        <f>HYPERLINK(склад2въезд[[#This Row],[RelativePath]])</f>
        <v>1 Ангар Склад 2 въезд\E33149364_6_20251125T152935Z.jpg</v>
      </c>
      <c r="N68" s="9" t="str">
        <f>VLOOKUP(склад2въезд[[#This Row],[Name]], СпрСобытий!$F:$G, 2, FALSE)</f>
        <v>Ангар Склад 2 въезд</v>
      </c>
    </row>
    <row r="69" spans="1:14" x14ac:dyDescent="0.25">
      <c r="A69" s="2" t="s">
        <v>14</v>
      </c>
      <c r="B69" s="4">
        <v>45986</v>
      </c>
      <c r="C69" s="5">
        <v>0.64939814814814811</v>
      </c>
      <c r="D69" s="9" t="s">
        <v>2974</v>
      </c>
      <c r="E69" s="9" t="s">
        <v>70</v>
      </c>
      <c r="F69" s="9" t="s">
        <v>58</v>
      </c>
      <c r="H69" s="9"/>
      <c r="I69" s="9" t="s">
        <v>2967</v>
      </c>
      <c r="J69" s="9" t="s">
        <v>2936</v>
      </c>
      <c r="K69" t="s">
        <v>2968</v>
      </c>
      <c r="L69" t="s">
        <v>2969</v>
      </c>
      <c r="M69" s="3" t="str">
        <f>HYPERLINK(склад2въезд[[#This Row],[RelativePath]])</f>
        <v>1 Ангар Склад 2 въезд\E33149364_6_20251125T153508Z.jpg</v>
      </c>
      <c r="N69" s="9" t="str">
        <f>VLOOKUP(склад2въезд[[#This Row],[Name]], СпрСобытий!$F:$G, 2, FALSE)</f>
        <v>Ангар Склад 2 въезд</v>
      </c>
    </row>
    <row r="70" spans="1:14" x14ac:dyDescent="0.25">
      <c r="A70" s="2" t="s">
        <v>14</v>
      </c>
      <c r="B70" s="4">
        <v>45986</v>
      </c>
      <c r="C70" s="5">
        <v>0.64962962962962967</v>
      </c>
      <c r="D70" s="9" t="s">
        <v>2974</v>
      </c>
      <c r="E70" s="9" t="s">
        <v>70</v>
      </c>
      <c r="F70" s="9" t="s">
        <v>58</v>
      </c>
      <c r="H70" s="9" t="s">
        <v>2891</v>
      </c>
      <c r="I70" s="9" t="s">
        <v>2970</v>
      </c>
      <c r="J70" s="9" t="s">
        <v>2936</v>
      </c>
      <c r="K70" t="s">
        <v>2971</v>
      </c>
      <c r="L70" t="s">
        <v>2972</v>
      </c>
      <c r="M70" s="3" t="str">
        <f>HYPERLINK(склад2въезд[[#This Row],[RelativePath]])</f>
        <v>1 Ангар Склад 2 въезд\E33149364_6_20251125T153528Z.jpg</v>
      </c>
      <c r="N70" s="9" t="str">
        <f>VLOOKUP(склад2въезд[[#This Row],[Name]], СпрСобытий!$F:$G, 2, FALSE)</f>
        <v>Ангар Склад 2 въезд</v>
      </c>
    </row>
    <row r="71" spans="1:14" x14ac:dyDescent="0.25">
      <c r="A71" s="2" t="s">
        <v>15</v>
      </c>
      <c r="B71" s="4">
        <v>45987</v>
      </c>
      <c r="C71" s="5">
        <v>0.43335648148148148</v>
      </c>
      <c r="D71" s="9" t="s">
        <v>4131</v>
      </c>
      <c r="E71" s="9" t="s">
        <v>4133</v>
      </c>
      <c r="F71" s="9" t="s">
        <v>51</v>
      </c>
      <c r="H71" s="9"/>
      <c r="I71" s="9" t="s">
        <v>3180</v>
      </c>
      <c r="J71" s="9" t="s">
        <v>2936</v>
      </c>
      <c r="K71" t="s">
        <v>3181</v>
      </c>
      <c r="L71" t="s">
        <v>3182</v>
      </c>
      <c r="M71" s="3" t="str">
        <f>HYPERLINK(склад2въезд[[#This Row],[RelativePath]])</f>
        <v>1 Ангар Склад 2 въезд\E33149364_6_20251126T102402Z.jpg</v>
      </c>
      <c r="N71" s="9" t="str">
        <f>VLOOKUP(склад2въезд[[#This Row],[Name]], СпрСобытий!$F:$G, 2, FALSE)</f>
        <v>Ангар Склад 2 въезд</v>
      </c>
    </row>
    <row r="72" spans="1:14" x14ac:dyDescent="0.25">
      <c r="A72" s="2" t="s">
        <v>15</v>
      </c>
      <c r="B72" s="4">
        <v>45987</v>
      </c>
      <c r="C72" s="5">
        <v>0.45240740740740742</v>
      </c>
      <c r="D72" s="9" t="s">
        <v>85</v>
      </c>
      <c r="E72" s="9" t="s">
        <v>4133</v>
      </c>
      <c r="F72" s="9" t="s">
        <v>58</v>
      </c>
      <c r="H72" s="9"/>
      <c r="I72" s="9" t="s">
        <v>3183</v>
      </c>
      <c r="J72" s="9" t="s">
        <v>2936</v>
      </c>
      <c r="K72" t="s">
        <v>3184</v>
      </c>
      <c r="L72" t="s">
        <v>3185</v>
      </c>
      <c r="M72" s="3" t="str">
        <f>HYPERLINK(склад2въезд[[#This Row],[RelativePath]])</f>
        <v>1 Ангар Склад 2 въезд\E33149364_6_20251126T105128Z.jpg</v>
      </c>
      <c r="N72" s="9" t="str">
        <f>VLOOKUP(склад2въезд[[#This Row],[Name]], СпрСобытий!$F:$G, 2, FALSE)</f>
        <v>Ангар Склад 2 въезд</v>
      </c>
    </row>
    <row r="73" spans="1:14" x14ac:dyDescent="0.25">
      <c r="A73" s="2" t="s">
        <v>15</v>
      </c>
      <c r="B73" s="4">
        <v>45987</v>
      </c>
      <c r="C73" s="5">
        <v>0.45245370370370369</v>
      </c>
      <c r="D73" s="9" t="s">
        <v>91</v>
      </c>
      <c r="E73" s="9" t="s">
        <v>4133</v>
      </c>
      <c r="F73" s="9" t="s">
        <v>58</v>
      </c>
      <c r="H73" s="9"/>
      <c r="I73" s="9" t="s">
        <v>3186</v>
      </c>
      <c r="J73" s="9" t="s">
        <v>2936</v>
      </c>
      <c r="K73" t="s">
        <v>3187</v>
      </c>
      <c r="L73" t="s">
        <v>3188</v>
      </c>
      <c r="M73" s="3" t="str">
        <f>HYPERLINK(склад2въезд[[#This Row],[RelativePath]])</f>
        <v>1 Ангар Склад 2 въезд\E33149364_6_20251126T105132Z.jpg</v>
      </c>
      <c r="N73" s="9" t="str">
        <f>VLOOKUP(склад2въезд[[#This Row],[Name]], СпрСобытий!$F:$G, 2, FALSE)</f>
        <v>Ангар Склад 2 въезд</v>
      </c>
    </row>
    <row r="74" spans="1:14" x14ac:dyDescent="0.25">
      <c r="A74" s="2" t="s">
        <v>15</v>
      </c>
      <c r="B74" s="4">
        <v>45987</v>
      </c>
      <c r="C74" s="5">
        <v>0.45469907407407406</v>
      </c>
      <c r="D74" s="9" t="s">
        <v>62</v>
      </c>
      <c r="E74" s="9" t="s">
        <v>4133</v>
      </c>
      <c r="F74" s="9" t="s">
        <v>58</v>
      </c>
      <c r="H74" s="9"/>
      <c r="I74" s="9" t="s">
        <v>3189</v>
      </c>
      <c r="J74" s="9" t="s">
        <v>2936</v>
      </c>
      <c r="K74" t="s">
        <v>3190</v>
      </c>
      <c r="L74" t="s">
        <v>3191</v>
      </c>
      <c r="M74" s="3" t="str">
        <f>HYPERLINK(склад2въезд[[#This Row],[RelativePath]])</f>
        <v>1 Ангар Склад 2 въезд\E33149364_6_20251126T105446Z.jpg</v>
      </c>
      <c r="N74" s="9" t="str">
        <f>VLOOKUP(склад2въезд[[#This Row],[Name]], СпрСобытий!$F:$G, 2, FALSE)</f>
        <v>Ангар Склад 2 въезд</v>
      </c>
    </row>
    <row r="75" spans="1:14" x14ac:dyDescent="0.25">
      <c r="A75" s="2" t="s">
        <v>16</v>
      </c>
      <c r="B75" s="4">
        <v>45988</v>
      </c>
      <c r="C75" s="5">
        <v>0.50150462962962961</v>
      </c>
      <c r="D75" s="9" t="s">
        <v>4131</v>
      </c>
      <c r="E75" s="9" t="s">
        <v>4132</v>
      </c>
      <c r="F75" s="9"/>
      <c r="H75" s="9"/>
      <c r="I75" s="9" t="s">
        <v>3192</v>
      </c>
      <c r="J75" s="9" t="s">
        <v>2936</v>
      </c>
      <c r="K75" t="s">
        <v>3193</v>
      </c>
      <c r="L75" t="s">
        <v>3194</v>
      </c>
      <c r="M75" s="3" t="str">
        <f>HYPERLINK(склад2въезд[[#This Row],[RelativePath]])</f>
        <v>1 Ангар Склад 2 въезд\E33149364_6_20251127T120210Z.jpg</v>
      </c>
      <c r="N75" s="9" t="str">
        <f>VLOOKUP(склад2въезд[[#This Row],[Name]], СпрСобытий!$F:$G, 2, FALSE)</f>
        <v>Ангар Склад 2 въезд</v>
      </c>
    </row>
    <row r="76" spans="1:14" x14ac:dyDescent="0.25">
      <c r="A76" s="2" t="s">
        <v>16</v>
      </c>
      <c r="B76" s="4">
        <v>45988</v>
      </c>
      <c r="C76" s="5">
        <v>0.54246527777777775</v>
      </c>
      <c r="D76" s="9" t="s">
        <v>85</v>
      </c>
      <c r="E76" s="9" t="s">
        <v>4132</v>
      </c>
      <c r="F76" s="9"/>
      <c r="H76" s="9"/>
      <c r="I76" s="9" t="s">
        <v>3195</v>
      </c>
      <c r="J76" s="9" t="s">
        <v>2936</v>
      </c>
      <c r="K76" t="s">
        <v>3196</v>
      </c>
      <c r="L76" t="s">
        <v>3197</v>
      </c>
      <c r="M76" s="3" t="str">
        <f>HYPERLINK(склад2въезд[[#This Row],[RelativePath]])</f>
        <v>1 Ангар Склад 2 въезд\E33149364_6_20251127T130109Z.jpg</v>
      </c>
      <c r="N76" s="9" t="str">
        <f>VLOOKUP(склад2въезд[[#This Row],[Name]], СпрСобытий!$F:$G, 2, FALSE)</f>
        <v>Ангар Склад 2 въезд</v>
      </c>
    </row>
    <row r="77" spans="1:14" x14ac:dyDescent="0.25">
      <c r="A77" s="2" t="s">
        <v>17</v>
      </c>
      <c r="B77" s="4">
        <v>45989</v>
      </c>
      <c r="C77" s="5">
        <v>0.45510416666666664</v>
      </c>
      <c r="D77" s="9" t="s">
        <v>64</v>
      </c>
      <c r="E77" s="9" t="s">
        <v>4134</v>
      </c>
      <c r="F77" s="9"/>
      <c r="H77" s="9"/>
      <c r="I77" s="9" t="s">
        <v>3198</v>
      </c>
      <c r="J77" s="9" t="s">
        <v>2936</v>
      </c>
      <c r="K77" t="s">
        <v>3199</v>
      </c>
      <c r="L77" t="s">
        <v>3200</v>
      </c>
      <c r="M77" s="3" t="str">
        <f>HYPERLINK(склад2въезд[[#This Row],[RelativePath]])</f>
        <v>1 Ангар Склад 2 въезд\E33149364_6_20251128T105521Z.jpg</v>
      </c>
      <c r="N77" s="9" t="str">
        <f>VLOOKUP(склад2въезд[[#This Row],[Name]], СпрСобытий!$F:$G, 2, FALSE)</f>
        <v>Ангар Склад 2 въезд</v>
      </c>
    </row>
    <row r="78" spans="1:14" x14ac:dyDescent="0.25">
      <c r="A78" s="2" t="s">
        <v>17</v>
      </c>
      <c r="B78" s="4">
        <v>45989</v>
      </c>
      <c r="C78" s="5">
        <v>0.50700231481481484</v>
      </c>
      <c r="D78" s="9" t="s">
        <v>85</v>
      </c>
      <c r="E78" s="9" t="s">
        <v>4134</v>
      </c>
      <c r="F78" s="9"/>
      <c r="H78" s="9"/>
      <c r="I78" s="9" t="s">
        <v>3201</v>
      </c>
      <c r="J78" s="9" t="s">
        <v>2936</v>
      </c>
      <c r="K78" t="s">
        <v>3202</v>
      </c>
      <c r="L78" t="s">
        <v>3203</v>
      </c>
      <c r="M78" s="3" t="str">
        <f>HYPERLINK(склад2въезд[[#This Row],[RelativePath]])</f>
        <v>1 Ангар Склад 2 въезд\E33149364_6_20251128T121005Z.jpg</v>
      </c>
      <c r="N78" s="9" t="str">
        <f>VLOOKUP(склад2въезд[[#This Row],[Name]], СпрСобытий!$F:$G, 2, FALSE)</f>
        <v>Ангар Склад 2 въезд</v>
      </c>
    </row>
    <row r="79" spans="1:14" x14ac:dyDescent="0.25">
      <c r="A79" s="2" t="s">
        <v>18</v>
      </c>
      <c r="B79" s="4">
        <v>45990</v>
      </c>
      <c r="C79" s="5">
        <v>0.53762731481481485</v>
      </c>
      <c r="D79" s="9" t="s">
        <v>91</v>
      </c>
      <c r="E79" s="9" t="s">
        <v>4135</v>
      </c>
      <c r="F79" s="9" t="s">
        <v>51</v>
      </c>
      <c r="H79" s="9"/>
      <c r="I79" s="9" t="s">
        <v>3204</v>
      </c>
      <c r="J79" s="9" t="s">
        <v>2936</v>
      </c>
      <c r="K79" t="s">
        <v>3205</v>
      </c>
      <c r="L79" t="s">
        <v>3206</v>
      </c>
      <c r="M79" s="3" t="str">
        <f>HYPERLINK(склад2въезд[[#This Row],[RelativePath]])</f>
        <v>1 Ангар Склад 2 въезд\E33149364_6_20251129T125411Z.jpg</v>
      </c>
      <c r="N79" s="9" t="str">
        <f>VLOOKUP(склад2въезд[[#This Row],[Name]], СпрСобытий!$F:$G, 2, FALSE)</f>
        <v>Ангар Склад 2 въезд</v>
      </c>
    </row>
    <row r="80" spans="1:14" x14ac:dyDescent="0.25">
      <c r="A80" s="2" t="s">
        <v>18</v>
      </c>
      <c r="B80" s="4">
        <v>45990</v>
      </c>
      <c r="C80" s="5">
        <v>0.64861111111111114</v>
      </c>
      <c r="D80" s="9" t="s">
        <v>91</v>
      </c>
      <c r="E80" s="9" t="s">
        <v>4136</v>
      </c>
      <c r="F80" s="9" t="s">
        <v>51</v>
      </c>
      <c r="H80" s="9"/>
      <c r="I80" s="9" t="s">
        <v>3207</v>
      </c>
      <c r="J80" s="9" t="s">
        <v>2936</v>
      </c>
      <c r="K80" t="s">
        <v>3208</v>
      </c>
      <c r="L80" t="s">
        <v>3209</v>
      </c>
      <c r="M80" s="3" t="str">
        <f>HYPERLINK(склад2въезд[[#This Row],[RelativePath]])</f>
        <v>1 Ангар Склад 2 въезд\E33149364_6_20251129T153400Z.jpg</v>
      </c>
      <c r="N80" s="9" t="str">
        <f>VLOOKUP(склад2въезд[[#This Row],[Name]], СпрСобытий!$F:$G, 2, FALSE)</f>
        <v>Ангар Склад 2 въезд</v>
      </c>
    </row>
    <row r="81" spans="1:14" x14ac:dyDescent="0.25">
      <c r="A81" s="2" t="s">
        <v>18</v>
      </c>
      <c r="B81" s="4">
        <v>45990</v>
      </c>
      <c r="C81" s="5">
        <v>0.70343750000000005</v>
      </c>
      <c r="D81" s="9" t="s">
        <v>91</v>
      </c>
      <c r="E81" s="9" t="s">
        <v>4135</v>
      </c>
      <c r="F81" s="9" t="s">
        <v>4137</v>
      </c>
      <c r="H81" s="9" t="s">
        <v>4138</v>
      </c>
      <c r="I81" s="9" t="s">
        <v>3210</v>
      </c>
      <c r="J81" s="9" t="s">
        <v>2936</v>
      </c>
      <c r="K81" t="s">
        <v>3211</v>
      </c>
      <c r="L81" t="s">
        <v>3212</v>
      </c>
      <c r="M81" s="3" t="str">
        <f>HYPERLINK(склад2въезд[[#This Row],[RelativePath]])</f>
        <v>1 Ангар Склад 2 въезд\E33149364_6_20251129T165257Z.jpg</v>
      </c>
      <c r="N81" s="9" t="str">
        <f>VLOOKUP(склад2въезд[[#This Row],[Name]], СпрСобытий!$F:$G, 2, FALSE)</f>
        <v>Ангар Склад 2 въезд</v>
      </c>
    </row>
    <row r="82" spans="1:14" x14ac:dyDescent="0.25">
      <c r="A82" s="2" t="s">
        <v>18</v>
      </c>
      <c r="B82" s="4">
        <v>45990</v>
      </c>
      <c r="C82" s="5">
        <v>0.73475694444444439</v>
      </c>
      <c r="D82" s="9" t="s">
        <v>62</v>
      </c>
      <c r="E82" s="9" t="s">
        <v>4135</v>
      </c>
      <c r="F82" s="9" t="s">
        <v>4137</v>
      </c>
      <c r="H82" s="9"/>
      <c r="I82" s="9" t="s">
        <v>3213</v>
      </c>
      <c r="J82" s="9" t="s">
        <v>2936</v>
      </c>
      <c r="K82" t="s">
        <v>3214</v>
      </c>
      <c r="L82" t="s">
        <v>3215</v>
      </c>
      <c r="M82" s="3" t="str">
        <f>HYPERLINK(склад2въезд[[#This Row],[RelativePath]])</f>
        <v>1 Ангар Склад 2 въезд\E33149364_6_20251129T173803Z.jpg</v>
      </c>
      <c r="N82" s="9" t="str">
        <f>VLOOKUP(склад2въезд[[#This Row],[Name]], СпрСобытий!$F:$G, 2, FALSE)</f>
        <v>Ангар Склад 2 въезд</v>
      </c>
    </row>
    <row r="83" spans="1:14" x14ac:dyDescent="0.25">
      <c r="A83" s="2" t="s">
        <v>22</v>
      </c>
      <c r="B83" s="4">
        <v>45991</v>
      </c>
      <c r="C83" s="5">
        <v>0.71077546296296301</v>
      </c>
      <c r="D83" s="9" t="s">
        <v>62</v>
      </c>
      <c r="E83" s="9" t="s">
        <v>55</v>
      </c>
      <c r="F83" s="9" t="s">
        <v>51</v>
      </c>
      <c r="H83" s="9"/>
      <c r="I83" s="9" t="s">
        <v>4193</v>
      </c>
      <c r="J83" s="9" t="s">
        <v>2936</v>
      </c>
      <c r="K83" t="s">
        <v>4194</v>
      </c>
      <c r="L83" t="s">
        <v>4195</v>
      </c>
      <c r="M83" s="3" t="str">
        <f>HYPERLINK(склад2въезд[[#This Row],[RelativePath]])</f>
        <v>1 Ангар Склад 2 въезд\E33149364_6_20251130T170331Z.jpg</v>
      </c>
      <c r="N83" s="9" t="str">
        <f>VLOOKUP(склад2въезд[[#This Row],[Name]], СпрСобытий!$F:$G, 2, FALSE)</f>
        <v>Ангар Склад 2 въезд</v>
      </c>
    </row>
    <row r="84" spans="1:14" x14ac:dyDescent="0.25">
      <c r="A84" s="2" t="s">
        <v>22</v>
      </c>
      <c r="B84" s="4">
        <v>45991</v>
      </c>
      <c r="C84" s="5">
        <v>0.75631944444444443</v>
      </c>
      <c r="D84" s="9" t="s">
        <v>91</v>
      </c>
      <c r="E84" s="9" t="s">
        <v>55</v>
      </c>
      <c r="F84" s="9" t="s">
        <v>51</v>
      </c>
      <c r="H84" s="9"/>
      <c r="I84" s="9" t="s">
        <v>4196</v>
      </c>
      <c r="J84" s="9" t="s">
        <v>2936</v>
      </c>
      <c r="K84" t="s">
        <v>4197</v>
      </c>
      <c r="L84" t="s">
        <v>4198</v>
      </c>
      <c r="M84" s="3" t="str">
        <f>HYPERLINK(склад2въезд[[#This Row],[RelativePath]])</f>
        <v>1 Ангар Склад 2 въезд\E33149364_6_20251130T180906Z.jpg</v>
      </c>
      <c r="N84" s="9" t="str">
        <f>VLOOKUP(склад2въезд[[#This Row],[Name]], СпрСобытий!$F:$G, 2, FALSE)</f>
        <v>Ангар Склад 2 въезд</v>
      </c>
    </row>
    <row r="85" spans="1:14" x14ac:dyDescent="0.25">
      <c r="A85" s="2" t="s">
        <v>13</v>
      </c>
      <c r="B85" s="4">
        <v>45992</v>
      </c>
      <c r="C85" s="5">
        <v>0.86784722222222221</v>
      </c>
      <c r="D85" s="9" t="s">
        <v>91</v>
      </c>
      <c r="E85" s="9" t="s">
        <v>4135</v>
      </c>
      <c r="F85" s="9" t="s">
        <v>1572</v>
      </c>
      <c r="H85" s="9" t="s">
        <v>5008</v>
      </c>
      <c r="I85" s="9" t="s">
        <v>4342</v>
      </c>
      <c r="J85" s="9" t="s">
        <v>2936</v>
      </c>
      <c r="K85" t="s">
        <v>4343</v>
      </c>
      <c r="L85" t="s">
        <v>4344</v>
      </c>
      <c r="M85" s="3" t="str">
        <f>HYPERLINK(склад2въезд[[#This Row],[RelativePath]])</f>
        <v>1 Ангар Склад 2 въезд\E33149364_6_20251201T204942Z.jpg</v>
      </c>
      <c r="N85" s="9" t="str">
        <f>VLOOKUP(склад2въезд[[#This Row],[Name]], СпрСобытий!$F:$G, 2, FALSE)</f>
        <v>Ангар Склад 2 въезд</v>
      </c>
    </row>
    <row r="86" spans="1:14" x14ac:dyDescent="0.25">
      <c r="A86" s="2" t="s">
        <v>13</v>
      </c>
      <c r="B86" s="4">
        <v>45992</v>
      </c>
      <c r="C86" s="5">
        <v>0.87302083333333336</v>
      </c>
      <c r="D86" s="9" t="s">
        <v>62</v>
      </c>
      <c r="E86" s="9" t="s">
        <v>4135</v>
      </c>
      <c r="F86" s="9" t="s">
        <v>51</v>
      </c>
      <c r="H86" s="9" t="s">
        <v>5009</v>
      </c>
      <c r="I86" s="9" t="s">
        <v>4345</v>
      </c>
      <c r="J86" s="9" t="s">
        <v>2936</v>
      </c>
      <c r="K86" t="s">
        <v>4346</v>
      </c>
      <c r="L86" t="s">
        <v>4347</v>
      </c>
      <c r="M86" s="3" t="str">
        <f>HYPERLINK(склад2въезд[[#This Row],[RelativePath]])</f>
        <v>1 Ангар Склад 2 въезд\E33149364_6_20251201T205709Z.jpg</v>
      </c>
      <c r="N86" s="9" t="str">
        <f>VLOOKUP(склад2въезд[[#This Row],[Name]], СпрСобытий!$F:$G, 2, FALSE)</f>
        <v>Ангар Склад 2 въезд</v>
      </c>
    </row>
    <row r="87" spans="1:14" x14ac:dyDescent="0.25">
      <c r="A87" s="2" t="s">
        <v>14</v>
      </c>
      <c r="B87" s="4">
        <v>45993</v>
      </c>
      <c r="C87" s="5">
        <v>0.35591435185185183</v>
      </c>
      <c r="D87" s="9" t="s">
        <v>91</v>
      </c>
      <c r="E87" s="9" t="s">
        <v>70</v>
      </c>
      <c r="F87" s="9" t="s">
        <v>5010</v>
      </c>
      <c r="H87" s="9"/>
      <c r="I87" s="9" t="s">
        <v>4348</v>
      </c>
      <c r="J87" s="9" t="s">
        <v>2936</v>
      </c>
      <c r="K87" t="s">
        <v>4349</v>
      </c>
      <c r="L87" t="s">
        <v>4350</v>
      </c>
      <c r="M87" s="3" t="str">
        <f>HYPERLINK(склад2въезд[[#This Row],[RelativePath]])</f>
        <v>1 Ангар Склад 2 въезд\E33149364_6_20251202T083231Z.jpg</v>
      </c>
      <c r="N87" s="9" t="str">
        <f>VLOOKUP(склад2въезд[[#This Row],[Name]], СпрСобытий!$F:$G, 2, FALSE)</f>
        <v>Ангар Склад 2 въезд</v>
      </c>
    </row>
    <row r="88" spans="1:14" x14ac:dyDescent="0.25">
      <c r="A88" s="2" t="s">
        <v>14</v>
      </c>
      <c r="B88" s="4">
        <v>45993</v>
      </c>
      <c r="C88" s="5">
        <v>0.35994212962962963</v>
      </c>
      <c r="D88" s="9" t="s">
        <v>62</v>
      </c>
      <c r="E88" s="9" t="s">
        <v>70</v>
      </c>
      <c r="F88" s="9" t="s">
        <v>5010</v>
      </c>
      <c r="H88" s="9"/>
      <c r="I88" s="9" t="s">
        <v>4351</v>
      </c>
      <c r="J88" s="9" t="s">
        <v>2936</v>
      </c>
      <c r="K88" t="s">
        <v>4352</v>
      </c>
      <c r="L88" t="s">
        <v>4353</v>
      </c>
      <c r="M88" s="3" t="str">
        <f>HYPERLINK(склад2въезд[[#This Row],[RelativePath]])</f>
        <v>1 Ангар Склад 2 въезд\E33149364_6_20251202T083819Z.jpg</v>
      </c>
      <c r="N88" s="9" t="str">
        <f>VLOOKUP(склад2въезд[[#This Row],[Name]], СпрСобытий!$F:$G, 2, FALSE)</f>
        <v>Ангар Склад 2 въезд</v>
      </c>
    </row>
    <row r="89" spans="1:14" x14ac:dyDescent="0.25">
      <c r="A89" s="2" t="s">
        <v>14</v>
      </c>
      <c r="B89" s="4">
        <v>45993</v>
      </c>
      <c r="C89" s="5">
        <v>0.38383101851851853</v>
      </c>
      <c r="D89" s="9" t="s">
        <v>91</v>
      </c>
      <c r="E89" s="9" t="s">
        <v>70</v>
      </c>
      <c r="F89" s="9" t="s">
        <v>5010</v>
      </c>
      <c r="H89" s="9"/>
      <c r="I89" s="9" t="s">
        <v>4354</v>
      </c>
      <c r="J89" s="9" t="s">
        <v>2936</v>
      </c>
      <c r="K89" t="s">
        <v>4355</v>
      </c>
      <c r="L89" t="s">
        <v>4356</v>
      </c>
      <c r="M89" s="3" t="str">
        <f>HYPERLINK(склад2въезд[[#This Row],[RelativePath]])</f>
        <v>1 Ангар Склад 2 въезд\E33149364_6_20251202T091243Z.jpg</v>
      </c>
      <c r="N89" s="9" t="str">
        <f>VLOOKUP(склад2въезд[[#This Row],[Name]], СпрСобытий!$F:$G, 2, FALSE)</f>
        <v>Ангар Склад 2 въезд</v>
      </c>
    </row>
    <row r="90" spans="1:14" x14ac:dyDescent="0.25">
      <c r="A90" s="2" t="s">
        <v>14</v>
      </c>
      <c r="B90" s="4">
        <v>45993</v>
      </c>
      <c r="C90" s="5">
        <v>0.40912037037037036</v>
      </c>
      <c r="D90" s="9" t="s">
        <v>62</v>
      </c>
      <c r="E90" s="9" t="s">
        <v>70</v>
      </c>
      <c r="F90" s="9" t="s">
        <v>5010</v>
      </c>
      <c r="H90" s="9"/>
      <c r="I90" s="9" t="s">
        <v>4357</v>
      </c>
      <c r="J90" s="9" t="s">
        <v>2936</v>
      </c>
      <c r="K90" t="s">
        <v>4358</v>
      </c>
      <c r="L90" t="s">
        <v>4359</v>
      </c>
      <c r="M90" s="3" t="str">
        <f>HYPERLINK(склад2въезд[[#This Row],[RelativePath]])</f>
        <v>1 Ангар Склад 2 въезд\E33149364_6_20251202T094908Z.jpg</v>
      </c>
      <c r="N90" s="9" t="str">
        <f>VLOOKUP(склад2въезд[[#This Row],[Name]], СпрСобытий!$F:$G, 2, FALSE)</f>
        <v>Ангар Склад 2 въезд</v>
      </c>
    </row>
    <row r="91" spans="1:14" x14ac:dyDescent="0.25">
      <c r="A91" s="2" t="s">
        <v>15</v>
      </c>
      <c r="B91" s="4">
        <v>45994</v>
      </c>
      <c r="C91" s="5">
        <v>0.68359953703703702</v>
      </c>
      <c r="D91" s="9" t="s">
        <v>1967</v>
      </c>
      <c r="E91" s="9"/>
      <c r="F91" s="9"/>
      <c r="H91" s="9"/>
      <c r="I91" s="9" t="s">
        <v>4360</v>
      </c>
      <c r="J91" s="9" t="s">
        <v>2936</v>
      </c>
      <c r="K91" t="s">
        <v>4361</v>
      </c>
      <c r="L91" t="s">
        <v>4362</v>
      </c>
      <c r="M91" s="3" t="str">
        <f>HYPERLINK(склад2въезд[[#This Row],[RelativePath]])</f>
        <v>1 Ангар Склад 2 въезд\E33149364_6_20251203T162423Z.jpg</v>
      </c>
      <c r="N91" s="9" t="str">
        <f>VLOOKUP(склад2въезд[[#This Row],[Name]], СпрСобытий!$F:$G, 2, FALSE)</f>
        <v>Ангар Склад 2 въезд</v>
      </c>
    </row>
    <row r="92" spans="1:14" x14ac:dyDescent="0.25">
      <c r="A92" s="2" t="s">
        <v>16</v>
      </c>
      <c r="B92" s="4">
        <v>45995</v>
      </c>
      <c r="C92" s="5">
        <v>0.36359953703703701</v>
      </c>
      <c r="D92" s="9" t="s">
        <v>91</v>
      </c>
      <c r="E92" s="9" t="s">
        <v>70</v>
      </c>
      <c r="F92" s="9" t="s">
        <v>5010</v>
      </c>
      <c r="H92" s="9"/>
      <c r="I92" s="9" t="s">
        <v>4363</v>
      </c>
      <c r="J92" s="9" t="s">
        <v>2936</v>
      </c>
      <c r="K92" t="s">
        <v>4364</v>
      </c>
      <c r="L92" t="s">
        <v>4365</v>
      </c>
      <c r="M92" s="3" t="str">
        <f>HYPERLINK(склад2въезд[[#This Row],[RelativePath]])</f>
        <v>1 Ангар Склад 2 въезд\E33149364_6_20251204T084335Z.jpg</v>
      </c>
      <c r="N92" s="9" t="str">
        <f>VLOOKUP(склад2въезд[[#This Row],[Name]], СпрСобытий!$F:$G, 2, FALSE)</f>
        <v>Ангар Склад 2 въезд</v>
      </c>
    </row>
    <row r="93" spans="1:14" x14ac:dyDescent="0.25">
      <c r="A93" s="2" t="s">
        <v>16</v>
      </c>
      <c r="B93" s="4">
        <v>45995</v>
      </c>
      <c r="C93" s="5">
        <v>0.38407407407407407</v>
      </c>
      <c r="D93" s="9" t="s">
        <v>62</v>
      </c>
      <c r="E93" s="9" t="s">
        <v>70</v>
      </c>
      <c r="F93" s="9" t="s">
        <v>5010</v>
      </c>
      <c r="H93" s="9"/>
      <c r="I93" s="9" t="s">
        <v>4366</v>
      </c>
      <c r="J93" s="9" t="s">
        <v>2936</v>
      </c>
      <c r="K93" t="s">
        <v>4367</v>
      </c>
      <c r="L93" t="s">
        <v>4368</v>
      </c>
      <c r="M93" s="3" t="str">
        <f>HYPERLINK(склад2въезд[[#This Row],[RelativePath]])</f>
        <v>1 Ангар Склад 2 въезд\E33149364_6_20251204T091304Z.jpg</v>
      </c>
      <c r="N93" s="9" t="str">
        <f>VLOOKUP(склад2въезд[[#This Row],[Name]], СпрСобытий!$F:$G, 2, FALSE)</f>
        <v>Ангар Склад 2 въезд</v>
      </c>
    </row>
    <row r="94" spans="1:14" x14ac:dyDescent="0.25">
      <c r="A94" s="2" t="s">
        <v>16</v>
      </c>
      <c r="B94" s="4">
        <v>45995</v>
      </c>
      <c r="C94" s="5">
        <v>0.53180555555555553</v>
      </c>
      <c r="D94" s="9" t="s">
        <v>91</v>
      </c>
      <c r="E94" s="9" t="s">
        <v>70</v>
      </c>
      <c r="F94" s="9" t="s">
        <v>5010</v>
      </c>
      <c r="H94" s="9"/>
      <c r="I94" s="9" t="s">
        <v>4369</v>
      </c>
      <c r="J94" s="9" t="s">
        <v>2936</v>
      </c>
      <c r="K94" t="s">
        <v>4370</v>
      </c>
      <c r="L94" t="s">
        <v>4371</v>
      </c>
      <c r="M94" s="3" t="str">
        <f>HYPERLINK(склад2въезд[[#This Row],[RelativePath]])</f>
        <v>1 Ангар Склад 2 въезд\E33149364_6_20251204T124548Z.jpg</v>
      </c>
      <c r="N94" s="9" t="str">
        <f>VLOOKUP(склад2въезд[[#This Row],[Name]], СпрСобытий!$F:$G, 2, FALSE)</f>
        <v>Ангар Склад 2 въезд</v>
      </c>
    </row>
    <row r="95" spans="1:14" x14ac:dyDescent="0.25">
      <c r="A95" s="2" t="s">
        <v>16</v>
      </c>
      <c r="B95" s="4">
        <v>45995</v>
      </c>
      <c r="C95" s="5">
        <v>0.55406250000000001</v>
      </c>
      <c r="D95" s="9" t="s">
        <v>62</v>
      </c>
      <c r="E95" s="9" t="s">
        <v>70</v>
      </c>
      <c r="F95" s="9" t="s">
        <v>5010</v>
      </c>
      <c r="H95" s="9"/>
      <c r="I95" s="9" t="s">
        <v>4372</v>
      </c>
      <c r="J95" s="9" t="s">
        <v>2936</v>
      </c>
      <c r="K95" t="s">
        <v>4373</v>
      </c>
      <c r="L95" t="s">
        <v>4374</v>
      </c>
      <c r="M95" s="3" t="str">
        <f>HYPERLINK(склад2въезд[[#This Row],[RelativePath]])</f>
        <v>1 Ангар Склад 2 въезд\E33149364_6_20251204T131751Z.jpg</v>
      </c>
      <c r="N95" s="9" t="str">
        <f>VLOOKUP(склад2въезд[[#This Row],[Name]], СпрСобытий!$F:$G, 2, FALSE)</f>
        <v>Ангар Склад 2 въезд</v>
      </c>
    </row>
    <row r="96" spans="1:14" x14ac:dyDescent="0.25">
      <c r="A96" s="2" t="s">
        <v>17</v>
      </c>
      <c r="B96" s="4">
        <v>45996</v>
      </c>
      <c r="C96" s="5">
        <v>0.45297453703703705</v>
      </c>
      <c r="D96" s="9" t="s">
        <v>62</v>
      </c>
      <c r="E96" s="9" t="s">
        <v>55</v>
      </c>
      <c r="F96" s="9" t="s">
        <v>51</v>
      </c>
      <c r="H96" s="9"/>
      <c r="I96" s="9" t="s">
        <v>4375</v>
      </c>
      <c r="J96" s="9" t="s">
        <v>2936</v>
      </c>
      <c r="K96" t="s">
        <v>4376</v>
      </c>
      <c r="L96" t="s">
        <v>4377</v>
      </c>
      <c r="M96" s="3" t="str">
        <f>HYPERLINK(склад2въезд[[#This Row],[RelativePath]])</f>
        <v>1 Ангар Склад 2 въезд\E33149364_6_20251205T105217Z.jpg</v>
      </c>
      <c r="N96" s="9" t="str">
        <f>VLOOKUP(склад2въезд[[#This Row],[Name]], СпрСобытий!$F:$G, 2, FALSE)</f>
        <v>Ангар Склад 2 въезд</v>
      </c>
    </row>
    <row r="97" spans="1:14" x14ac:dyDescent="0.25">
      <c r="A97" s="2" t="s">
        <v>17</v>
      </c>
      <c r="B97" s="4">
        <v>45996</v>
      </c>
      <c r="C97" s="5">
        <v>0.57824074074074072</v>
      </c>
      <c r="D97" s="9" t="s">
        <v>91</v>
      </c>
      <c r="E97" s="9" t="s">
        <v>55</v>
      </c>
      <c r="F97" s="9" t="s">
        <v>5011</v>
      </c>
      <c r="H97" s="9"/>
      <c r="I97" s="9" t="s">
        <v>4378</v>
      </c>
      <c r="J97" s="9" t="s">
        <v>2936</v>
      </c>
      <c r="K97" t="s">
        <v>4379</v>
      </c>
      <c r="L97" t="s">
        <v>4380</v>
      </c>
      <c r="M97" s="3" t="str">
        <f>HYPERLINK(склад2въезд[[#This Row],[RelativePath]])</f>
        <v>1 Ангар Склад 2 въезд\E33149364_6_20251205T135240Z.jpg</v>
      </c>
      <c r="N97" s="9" t="str">
        <f>VLOOKUP(склад2въезд[[#This Row],[Name]], СпрСобытий!$F:$G, 2, FALSE)</f>
        <v>Ангар Склад 2 въезд</v>
      </c>
    </row>
    <row r="98" spans="1:14" x14ac:dyDescent="0.25">
      <c r="A98" s="2" t="s">
        <v>17</v>
      </c>
      <c r="B98" s="4">
        <v>45996</v>
      </c>
      <c r="C98" s="5">
        <v>0.57961805555555557</v>
      </c>
      <c r="D98" s="9" t="s">
        <v>91</v>
      </c>
      <c r="E98" s="9" t="s">
        <v>70</v>
      </c>
      <c r="F98" s="9" t="s">
        <v>5010</v>
      </c>
      <c r="H98" s="9"/>
      <c r="I98" s="9" t="s">
        <v>4381</v>
      </c>
      <c r="J98" s="9" t="s">
        <v>2936</v>
      </c>
      <c r="K98" t="s">
        <v>4382</v>
      </c>
      <c r="L98" t="s">
        <v>4383</v>
      </c>
      <c r="M98" s="3" t="str">
        <f>HYPERLINK(склад2въезд[[#This Row],[RelativePath]])</f>
        <v>1 Ангар Склад 2 въезд\E33149364_6_20251205T135439Z.jpg</v>
      </c>
      <c r="N98" s="9" t="str">
        <f>VLOOKUP(склад2въезд[[#This Row],[Name]], СпрСобытий!$F:$G, 2, FALSE)</f>
        <v>Ангар Склад 2 въезд</v>
      </c>
    </row>
    <row r="99" spans="1:14" x14ac:dyDescent="0.25">
      <c r="A99" s="2" t="s">
        <v>17</v>
      </c>
      <c r="B99" s="4">
        <v>45996</v>
      </c>
      <c r="C99" s="5">
        <v>0.60671296296296295</v>
      </c>
      <c r="D99" s="9" t="s">
        <v>62</v>
      </c>
      <c r="E99" s="9" t="s">
        <v>70</v>
      </c>
      <c r="F99" s="9" t="s">
        <v>5010</v>
      </c>
      <c r="H99" s="9"/>
      <c r="I99" s="9" t="s">
        <v>4384</v>
      </c>
      <c r="J99" s="9" t="s">
        <v>2936</v>
      </c>
      <c r="K99" t="s">
        <v>4385</v>
      </c>
      <c r="L99" t="s">
        <v>4386</v>
      </c>
      <c r="M99" s="3" t="str">
        <f>HYPERLINK(склад2въезд[[#This Row],[RelativePath]])</f>
        <v>1 Ангар Склад 2 въезд\E33149364_6_20251205T143340Z.jpg</v>
      </c>
      <c r="N99" s="9" t="str">
        <f>VLOOKUP(склад2въезд[[#This Row],[Name]], СпрСобытий!$F:$G, 2, FALSE)</f>
        <v>Ангар Склад 2 въезд</v>
      </c>
    </row>
    <row r="100" spans="1:14" x14ac:dyDescent="0.25">
      <c r="A100" s="2" t="s">
        <v>18</v>
      </c>
      <c r="B100" s="4">
        <v>45997</v>
      </c>
      <c r="C100" s="5">
        <v>0.66677083333333331</v>
      </c>
      <c r="D100" s="9" t="s">
        <v>1967</v>
      </c>
      <c r="E100" s="9"/>
      <c r="F100" s="9"/>
      <c r="H100" s="9"/>
      <c r="I100" s="9" t="s">
        <v>4387</v>
      </c>
      <c r="J100" s="9" t="s">
        <v>2936</v>
      </c>
      <c r="K100" t="s">
        <v>4388</v>
      </c>
      <c r="L100" t="s">
        <v>4389</v>
      </c>
      <c r="M100" s="3" t="str">
        <f>HYPERLINK(склад2въезд[[#This Row],[RelativePath]])</f>
        <v>1 Ангар Склад 2 въезд\E33149364_6_20251206T160009Z.jpg</v>
      </c>
      <c r="N100" s="9" t="str">
        <f>VLOOKUP(склад2въезд[[#This Row],[Name]], СпрСобытий!$F:$G, 2, FALSE)</f>
        <v>Ангар Склад 2 въезд</v>
      </c>
    </row>
    <row r="101" spans="1:14" x14ac:dyDescent="0.25">
      <c r="A101" s="2" t="s">
        <v>22</v>
      </c>
      <c r="B101" s="4">
        <v>45998</v>
      </c>
      <c r="C101" s="5">
        <v>0.57973379629629629</v>
      </c>
      <c r="D101" s="9" t="s">
        <v>91</v>
      </c>
      <c r="E101" s="9" t="s">
        <v>5192</v>
      </c>
      <c r="F101" s="9" t="s">
        <v>51</v>
      </c>
      <c r="H101" s="9"/>
      <c r="I101" s="9" t="s">
        <v>5077</v>
      </c>
      <c r="J101" s="9" t="s">
        <v>2936</v>
      </c>
      <c r="K101" t="s">
        <v>5231</v>
      </c>
      <c r="L101" t="s">
        <v>5078</v>
      </c>
      <c r="M101" s="3" t="str">
        <f>HYPERLINK(склад2въезд[[#This Row],[RelativePath]])</f>
        <v>1 Ангар Склад 2 въезд\E33149364_6_20251207T135449Z.jpg</v>
      </c>
      <c r="N101" s="9" t="str">
        <f>VLOOKUP(склад2въезд[[#This Row],[Name]], СпрСобытий!$F:$G, 2, FALSE)</f>
        <v>Ангар Склад 2 въезд</v>
      </c>
    </row>
    <row r="102" spans="1:14" x14ac:dyDescent="0.25">
      <c r="A102" s="2" t="s">
        <v>22</v>
      </c>
      <c r="B102" s="4">
        <v>45998</v>
      </c>
      <c r="C102" s="5">
        <v>0.67327546296296292</v>
      </c>
      <c r="D102" s="9" t="s">
        <v>62</v>
      </c>
      <c r="E102" s="9" t="s">
        <v>5192</v>
      </c>
      <c r="F102" s="9" t="s">
        <v>5193</v>
      </c>
      <c r="H102" s="9" t="s">
        <v>5194</v>
      </c>
      <c r="I102" s="9" t="s">
        <v>5079</v>
      </c>
      <c r="J102" s="9" t="s">
        <v>2936</v>
      </c>
      <c r="K102" t="s">
        <v>5232</v>
      </c>
      <c r="L102" t="s">
        <v>5080</v>
      </c>
      <c r="M102" s="3" t="str">
        <f>HYPERLINK(склад2въезд[[#This Row],[RelativePath]])</f>
        <v>1 Ангар Склад 2 въезд\E33149364_6_20251207T160931Z.jpg</v>
      </c>
      <c r="N102" s="9" t="str">
        <f>VLOOKUP(склад2въезд[[#This Row],[Name]], СпрСобытий!$F:$G, 2, FALSE)</f>
        <v>Ангар Склад 2 въезд</v>
      </c>
    </row>
    <row r="103" spans="1:14" x14ac:dyDescent="0.25">
      <c r="A103" s="2" t="s">
        <v>13</v>
      </c>
      <c r="B103" s="4">
        <v>45999</v>
      </c>
      <c r="C103" s="5">
        <v>0.59879629629629627</v>
      </c>
      <c r="D103" s="9" t="s">
        <v>64</v>
      </c>
      <c r="E103" s="9" t="s">
        <v>4134</v>
      </c>
      <c r="F103" s="9" t="s">
        <v>5010</v>
      </c>
      <c r="H103" s="9"/>
      <c r="I103" s="9" t="s">
        <v>5205</v>
      </c>
      <c r="J103" s="9" t="s">
        <v>2936</v>
      </c>
      <c r="K103" t="s">
        <v>5233</v>
      </c>
      <c r="L103" t="s">
        <v>5206</v>
      </c>
      <c r="M103" s="3" t="str">
        <f>HYPERLINK(склад2въезд[[#This Row],[RelativePath]])</f>
        <v>1 Ангар Склад 2 въезд\E33149364_6_20251208T142216Z.jpg</v>
      </c>
      <c r="N103" s="9" t="str">
        <f>VLOOKUP(склад2въезд[[#This Row],[Name]], СпрСобытий!$F:$G, 2, FALSE)</f>
        <v>Ангар Склад 2 въезд</v>
      </c>
    </row>
    <row r="104" spans="1:14" x14ac:dyDescent="0.25">
      <c r="A104" s="2" t="s">
        <v>13</v>
      </c>
      <c r="B104" s="4">
        <v>45999</v>
      </c>
      <c r="C104" s="5">
        <v>0.66584490740740743</v>
      </c>
      <c r="D104" s="9" t="s">
        <v>85</v>
      </c>
      <c r="E104" s="9" t="s">
        <v>4134</v>
      </c>
      <c r="F104" s="9" t="s">
        <v>5010</v>
      </c>
      <c r="H104" s="9"/>
      <c r="I104" s="9" t="s">
        <v>5207</v>
      </c>
      <c r="J104" s="9" t="s">
        <v>2936</v>
      </c>
      <c r="K104" t="s">
        <v>5234</v>
      </c>
      <c r="L104" t="s">
        <v>5208</v>
      </c>
      <c r="M104" s="3" t="str">
        <f>HYPERLINK(склад2въезд[[#This Row],[RelativePath]])</f>
        <v>1 Ангар Склад 2 въезд\E33149364_6_20251208T155849Z.jpg</v>
      </c>
      <c r="N104" s="9" t="str">
        <f>VLOOKUP(склад2въезд[[#This Row],[Name]], СпрСобытий!$F:$G, 2, FALSE)</f>
        <v>Ангар Склад 2 въезд</v>
      </c>
    </row>
    <row r="105" spans="1:14" x14ac:dyDescent="0.25">
      <c r="A105" s="2" t="s">
        <v>14</v>
      </c>
      <c r="B105" s="4">
        <v>46000</v>
      </c>
      <c r="C105" s="5">
        <v>0.42645833333333333</v>
      </c>
      <c r="D105" s="9" t="s">
        <v>64</v>
      </c>
      <c r="E105" s="9" t="s">
        <v>4134</v>
      </c>
      <c r="F105" s="9" t="s">
        <v>5010</v>
      </c>
      <c r="H105" s="9"/>
      <c r="I105" s="9" t="s">
        <v>5412</v>
      </c>
      <c r="J105" s="9" t="s">
        <v>2936</v>
      </c>
      <c r="K105" t="s">
        <v>5413</v>
      </c>
      <c r="L105" t="s">
        <v>5414</v>
      </c>
      <c r="M105" s="3" t="str">
        <f>HYPERLINK(склад2въезд[[#This Row],[RelativePath]])</f>
        <v>1 Ангар Склад 2 въезд\E33149364_6_20251209T101406Z.jpg</v>
      </c>
      <c r="N105" s="9" t="str">
        <f>VLOOKUP(склад2въезд[[#This Row],[Name]], СпрСобытий!$F:$G, 2, FALSE)</f>
        <v>Ангар Склад 2 въезд</v>
      </c>
    </row>
    <row r="106" spans="1:14" x14ac:dyDescent="0.25">
      <c r="A106" s="2" t="s">
        <v>14</v>
      </c>
      <c r="B106" s="4">
        <v>46000</v>
      </c>
      <c r="C106" s="5">
        <v>0.47930555555555554</v>
      </c>
      <c r="D106" s="9" t="s">
        <v>85</v>
      </c>
      <c r="E106" s="9" t="s">
        <v>4134</v>
      </c>
      <c r="F106" s="9" t="s">
        <v>5010</v>
      </c>
      <c r="H106" s="9"/>
      <c r="I106" s="9" t="s">
        <v>5415</v>
      </c>
      <c r="J106" s="9" t="s">
        <v>2936</v>
      </c>
      <c r="K106" t="s">
        <v>5416</v>
      </c>
      <c r="L106" t="s">
        <v>5417</v>
      </c>
      <c r="M106" s="3" t="str">
        <f>HYPERLINK(склад2въезд[[#This Row],[RelativePath]])</f>
        <v>1 Ангар Склад 2 въезд\E33149364_6_20251209T113012Z.jpg</v>
      </c>
      <c r="N106" s="9" t="str">
        <f>VLOOKUP(склад2въезд[[#This Row],[Name]], СпрСобытий!$F:$G, 2, FALSE)</f>
        <v>Ангар Склад 2 въезд</v>
      </c>
    </row>
    <row r="107" spans="1:14" x14ac:dyDescent="0.25">
      <c r="A107" s="2" t="s">
        <v>14</v>
      </c>
      <c r="B107" s="4">
        <v>46000</v>
      </c>
      <c r="C107" s="5">
        <v>0.510625</v>
      </c>
      <c r="D107" s="9" t="s">
        <v>91</v>
      </c>
      <c r="E107" s="9" t="s">
        <v>5436</v>
      </c>
      <c r="F107" s="9" t="s">
        <v>51</v>
      </c>
      <c r="H107" s="9"/>
      <c r="I107" s="9" t="s">
        <v>5418</v>
      </c>
      <c r="J107" s="9" t="s">
        <v>2936</v>
      </c>
      <c r="K107" t="s">
        <v>5419</v>
      </c>
      <c r="L107" t="s">
        <v>5420</v>
      </c>
      <c r="M107" s="3" t="str">
        <f>HYPERLINK(склад2въезд[[#This Row],[RelativePath]])</f>
        <v>1 Ангар Склад 2 въезд\E33149364_6_20251209T121518Z.jpg</v>
      </c>
      <c r="N107" s="9" t="str">
        <f>VLOOKUP(склад2въезд[[#This Row],[Name]], СпрСобытий!$F:$G, 2, FALSE)</f>
        <v>Ангар Склад 2 въезд</v>
      </c>
    </row>
    <row r="108" spans="1:14" x14ac:dyDescent="0.25">
      <c r="A108" s="2" t="s">
        <v>14</v>
      </c>
      <c r="B108" s="4">
        <v>46000</v>
      </c>
      <c r="C108" s="5">
        <v>0.51658564814814811</v>
      </c>
      <c r="D108" s="9" t="s">
        <v>2974</v>
      </c>
      <c r="E108" s="9" t="s">
        <v>5436</v>
      </c>
      <c r="F108" s="9" t="s">
        <v>51</v>
      </c>
      <c r="H108" s="9"/>
      <c r="I108" s="9" t="s">
        <v>5421</v>
      </c>
      <c r="J108" s="9" t="s">
        <v>2936</v>
      </c>
      <c r="K108" t="s">
        <v>5422</v>
      </c>
      <c r="L108" t="s">
        <v>5423</v>
      </c>
      <c r="M108" s="3" t="str">
        <f>HYPERLINK(склад2въезд[[#This Row],[RelativePath]])</f>
        <v>1 Ангар Склад 2 въезд\E33149364_6_20251209T122353Z.jpg</v>
      </c>
      <c r="N108" s="9" t="str">
        <f>VLOOKUP(склад2въезд[[#This Row],[Name]], СпрСобытий!$F:$G, 2, FALSE)</f>
        <v>Ангар Склад 2 въезд</v>
      </c>
    </row>
    <row r="109" spans="1:14" x14ac:dyDescent="0.25">
      <c r="A109" s="2" t="s">
        <v>14</v>
      </c>
      <c r="B109" s="4">
        <v>46000</v>
      </c>
      <c r="C109" s="5">
        <v>0.6348611111111111</v>
      </c>
      <c r="D109" s="9" t="s">
        <v>64</v>
      </c>
      <c r="E109" s="9" t="s">
        <v>4134</v>
      </c>
      <c r="F109" s="9" t="s">
        <v>5010</v>
      </c>
      <c r="H109" s="9"/>
      <c r="I109" s="9" t="s">
        <v>5424</v>
      </c>
      <c r="J109" s="9" t="s">
        <v>2936</v>
      </c>
      <c r="K109" t="s">
        <v>5425</v>
      </c>
      <c r="L109" t="s">
        <v>5426</v>
      </c>
      <c r="M109" s="3" t="str">
        <f>HYPERLINK(склад2въезд[[#This Row],[RelativePath]])</f>
        <v>1 Ангар Склад 2 въезд\E33149364_6_20251209T151412Z.jpg</v>
      </c>
      <c r="N109" s="9" t="str">
        <f>VLOOKUP(склад2въезд[[#This Row],[Name]], СпрСобытий!$F:$G, 2, FALSE)</f>
        <v>Ангар Склад 2 въезд</v>
      </c>
    </row>
    <row r="110" spans="1:14" x14ac:dyDescent="0.25">
      <c r="A110" s="2" t="s">
        <v>14</v>
      </c>
      <c r="B110" s="4">
        <v>46000</v>
      </c>
      <c r="C110" s="5">
        <v>0.69473379629629628</v>
      </c>
      <c r="D110" s="9" t="s">
        <v>85</v>
      </c>
      <c r="E110" s="9" t="s">
        <v>4134</v>
      </c>
      <c r="F110" s="9" t="s">
        <v>5010</v>
      </c>
      <c r="H110" s="9"/>
      <c r="I110" s="9" t="s">
        <v>5427</v>
      </c>
      <c r="J110" s="9" t="s">
        <v>2936</v>
      </c>
      <c r="K110" t="s">
        <v>5428</v>
      </c>
      <c r="L110" t="s">
        <v>5429</v>
      </c>
      <c r="M110" s="3" t="str">
        <f>HYPERLINK(склад2въезд[[#This Row],[RelativePath]])</f>
        <v>1 Ангар Склад 2 въезд\E33149364_6_20251209T164025Z.jpg</v>
      </c>
      <c r="N110" s="9" t="str">
        <f>VLOOKUP(склад2въезд[[#This Row],[Name]], СпрСобытий!$F:$G, 2, FALSE)</f>
        <v>Ангар Склад 2 въезд</v>
      </c>
    </row>
    <row r="111" spans="1:14" x14ac:dyDescent="0.25">
      <c r="A111" s="2" t="s">
        <v>15</v>
      </c>
      <c r="B111" s="4">
        <v>46001</v>
      </c>
      <c r="C111" s="5">
        <v>0.53234953703703702</v>
      </c>
      <c r="D111" s="9" t="s">
        <v>64</v>
      </c>
      <c r="E111" s="9" t="s">
        <v>4134</v>
      </c>
      <c r="F111" s="9" t="s">
        <v>5010</v>
      </c>
      <c r="H111" s="9"/>
      <c r="I111" s="9" t="s">
        <v>5430</v>
      </c>
      <c r="J111" s="9" t="s">
        <v>2936</v>
      </c>
      <c r="K111" t="s">
        <v>5431</v>
      </c>
      <c r="L111" t="s">
        <v>5432</v>
      </c>
      <c r="M111" s="3" t="str">
        <f>HYPERLINK(склад2въезд[[#This Row],[RelativePath]])</f>
        <v>1 Ангар Склад 2 въезд\E33149364_6_20251210T124635Z.jpg</v>
      </c>
      <c r="N111" s="9" t="str">
        <f>VLOOKUP(склад2въезд[[#This Row],[Name]], СпрСобытий!$F:$G, 2, FALSE)</f>
        <v>Ангар Склад 2 въезд</v>
      </c>
    </row>
    <row r="112" spans="1:14" x14ac:dyDescent="0.25">
      <c r="A112" s="2" t="s">
        <v>15</v>
      </c>
      <c r="B112" s="4">
        <v>46001</v>
      </c>
      <c r="C112" s="5">
        <v>0.63895833333333329</v>
      </c>
      <c r="D112" s="9" t="s">
        <v>85</v>
      </c>
      <c r="E112" s="9" t="s">
        <v>4134</v>
      </c>
      <c r="F112" s="9" t="s">
        <v>5010</v>
      </c>
      <c r="H112" s="9"/>
      <c r="I112" s="9" t="s">
        <v>5433</v>
      </c>
      <c r="J112" s="9" t="s">
        <v>2936</v>
      </c>
      <c r="K112" t="s">
        <v>5434</v>
      </c>
      <c r="L112" t="s">
        <v>5435</v>
      </c>
      <c r="M112" s="3" t="str">
        <f>HYPERLINK(склад2въезд[[#This Row],[RelativePath]])</f>
        <v>1 Ангар Склад 2 въезд\E33149364_6_20251210T152006Z.jpg</v>
      </c>
      <c r="N112" s="9" t="str">
        <f>VLOOKUP(склад2въезд[[#This Row],[Name]], СпрСобытий!$F:$G, 2, FALSE)</f>
        <v>Ангар Склад 2 въезд</v>
      </c>
    </row>
    <row r="113" spans="1:14" x14ac:dyDescent="0.25">
      <c r="A113" s="2" t="s">
        <v>16</v>
      </c>
      <c r="B113" s="4">
        <v>46002</v>
      </c>
      <c r="C113" s="5">
        <v>0.71260416666666671</v>
      </c>
      <c r="D113" s="9" t="s">
        <v>1967</v>
      </c>
      <c r="E113" s="9" t="s">
        <v>8</v>
      </c>
      <c r="F113" s="9"/>
      <c r="H113" s="9"/>
      <c r="I113" s="9" t="s">
        <v>5767</v>
      </c>
      <c r="J113" s="9" t="s">
        <v>2936</v>
      </c>
      <c r="K113" t="s">
        <v>5768</v>
      </c>
      <c r="L113" t="s">
        <v>5769</v>
      </c>
      <c r="M113" s="3" t="str">
        <f>HYPERLINK(склад2въезд[[#This Row],[RelativePath]])</f>
        <v>1 Ангар Склад 2 въезд\E33149364_6_20251211T170609Z.jpg</v>
      </c>
      <c r="N113" s="9" t="str">
        <f>VLOOKUP(склад2въезд[[#This Row],[Name]], СпрСобытий!$F:$G, 2, FALSE)</f>
        <v>Ангар Склад 2 въезд</v>
      </c>
    </row>
    <row r="114" spans="1:14" x14ac:dyDescent="0.25">
      <c r="A114" s="2" t="s">
        <v>17</v>
      </c>
      <c r="B114" s="4">
        <v>46003</v>
      </c>
      <c r="C114" s="5">
        <v>0.73738425925925921</v>
      </c>
      <c r="D114" s="9" t="s">
        <v>91</v>
      </c>
      <c r="E114" s="9" t="s">
        <v>55</v>
      </c>
      <c r="F114" s="9" t="s">
        <v>51</v>
      </c>
      <c r="H114" s="9"/>
      <c r="I114" s="9" t="s">
        <v>5770</v>
      </c>
      <c r="J114" s="9" t="s">
        <v>2936</v>
      </c>
      <c r="K114" t="s">
        <v>5771</v>
      </c>
      <c r="L114" t="s">
        <v>5772</v>
      </c>
      <c r="M114" s="3" t="str">
        <f>HYPERLINK(склад2въезд[[#This Row],[RelativePath]])</f>
        <v>1 Ангар Склад 2 въезд\E33149364_6_20251212T174150Z.jpg</v>
      </c>
      <c r="N114" s="9" t="str">
        <f>VLOOKUP(склад2въезд[[#This Row],[Name]], СпрСобытий!$F:$G, 2, FALSE)</f>
        <v>Ангар Склад 2 въезд</v>
      </c>
    </row>
    <row r="115" spans="1:14" x14ac:dyDescent="0.25">
      <c r="A115" s="2" t="s">
        <v>18</v>
      </c>
      <c r="B115" s="4">
        <v>46004</v>
      </c>
      <c r="C115" s="5">
        <v>0.41039351851851852</v>
      </c>
      <c r="D115" s="9" t="s">
        <v>62</v>
      </c>
      <c r="E115" s="9" t="s">
        <v>6088</v>
      </c>
      <c r="F115" s="9" t="s">
        <v>58</v>
      </c>
      <c r="H115" s="9" t="s">
        <v>6085</v>
      </c>
      <c r="I115" s="9" t="s">
        <v>5947</v>
      </c>
      <c r="J115" s="9" t="s">
        <v>2936</v>
      </c>
      <c r="K115" t="s">
        <v>5948</v>
      </c>
      <c r="L115" t="s">
        <v>5949</v>
      </c>
      <c r="M115" s="3" t="str">
        <f>HYPERLINK(склад2въезд[[#This Row],[RelativePath]])</f>
        <v>1 Ангар Склад 2 въезд\E33149364_6_20251213T095058Z.jpg</v>
      </c>
      <c r="N115" s="9" t="str">
        <f>VLOOKUP(склад2въезд[[#This Row],[Name]], СпрСобытий!$F:$G, 2, FALSE)</f>
        <v>Ангар Склад 2 въезд</v>
      </c>
    </row>
    <row r="116" spans="1:14" x14ac:dyDescent="0.25">
      <c r="A116" s="2" t="s">
        <v>18</v>
      </c>
      <c r="B116" s="4">
        <v>46004</v>
      </c>
      <c r="C116" s="5">
        <v>0.52951388888888884</v>
      </c>
      <c r="D116" s="9" t="s">
        <v>91</v>
      </c>
      <c r="E116" s="9" t="s">
        <v>6087</v>
      </c>
      <c r="F116" s="9" t="s">
        <v>51</v>
      </c>
      <c r="H116" s="9"/>
      <c r="I116" s="9" t="s">
        <v>5950</v>
      </c>
      <c r="J116" s="9" t="s">
        <v>2936</v>
      </c>
      <c r="K116" t="s">
        <v>5951</v>
      </c>
      <c r="L116" t="s">
        <v>5952</v>
      </c>
      <c r="M116" s="3" t="str">
        <f>HYPERLINK(склад2въезд[[#This Row],[RelativePath]])</f>
        <v>1 Ангар Склад 2 въезд\E33149364_6_20251213T124230Z.jpg</v>
      </c>
      <c r="N116" s="9" t="str">
        <f>VLOOKUP(склад2въезд[[#This Row],[Name]], СпрСобытий!$F:$G, 2, FALSE)</f>
        <v>Ангар Склад 2 въезд</v>
      </c>
    </row>
    <row r="117" spans="1:14" x14ac:dyDescent="0.25">
      <c r="A117" s="2" t="s">
        <v>18</v>
      </c>
      <c r="B117" s="4">
        <v>46004</v>
      </c>
      <c r="C117" s="5">
        <v>0.52979166666666666</v>
      </c>
      <c r="D117" s="9" t="s">
        <v>91</v>
      </c>
      <c r="E117" s="9" t="s">
        <v>6086</v>
      </c>
      <c r="F117" s="9" t="s">
        <v>51</v>
      </c>
      <c r="H117" s="9"/>
      <c r="I117" s="9" t="s">
        <v>5953</v>
      </c>
      <c r="J117" s="9" t="s">
        <v>2936</v>
      </c>
      <c r="K117" t="s">
        <v>5954</v>
      </c>
      <c r="L117" t="s">
        <v>5955</v>
      </c>
      <c r="M117" s="3" t="str">
        <f>HYPERLINK(склад2въезд[[#This Row],[RelativePath]])</f>
        <v>1 Ангар Склад 2 въезд\E33149364_6_20251213T124254Z.jpg</v>
      </c>
      <c r="N117" s="9" t="str">
        <f>VLOOKUP(склад2въезд[[#This Row],[Name]], СпрСобытий!$F:$G, 2, FALSE)</f>
        <v>Ангар Склад 2 въезд</v>
      </c>
    </row>
    <row r="118" spans="1:14" x14ac:dyDescent="0.25">
      <c r="A118" s="2" t="s">
        <v>18</v>
      </c>
      <c r="B118" s="4">
        <v>46004</v>
      </c>
      <c r="C118" s="5">
        <v>0.53692129629629626</v>
      </c>
      <c r="D118" s="9" t="s">
        <v>62</v>
      </c>
      <c r="E118" s="9" t="s">
        <v>6087</v>
      </c>
      <c r="F118" s="9" t="s">
        <v>51</v>
      </c>
      <c r="H118" s="9"/>
      <c r="I118" s="9" t="s">
        <v>5956</v>
      </c>
      <c r="J118" s="9" t="s">
        <v>2936</v>
      </c>
      <c r="K118" t="s">
        <v>5957</v>
      </c>
      <c r="L118" t="s">
        <v>5958</v>
      </c>
      <c r="M118" s="3" t="str">
        <f>HYPERLINK(склад2въезд[[#This Row],[RelativePath]])</f>
        <v>1 Ангар Склад 2 въезд\E33149364_6_20251213T125310Z.jpg</v>
      </c>
      <c r="N118" s="9" t="str">
        <f>VLOOKUP(склад2въезд[[#This Row],[Name]], СпрСобытий!$F:$G, 2, FALSE)</f>
        <v>Ангар Склад 2 въезд</v>
      </c>
    </row>
    <row r="119" spans="1:14" x14ac:dyDescent="0.25">
      <c r="A119" s="2" t="s">
        <v>18</v>
      </c>
      <c r="B119" s="4">
        <v>46004</v>
      </c>
      <c r="C119" s="5">
        <v>0.53726851851851853</v>
      </c>
      <c r="D119" s="9" t="s">
        <v>2974</v>
      </c>
      <c r="E119" s="9" t="s">
        <v>6086</v>
      </c>
      <c r="F119" s="9" t="s">
        <v>51</v>
      </c>
      <c r="H119" s="9"/>
      <c r="I119" s="9" t="s">
        <v>5959</v>
      </c>
      <c r="J119" s="9" t="s">
        <v>2936</v>
      </c>
      <c r="K119" t="s">
        <v>5960</v>
      </c>
      <c r="L119" t="s">
        <v>5961</v>
      </c>
      <c r="M119" s="3" t="str">
        <f>HYPERLINK(склад2въезд[[#This Row],[RelativePath]])</f>
        <v>1 Ангар Склад 2 въезд\E33149364_6_20251213T125340Z.jpg</v>
      </c>
      <c r="N119" s="9" t="str">
        <f>VLOOKUP(склад2въезд[[#This Row],[Name]], СпрСобытий!$F:$G, 2, FALSE)</f>
        <v>Ангар Склад 2 въезд</v>
      </c>
    </row>
    <row r="120" spans="1:14" x14ac:dyDescent="0.25">
      <c r="A120" s="2" t="s">
        <v>18</v>
      </c>
      <c r="B120" s="4">
        <v>46004</v>
      </c>
      <c r="C120" s="5">
        <v>0.53954861111111108</v>
      </c>
      <c r="D120" s="9" t="s">
        <v>91</v>
      </c>
      <c r="E120" s="9" t="s">
        <v>6088</v>
      </c>
      <c r="F120" s="9" t="s">
        <v>58</v>
      </c>
      <c r="H120" s="9"/>
      <c r="I120" s="9" t="s">
        <v>5962</v>
      </c>
      <c r="J120" s="9" t="s">
        <v>2936</v>
      </c>
      <c r="K120" t="s">
        <v>5963</v>
      </c>
      <c r="L120" t="s">
        <v>5964</v>
      </c>
      <c r="M120" s="3" t="str">
        <f>HYPERLINK(склад2въезд[[#This Row],[RelativePath]])</f>
        <v>1 Ангар Склад 2 въезд\E33149364_6_20251213T125657Z.jpg</v>
      </c>
      <c r="N120" s="9" t="str">
        <f>VLOOKUP(склад2въезд[[#This Row],[Name]], СпрСобытий!$F:$G, 2, FALSE)</f>
        <v>Ангар Склад 2 въезд</v>
      </c>
    </row>
    <row r="121" spans="1:14" x14ac:dyDescent="0.25">
      <c r="A121" s="2" t="s">
        <v>18</v>
      </c>
      <c r="B121" s="4">
        <v>46004</v>
      </c>
      <c r="C121" s="5">
        <v>0.56135416666666671</v>
      </c>
      <c r="D121" s="9" t="s">
        <v>62</v>
      </c>
      <c r="E121" s="9" t="s">
        <v>6088</v>
      </c>
      <c r="F121" s="9" t="s">
        <v>6089</v>
      </c>
      <c r="H121" s="9" t="s">
        <v>6090</v>
      </c>
      <c r="I121" s="9" t="s">
        <v>5965</v>
      </c>
      <c r="J121" s="9" t="s">
        <v>2936</v>
      </c>
      <c r="K121" t="s">
        <v>5966</v>
      </c>
      <c r="L121" t="s">
        <v>5967</v>
      </c>
      <c r="M121" s="3" t="str">
        <f>HYPERLINK(склад2въезд[[#This Row],[RelativePath]])</f>
        <v>1 Ангар Склад 2 въезд\E33149364_6_20251213T132821Z.jpg</v>
      </c>
      <c r="N121" s="9" t="str">
        <f>VLOOKUP(склад2въезд[[#This Row],[Name]], СпрСобытий!$F:$G, 2, FALSE)</f>
        <v>Ангар Склад 2 въезд</v>
      </c>
    </row>
    <row r="122" spans="1:14" x14ac:dyDescent="0.25">
      <c r="A122" s="2" t="s">
        <v>22</v>
      </c>
      <c r="B122" s="4">
        <v>46005</v>
      </c>
      <c r="C122" s="5">
        <v>0.50332175925925926</v>
      </c>
      <c r="D122" s="9" t="s">
        <v>1967</v>
      </c>
      <c r="E122" s="9" t="s">
        <v>6182</v>
      </c>
      <c r="F122" s="9"/>
      <c r="H122" s="9" t="s">
        <v>6181</v>
      </c>
      <c r="I122" s="9" t="s">
        <v>6118</v>
      </c>
      <c r="J122" s="9" t="s">
        <v>2936</v>
      </c>
      <c r="K122" t="s">
        <v>6119</v>
      </c>
      <c r="L122" t="s">
        <v>6120</v>
      </c>
      <c r="M122" s="3" t="str">
        <f>HYPERLINK(склад2въезд[[#This Row],[RelativePath]])</f>
        <v>1 Ангар Склад 2 въезд\E33149364_6_20251214T120447Z.jpg</v>
      </c>
      <c r="N122" s="9" t="str">
        <f>VLOOKUP(склад2въезд[[#This Row],[Name]], СпрСобытий!$F:$G, 2, FALSE)</f>
        <v>Ангар Склад 2 въезд</v>
      </c>
    </row>
    <row r="123" spans="1:14" x14ac:dyDescent="0.25">
      <c r="A123" s="2" t="s">
        <v>13</v>
      </c>
      <c r="B123" s="4">
        <v>46006</v>
      </c>
      <c r="C123" s="5">
        <v>0.43730324074074073</v>
      </c>
      <c r="D123" s="9" t="s">
        <v>64</v>
      </c>
      <c r="E123" s="9" t="s">
        <v>4134</v>
      </c>
      <c r="F123" s="9" t="s">
        <v>5010</v>
      </c>
      <c r="H123" s="9"/>
      <c r="I123" s="9" t="s">
        <v>6183</v>
      </c>
      <c r="J123" s="9" t="s">
        <v>2936</v>
      </c>
      <c r="K123" t="s">
        <v>6184</v>
      </c>
      <c r="L123" t="s">
        <v>6185</v>
      </c>
      <c r="M123" s="3" t="str">
        <f>HYPERLINK(склад2въезд[[#This Row],[RelativePath]])</f>
        <v>1 Ангар Склад 2 въезд\E33149364_6_20251215T102943Z.jpg</v>
      </c>
      <c r="N123" s="9" t="str">
        <f>VLOOKUP(склад2въезд[[#This Row],[Name]], СпрСобытий!$F:$G, 2, FALSE)</f>
        <v>Ангар Склад 2 въезд</v>
      </c>
    </row>
    <row r="124" spans="1:14" x14ac:dyDescent="0.25">
      <c r="A124" s="2" t="s">
        <v>13</v>
      </c>
      <c r="B124" s="4">
        <v>46006</v>
      </c>
      <c r="C124" s="5">
        <v>0.46148148148148149</v>
      </c>
      <c r="D124" s="9" t="s">
        <v>91</v>
      </c>
      <c r="E124" s="9" t="s">
        <v>6248</v>
      </c>
      <c r="F124" s="9" t="s">
        <v>51</v>
      </c>
      <c r="H124" s="9"/>
      <c r="I124" s="9" t="s">
        <v>6262</v>
      </c>
      <c r="J124" s="9" t="s">
        <v>2936</v>
      </c>
      <c r="K124" t="s">
        <v>6263</v>
      </c>
      <c r="L124" t="s">
        <v>6264</v>
      </c>
      <c r="M124" s="3" t="str">
        <f>HYPERLINK(склад2въезд[[#This Row],[RelativePath]])</f>
        <v>1 Ангар Склад 2 въезд\E33149364_6_20251215T110432Z.jpg</v>
      </c>
      <c r="N124" s="9" t="str">
        <f>VLOOKUP(склад2въезд[[#This Row],[Name]], СпрСобытий!$F:$G, 2, FALSE)</f>
        <v>Ангар Склад 2 въезд</v>
      </c>
    </row>
    <row r="125" spans="1:14" x14ac:dyDescent="0.25">
      <c r="A125" s="2" t="s">
        <v>13</v>
      </c>
      <c r="B125" s="4">
        <v>46006</v>
      </c>
      <c r="C125" s="5">
        <v>0.48171296296296295</v>
      </c>
      <c r="D125" s="9" t="s">
        <v>85</v>
      </c>
      <c r="E125" s="9" t="s">
        <v>6248</v>
      </c>
      <c r="F125" s="9" t="s">
        <v>58</v>
      </c>
      <c r="H125" s="9" t="s">
        <v>1583</v>
      </c>
      <c r="I125" s="9" t="s">
        <v>6186</v>
      </c>
      <c r="J125" s="9" t="s">
        <v>2936</v>
      </c>
      <c r="K125" t="s">
        <v>6187</v>
      </c>
      <c r="L125" t="s">
        <v>6188</v>
      </c>
      <c r="M125" s="3" t="str">
        <f>HYPERLINK(склад2въезд[[#This Row],[RelativePath]])</f>
        <v>1 Ангар Склад 2 въезд\E33149364_6_20251215T113340Z.jpg</v>
      </c>
      <c r="N125" s="9" t="str">
        <f>VLOOKUP(склад2въезд[[#This Row],[Name]], СпрСобытий!$F:$G, 2, FALSE)</f>
        <v>Ангар Склад 2 въезд</v>
      </c>
    </row>
    <row r="126" spans="1:14" x14ac:dyDescent="0.25">
      <c r="A126" s="2" t="s">
        <v>13</v>
      </c>
      <c r="B126" s="4">
        <v>46006</v>
      </c>
      <c r="C126" s="5">
        <v>0.48192129629629632</v>
      </c>
      <c r="D126" s="9" t="s">
        <v>85</v>
      </c>
      <c r="E126" s="9" t="s">
        <v>6248</v>
      </c>
      <c r="F126" s="9" t="s">
        <v>58</v>
      </c>
      <c r="H126" s="9" t="s">
        <v>2891</v>
      </c>
      <c r="I126" s="9" t="s">
        <v>6189</v>
      </c>
      <c r="J126" s="9" t="s">
        <v>2936</v>
      </c>
      <c r="K126" t="s">
        <v>6190</v>
      </c>
      <c r="L126" t="s">
        <v>6191</v>
      </c>
      <c r="M126" s="3" t="str">
        <f>HYPERLINK(склад2въезд[[#This Row],[RelativePath]])</f>
        <v>1 Ангар Склад 2 въезд\E33149364_6_20251215T113358Z.jpg</v>
      </c>
      <c r="N126" s="9" t="str">
        <f>VLOOKUP(склад2въезд[[#This Row],[Name]], СпрСобытий!$F:$G, 2, FALSE)</f>
        <v>Ангар Склад 2 въезд</v>
      </c>
    </row>
    <row r="127" spans="1:14" x14ac:dyDescent="0.25">
      <c r="A127" s="2" t="s">
        <v>13</v>
      </c>
      <c r="B127" s="4">
        <v>46006</v>
      </c>
      <c r="C127" s="5">
        <v>0.51416666666666666</v>
      </c>
      <c r="D127" s="9" t="s">
        <v>62</v>
      </c>
      <c r="E127" s="9" t="s">
        <v>70</v>
      </c>
      <c r="F127" s="9"/>
      <c r="H127" s="9"/>
      <c r="I127" s="9" t="s">
        <v>6192</v>
      </c>
      <c r="J127" s="9" t="s">
        <v>2936</v>
      </c>
      <c r="K127" t="s">
        <v>6193</v>
      </c>
      <c r="L127" t="s">
        <v>6194</v>
      </c>
      <c r="M127" s="3" t="str">
        <f>HYPERLINK(склад2въезд[[#This Row],[RelativePath]])</f>
        <v>1 Ангар Склад 2 въезд\E33149364_6_20251215T122024Z.jpg</v>
      </c>
      <c r="N127" s="9" t="str">
        <f>VLOOKUP(склад2въезд[[#This Row],[Name]], СпрСобытий!$F:$G, 2, FALSE)</f>
        <v>Ангар Склад 2 въезд</v>
      </c>
    </row>
    <row r="128" spans="1:14" x14ac:dyDescent="0.25">
      <c r="A128" s="2" t="s">
        <v>13</v>
      </c>
      <c r="B128" s="4">
        <v>46006</v>
      </c>
      <c r="C128" s="5">
        <v>0.53755787037037039</v>
      </c>
      <c r="D128" s="9" t="s">
        <v>91</v>
      </c>
      <c r="E128" s="9" t="s">
        <v>70</v>
      </c>
      <c r="F128" s="9"/>
      <c r="H128" s="9"/>
      <c r="I128" s="9" t="s">
        <v>6195</v>
      </c>
      <c r="J128" s="9" t="s">
        <v>2936</v>
      </c>
      <c r="K128" t="s">
        <v>6196</v>
      </c>
      <c r="L128" t="s">
        <v>6197</v>
      </c>
      <c r="M128" s="3" t="str">
        <f>HYPERLINK(склад2въезд[[#This Row],[RelativePath]])</f>
        <v>1 Ангар Склад 2 въезд\E33149364_6_20251215T125405Z.jpg</v>
      </c>
      <c r="N128" s="9" t="str">
        <f>VLOOKUP(склад2въезд[[#This Row],[Name]], СпрСобытий!$F:$G, 2, FALSE)</f>
        <v>Ангар Склад 2 въезд</v>
      </c>
    </row>
    <row r="129" spans="1:14" x14ac:dyDescent="0.25">
      <c r="A129" s="2" t="s">
        <v>13</v>
      </c>
      <c r="B129" s="4">
        <v>46006</v>
      </c>
      <c r="C129" s="5">
        <v>0.54327546296296292</v>
      </c>
      <c r="D129" s="9" t="s">
        <v>85</v>
      </c>
      <c r="E129" s="9" t="s">
        <v>4134</v>
      </c>
      <c r="F129" s="9" t="s">
        <v>5010</v>
      </c>
      <c r="H129" s="9"/>
      <c r="I129" s="9" t="s">
        <v>6198</v>
      </c>
      <c r="J129" s="9" t="s">
        <v>2936</v>
      </c>
      <c r="K129" t="s">
        <v>6199</v>
      </c>
      <c r="L129" t="s">
        <v>6200</v>
      </c>
      <c r="M129" s="3" t="str">
        <f>HYPERLINK(склад2въезд[[#This Row],[RelativePath]])</f>
        <v>1 Ангар Склад 2 въезд\E33149364_6_20251215T130219Z.jpg</v>
      </c>
      <c r="N129" s="9" t="str">
        <f>VLOOKUP(склад2въезд[[#This Row],[Name]], СпрСобытий!$F:$G, 2, FALSE)</f>
        <v>Ангар Склад 2 въезд</v>
      </c>
    </row>
    <row r="130" spans="1:14" x14ac:dyDescent="0.25">
      <c r="A130" s="2" t="s">
        <v>14</v>
      </c>
      <c r="B130" s="4">
        <v>46007</v>
      </c>
      <c r="C130" s="5">
        <v>0.4475810185185185</v>
      </c>
      <c r="D130" s="9" t="s">
        <v>91</v>
      </c>
      <c r="E130" s="9" t="s">
        <v>6574</v>
      </c>
      <c r="F130" s="9" t="s">
        <v>51</v>
      </c>
      <c r="H130" s="9"/>
      <c r="I130" s="9" t="s">
        <v>6452</v>
      </c>
      <c r="J130" s="9" t="s">
        <v>2936</v>
      </c>
      <c r="K130" t="s">
        <v>6453</v>
      </c>
      <c r="L130" t="s">
        <v>6454</v>
      </c>
      <c r="M130" s="3" t="str">
        <f>HYPERLINK(склад2въезд[[#This Row],[RelativePath]])</f>
        <v>1 Ангар Склад 2 въезд\E33149364_6_20251216T104431Z.jpg</v>
      </c>
      <c r="N130" s="9" t="str">
        <f>VLOOKUP(склад2въезд[[#This Row],[Name]], СпрСобытий!$F:$G, 2, FALSE)</f>
        <v>Ангар Склад 2 въезд</v>
      </c>
    </row>
    <row r="131" spans="1:14" x14ac:dyDescent="0.25">
      <c r="A131" s="2" t="s">
        <v>14</v>
      </c>
      <c r="B131" s="4">
        <v>46007</v>
      </c>
      <c r="C131" s="5">
        <v>0.46203703703703702</v>
      </c>
      <c r="D131" s="9" t="s">
        <v>62</v>
      </c>
      <c r="E131" s="9" t="s">
        <v>6574</v>
      </c>
      <c r="F131" s="9" t="s">
        <v>6575</v>
      </c>
      <c r="H131" s="9"/>
      <c r="I131" s="9" t="s">
        <v>6455</v>
      </c>
      <c r="J131" s="9" t="s">
        <v>2936</v>
      </c>
      <c r="K131" t="s">
        <v>6456</v>
      </c>
      <c r="L131" t="s">
        <v>6457</v>
      </c>
      <c r="M131" s="3" t="str">
        <f>HYPERLINK(склад2въезд[[#This Row],[RelativePath]])</f>
        <v>1 Ангар Склад 2 въезд\E33149364_6_20251216T110520Z.jpg</v>
      </c>
      <c r="N131" s="9" t="str">
        <f>VLOOKUP(склад2въезд[[#This Row],[Name]], СпрСобытий!$F:$G, 2, FALSE)</f>
        <v>Ангар Склад 2 въезд</v>
      </c>
    </row>
    <row r="132" spans="1:14" x14ac:dyDescent="0.25">
      <c r="A132" s="2" t="s">
        <v>14</v>
      </c>
      <c r="B132" s="4">
        <v>46007</v>
      </c>
      <c r="C132" s="5">
        <v>0.49627314814814816</v>
      </c>
      <c r="D132" s="9" t="s">
        <v>64</v>
      </c>
      <c r="E132" s="9" t="s">
        <v>4134</v>
      </c>
      <c r="F132" s="9" t="s">
        <v>5010</v>
      </c>
      <c r="H132" s="9"/>
      <c r="I132" s="9" t="s">
        <v>6458</v>
      </c>
      <c r="J132" s="9" t="s">
        <v>2936</v>
      </c>
      <c r="K132" t="s">
        <v>6459</v>
      </c>
      <c r="L132" t="s">
        <v>6460</v>
      </c>
      <c r="M132" s="3" t="str">
        <f>HYPERLINK(склад2въезд[[#This Row],[RelativePath]])</f>
        <v>1 Ангар Склад 2 въезд\E33149364_6_20251216T115438Z.jpg</v>
      </c>
      <c r="N132" s="9" t="str">
        <f>VLOOKUP(склад2въезд[[#This Row],[Name]], СпрСобытий!$F:$G, 2, FALSE)</f>
        <v>Ангар Склад 2 въезд</v>
      </c>
    </row>
    <row r="133" spans="1:14" x14ac:dyDescent="0.25">
      <c r="A133" s="2" t="s">
        <v>14</v>
      </c>
      <c r="B133" s="4">
        <v>46007</v>
      </c>
      <c r="C133" s="5">
        <v>0.58416666666666661</v>
      </c>
      <c r="D133" s="9" t="s">
        <v>85</v>
      </c>
      <c r="E133" s="9" t="s">
        <v>4134</v>
      </c>
      <c r="F133" s="9" t="s">
        <v>5010</v>
      </c>
      <c r="H133" s="9"/>
      <c r="I133" s="9" t="s">
        <v>6461</v>
      </c>
      <c r="J133" s="9" t="s">
        <v>2936</v>
      </c>
      <c r="K133" t="s">
        <v>6462</v>
      </c>
      <c r="L133" t="s">
        <v>6463</v>
      </c>
      <c r="M133" s="3" t="str">
        <f>HYPERLINK(склад2въезд[[#This Row],[RelativePath]])</f>
        <v>1 Ангар Склад 2 въезд\E33149364_6_20251216T140112Z.jpg</v>
      </c>
      <c r="N133" s="9" t="str">
        <f>VLOOKUP(склад2въезд[[#This Row],[Name]], СпрСобытий!$F:$G, 2, FALSE)</f>
        <v>Ангар Склад 2 въезд</v>
      </c>
    </row>
    <row r="134" spans="1:14" x14ac:dyDescent="0.25">
      <c r="A134" s="2" t="s">
        <v>15</v>
      </c>
      <c r="B134" s="4">
        <v>46008</v>
      </c>
      <c r="C134" s="5">
        <v>0.70369212962962968</v>
      </c>
      <c r="D134" s="9" t="s">
        <v>1967</v>
      </c>
      <c r="E134" s="9"/>
      <c r="F134" s="9"/>
      <c r="H134" s="9"/>
      <c r="I134" s="9" t="s">
        <v>6580</v>
      </c>
      <c r="J134" s="9" t="s">
        <v>2936</v>
      </c>
      <c r="K134" t="s">
        <v>6581</v>
      </c>
      <c r="L134" t="s">
        <v>6582</v>
      </c>
      <c r="M134" s="3" t="str">
        <f>HYPERLINK(склад2въезд[[#This Row],[RelativePath]])</f>
        <v>1 Ангар Склад 2 въезд\E33149364_6_20251217T165319Z.jpg</v>
      </c>
      <c r="N134" s="9" t="str">
        <f>VLOOKUP(склад2въезд[[#This Row],[Name]], СпрСобытий!$F:$G, 2, FALSE)</f>
        <v>Ангар Склад 2 въезд</v>
      </c>
    </row>
    <row r="135" spans="1:14" x14ac:dyDescent="0.25">
      <c r="A135" s="2" t="s">
        <v>16</v>
      </c>
      <c r="B135" s="4">
        <v>46009</v>
      </c>
      <c r="C135" s="5">
        <v>0.51199074074074069</v>
      </c>
      <c r="D135" s="9" t="s">
        <v>64</v>
      </c>
      <c r="E135" s="9" t="s">
        <v>4134</v>
      </c>
      <c r="F135" s="9" t="s">
        <v>5010</v>
      </c>
      <c r="H135" s="9"/>
      <c r="I135" s="9" t="s">
        <v>6583</v>
      </c>
      <c r="J135" s="9" t="s">
        <v>2936</v>
      </c>
      <c r="K135" t="s">
        <v>6584</v>
      </c>
      <c r="L135" t="s">
        <v>6585</v>
      </c>
      <c r="M135" s="3" t="str">
        <f>HYPERLINK(склад2въезд[[#This Row],[RelativePath]])</f>
        <v>1 Ангар Склад 2 въезд\E33149364_6_20251218T121716Z.jpg</v>
      </c>
      <c r="N135" s="9" t="str">
        <f>VLOOKUP(склад2въезд[[#This Row],[Name]], СпрСобытий!$F:$G, 2, FALSE)</f>
        <v>Ангар Склад 2 въезд</v>
      </c>
    </row>
    <row r="136" spans="1:14" x14ac:dyDescent="0.25">
      <c r="A136" s="2" t="s">
        <v>16</v>
      </c>
      <c r="B136" s="4">
        <v>46009</v>
      </c>
      <c r="C136" s="5">
        <v>0.52342592592592596</v>
      </c>
      <c r="D136" s="9" t="s">
        <v>6781</v>
      </c>
      <c r="E136" s="9"/>
      <c r="F136" s="9"/>
      <c r="H136" s="9"/>
      <c r="I136" s="9" t="s">
        <v>6586</v>
      </c>
      <c r="J136" s="9" t="s">
        <v>2936</v>
      </c>
      <c r="K136" t="s">
        <v>6587</v>
      </c>
      <c r="L136" t="s">
        <v>6588</v>
      </c>
      <c r="M136" s="3" t="str">
        <f>HYPERLINK(склад2въезд[[#This Row],[RelativePath]])</f>
        <v>1 Ангар Склад 2 въезд\E33149364_6_20251218T123344Z.jpg</v>
      </c>
      <c r="N136" s="9" t="str">
        <f>VLOOKUP(склад2въезд[[#This Row],[Name]], СпрСобытий!$F:$G, 2, FALSE)</f>
        <v>Ангар Склад 2 въезд</v>
      </c>
    </row>
    <row r="137" spans="1:14" x14ac:dyDescent="0.25">
      <c r="A137" s="2" t="s">
        <v>16</v>
      </c>
      <c r="B137" s="4">
        <v>46009</v>
      </c>
      <c r="C137" s="5">
        <v>0.55010416666666662</v>
      </c>
      <c r="D137" s="9" t="s">
        <v>91</v>
      </c>
      <c r="E137" s="9" t="s">
        <v>6111</v>
      </c>
      <c r="F137" s="9"/>
      <c r="H137" s="9"/>
      <c r="I137" s="9" t="s">
        <v>6589</v>
      </c>
      <c r="J137" s="9" t="s">
        <v>2936</v>
      </c>
      <c r="K137" t="s">
        <v>6590</v>
      </c>
      <c r="L137" t="s">
        <v>6591</v>
      </c>
      <c r="M137" s="3" t="str">
        <f>HYPERLINK(склад2въезд[[#This Row],[RelativePath]])</f>
        <v>1 Ангар Склад 2 въезд\E33149364_6_20251218T131209Z.jpg</v>
      </c>
      <c r="N137" s="9" t="str">
        <f>VLOOKUP(склад2въезд[[#This Row],[Name]], СпрСобытий!$F:$G, 2, FALSE)</f>
        <v>Ангар Склад 2 въезд</v>
      </c>
    </row>
    <row r="138" spans="1:14" x14ac:dyDescent="0.25">
      <c r="A138" s="2" t="s">
        <v>16</v>
      </c>
      <c r="B138" s="4">
        <v>46009</v>
      </c>
      <c r="C138" s="5">
        <v>0.58857638888888886</v>
      </c>
      <c r="D138" s="9" t="s">
        <v>6782</v>
      </c>
      <c r="E138" s="9" t="s">
        <v>86</v>
      </c>
      <c r="F138" s="9"/>
      <c r="H138" s="9"/>
      <c r="I138" s="9" t="s">
        <v>6592</v>
      </c>
      <c r="J138" s="9" t="s">
        <v>2936</v>
      </c>
      <c r="K138" t="s">
        <v>6593</v>
      </c>
      <c r="L138" t="s">
        <v>6594</v>
      </c>
      <c r="M138" s="3" t="str">
        <f>HYPERLINK(склад2въезд[[#This Row],[RelativePath]])</f>
        <v>1 Ангар Склад 2 въезд\E33149364_6_20251218T140733Z.jpg</v>
      </c>
      <c r="N138" s="9" t="str">
        <f>VLOOKUP(склад2въезд[[#This Row],[Name]], СпрСобытий!$F:$G, 2, FALSE)</f>
        <v>Ангар Склад 2 въезд</v>
      </c>
    </row>
    <row r="139" spans="1:14" x14ac:dyDescent="0.25">
      <c r="A139" s="2" t="s">
        <v>16</v>
      </c>
      <c r="B139" s="4">
        <v>46009</v>
      </c>
      <c r="C139" s="5">
        <v>0.61517361111111113</v>
      </c>
      <c r="D139" s="9" t="s">
        <v>85</v>
      </c>
      <c r="E139" s="9" t="s">
        <v>4134</v>
      </c>
      <c r="F139" s="9" t="s">
        <v>5010</v>
      </c>
      <c r="H139" s="9"/>
      <c r="I139" s="9" t="s">
        <v>6595</v>
      </c>
      <c r="J139" s="9" t="s">
        <v>2936</v>
      </c>
      <c r="K139" t="s">
        <v>6596</v>
      </c>
      <c r="L139" t="s">
        <v>6597</v>
      </c>
      <c r="M139" s="3" t="str">
        <f>HYPERLINK(склад2въезд[[#This Row],[RelativePath]])</f>
        <v>1 Ангар Склад 2 въезд\E33149364_6_20251218T144551Z.jpg</v>
      </c>
      <c r="N139" s="9" t="str">
        <f>VLOOKUP(склад2въезд[[#This Row],[Name]], СпрСобытий!$F:$G, 2, FALSE)</f>
        <v>Ангар Склад 2 въезд</v>
      </c>
    </row>
    <row r="140" spans="1:14" x14ac:dyDescent="0.25">
      <c r="A140" s="2" t="s">
        <v>17</v>
      </c>
      <c r="B140" s="4">
        <v>46010</v>
      </c>
      <c r="C140" s="5">
        <v>0.6606481481481481</v>
      </c>
      <c r="D140" s="9" t="s">
        <v>1967</v>
      </c>
      <c r="E140" s="9"/>
      <c r="F140" s="9"/>
      <c r="H140" s="9"/>
      <c r="I140" s="9" t="s">
        <v>6815</v>
      </c>
      <c r="J140" s="9" t="s">
        <v>2936</v>
      </c>
      <c r="K140" t="s">
        <v>6816</v>
      </c>
      <c r="L140" t="s">
        <v>6817</v>
      </c>
      <c r="M140" s="3" t="str">
        <f>HYPERLINK(склад2въезд[[#This Row],[RelativePath]])</f>
        <v>1 Ангар Склад 2 въезд\E33149364_6_20251219T155120Z.jpg</v>
      </c>
      <c r="N140" s="9" t="str">
        <f>VLOOKUP(склад2въезд[[#This Row],[Name]], СпрСобытий!$F:$G, 2, FALSE)</f>
        <v>Ангар Склад 2 въезд</v>
      </c>
    </row>
    <row r="141" spans="1:14" x14ac:dyDescent="0.25">
      <c r="A141" s="2" t="s">
        <v>18</v>
      </c>
      <c r="B141" s="4">
        <v>46011</v>
      </c>
      <c r="C141" s="5">
        <v>0.68261574074074072</v>
      </c>
      <c r="D141" s="9" t="s">
        <v>1967</v>
      </c>
      <c r="E141" s="9"/>
      <c r="F141" s="9"/>
      <c r="H141" s="9"/>
      <c r="I141" s="9" t="s">
        <v>6818</v>
      </c>
      <c r="J141" s="9" t="s">
        <v>2936</v>
      </c>
      <c r="K141" t="s">
        <v>6819</v>
      </c>
      <c r="L141" t="s">
        <v>6820</v>
      </c>
      <c r="M141" s="3" t="str">
        <f>HYPERLINK(склад2въезд[[#This Row],[RelativePath]])</f>
        <v>1 Ангар Склад 2 въезд\E33149364_6_20251220T162258Z.jpg</v>
      </c>
      <c r="N141" s="9" t="str">
        <f>VLOOKUP(склад2въезд[[#This Row],[Name]], СпрСобытий!$F:$G, 2, FALSE)</f>
        <v>Ангар Склад 2 въезд</v>
      </c>
    </row>
    <row r="142" spans="1:14" x14ac:dyDescent="0.25">
      <c r="A142" s="2" t="s">
        <v>22</v>
      </c>
      <c r="B142" s="4">
        <v>46012</v>
      </c>
      <c r="C142" s="5">
        <v>0.72635416666666663</v>
      </c>
      <c r="D142" s="9" t="s">
        <v>1967</v>
      </c>
      <c r="E142" s="9"/>
      <c r="F142" s="9"/>
      <c r="H142" s="9"/>
      <c r="I142" s="9" t="s">
        <v>7089</v>
      </c>
      <c r="J142" s="9" t="s">
        <v>2936</v>
      </c>
      <c r="K142" t="s">
        <v>7090</v>
      </c>
      <c r="L142" t="s">
        <v>7091</v>
      </c>
      <c r="M142" s="3" t="str">
        <f>HYPERLINK(склад2въезд[[#This Row],[RelativePath]])</f>
        <v>1 Ангар Склад 2 въезд\E33149364_6_20251221T172557Z.jpg</v>
      </c>
      <c r="N142" s="9" t="str">
        <f>VLOOKUP(склад2въезд[[#This Row],[Name]], СпрСобытий!$F:$G, 2, FALSE)</f>
        <v>Ангар Склад 2 въезд</v>
      </c>
    </row>
    <row r="143" spans="1:14" x14ac:dyDescent="0.25">
      <c r="A143" s="2" t="s">
        <v>13</v>
      </c>
      <c r="B143" s="4">
        <v>46013</v>
      </c>
      <c r="C143" s="5">
        <v>0.46493055555555557</v>
      </c>
      <c r="D143" s="9" t="s">
        <v>64</v>
      </c>
      <c r="E143" s="9" t="s">
        <v>4134</v>
      </c>
      <c r="F143" s="9" t="s">
        <v>5010</v>
      </c>
      <c r="H143" s="9"/>
      <c r="I143" s="9" t="s">
        <v>7155</v>
      </c>
      <c r="J143" s="9" t="s">
        <v>2936</v>
      </c>
      <c r="K143" t="s">
        <v>7156</v>
      </c>
      <c r="L143" t="s">
        <v>7157</v>
      </c>
      <c r="M143" s="3" t="str">
        <f>HYPERLINK(склад2въезд[[#This Row],[RelativePath]])</f>
        <v>1 Ангар Склад 2 въезд\E33149364_6_20251222T110930Z.jpg</v>
      </c>
      <c r="N143" s="9" t="str">
        <f>VLOOKUP(склад2въезд[[#This Row],[Name]], СпрСобытий!$F:$G, 2, FALSE)</f>
        <v>Ангар Склад 2 въезд</v>
      </c>
    </row>
    <row r="144" spans="1:14" x14ac:dyDescent="0.25">
      <c r="A144" s="2" t="s">
        <v>13</v>
      </c>
      <c r="B144" s="4">
        <v>46013</v>
      </c>
      <c r="C144" s="5">
        <v>0.55439814814814814</v>
      </c>
      <c r="D144" s="9" t="s">
        <v>85</v>
      </c>
      <c r="E144" s="9" t="s">
        <v>4134</v>
      </c>
      <c r="F144" s="9" t="s">
        <v>5010</v>
      </c>
      <c r="H144" s="9"/>
      <c r="I144" s="9" t="s">
        <v>7158</v>
      </c>
      <c r="J144" s="9" t="s">
        <v>2936</v>
      </c>
      <c r="K144" t="s">
        <v>7159</v>
      </c>
      <c r="L144" t="s">
        <v>7160</v>
      </c>
      <c r="M144" s="3" t="str">
        <f>HYPERLINK(склад2въезд[[#This Row],[RelativePath]])</f>
        <v>1 Ангар Склад 2 въезд\E33149364_6_20251222T131820Z.jpg</v>
      </c>
      <c r="N144" s="9" t="str">
        <f>VLOOKUP(склад2въезд[[#This Row],[Name]], СпрСобытий!$F:$G, 2, FALSE)</f>
        <v>Ангар Склад 2 въезд</v>
      </c>
    </row>
    <row r="145" spans="1:14" x14ac:dyDescent="0.25">
      <c r="A145" s="2" t="s">
        <v>14</v>
      </c>
      <c r="B145" s="4">
        <v>46014</v>
      </c>
      <c r="C145" s="5">
        <v>0.75899305555555552</v>
      </c>
      <c r="D145" s="9" t="s">
        <v>91</v>
      </c>
      <c r="E145" s="9" t="s">
        <v>7320</v>
      </c>
      <c r="F145" s="9" t="s">
        <v>60</v>
      </c>
      <c r="H145" s="9"/>
      <c r="I145" s="9" t="s">
        <v>7161</v>
      </c>
      <c r="J145" s="9" t="s">
        <v>2936</v>
      </c>
      <c r="K145" t="s">
        <v>7162</v>
      </c>
      <c r="L145" t="s">
        <v>7163</v>
      </c>
      <c r="M145" s="3" t="str">
        <f>HYPERLINK(склад2въезд[[#This Row],[RelativePath]])</f>
        <v>1 Ангар Склад 2 въезд\E33149364_6_20251223T181257Z.jpg</v>
      </c>
      <c r="N145" s="9" t="str">
        <f>VLOOKUP(склад2въезд[[#This Row],[Name]], СпрСобытий!$F:$G, 2, FALSE)</f>
        <v>Ангар Склад 2 въезд</v>
      </c>
    </row>
    <row r="146" spans="1:14" x14ac:dyDescent="0.25">
      <c r="A146" s="2" t="s">
        <v>14</v>
      </c>
      <c r="B146" s="4">
        <v>46014</v>
      </c>
      <c r="C146" s="5">
        <v>0.81598379629629625</v>
      </c>
      <c r="D146" s="9" t="s">
        <v>62</v>
      </c>
      <c r="E146" s="9" t="s">
        <v>7320</v>
      </c>
      <c r="F146" s="9" t="s">
        <v>51</v>
      </c>
      <c r="H146" s="9"/>
      <c r="I146" s="9" t="s">
        <v>7164</v>
      </c>
      <c r="J146" s="9" t="s">
        <v>2936</v>
      </c>
      <c r="K146" t="s">
        <v>7165</v>
      </c>
      <c r="L146" t="s">
        <v>7166</v>
      </c>
      <c r="M146" s="3" t="str">
        <f>HYPERLINK(склад2въезд[[#This Row],[RelativePath]])</f>
        <v>1 Ангар Склад 2 въезд\E33149364_6_20251223T193501Z.jpg</v>
      </c>
      <c r="N146" s="9" t="str">
        <f>VLOOKUP(склад2въезд[[#This Row],[Name]], СпрСобытий!$F:$G, 2, FALSE)</f>
        <v>Ангар Склад 2 въезд</v>
      </c>
    </row>
    <row r="147" spans="1:14" x14ac:dyDescent="0.25">
      <c r="A147" s="2" t="s">
        <v>15</v>
      </c>
      <c r="B147" s="4">
        <v>46015</v>
      </c>
      <c r="C147" s="5">
        <v>0.71590277777777778</v>
      </c>
      <c r="D147" s="9" t="s">
        <v>1967</v>
      </c>
      <c r="E147" s="9"/>
      <c r="F147" s="9"/>
      <c r="H147" s="9"/>
      <c r="I147" s="9" t="s">
        <v>7328</v>
      </c>
      <c r="J147" s="9" t="s">
        <v>2936</v>
      </c>
      <c r="K147" t="s">
        <v>7329</v>
      </c>
      <c r="L147" t="s">
        <v>7330</v>
      </c>
      <c r="M147" s="3" t="str">
        <f>HYPERLINK(склад2въезд[[#This Row],[RelativePath]])</f>
        <v>1 Ангар Склад 2 въезд\E33149364_6_20251224T171054Z.jpg</v>
      </c>
      <c r="N147" s="9" t="str">
        <f>VLOOKUP(склад2въезд[[#This Row],[Name]], СпрСобытий!$F:$G, 2, FALSE)</f>
        <v>Ангар Склад 2 въезд</v>
      </c>
    </row>
    <row r="148" spans="1:14" x14ac:dyDescent="0.25">
      <c r="A148" s="2" t="s">
        <v>15</v>
      </c>
      <c r="B148" s="4">
        <v>46015</v>
      </c>
      <c r="C148" s="5">
        <v>0.88572916666666668</v>
      </c>
      <c r="D148" s="9" t="s">
        <v>91</v>
      </c>
      <c r="E148" s="9" t="s">
        <v>7612</v>
      </c>
      <c r="F148" s="9" t="s">
        <v>60</v>
      </c>
      <c r="H148" s="9"/>
      <c r="I148" s="9" t="s">
        <v>7331</v>
      </c>
      <c r="J148" s="9" t="s">
        <v>2936</v>
      </c>
      <c r="K148" t="s">
        <v>7332</v>
      </c>
      <c r="L148" t="s">
        <v>7333</v>
      </c>
      <c r="M148" s="3" t="str">
        <f>HYPERLINK(склад2въезд[[#This Row],[RelativePath]])</f>
        <v>1 Ангар Склад 2 въезд\E33149364_6_20251224T211527Z.jpg</v>
      </c>
      <c r="N148" s="9" t="str">
        <f>VLOOKUP(склад2въезд[[#This Row],[Name]], СпрСобытий!$F:$G, 2, FALSE)</f>
        <v>Ангар Склад 2 въезд</v>
      </c>
    </row>
    <row r="149" spans="1:14" x14ac:dyDescent="0.25">
      <c r="A149" s="2" t="s">
        <v>16</v>
      </c>
      <c r="B149" s="4">
        <v>46016</v>
      </c>
      <c r="C149" s="5">
        <v>0.49247685185185186</v>
      </c>
      <c r="D149" s="9" t="s">
        <v>62</v>
      </c>
      <c r="E149" s="9" t="s">
        <v>7612</v>
      </c>
      <c r="F149" s="9" t="s">
        <v>51</v>
      </c>
      <c r="H149" s="9"/>
      <c r="I149" s="9" t="s">
        <v>7334</v>
      </c>
      <c r="J149" s="9" t="s">
        <v>2936</v>
      </c>
      <c r="K149" t="s">
        <v>7335</v>
      </c>
      <c r="L149" t="s">
        <v>7336</v>
      </c>
      <c r="M149" s="3" t="str">
        <f>HYPERLINK(склад2въезд[[#This Row],[RelativePath]])</f>
        <v>1 Ангар Склад 2 въезд\E33149364_6_20251225T114910Z.jpg</v>
      </c>
      <c r="N149" s="9" t="str">
        <f>VLOOKUP(склад2въезд[[#This Row],[Name]], СпрСобытий!$F:$G, 2, FALSE)</f>
        <v>Ангар Склад 2 въезд</v>
      </c>
    </row>
    <row r="150" spans="1:14" x14ac:dyDescent="0.25">
      <c r="A150" s="2" t="s">
        <v>16</v>
      </c>
      <c r="B150" s="4">
        <v>46016</v>
      </c>
      <c r="C150" s="5">
        <v>0.4972685185185185</v>
      </c>
      <c r="D150" s="9" t="s">
        <v>91</v>
      </c>
      <c r="E150" s="9" t="s">
        <v>70</v>
      </c>
      <c r="F150" s="9" t="s">
        <v>51</v>
      </c>
      <c r="H150" s="9"/>
      <c r="I150" s="9" t="s">
        <v>7337</v>
      </c>
      <c r="J150" s="9" t="s">
        <v>2936</v>
      </c>
      <c r="K150" t="s">
        <v>7338</v>
      </c>
      <c r="L150" t="s">
        <v>7339</v>
      </c>
      <c r="M150" s="3" t="str">
        <f>HYPERLINK(склад2въезд[[#This Row],[RelativePath]])</f>
        <v>1 Ангар Склад 2 въезд\E33149364_6_20251225T115604Z.jpg</v>
      </c>
      <c r="N150" s="9" t="str">
        <f>VLOOKUP(склад2въезд[[#This Row],[Name]], СпрСобытий!$F:$G, 2, FALSE)</f>
        <v>Ангар Склад 2 въезд</v>
      </c>
    </row>
    <row r="151" spans="1:14" x14ac:dyDescent="0.25">
      <c r="A151" s="2" t="s">
        <v>16</v>
      </c>
      <c r="B151" s="4">
        <v>46016</v>
      </c>
      <c r="C151" s="5">
        <v>0.51089120370370367</v>
      </c>
      <c r="D151" s="9" t="s">
        <v>91</v>
      </c>
      <c r="E151" s="9" t="s">
        <v>4134</v>
      </c>
      <c r="F151" s="9" t="s">
        <v>51</v>
      </c>
      <c r="H151" s="9"/>
      <c r="I151" s="9" t="s">
        <v>7340</v>
      </c>
      <c r="J151" s="9" t="s">
        <v>2936</v>
      </c>
      <c r="K151" t="s">
        <v>7341</v>
      </c>
      <c r="L151" t="s">
        <v>7342</v>
      </c>
      <c r="M151" s="3" t="str">
        <f>HYPERLINK(склад2въезд[[#This Row],[RelativePath]])</f>
        <v>1 Ангар Склад 2 въезд\E33149364_6_20251225T121541Z.jpg</v>
      </c>
      <c r="N151" s="9" t="str">
        <f>VLOOKUP(склад2въезд[[#This Row],[Name]], СпрСобытий!$F:$G, 2, FALSE)</f>
        <v>Ангар Склад 2 въезд</v>
      </c>
    </row>
    <row r="152" spans="1:14" x14ac:dyDescent="0.25">
      <c r="A152" s="2" t="s">
        <v>16</v>
      </c>
      <c r="B152" s="4">
        <v>46016</v>
      </c>
      <c r="C152" s="5">
        <v>0.51115740740740745</v>
      </c>
      <c r="D152" s="9" t="s">
        <v>62</v>
      </c>
      <c r="E152" s="9" t="s">
        <v>70</v>
      </c>
      <c r="F152" s="9" t="s">
        <v>58</v>
      </c>
      <c r="H152" s="9"/>
      <c r="I152" s="9" t="s">
        <v>7343</v>
      </c>
      <c r="J152" s="9" t="s">
        <v>2936</v>
      </c>
      <c r="K152" t="s">
        <v>7344</v>
      </c>
      <c r="L152" t="s">
        <v>7345</v>
      </c>
      <c r="M152" s="3" t="str">
        <f>HYPERLINK(склад2въезд[[#This Row],[RelativePath]])</f>
        <v>1 Ангар Склад 2 въезд\E33149364_6_20251225T121604Z.jpg</v>
      </c>
      <c r="N152" s="9" t="str">
        <f>VLOOKUP(склад2въезд[[#This Row],[Name]], СпрСобытий!$F:$G, 2, FALSE)</f>
        <v>Ангар Склад 2 въезд</v>
      </c>
    </row>
    <row r="153" spans="1:14" x14ac:dyDescent="0.25">
      <c r="A153" s="2" t="s">
        <v>16</v>
      </c>
      <c r="B153" s="4">
        <v>46016</v>
      </c>
      <c r="C153" s="5">
        <v>0.62315972222222227</v>
      </c>
      <c r="D153" s="9" t="s">
        <v>62</v>
      </c>
      <c r="E153" s="9" t="s">
        <v>4134</v>
      </c>
      <c r="F153" s="9" t="s">
        <v>4181</v>
      </c>
      <c r="H153" s="9"/>
      <c r="I153" s="9" t="s">
        <v>7346</v>
      </c>
      <c r="J153" s="9" t="s">
        <v>2936</v>
      </c>
      <c r="K153" t="s">
        <v>7347</v>
      </c>
      <c r="L153" t="s">
        <v>7348</v>
      </c>
      <c r="M153" s="3" t="str">
        <f>HYPERLINK(склад2въезд[[#This Row],[RelativePath]])</f>
        <v>1 Ангар Склад 2 въезд\E33149364_6_20251225T145721Z.jpg</v>
      </c>
      <c r="N153" s="9" t="str">
        <f>VLOOKUP(склад2въезд[[#This Row],[Name]], СпрСобытий!$F:$G, 2, FALSE)</f>
        <v>Ангар Склад 2 въезд</v>
      </c>
    </row>
    <row r="154" spans="1:14" x14ac:dyDescent="0.25">
      <c r="A154" s="2" t="s">
        <v>17</v>
      </c>
      <c r="B154" s="4">
        <v>46017</v>
      </c>
      <c r="C154" s="5">
        <v>0.41902777777777778</v>
      </c>
      <c r="D154" s="9" t="s">
        <v>91</v>
      </c>
      <c r="E154" s="9" t="s">
        <v>4134</v>
      </c>
      <c r="F154" s="9" t="s">
        <v>5010</v>
      </c>
      <c r="H154" s="9"/>
      <c r="I154" s="9" t="s">
        <v>7629</v>
      </c>
      <c r="J154" s="9" t="s">
        <v>2936</v>
      </c>
      <c r="K154" t="s">
        <v>7630</v>
      </c>
      <c r="L154" t="s">
        <v>7631</v>
      </c>
      <c r="M154" s="3" t="str">
        <f>HYPERLINK(склад2въезд[[#This Row],[RelativePath]])</f>
        <v>1 Ангар Склад 2 въезд\E33149364_6_20251226T100324Z.jpg</v>
      </c>
      <c r="N154" s="9" t="str">
        <f>VLOOKUP(склад2въезд[[#This Row],[Name]], СпрСобытий!$F:$G, 2, FALSE)</f>
        <v>Ангар Склад 2 въезд</v>
      </c>
    </row>
    <row r="155" spans="1:14" x14ac:dyDescent="0.25">
      <c r="A155" s="2" t="s">
        <v>17</v>
      </c>
      <c r="B155" s="4">
        <v>46017</v>
      </c>
      <c r="C155" s="5">
        <v>0.49219907407407409</v>
      </c>
      <c r="D155" s="9" t="s">
        <v>62</v>
      </c>
      <c r="E155" s="9" t="s">
        <v>4134</v>
      </c>
      <c r="F155" s="9" t="s">
        <v>5010</v>
      </c>
      <c r="H155" s="9"/>
      <c r="I155" s="9" t="s">
        <v>7632</v>
      </c>
      <c r="J155" s="9" t="s">
        <v>2936</v>
      </c>
      <c r="K155" t="s">
        <v>7633</v>
      </c>
      <c r="L155" t="s">
        <v>7634</v>
      </c>
      <c r="M155" s="3" t="str">
        <f>HYPERLINK(склад2въезд[[#This Row],[RelativePath]])</f>
        <v>1 Ангар Склад 2 въезд\E33149364_6_20251226T114846Z.jpg</v>
      </c>
      <c r="N155" s="9" t="str">
        <f>VLOOKUP(склад2въезд[[#This Row],[Name]], СпрСобытий!$F:$G, 2, FALSE)</f>
        <v>Ангар Склад 2 въезд</v>
      </c>
    </row>
    <row r="156" spans="1:14" x14ac:dyDescent="0.25">
      <c r="A156" s="2" t="s">
        <v>18</v>
      </c>
      <c r="B156" s="4">
        <v>46018</v>
      </c>
      <c r="C156" s="5">
        <v>0.43266203703703704</v>
      </c>
      <c r="D156" s="9" t="s">
        <v>64</v>
      </c>
      <c r="E156" s="9" t="s">
        <v>4134</v>
      </c>
      <c r="F156" s="9" t="s">
        <v>5010</v>
      </c>
      <c r="H156" s="9"/>
      <c r="I156" s="9" t="s">
        <v>7796</v>
      </c>
      <c r="J156" s="9" t="s">
        <v>2936</v>
      </c>
      <c r="K156" t="s">
        <v>7797</v>
      </c>
      <c r="L156" t="s">
        <v>7798</v>
      </c>
      <c r="M156" s="3" t="str">
        <f>HYPERLINK(склад2въезд[[#This Row],[RelativePath]])</f>
        <v>1 Ангар Склад 2 въезд\E33149364_6_20251227T102302Z.jpg</v>
      </c>
      <c r="N156" s="9" t="str">
        <f>VLOOKUP(склад2въезд[[#This Row],[Name]], СпрСобытий!$F:$G, 2, FALSE)</f>
        <v>Ангар Склад 2 въезд</v>
      </c>
    </row>
    <row r="157" spans="1:14" x14ac:dyDescent="0.25">
      <c r="A157" s="2" t="s">
        <v>18</v>
      </c>
      <c r="B157" s="4">
        <v>46018</v>
      </c>
      <c r="C157" s="5">
        <v>0.58099537037037041</v>
      </c>
      <c r="D157" s="9" t="s">
        <v>85</v>
      </c>
      <c r="E157" s="9" t="s">
        <v>4134</v>
      </c>
      <c r="F157" s="9" t="s">
        <v>5010</v>
      </c>
      <c r="H157" s="9"/>
      <c r="I157" s="9" t="s">
        <v>7799</v>
      </c>
      <c r="J157" s="9" t="s">
        <v>2936</v>
      </c>
      <c r="K157" t="s">
        <v>7800</v>
      </c>
      <c r="L157" t="s">
        <v>7801</v>
      </c>
      <c r="M157" s="3" t="str">
        <f>HYPERLINK(склад2въезд[[#This Row],[RelativePath]])</f>
        <v>1 Ангар Склад 2 въезд\E33149364_6_20251227T135638Z.jpg</v>
      </c>
      <c r="N157" s="9" t="str">
        <f>VLOOKUP(склад2въезд[[#This Row],[Name]], СпрСобытий!$F:$G, 2, FALSE)</f>
        <v>Ангар Склад 2 въезд</v>
      </c>
    </row>
    <row r="158" spans="1:14" x14ac:dyDescent="0.25">
      <c r="A158" s="2" t="s">
        <v>18</v>
      </c>
      <c r="B158" s="4">
        <v>46018</v>
      </c>
      <c r="C158" s="5">
        <v>0.59091435185185182</v>
      </c>
      <c r="D158" s="9" t="s">
        <v>91</v>
      </c>
      <c r="E158" s="9" t="s">
        <v>6248</v>
      </c>
      <c r="F158" s="9" t="s">
        <v>5010</v>
      </c>
      <c r="H158" s="9"/>
      <c r="I158" s="9" t="s">
        <v>7802</v>
      </c>
      <c r="J158" s="9" t="s">
        <v>2936</v>
      </c>
      <c r="K158" t="s">
        <v>7803</v>
      </c>
      <c r="L158" t="s">
        <v>7804</v>
      </c>
      <c r="M158" s="3" t="str">
        <f>HYPERLINK(склад2въезд[[#This Row],[RelativePath]])</f>
        <v>1 Ангар Склад 2 въезд\E33149364_6_20251227T141055Z.jpg</v>
      </c>
      <c r="N158" s="9" t="str">
        <f>VLOOKUP(склад2въезд[[#This Row],[Name]], СпрСобытий!$F:$G, 2, FALSE)</f>
        <v>Ангар Склад 2 въезд</v>
      </c>
    </row>
    <row r="159" spans="1:14" x14ac:dyDescent="0.25">
      <c r="A159" s="2" t="s">
        <v>18</v>
      </c>
      <c r="B159" s="4">
        <v>46018</v>
      </c>
      <c r="C159" s="5">
        <v>0.61064814814814816</v>
      </c>
      <c r="D159" s="9" t="s">
        <v>62</v>
      </c>
      <c r="E159" s="9" t="s">
        <v>6248</v>
      </c>
      <c r="F159" s="9" t="s">
        <v>5010</v>
      </c>
      <c r="H159" s="9"/>
      <c r="I159" s="9" t="s">
        <v>7805</v>
      </c>
      <c r="J159" s="9" t="s">
        <v>2936</v>
      </c>
      <c r="K159" t="s">
        <v>7806</v>
      </c>
      <c r="L159" t="s">
        <v>7807</v>
      </c>
      <c r="M159" s="3" t="str">
        <f>HYPERLINK(склад2въезд[[#This Row],[RelativePath]])</f>
        <v>1 Ангар Склад 2 въезд\E33149364_6_20251227T143920Z.jpg</v>
      </c>
      <c r="N159" s="9" t="str">
        <f>VLOOKUP(склад2въезд[[#This Row],[Name]], СпрСобытий!$F:$G, 2, FALSE)</f>
        <v>Ангар Склад 2 въезд</v>
      </c>
    </row>
    <row r="160" spans="1:14" x14ac:dyDescent="0.25">
      <c r="A160" s="2" t="s">
        <v>22</v>
      </c>
      <c r="B160" s="4">
        <v>46019</v>
      </c>
      <c r="C160" s="5">
        <v>0.50267361111111108</v>
      </c>
      <c r="D160" s="9" t="s">
        <v>91</v>
      </c>
      <c r="E160" s="9" t="s">
        <v>4134</v>
      </c>
      <c r="F160" s="9" t="s">
        <v>5010</v>
      </c>
      <c r="H160" s="9"/>
      <c r="I160" s="9" t="s">
        <v>7808</v>
      </c>
      <c r="J160" s="9" t="s">
        <v>2936</v>
      </c>
      <c r="K160" t="s">
        <v>7809</v>
      </c>
      <c r="L160" t="s">
        <v>7810</v>
      </c>
      <c r="M160" s="3" t="str">
        <f>HYPERLINK(склад2въезд[[#This Row],[RelativePath]])</f>
        <v>1 Ангар Склад 2 въезд\E33149364_6_20251228T120351Z.jpg</v>
      </c>
      <c r="N160" s="9" t="str">
        <f>VLOOKUP(склад2въезд[[#This Row],[Name]], СпрСобытий!$F:$G, 2, FALSE)</f>
        <v>Ангар Склад 2 въезд</v>
      </c>
    </row>
    <row r="161" spans="1:14" x14ac:dyDescent="0.25">
      <c r="A161" s="2" t="s">
        <v>22</v>
      </c>
      <c r="B161" s="4">
        <v>46019</v>
      </c>
      <c r="C161" s="5">
        <v>0.50665509259259256</v>
      </c>
      <c r="D161" s="9" t="s">
        <v>62</v>
      </c>
      <c r="E161" s="9" t="s">
        <v>4134</v>
      </c>
      <c r="F161" s="9" t="s">
        <v>5010</v>
      </c>
      <c r="H161" s="9"/>
      <c r="I161" s="9" t="s">
        <v>7811</v>
      </c>
      <c r="J161" s="9" t="s">
        <v>2936</v>
      </c>
      <c r="K161" t="s">
        <v>7812</v>
      </c>
      <c r="L161" t="s">
        <v>7813</v>
      </c>
      <c r="M161" s="3" t="str">
        <f>HYPERLINK(склад2въезд[[#This Row],[RelativePath]])</f>
        <v>1 Ангар Склад 2 въезд\E33149364_6_20251228T120935Z.jpg</v>
      </c>
      <c r="N161" s="9" t="str">
        <f>VLOOKUP(склад2въезд[[#This Row],[Name]], СпрСобытий!$F:$G, 2, FALSE)</f>
        <v>Ангар Склад 2 въезд</v>
      </c>
    </row>
    <row r="162" spans="1:14" x14ac:dyDescent="0.25">
      <c r="A162" s="2" t="s">
        <v>22</v>
      </c>
      <c r="B162" s="4">
        <v>46019</v>
      </c>
      <c r="C162" s="5">
        <v>0.50677083333333328</v>
      </c>
      <c r="D162" s="9" t="s">
        <v>7942</v>
      </c>
      <c r="E162" s="9" t="s">
        <v>4134</v>
      </c>
      <c r="F162" s="9" t="s">
        <v>5010</v>
      </c>
      <c r="H162" s="9"/>
      <c r="I162" s="9" t="s">
        <v>7814</v>
      </c>
      <c r="J162" s="9" t="s">
        <v>2936</v>
      </c>
      <c r="K162" t="s">
        <v>7815</v>
      </c>
      <c r="L162" t="s">
        <v>7816</v>
      </c>
      <c r="M162" s="3" t="str">
        <f>HYPERLINK(склад2въезд[[#This Row],[RelativePath]])</f>
        <v>1 Ангар Склад 2 въезд\E33149364_6_20251228T120945Z.jpg</v>
      </c>
      <c r="N162" s="9" t="str">
        <f>VLOOKUP(склад2въезд[[#This Row],[Name]], СпрСобытий!$F:$G, 2, FALSE)</f>
        <v>Ангар Склад 2 въезд</v>
      </c>
    </row>
    <row r="163" spans="1:14" x14ac:dyDescent="0.25">
      <c r="A163" s="2" t="s">
        <v>22</v>
      </c>
      <c r="B163" s="4">
        <v>46019</v>
      </c>
      <c r="C163" s="5">
        <v>0.50702546296296291</v>
      </c>
      <c r="D163" s="9" t="s">
        <v>64</v>
      </c>
      <c r="E163" s="9" t="s">
        <v>4134</v>
      </c>
      <c r="F163" s="9" t="s">
        <v>5010</v>
      </c>
      <c r="H163" s="9"/>
      <c r="I163" s="9" t="s">
        <v>7817</v>
      </c>
      <c r="J163" s="9" t="s">
        <v>2936</v>
      </c>
      <c r="K163" t="s">
        <v>7818</v>
      </c>
      <c r="L163" t="s">
        <v>7819</v>
      </c>
      <c r="M163" s="3" t="str">
        <f>HYPERLINK(склад2въезд[[#This Row],[RelativePath]])</f>
        <v>1 Ангар Склад 2 въезд\E33149364_6_20251228T121007Z.jpg</v>
      </c>
      <c r="N163" s="9" t="str">
        <f>VLOOKUP(склад2въезд[[#This Row],[Name]], СпрСобытий!$F:$G, 2, FALSE)</f>
        <v>Ангар Склад 2 въезд</v>
      </c>
    </row>
    <row r="164" spans="1:14" x14ac:dyDescent="0.25">
      <c r="A164" s="2" t="s">
        <v>22</v>
      </c>
      <c r="B164" s="4">
        <v>46019</v>
      </c>
      <c r="C164" s="5">
        <v>0.55590277777777775</v>
      </c>
      <c r="D164" s="9" t="s">
        <v>62</v>
      </c>
      <c r="E164" s="9" t="s">
        <v>6111</v>
      </c>
      <c r="F164" s="9" t="s">
        <v>51</v>
      </c>
      <c r="H164" s="9"/>
      <c r="I164" s="9" t="s">
        <v>7820</v>
      </c>
      <c r="J164" s="9" t="s">
        <v>2936</v>
      </c>
      <c r="K164" t="s">
        <v>7821</v>
      </c>
      <c r="L164" t="s">
        <v>7822</v>
      </c>
      <c r="M164" s="3" t="str">
        <f>HYPERLINK(склад2въезд[[#This Row],[RelativePath]])</f>
        <v>1 Ангар Склад 2 въезд\E33149364_6_20251228T132030Z.jpg</v>
      </c>
      <c r="N164" s="9" t="str">
        <f>VLOOKUP(склад2въезд[[#This Row],[Name]], СпрСобытий!$F:$G, 2, FALSE)</f>
        <v>Ангар Склад 2 въезд</v>
      </c>
    </row>
    <row r="165" spans="1:14" x14ac:dyDescent="0.25">
      <c r="A165" s="2" t="s">
        <v>22</v>
      </c>
      <c r="B165" s="4">
        <v>46019</v>
      </c>
      <c r="C165" s="5">
        <v>0.64039351851851856</v>
      </c>
      <c r="D165" s="9" t="s">
        <v>85</v>
      </c>
      <c r="E165" s="9" t="s">
        <v>4134</v>
      </c>
      <c r="F165" s="9" t="s">
        <v>5010</v>
      </c>
      <c r="H165" s="9"/>
      <c r="I165" s="9" t="s">
        <v>7823</v>
      </c>
      <c r="J165" s="9" t="s">
        <v>2936</v>
      </c>
      <c r="K165" t="s">
        <v>7824</v>
      </c>
      <c r="L165" t="s">
        <v>7825</v>
      </c>
      <c r="M165" s="3" t="str">
        <f>HYPERLINK(склад2въезд[[#This Row],[RelativePath]])</f>
        <v>1 Ангар Склад 2 въезд\E33149364_6_20251228T152210Z.jpg</v>
      </c>
      <c r="N165" s="9" t="str">
        <f>VLOOKUP(склад2въезд[[#This Row],[Name]], СпрСобытий!$F:$G, 2, FALSE)</f>
        <v>Ангар Склад 2 въезд</v>
      </c>
    </row>
    <row r="166" spans="1:14" x14ac:dyDescent="0.25">
      <c r="A166" s="2" t="s">
        <v>22</v>
      </c>
      <c r="B166" s="4">
        <v>46019</v>
      </c>
      <c r="C166" s="5">
        <v>0.66840277777777779</v>
      </c>
      <c r="D166" s="9" t="s">
        <v>91</v>
      </c>
      <c r="E166" s="9" t="s">
        <v>7943</v>
      </c>
      <c r="F166" s="9"/>
      <c r="H166" s="9"/>
      <c r="I166" s="9" t="s">
        <v>7826</v>
      </c>
      <c r="J166" s="9" t="s">
        <v>2936</v>
      </c>
      <c r="K166" t="s">
        <v>7827</v>
      </c>
      <c r="L166" t="s">
        <v>7828</v>
      </c>
      <c r="M166" s="3" t="str">
        <f>HYPERLINK(склад2въезд[[#This Row],[RelativePath]])</f>
        <v>1 Ангар Склад 2 въезд\E33149364_6_20251228T160230Z.jpg</v>
      </c>
      <c r="N166" s="9" t="str">
        <f>VLOOKUP(склад2въезд[[#This Row],[Name]], СпрСобытий!$F:$G, 2, FALSE)</f>
        <v>Ангар Склад 2 въезд</v>
      </c>
    </row>
    <row r="167" spans="1:14" x14ac:dyDescent="0.25">
      <c r="A167" s="2" t="s">
        <v>22</v>
      </c>
      <c r="B167" s="4">
        <v>46019</v>
      </c>
      <c r="C167" s="5">
        <v>0.66979166666666667</v>
      </c>
      <c r="D167" s="9" t="s">
        <v>62</v>
      </c>
      <c r="E167" s="9" t="s">
        <v>7943</v>
      </c>
      <c r="F167" s="9"/>
      <c r="H167" s="9"/>
      <c r="I167" s="9" t="s">
        <v>7829</v>
      </c>
      <c r="J167" s="9" t="s">
        <v>2936</v>
      </c>
      <c r="K167" t="s">
        <v>7830</v>
      </c>
      <c r="L167" t="s">
        <v>7831</v>
      </c>
      <c r="M167" s="3" t="str">
        <f>HYPERLINK(склад2въезд[[#This Row],[RelativePath]])</f>
        <v>1 Ангар Склад 2 въезд\E33149364_6_20251228T160430Z.jpg</v>
      </c>
      <c r="N167" s="9" t="str">
        <f>VLOOKUP(склад2въезд[[#This Row],[Name]], СпрСобытий!$F:$G, 2, FALSE)</f>
        <v>Ангар Склад 2 въезд</v>
      </c>
    </row>
    <row r="168" spans="1:14" x14ac:dyDescent="0.25">
      <c r="A168" s="2" t="s">
        <v>22</v>
      </c>
      <c r="B168" s="4">
        <v>46019</v>
      </c>
      <c r="C168" s="5">
        <v>0.88868055555555558</v>
      </c>
      <c r="D168" s="9" t="s">
        <v>91</v>
      </c>
      <c r="E168" s="9" t="s">
        <v>6111</v>
      </c>
      <c r="F168" s="9" t="s">
        <v>51</v>
      </c>
      <c r="H168" s="9"/>
      <c r="I168" s="9" t="s">
        <v>7832</v>
      </c>
      <c r="J168" s="9" t="s">
        <v>2936</v>
      </c>
      <c r="K168" t="s">
        <v>7833</v>
      </c>
      <c r="L168" t="s">
        <v>7834</v>
      </c>
      <c r="M168" s="3" t="str">
        <f>HYPERLINK(склад2въезд[[#This Row],[RelativePath]])</f>
        <v>1 Ангар Склад 2 въезд\E33149364_6_20251228T211942Z.jpg</v>
      </c>
      <c r="N168" s="9" t="str">
        <f>VLOOKUP(склад2въезд[[#This Row],[Name]], СпрСобытий!$F:$G, 2, FALSE)</f>
        <v>Ангар Склад 2 въезд</v>
      </c>
    </row>
    <row r="169" spans="1:14" x14ac:dyDescent="0.25">
      <c r="A169" s="2" t="s">
        <v>13</v>
      </c>
      <c r="B169" s="4">
        <v>46020</v>
      </c>
      <c r="C169" s="5">
        <v>0.50027777777777782</v>
      </c>
      <c r="D169" s="9" t="s">
        <v>91</v>
      </c>
      <c r="E169" s="9" t="s">
        <v>70</v>
      </c>
      <c r="F169" s="9" t="s">
        <v>58</v>
      </c>
      <c r="H169" s="9"/>
      <c r="I169" s="9" t="s">
        <v>7956</v>
      </c>
      <c r="J169" s="9" t="s">
        <v>2936</v>
      </c>
      <c r="K169" t="s">
        <v>7957</v>
      </c>
      <c r="L169" t="s">
        <v>7958</v>
      </c>
      <c r="M169" s="3" t="str">
        <f>HYPERLINK(склад2въезд[[#This Row],[RelativePath]])</f>
        <v>1 Ангар Склад 2 въезд\E33149364_6_20251229T120024Z.jpg</v>
      </c>
      <c r="N169" s="9" t="str">
        <f>VLOOKUP(склад2въезд[[#This Row],[Name]], СпрСобытий!$F:$G, 2, FALSE)</f>
        <v>Ангар Склад 2 въезд</v>
      </c>
    </row>
    <row r="170" spans="1:14" x14ac:dyDescent="0.25">
      <c r="A170" s="2" t="s">
        <v>13</v>
      </c>
      <c r="B170" s="4">
        <v>46020</v>
      </c>
      <c r="C170" s="5">
        <v>0.51784722222222224</v>
      </c>
      <c r="D170" s="9" t="s">
        <v>62</v>
      </c>
      <c r="E170" s="9" t="s">
        <v>70</v>
      </c>
      <c r="F170" s="9" t="s">
        <v>51</v>
      </c>
      <c r="H170" s="9"/>
      <c r="I170" s="9" t="s">
        <v>7959</v>
      </c>
      <c r="J170" s="9" t="s">
        <v>2936</v>
      </c>
      <c r="K170" t="s">
        <v>7960</v>
      </c>
      <c r="L170" t="s">
        <v>7961</v>
      </c>
      <c r="M170" s="3" t="str">
        <f>HYPERLINK(склад2въезд[[#This Row],[RelativePath]])</f>
        <v>1 Ангар Склад 2 въезд\E33149364_6_20251229T122542Z.jpg</v>
      </c>
      <c r="N170" s="9" t="str">
        <f>VLOOKUP(склад2въезд[[#This Row],[Name]], СпрСобытий!$F:$G, 2, FALSE)</f>
        <v>Ангар Склад 2 въезд</v>
      </c>
    </row>
    <row r="171" spans="1:14" x14ac:dyDescent="0.25">
      <c r="A171" s="2" t="s">
        <v>13</v>
      </c>
      <c r="B171" s="4">
        <v>46020</v>
      </c>
      <c r="C171" s="5">
        <v>0.64018518518518519</v>
      </c>
      <c r="D171" s="9" t="s">
        <v>91</v>
      </c>
      <c r="E171" s="9" t="s">
        <v>70</v>
      </c>
      <c r="F171" s="9" t="s">
        <v>5010</v>
      </c>
      <c r="H171" s="9"/>
      <c r="I171" s="9" t="s">
        <v>7962</v>
      </c>
      <c r="J171" s="9" t="s">
        <v>2936</v>
      </c>
      <c r="K171" t="s">
        <v>7963</v>
      </c>
      <c r="L171" t="s">
        <v>7964</v>
      </c>
      <c r="M171" s="3" t="str">
        <f>HYPERLINK(склад2въезд[[#This Row],[RelativePath]])</f>
        <v>1 Ангар Склад 2 въезд\E33149364_6_20251229T152152Z.jpg</v>
      </c>
      <c r="N171" s="9" t="str">
        <f>VLOOKUP(склад2въезд[[#This Row],[Name]], СпрСобытий!$F:$G, 2, FALSE)</f>
        <v>Ангар Склад 2 въезд</v>
      </c>
    </row>
    <row r="172" spans="1:14" x14ac:dyDescent="0.25">
      <c r="A172" s="2" t="s">
        <v>14</v>
      </c>
      <c r="B172" s="4">
        <v>46021</v>
      </c>
      <c r="C172" s="5">
        <v>0.58412037037037035</v>
      </c>
      <c r="D172" s="9" t="s">
        <v>62</v>
      </c>
      <c r="E172" s="9" t="s">
        <v>70</v>
      </c>
      <c r="F172" s="9" t="s">
        <v>5010</v>
      </c>
      <c r="H172" s="9"/>
      <c r="I172" s="9" t="s">
        <v>7965</v>
      </c>
      <c r="J172" s="9" t="s">
        <v>2936</v>
      </c>
      <c r="K172" t="s">
        <v>7966</v>
      </c>
      <c r="L172" t="s">
        <v>7967</v>
      </c>
      <c r="M172" s="3" t="str">
        <f>HYPERLINK(склад2въезд[[#This Row],[RelativePath]])</f>
        <v>1 Ангар Склад 2 въезд\E33149364_6_20251230T140108Z.jpg</v>
      </c>
      <c r="N172" s="9" t="str">
        <f>VLOOKUP(склад2въезд[[#This Row],[Name]], СпрСобытий!$F:$G, 2, FALSE)</f>
        <v>Ангар Склад 2 въезд</v>
      </c>
    </row>
    <row r="173" spans="1:14" x14ac:dyDescent="0.25">
      <c r="A173" s="2" t="s">
        <v>14</v>
      </c>
      <c r="B173" s="4">
        <v>46021</v>
      </c>
      <c r="C173" s="5">
        <v>0.71136574074074077</v>
      </c>
      <c r="D173" s="9" t="s">
        <v>62</v>
      </c>
      <c r="E173" s="9" t="s">
        <v>6111</v>
      </c>
      <c r="F173" s="9" t="s">
        <v>51</v>
      </c>
      <c r="H173" s="9"/>
      <c r="I173" s="9" t="s">
        <v>7968</v>
      </c>
      <c r="J173" s="9" t="s">
        <v>2936</v>
      </c>
      <c r="K173" t="s">
        <v>7969</v>
      </c>
      <c r="L173" t="s">
        <v>7970</v>
      </c>
      <c r="M173" s="3" t="str">
        <f>HYPERLINK(склад2въезд[[#This Row],[RelativePath]])</f>
        <v>1 Ангар Склад 2 въезд\E33149364_6_20251230T170422Z.jpg</v>
      </c>
      <c r="N173" s="9" t="str">
        <f>VLOOKUP(склад2въезд[[#This Row],[Name]], СпрСобытий!$F:$G, 2, FALSE)</f>
        <v>Ангар Склад 2 въезд</v>
      </c>
    </row>
    <row r="174" spans="1:14" x14ac:dyDescent="0.25">
      <c r="A174" s="2" t="s">
        <v>14</v>
      </c>
      <c r="B174" s="4">
        <v>46021</v>
      </c>
      <c r="C174" s="5">
        <v>0.81103009259259262</v>
      </c>
      <c r="D174" s="9" t="s">
        <v>91</v>
      </c>
      <c r="E174" s="9" t="s">
        <v>6111</v>
      </c>
      <c r="F174" s="9" t="s">
        <v>51</v>
      </c>
      <c r="H174" s="9"/>
      <c r="I174" s="9" t="s">
        <v>7971</v>
      </c>
      <c r="J174" s="9" t="s">
        <v>2936</v>
      </c>
      <c r="K174" t="s">
        <v>7972</v>
      </c>
      <c r="L174" t="s">
        <v>7973</v>
      </c>
      <c r="M174" s="3" t="str">
        <f>HYPERLINK(склад2въезд[[#This Row],[RelativePath]])</f>
        <v>1 Ангар Склад 2 въезд\E33149364_6_20251230T192753Z.jpg</v>
      </c>
      <c r="N174" s="9" t="str">
        <f>VLOOKUP(склад2въезд[[#This Row],[Name]], СпрСобытий!$F:$G, 2, FALSE)</f>
        <v>Ангар Склад 2 въезд</v>
      </c>
    </row>
    <row r="175" spans="1:14" x14ac:dyDescent="0.25">
      <c r="A175" s="2" t="s">
        <v>15</v>
      </c>
      <c r="B175" s="4">
        <v>46022</v>
      </c>
      <c r="C175" s="5">
        <v>0.68437499999999996</v>
      </c>
      <c r="D175" s="9" t="s">
        <v>1967</v>
      </c>
      <c r="E175" s="9"/>
      <c r="F175" s="9"/>
      <c r="H175" s="9"/>
      <c r="I175" s="9" t="s">
        <v>7974</v>
      </c>
      <c r="J175" s="9" t="s">
        <v>2936</v>
      </c>
      <c r="K175" t="s">
        <v>7975</v>
      </c>
      <c r="L175" t="s">
        <v>7976</v>
      </c>
      <c r="M175" s="3" t="str">
        <f>HYPERLINK(склад2въезд[[#This Row],[RelativePath]])</f>
        <v>1 Ангар Склад 2 въезд\E33149364_6_20251231T162530Z.jpg</v>
      </c>
      <c r="N175" s="9" t="str">
        <f>VLOOKUP(склад2въезд[[#This Row],[Name]], СпрСобытий!$F:$G, 2, FALSE)</f>
        <v>Ангар Склад 2 въезд</v>
      </c>
    </row>
    <row r="176" spans="1:14" x14ac:dyDescent="0.25">
      <c r="A176" s="2" t="s">
        <v>16</v>
      </c>
      <c r="B176" s="4">
        <v>46023</v>
      </c>
      <c r="C176" s="5">
        <v>0.61648148148148152</v>
      </c>
      <c r="D176" s="9" t="s">
        <v>1967</v>
      </c>
      <c r="E176" s="9"/>
      <c r="F176" s="9"/>
      <c r="H176" s="9"/>
      <c r="I176" s="9" t="s">
        <v>7977</v>
      </c>
      <c r="J176" s="9" t="s">
        <v>2936</v>
      </c>
      <c r="K176" t="s">
        <v>7978</v>
      </c>
      <c r="L176" t="s">
        <v>7979</v>
      </c>
      <c r="M176" s="3" t="str">
        <f>HYPERLINK(склад2въезд[[#This Row],[RelativePath]])</f>
        <v>1 Ангар Склад 2 въезд\E33149364_6_20260101T144744Z.jpg</v>
      </c>
      <c r="N176" s="9" t="str">
        <f>VLOOKUP(склад2въезд[[#This Row],[Name]], СпрСобытий!$F:$G, 2, FALSE)</f>
        <v>Ангар Склад 2 въезд</v>
      </c>
    </row>
    <row r="177" spans="1:14" x14ac:dyDescent="0.25">
      <c r="A177" s="2" t="s">
        <v>17</v>
      </c>
      <c r="B177" s="4">
        <v>46024</v>
      </c>
      <c r="C177" s="5">
        <v>0.69949074074074069</v>
      </c>
      <c r="D177" s="9" t="s">
        <v>1967</v>
      </c>
      <c r="E177" s="9"/>
      <c r="F177" s="9"/>
      <c r="H177" s="9"/>
      <c r="I177" s="9" t="s">
        <v>8270</v>
      </c>
      <c r="J177" s="9" t="s">
        <v>2936</v>
      </c>
      <c r="K177" t="s">
        <v>8271</v>
      </c>
      <c r="L177" t="s">
        <v>8272</v>
      </c>
      <c r="M177" s="3" t="str">
        <f>HYPERLINK(склад2въезд[[#This Row],[RelativePath]])</f>
        <v>1 Ангар Склад 2 въезд\E33149364_6_20260102T164716Z.jpg</v>
      </c>
      <c r="N177" s="9" t="str">
        <f>VLOOKUP(склад2въезд[[#This Row],[Name]], СпрСобытий!$F:$G, 2, FALSE)</f>
        <v>Ангар Склад 2 въезд</v>
      </c>
    </row>
    <row r="178" spans="1:14" x14ac:dyDescent="0.25">
      <c r="A178" s="2" t="s">
        <v>18</v>
      </c>
      <c r="B178" s="4">
        <v>46025</v>
      </c>
      <c r="C178" s="5">
        <v>0.6738425925925926</v>
      </c>
      <c r="D178" s="9" t="s">
        <v>91</v>
      </c>
      <c r="E178" s="9" t="s">
        <v>8378</v>
      </c>
      <c r="F178" s="9"/>
      <c r="H178" s="9"/>
      <c r="I178" s="9" t="s">
        <v>8273</v>
      </c>
      <c r="J178" s="9" t="s">
        <v>2936</v>
      </c>
      <c r="K178" t="s">
        <v>8274</v>
      </c>
      <c r="L178" t="s">
        <v>8275</v>
      </c>
      <c r="M178" s="3" t="str">
        <f>HYPERLINK(склад2въезд[[#This Row],[RelativePath]])</f>
        <v>1 Ангар Склад 2 въезд\E33149364_6_20260103T161020Z.jpg</v>
      </c>
      <c r="N178" s="9" t="str">
        <f>VLOOKUP(склад2въезд[[#This Row],[Name]], СпрСобытий!$F:$G, 2, FALSE)</f>
        <v>Ангар Склад 2 въезд</v>
      </c>
    </row>
    <row r="179" spans="1:14" x14ac:dyDescent="0.25">
      <c r="A179" s="2" t="s">
        <v>18</v>
      </c>
      <c r="B179" s="4">
        <v>46025</v>
      </c>
      <c r="C179" s="5">
        <v>0.68744212962962958</v>
      </c>
      <c r="D179" s="9" t="s">
        <v>62</v>
      </c>
      <c r="E179" s="9" t="s">
        <v>8378</v>
      </c>
      <c r="F179" s="9"/>
      <c r="H179" s="9"/>
      <c r="I179" s="9" t="s">
        <v>8276</v>
      </c>
      <c r="J179" s="9" t="s">
        <v>2936</v>
      </c>
      <c r="K179" t="s">
        <v>8277</v>
      </c>
      <c r="L179" t="s">
        <v>8278</v>
      </c>
      <c r="M179" s="3" t="str">
        <f>HYPERLINK(склад2въезд[[#This Row],[RelativePath]])</f>
        <v>1 Ангар Склад 2 въезд\E33149364_6_20260103T162955Z.jpg</v>
      </c>
      <c r="N179" s="9" t="str">
        <f>VLOOKUP(склад2въезд[[#This Row],[Name]], СпрСобытий!$F:$G, 2, FALSE)</f>
        <v>Ангар Склад 2 въезд</v>
      </c>
    </row>
    <row r="180" spans="1:14" x14ac:dyDescent="0.25">
      <c r="A180" s="2" t="s">
        <v>22</v>
      </c>
      <c r="B180" s="4">
        <v>46026</v>
      </c>
      <c r="C180" s="5">
        <v>0.67313657407407412</v>
      </c>
      <c r="D180" s="9" t="s">
        <v>1967</v>
      </c>
      <c r="E180" s="9"/>
      <c r="F180" s="9"/>
      <c r="H180" s="9"/>
      <c r="I180" s="9" t="s">
        <v>8279</v>
      </c>
      <c r="J180" s="9" t="s">
        <v>2936</v>
      </c>
      <c r="K180" t="s">
        <v>8280</v>
      </c>
      <c r="L180" t="s">
        <v>8281</v>
      </c>
      <c r="M180" s="3" t="str">
        <f>HYPERLINK(склад2въезд[[#This Row],[RelativePath]])</f>
        <v>1 Ангар Склад 2 въезд\E33149364_6_20260104T160919Z.jpg</v>
      </c>
      <c r="N180" s="9" t="str">
        <f>VLOOKUP(склад2въезд[[#This Row],[Name]], СпрСобытий!$F:$G, 2, FALSE)</f>
        <v>Ангар Склад 2 въезд</v>
      </c>
    </row>
    <row r="181" spans="1:14" x14ac:dyDescent="0.25">
      <c r="A181" s="2" t="s">
        <v>13</v>
      </c>
      <c r="B181" s="4">
        <v>46027</v>
      </c>
      <c r="C181" s="5">
        <v>0.71673611111111113</v>
      </c>
      <c r="D181" s="9" t="s">
        <v>1967</v>
      </c>
      <c r="E181" s="9"/>
      <c r="F181" s="9"/>
      <c r="H181" s="9"/>
      <c r="I181" s="9" t="s">
        <v>8400</v>
      </c>
      <c r="J181" s="9" t="s">
        <v>2936</v>
      </c>
      <c r="K181" t="s">
        <v>8401</v>
      </c>
      <c r="L181" t="s">
        <v>8402</v>
      </c>
      <c r="M181" s="3" t="str">
        <f>HYPERLINK(склад2въезд[[#This Row],[RelativePath]])</f>
        <v>1 Ангар Склад 2 въезд\E33149364_6_20260105T171206Z.jpg</v>
      </c>
      <c r="N181" s="9" t="str">
        <f>VLOOKUP(склад2въезд[[#This Row],[Name]], СпрСобытий!$F:$G, 2, FALSE)</f>
        <v>Ангар Склад 2 въезд</v>
      </c>
    </row>
    <row r="182" spans="1:14" x14ac:dyDescent="0.25">
      <c r="A182" s="2" t="s">
        <v>14</v>
      </c>
      <c r="B182" s="4">
        <v>46028</v>
      </c>
      <c r="C182" s="5">
        <v>0.58434027777777775</v>
      </c>
      <c r="D182" s="9" t="s">
        <v>91</v>
      </c>
      <c r="E182" s="9" t="s">
        <v>8687</v>
      </c>
      <c r="F182" s="9"/>
      <c r="H182" s="9"/>
      <c r="I182" s="9" t="s">
        <v>8403</v>
      </c>
      <c r="J182" s="9" t="s">
        <v>2936</v>
      </c>
      <c r="K182" t="s">
        <v>8404</v>
      </c>
      <c r="L182" t="s">
        <v>8405</v>
      </c>
      <c r="M182" s="3" t="str">
        <f>HYPERLINK(склад2въезд[[#This Row],[RelativePath]])</f>
        <v>1 Ангар Склад 2 въезд\E33149364_6_20260106T140127Z.jpg</v>
      </c>
      <c r="N182" s="9" t="str">
        <f>VLOOKUP(склад2въезд[[#This Row],[Name]], СпрСобытий!$F:$G, 2, FALSE)</f>
        <v>Ангар Склад 2 въезд</v>
      </c>
    </row>
    <row r="183" spans="1:14" x14ac:dyDescent="0.25">
      <c r="A183" s="2" t="s">
        <v>14</v>
      </c>
      <c r="B183" s="4">
        <v>46028</v>
      </c>
      <c r="C183" s="5">
        <v>0.5905555555555555</v>
      </c>
      <c r="D183" s="9" t="s">
        <v>62</v>
      </c>
      <c r="E183" s="9" t="s">
        <v>8687</v>
      </c>
      <c r="F183" s="9"/>
      <c r="H183" s="9"/>
      <c r="I183" s="9" t="s">
        <v>8406</v>
      </c>
      <c r="J183" s="9" t="s">
        <v>2936</v>
      </c>
      <c r="K183" t="s">
        <v>8407</v>
      </c>
      <c r="L183" t="s">
        <v>8408</v>
      </c>
      <c r="M183" s="3" t="str">
        <f>HYPERLINK(склад2въезд[[#This Row],[RelativePath]])</f>
        <v>1 Ангар Склад 2 въезд\E33149364_6_20260106T141024Z.jpg</v>
      </c>
      <c r="N183" s="9" t="str">
        <f>VLOOKUP(склад2въезд[[#This Row],[Name]], СпрСобытий!$F:$G, 2, FALSE)</f>
        <v>Ангар Склад 2 въезд</v>
      </c>
    </row>
    <row r="184" spans="1:14" x14ac:dyDescent="0.25">
      <c r="A184" s="2" t="s">
        <v>15</v>
      </c>
      <c r="B184" s="4">
        <v>46029</v>
      </c>
      <c r="C184" s="5">
        <v>0.68150462962962965</v>
      </c>
      <c r="D184" s="9" t="s">
        <v>1967</v>
      </c>
      <c r="E184" s="9"/>
      <c r="F184" s="9"/>
      <c r="H184" s="9"/>
      <c r="I184" s="9" t="s">
        <v>8409</v>
      </c>
      <c r="J184" s="9" t="s">
        <v>2936</v>
      </c>
      <c r="K184" t="s">
        <v>8410</v>
      </c>
      <c r="L184" t="s">
        <v>8411</v>
      </c>
      <c r="M184" s="3" t="str">
        <f>HYPERLINK(склад2въезд[[#This Row],[RelativePath]])</f>
        <v>1 Ангар Склад 2 въезд\E33149364_6_20260107T162122Z.jpg</v>
      </c>
      <c r="N184" s="9" t="str">
        <f>VLOOKUP(склад2въезд[[#This Row],[Name]], СпрСобытий!$F:$G, 2, FALSE)</f>
        <v>Ангар Склад 2 въезд</v>
      </c>
    </row>
    <row r="185" spans="1:14" x14ac:dyDescent="0.25">
      <c r="A185" s="2" t="s">
        <v>16</v>
      </c>
      <c r="B185" s="4">
        <v>46030</v>
      </c>
      <c r="C185" s="5">
        <v>0.74810185185185185</v>
      </c>
      <c r="D185" s="9" t="s">
        <v>91</v>
      </c>
      <c r="E185" s="9" t="s">
        <v>8250</v>
      </c>
      <c r="F185" s="9"/>
      <c r="H185" s="9"/>
      <c r="I185" s="9" t="s">
        <v>8412</v>
      </c>
      <c r="J185" s="9" t="s">
        <v>2936</v>
      </c>
      <c r="K185" t="s">
        <v>8413</v>
      </c>
      <c r="L185" t="s">
        <v>8414</v>
      </c>
      <c r="M185" s="3" t="str">
        <f>HYPERLINK(склад2въезд[[#This Row],[RelativePath]])</f>
        <v>1 Ангар Склад 2 въезд\E33149364_6_20260108T175716Z.jpg</v>
      </c>
      <c r="N185" s="9" t="str">
        <f>VLOOKUP(склад2въезд[[#This Row],[Name]], СпрСобытий!$F:$G, 2, FALSE)</f>
        <v>Ангар Склад 2 въезд</v>
      </c>
    </row>
    <row r="186" spans="1:14" x14ac:dyDescent="0.25">
      <c r="A186" s="2" t="s">
        <v>16</v>
      </c>
      <c r="B186" s="4">
        <v>46030</v>
      </c>
      <c r="C186" s="5">
        <v>0.74912037037037038</v>
      </c>
      <c r="D186" s="9" t="s">
        <v>62</v>
      </c>
      <c r="E186" s="9" t="s">
        <v>8250</v>
      </c>
      <c r="F186" s="9"/>
      <c r="H186" s="9"/>
      <c r="I186" s="9" t="s">
        <v>8415</v>
      </c>
      <c r="J186" s="9" t="s">
        <v>2936</v>
      </c>
      <c r="K186" t="s">
        <v>8416</v>
      </c>
      <c r="L186" t="s">
        <v>8417</v>
      </c>
      <c r="M186" s="3" t="str">
        <f>HYPERLINK(склад2въезд[[#This Row],[RelativePath]])</f>
        <v>1 Ангар Склад 2 въезд\E33149364_6_20260108T175844Z.jpg</v>
      </c>
      <c r="N186" s="9" t="str">
        <f>VLOOKUP(склад2въезд[[#This Row],[Name]], СпрСобытий!$F:$G, 2, FALSE)</f>
        <v>Ангар Склад 2 въезд</v>
      </c>
    </row>
    <row r="187" spans="1:14" x14ac:dyDescent="0.25">
      <c r="A187" s="2" t="s">
        <v>17</v>
      </c>
      <c r="B187" s="4">
        <v>46031</v>
      </c>
      <c r="C187" s="5">
        <v>0.66922453703703699</v>
      </c>
      <c r="D187" s="9" t="s">
        <v>91</v>
      </c>
      <c r="E187" s="9" t="s">
        <v>8688</v>
      </c>
      <c r="F187" s="9"/>
      <c r="H187" s="9"/>
      <c r="I187" s="9" t="s">
        <v>8418</v>
      </c>
      <c r="J187" s="9" t="s">
        <v>2936</v>
      </c>
      <c r="K187" t="s">
        <v>8419</v>
      </c>
      <c r="L187" t="s">
        <v>8420</v>
      </c>
      <c r="M187" s="3" t="str">
        <f>HYPERLINK(склад2въезд[[#This Row],[RelativePath]])</f>
        <v>1 Ангар Склад 2 въезд\E33149364_6_20260109T160341Z.jpg</v>
      </c>
      <c r="N187" s="9" t="str">
        <f>VLOOKUP(склад2въезд[[#This Row],[Name]], СпрСобытий!$F:$G, 2, FALSE)</f>
        <v>Ангар Склад 2 въезд</v>
      </c>
    </row>
    <row r="188" spans="1:14" x14ac:dyDescent="0.25">
      <c r="A188" s="2" t="s">
        <v>17</v>
      </c>
      <c r="B188" s="4">
        <v>46031</v>
      </c>
      <c r="C188" s="5">
        <v>0.67459490740740746</v>
      </c>
      <c r="D188" s="9" t="s">
        <v>62</v>
      </c>
      <c r="E188" s="9" t="s">
        <v>8688</v>
      </c>
      <c r="F188" s="9"/>
      <c r="H188" s="9"/>
      <c r="I188" s="9" t="s">
        <v>8421</v>
      </c>
      <c r="J188" s="9" t="s">
        <v>2936</v>
      </c>
      <c r="K188" t="s">
        <v>8422</v>
      </c>
      <c r="L188" t="s">
        <v>8423</v>
      </c>
      <c r="M188" s="3" t="str">
        <f>HYPERLINK(склад2въезд[[#This Row],[RelativePath]])</f>
        <v>1 Ангар Склад 2 въезд\E33149364_6_20260109T161125Z.jpg</v>
      </c>
      <c r="N188" s="9" t="str">
        <f>VLOOKUP(склад2въезд[[#This Row],[Name]], СпрСобытий!$F:$G, 2, FALSE)</f>
        <v>Ангар Склад 2 въезд</v>
      </c>
    </row>
    <row r="189" spans="1:14" x14ac:dyDescent="0.25">
      <c r="A189" s="2" t="s">
        <v>18</v>
      </c>
      <c r="B189" s="4">
        <v>46032</v>
      </c>
      <c r="C189" s="5">
        <v>0.52962962962962967</v>
      </c>
      <c r="D189" s="9" t="s">
        <v>91</v>
      </c>
      <c r="E189" s="9" t="s">
        <v>8689</v>
      </c>
      <c r="F189" s="9"/>
      <c r="H189" s="9"/>
      <c r="I189" s="9" t="s">
        <v>8424</v>
      </c>
      <c r="J189" s="9" t="s">
        <v>2936</v>
      </c>
      <c r="K189" t="s">
        <v>8425</v>
      </c>
      <c r="L189" t="s">
        <v>8426</v>
      </c>
      <c r="M189" s="3" t="str">
        <f>HYPERLINK(склад2въезд[[#This Row],[RelativePath]])</f>
        <v>1 Ангар Склад 2 въезд\E33149364_6_20260110T124240Z.jpg</v>
      </c>
      <c r="N189" s="9" t="str">
        <f>VLOOKUP(склад2въезд[[#This Row],[Name]], СпрСобытий!$F:$G, 2, FALSE)</f>
        <v>Ангар Склад 2 въезд</v>
      </c>
    </row>
    <row r="190" spans="1:14" x14ac:dyDescent="0.25">
      <c r="A190" s="2" t="s">
        <v>18</v>
      </c>
      <c r="B190" s="4">
        <v>46032</v>
      </c>
      <c r="C190" s="5">
        <v>0.54556712962962961</v>
      </c>
      <c r="D190" s="9" t="s">
        <v>62</v>
      </c>
      <c r="E190" s="9" t="s">
        <v>8689</v>
      </c>
      <c r="F190" s="9"/>
      <c r="H190" s="9"/>
      <c r="I190" s="9" t="s">
        <v>8427</v>
      </c>
      <c r="J190" s="9" t="s">
        <v>2936</v>
      </c>
      <c r="K190" t="s">
        <v>8428</v>
      </c>
      <c r="L190" t="s">
        <v>8429</v>
      </c>
      <c r="M190" s="3" t="str">
        <f>HYPERLINK(склад2въезд[[#This Row],[RelativePath]])</f>
        <v>1 Ангар Склад 2 въезд\E33149364_6_20260110T130537Z.jpg</v>
      </c>
      <c r="N190" s="9" t="str">
        <f>VLOOKUP(склад2въезд[[#This Row],[Name]], СпрСобытий!$F:$G, 2, FALSE)</f>
        <v>Ангар Склад 2 въезд</v>
      </c>
    </row>
    <row r="191" spans="1:14" x14ac:dyDescent="0.25">
      <c r="A191" s="2" t="s">
        <v>18</v>
      </c>
      <c r="B191" s="4">
        <v>46032</v>
      </c>
      <c r="C191" s="5">
        <v>0.54728009259259258</v>
      </c>
      <c r="D191" s="9" t="s">
        <v>91</v>
      </c>
      <c r="E191" s="9" t="s">
        <v>8689</v>
      </c>
      <c r="F191" s="9"/>
      <c r="H191" s="9"/>
      <c r="I191" s="9" t="s">
        <v>8430</v>
      </c>
      <c r="J191" s="9" t="s">
        <v>2936</v>
      </c>
      <c r="K191" t="s">
        <v>8431</v>
      </c>
      <c r="L191" t="s">
        <v>8432</v>
      </c>
      <c r="M191" s="3" t="str">
        <f>HYPERLINK(склад2въезд[[#This Row],[RelativePath]])</f>
        <v>1 Ангар Склад 2 въезд\E33149364_6_20260110T130805Z.jpg</v>
      </c>
      <c r="N191" s="9" t="str">
        <f>VLOOKUP(склад2въезд[[#This Row],[Name]], СпрСобытий!$F:$G, 2, FALSE)</f>
        <v>Ангар Склад 2 въезд</v>
      </c>
    </row>
    <row r="192" spans="1:14" x14ac:dyDescent="0.25">
      <c r="A192" s="2" t="s">
        <v>18</v>
      </c>
      <c r="B192" s="4">
        <v>46032</v>
      </c>
      <c r="C192" s="5">
        <v>0.54745370370370372</v>
      </c>
      <c r="D192" s="9" t="s">
        <v>91</v>
      </c>
      <c r="E192" s="9" t="s">
        <v>8690</v>
      </c>
      <c r="F192" s="9"/>
      <c r="H192" s="9"/>
      <c r="I192" s="9" t="s">
        <v>8433</v>
      </c>
      <c r="J192" s="9" t="s">
        <v>2936</v>
      </c>
      <c r="K192" t="s">
        <v>8434</v>
      </c>
      <c r="L192" t="s">
        <v>8435</v>
      </c>
      <c r="M192" s="3" t="str">
        <f>HYPERLINK(склад2въезд[[#This Row],[RelativePath]])</f>
        <v>1 Ангар Склад 2 въезд\E33149364_6_20260110T130820Z.jpg</v>
      </c>
      <c r="N192" s="9" t="str">
        <f>VLOOKUP(склад2въезд[[#This Row],[Name]], СпрСобытий!$F:$G, 2, FALSE)</f>
        <v>Ангар Склад 2 въезд</v>
      </c>
    </row>
    <row r="193" spans="1:14" x14ac:dyDescent="0.25">
      <c r="A193" s="2" t="s">
        <v>18</v>
      </c>
      <c r="B193" s="4">
        <v>46032</v>
      </c>
      <c r="C193" s="5">
        <v>0.69012731481481482</v>
      </c>
      <c r="D193" s="9" t="s">
        <v>62</v>
      </c>
      <c r="E193" s="9" t="s">
        <v>8690</v>
      </c>
      <c r="F193" s="9"/>
      <c r="H193" s="9"/>
      <c r="I193" s="9" t="s">
        <v>8436</v>
      </c>
      <c r="J193" s="9" t="s">
        <v>2936</v>
      </c>
      <c r="K193" t="s">
        <v>8437</v>
      </c>
      <c r="L193" t="s">
        <v>8438</v>
      </c>
      <c r="M193" s="3" t="str">
        <f>HYPERLINK(склад2въезд[[#This Row],[RelativePath]])</f>
        <v>1 Ангар Склад 2 въезд\E33149364_6_20260110T163347Z.jpg</v>
      </c>
      <c r="N193" s="9" t="str">
        <f>VLOOKUP(склад2въезд[[#This Row],[Name]], СпрСобытий!$F:$G, 2, FALSE)</f>
        <v>Ангар Склад 2 въезд</v>
      </c>
    </row>
    <row r="194" spans="1:14" x14ac:dyDescent="0.25">
      <c r="A194" s="2" t="s">
        <v>18</v>
      </c>
      <c r="B194" s="4">
        <v>46032</v>
      </c>
      <c r="C194" s="5">
        <v>0.71297453703703706</v>
      </c>
      <c r="D194" s="9" t="s">
        <v>62</v>
      </c>
      <c r="E194" s="9" t="s">
        <v>8689</v>
      </c>
      <c r="F194" s="9"/>
      <c r="H194" s="9"/>
      <c r="I194" s="9" t="s">
        <v>8439</v>
      </c>
      <c r="J194" s="9" t="s">
        <v>2936</v>
      </c>
      <c r="K194" t="s">
        <v>8440</v>
      </c>
      <c r="L194" t="s">
        <v>8441</v>
      </c>
      <c r="M194" s="3" t="str">
        <f>HYPERLINK(склад2въезд[[#This Row],[RelativePath]])</f>
        <v>1 Ангар Склад 2 въезд\E33149364_6_20260110T170641Z.jpg</v>
      </c>
      <c r="N194" s="9" t="str">
        <f>VLOOKUP(склад2въезд[[#This Row],[Name]], СпрСобытий!$F:$G, 2, FALSE)</f>
        <v>Ангар Склад 2 въезд</v>
      </c>
    </row>
    <row r="195" spans="1:14" x14ac:dyDescent="0.25">
      <c r="A195" s="2" t="s">
        <v>22</v>
      </c>
      <c r="B195" s="4">
        <v>46033</v>
      </c>
      <c r="C195" s="5">
        <v>0.66902777777777778</v>
      </c>
      <c r="D195" s="9" t="s">
        <v>1967</v>
      </c>
      <c r="E195" s="9"/>
      <c r="F195" s="9"/>
      <c r="H195" s="9"/>
      <c r="I195" s="9" t="s">
        <v>8442</v>
      </c>
      <c r="J195" s="9" t="s">
        <v>2936</v>
      </c>
      <c r="K195" t="s">
        <v>8443</v>
      </c>
      <c r="L195" t="s">
        <v>8444</v>
      </c>
      <c r="M195" s="3" t="str">
        <f>HYPERLINK(склад2въезд[[#This Row],[RelativePath]])</f>
        <v>1 Ангар Склад 2 въезд\E33149364_6_20260111T160324Z.jpg</v>
      </c>
      <c r="N195" s="9" t="str">
        <f>VLOOKUP(склад2въезд[[#This Row],[Name]], СпрСобытий!$F:$G, 2, FALSE)</f>
        <v>Ангар Склад 2 въезд</v>
      </c>
    </row>
    <row r="196" spans="1:14" x14ac:dyDescent="0.25">
      <c r="A196" s="2" t="s">
        <v>22</v>
      </c>
      <c r="B196" s="4">
        <v>46033</v>
      </c>
      <c r="C196" s="5">
        <v>0.78604166666666664</v>
      </c>
      <c r="D196" s="9" t="s">
        <v>91</v>
      </c>
      <c r="E196" s="9" t="s">
        <v>8688</v>
      </c>
      <c r="F196" s="9"/>
      <c r="H196" s="9"/>
      <c r="I196" s="9" t="s">
        <v>8445</v>
      </c>
      <c r="J196" s="9" t="s">
        <v>2936</v>
      </c>
      <c r="K196" t="s">
        <v>8446</v>
      </c>
      <c r="L196" t="s">
        <v>8447</v>
      </c>
      <c r="M196" s="3" t="str">
        <f>HYPERLINK(склад2въезд[[#This Row],[RelativePath]])</f>
        <v>1 Ангар Склад 2 въезд\E33149364_6_20260111T185154Z.jpg</v>
      </c>
      <c r="N196" s="9" t="str">
        <f>VLOOKUP(склад2въезд[[#This Row],[Name]], СпрСобытий!$F:$G, 2, FALSE)</f>
        <v>Ангар Склад 2 въезд</v>
      </c>
    </row>
    <row r="197" spans="1:14" x14ac:dyDescent="0.25">
      <c r="A197" s="2" t="s">
        <v>22</v>
      </c>
      <c r="B197" s="4">
        <v>46033</v>
      </c>
      <c r="C197" s="5">
        <v>0.78712962962962962</v>
      </c>
      <c r="D197" s="9" t="s">
        <v>62</v>
      </c>
      <c r="E197" s="9" t="s">
        <v>8688</v>
      </c>
      <c r="F197" s="9"/>
      <c r="H197" s="9"/>
      <c r="I197" s="9" t="s">
        <v>8448</v>
      </c>
      <c r="J197" s="9" t="s">
        <v>2936</v>
      </c>
      <c r="K197" t="s">
        <v>8449</v>
      </c>
      <c r="L197" t="s">
        <v>8450</v>
      </c>
      <c r="M197" s="3" t="str">
        <f>HYPERLINK(склад2въезд[[#This Row],[RelativePath]])</f>
        <v>1 Ангар Склад 2 въезд\E33149364_6_20260111T185328Z.jpg</v>
      </c>
      <c r="N197" s="9" t="str">
        <f>VLOOKUP(склад2въезд[[#This Row],[Name]], СпрСобытий!$F:$G, 2, FALSE)</f>
        <v>Ангар Склад 2 въезд</v>
      </c>
    </row>
    <row r="198" spans="1:14" x14ac:dyDescent="0.25">
      <c r="A198" s="2" t="s">
        <v>13</v>
      </c>
      <c r="B198" s="4">
        <v>46034</v>
      </c>
      <c r="C198" s="5">
        <v>0.67710648148148145</v>
      </c>
      <c r="D198" s="9" t="s">
        <v>1967</v>
      </c>
      <c r="E198" s="9"/>
      <c r="F198" s="9"/>
      <c r="H198" s="9" t="s">
        <v>9072</v>
      </c>
      <c r="I198" s="9" t="s">
        <v>8740</v>
      </c>
      <c r="J198" s="9" t="s">
        <v>2936</v>
      </c>
      <c r="K198" t="s">
        <v>8741</v>
      </c>
      <c r="L198" t="s">
        <v>8742</v>
      </c>
      <c r="M198" s="3" t="str">
        <f>HYPERLINK(склад2въезд[[#This Row],[RelativePath]])</f>
        <v>1 Ангар Склад 2 въезд\E33149364_6_20260112T161502Z.jpg</v>
      </c>
      <c r="N198" s="9" t="str">
        <f>VLOOKUP(склад2въезд[[#This Row],[Name]], СпрСобытий!$F:$G, 2, FALSE)</f>
        <v>Ангар Склад 2 въезд</v>
      </c>
    </row>
    <row r="199" spans="1:14" x14ac:dyDescent="0.25">
      <c r="A199" s="2" t="s">
        <v>14</v>
      </c>
      <c r="B199" s="4">
        <v>46035</v>
      </c>
      <c r="C199" s="5">
        <v>0.41101851851851851</v>
      </c>
      <c r="D199" s="9" t="s">
        <v>91</v>
      </c>
      <c r="E199" s="9" t="s">
        <v>9073</v>
      </c>
      <c r="F199" s="9" t="s">
        <v>51</v>
      </c>
      <c r="H199" s="9"/>
      <c r="I199" s="9" t="s">
        <v>8743</v>
      </c>
      <c r="J199" s="9" t="s">
        <v>2936</v>
      </c>
      <c r="K199" t="s">
        <v>8744</v>
      </c>
      <c r="L199" t="s">
        <v>8745</v>
      </c>
      <c r="M199" s="3" t="str">
        <f>HYPERLINK(склад2въезд[[#This Row],[RelativePath]])</f>
        <v>1 Ангар Склад 2 въезд\E33149364_6_20260113T095152Z.jpg</v>
      </c>
      <c r="N199" s="9" t="str">
        <f>VLOOKUP(склад2въезд[[#This Row],[Name]], СпрСобытий!$F:$G, 2, FALSE)</f>
        <v>Ангар Склад 2 въезд</v>
      </c>
    </row>
    <row r="200" spans="1:14" x14ac:dyDescent="0.25">
      <c r="A200" s="2" t="s">
        <v>14</v>
      </c>
      <c r="B200" s="4">
        <v>46035</v>
      </c>
      <c r="C200" s="5">
        <v>0.41261574074074076</v>
      </c>
      <c r="D200" s="9" t="s">
        <v>62</v>
      </c>
      <c r="E200" s="9" t="s">
        <v>9073</v>
      </c>
      <c r="F200" s="9" t="s">
        <v>9074</v>
      </c>
      <c r="H200" s="9"/>
      <c r="I200" s="9" t="s">
        <v>8746</v>
      </c>
      <c r="J200" s="9" t="s">
        <v>2936</v>
      </c>
      <c r="K200" t="s">
        <v>8747</v>
      </c>
      <c r="L200" t="s">
        <v>8748</v>
      </c>
      <c r="M200" s="3" t="str">
        <f>HYPERLINK(склад2въезд[[#This Row],[RelativePath]])</f>
        <v>1 Ангар Склад 2 въезд\E33149364_6_20260113T095410Z.jpg</v>
      </c>
      <c r="N200" s="9" t="str">
        <f>VLOOKUP(склад2въезд[[#This Row],[Name]], СпрСобытий!$F:$G, 2, FALSE)</f>
        <v>Ангар Склад 2 въезд</v>
      </c>
    </row>
    <row r="201" spans="1:14" x14ac:dyDescent="0.25">
      <c r="A201" s="2" t="s">
        <v>15</v>
      </c>
      <c r="B201" s="4">
        <v>46036</v>
      </c>
      <c r="C201" s="5">
        <v>0.4987152777777778</v>
      </c>
      <c r="D201" s="9" t="s">
        <v>91</v>
      </c>
      <c r="E201" s="9" t="s">
        <v>4134</v>
      </c>
      <c r="F201" s="9" t="s">
        <v>5010</v>
      </c>
      <c r="H201" s="9"/>
      <c r="I201" s="9" t="s">
        <v>9128</v>
      </c>
      <c r="J201" s="9" t="s">
        <v>2936</v>
      </c>
      <c r="K201" t="s">
        <v>9129</v>
      </c>
      <c r="L201" t="s">
        <v>9130</v>
      </c>
      <c r="M201" s="3" t="str">
        <f>HYPERLINK(склад2въезд[[#This Row],[RelativePath]])</f>
        <v>1 Ангар Склад 2 въезд\E33149364_6_20260114T115809Z.jpg</v>
      </c>
      <c r="N201" s="9" t="str">
        <f>VLOOKUP(склад2въезд[[#This Row],[Name]], СпрСобытий!$F:$G, 2, FALSE)</f>
        <v>Ангар Склад 2 въезд</v>
      </c>
    </row>
    <row r="202" spans="1:14" x14ac:dyDescent="0.25">
      <c r="A202" s="2" t="s">
        <v>15</v>
      </c>
      <c r="B202" s="4">
        <v>46036</v>
      </c>
      <c r="C202" s="5">
        <v>0.70822916666666669</v>
      </c>
      <c r="D202" s="9" t="s">
        <v>62</v>
      </c>
      <c r="E202" s="9" t="s">
        <v>4134</v>
      </c>
      <c r="F202" s="9" t="s">
        <v>5010</v>
      </c>
      <c r="H202" s="9"/>
      <c r="I202" s="9" t="s">
        <v>9131</v>
      </c>
      <c r="J202" s="9" t="s">
        <v>2936</v>
      </c>
      <c r="K202" t="s">
        <v>9132</v>
      </c>
      <c r="L202" t="s">
        <v>9133</v>
      </c>
      <c r="M202" s="3" t="str">
        <f>HYPERLINK(склад2въезд[[#This Row],[RelativePath]])</f>
        <v>1 Ангар Склад 2 въезд\E33149364_6_20260114T165951Z.jpg</v>
      </c>
      <c r="N202" s="9" t="str">
        <f>VLOOKUP(склад2въезд[[#This Row],[Name]], СпрСобытий!$F:$G, 2, FALSE)</f>
        <v>Ангар Склад 2 въезд</v>
      </c>
    </row>
    <row r="203" spans="1:14" x14ac:dyDescent="0.25">
      <c r="A203" s="2" t="s">
        <v>16</v>
      </c>
      <c r="B203" s="4">
        <v>46037</v>
      </c>
      <c r="C203" s="5">
        <v>0.66037037037037039</v>
      </c>
      <c r="D203" s="9" t="s">
        <v>1967</v>
      </c>
      <c r="E203" s="9"/>
      <c r="F203" s="9"/>
      <c r="H203" s="9"/>
      <c r="I203" s="9" t="s">
        <v>9134</v>
      </c>
      <c r="J203" s="9" t="s">
        <v>2936</v>
      </c>
      <c r="K203" t="s">
        <v>9135</v>
      </c>
      <c r="L203" t="s">
        <v>9136</v>
      </c>
      <c r="M203" s="3" t="str">
        <f>HYPERLINK(склад2въезд[[#This Row],[RelativePath]])</f>
        <v>1 Ангар Склад 2 въезд\E33149364_6_20260115T155056Z.jpg</v>
      </c>
      <c r="N203" s="9" t="str">
        <f>VLOOKUP(склад2въезд[[#This Row],[Name]], СпрСобытий!$F:$G, 2, FALSE)</f>
        <v>Ангар Склад 2 въезд</v>
      </c>
    </row>
    <row r="204" spans="1:14" x14ac:dyDescent="0.25">
      <c r="A204" s="2" t="s">
        <v>17</v>
      </c>
      <c r="B204" s="4">
        <v>46038</v>
      </c>
      <c r="C204" s="5">
        <v>0.41836805555555556</v>
      </c>
      <c r="D204" s="9" t="s">
        <v>62</v>
      </c>
      <c r="E204" s="9" t="s">
        <v>8250</v>
      </c>
      <c r="F204" s="9" t="s">
        <v>2899</v>
      </c>
      <c r="H204" s="9" t="s">
        <v>9221</v>
      </c>
      <c r="I204" s="9" t="s">
        <v>9137</v>
      </c>
      <c r="J204" s="9" t="s">
        <v>2936</v>
      </c>
      <c r="K204" t="s">
        <v>9138</v>
      </c>
      <c r="L204" t="s">
        <v>9139</v>
      </c>
      <c r="M204" s="3" t="str">
        <f>HYPERLINK(склад2въезд[[#This Row],[RelativePath]])</f>
        <v>1 Ангар Склад 2 въезд\E33149364_6_20260116T100227Z.jpg</v>
      </c>
      <c r="N204" s="9" t="str">
        <f>VLOOKUP(склад2въезд[[#This Row],[Name]], СпрСобытий!$F:$G, 2, FALSE)</f>
        <v>Ангар Склад 2 въезд</v>
      </c>
    </row>
    <row r="205" spans="1:14" x14ac:dyDescent="0.25">
      <c r="A205" s="2" t="s">
        <v>18</v>
      </c>
      <c r="B205" s="4">
        <v>46039</v>
      </c>
      <c r="C205" s="5">
        <v>0.59502314814814816</v>
      </c>
      <c r="D205" s="9" t="s">
        <v>91</v>
      </c>
      <c r="E205" s="9" t="s">
        <v>6574</v>
      </c>
      <c r="F205" s="9" t="s">
        <v>51</v>
      </c>
      <c r="H205" s="9"/>
      <c r="I205" s="9" t="s">
        <v>9471</v>
      </c>
      <c r="J205" s="9" t="s">
        <v>2936</v>
      </c>
      <c r="K205" t="s">
        <v>9472</v>
      </c>
      <c r="L205" t="s">
        <v>9473</v>
      </c>
      <c r="M205" s="3" t="str">
        <f>HYPERLINK(склад2въезд[[#This Row],[RelativePath]])</f>
        <v>1 Ангар Склад 2 въезд\E33149364_6_20260117T141650Z.jpg</v>
      </c>
      <c r="N205" s="9" t="str">
        <f>VLOOKUP(склад2въезд[[#This Row],[Name]], СпрСобытий!$F:$G, 2, FALSE)</f>
        <v>Ангар Склад 2 въезд</v>
      </c>
    </row>
    <row r="206" spans="1:14" x14ac:dyDescent="0.25">
      <c r="A206" s="2" t="s">
        <v>18</v>
      </c>
      <c r="B206" s="4">
        <v>46039</v>
      </c>
      <c r="C206" s="5">
        <v>0.61209490740740746</v>
      </c>
      <c r="D206" s="9" t="s">
        <v>62</v>
      </c>
      <c r="E206" s="9" t="s">
        <v>6574</v>
      </c>
      <c r="F206" s="9" t="s">
        <v>4181</v>
      </c>
      <c r="H206" s="9"/>
      <c r="I206" s="9" t="s">
        <v>9474</v>
      </c>
      <c r="J206" s="9" t="s">
        <v>2936</v>
      </c>
      <c r="K206" t="s">
        <v>9475</v>
      </c>
      <c r="L206" t="s">
        <v>9476</v>
      </c>
      <c r="M206" s="3" t="str">
        <f>HYPERLINK(склад2въезд[[#This Row],[RelativePath]])</f>
        <v>1 Ангар Склад 2 въезд\E33149364_6_20260117T144125Z.jpg</v>
      </c>
      <c r="N206" s="9" t="str">
        <f>VLOOKUP(склад2въезд[[#This Row],[Name]], СпрСобытий!$F:$G, 2, FALSE)</f>
        <v>Ангар Склад 2 въезд</v>
      </c>
    </row>
    <row r="207" spans="1:14" x14ac:dyDescent="0.25">
      <c r="A207" s="2" t="s">
        <v>18</v>
      </c>
      <c r="B207" s="4">
        <v>46039</v>
      </c>
      <c r="C207" s="5">
        <v>0.61331018518518521</v>
      </c>
      <c r="D207" s="9" t="s">
        <v>91</v>
      </c>
      <c r="E207" s="9" t="s">
        <v>9563</v>
      </c>
      <c r="F207" s="9"/>
      <c r="H207" s="9"/>
      <c r="I207" s="9" t="s">
        <v>9477</v>
      </c>
      <c r="J207" s="9" t="s">
        <v>2936</v>
      </c>
      <c r="K207" t="s">
        <v>9478</v>
      </c>
      <c r="L207" t="s">
        <v>9479</v>
      </c>
      <c r="M207" s="3" t="str">
        <f>HYPERLINK(склад2въезд[[#This Row],[RelativePath]])</f>
        <v>1 Ангар Склад 2 въезд\E33149364_6_20260117T144310Z.jpg</v>
      </c>
      <c r="N207" s="9" t="str">
        <f>VLOOKUP(склад2въезд[[#This Row],[Name]], СпрСобытий!$F:$G, 2, FALSE)</f>
        <v>Ангар Склад 2 въезд</v>
      </c>
    </row>
    <row r="208" spans="1:14" x14ac:dyDescent="0.25">
      <c r="A208" s="2" t="s">
        <v>18</v>
      </c>
      <c r="B208" s="4">
        <v>46039</v>
      </c>
      <c r="C208" s="5">
        <v>0.63754629629629633</v>
      </c>
      <c r="D208" s="9" t="s">
        <v>91</v>
      </c>
      <c r="E208" s="9" t="s">
        <v>6574</v>
      </c>
      <c r="F208" s="9" t="s">
        <v>51</v>
      </c>
      <c r="H208" s="9"/>
      <c r="I208" s="9" t="s">
        <v>9480</v>
      </c>
      <c r="J208" s="9" t="s">
        <v>2936</v>
      </c>
      <c r="K208" t="s">
        <v>9481</v>
      </c>
      <c r="L208" t="s">
        <v>9482</v>
      </c>
      <c r="M208" s="3" t="str">
        <f>HYPERLINK(склад2въезд[[#This Row],[RelativePath]])</f>
        <v>1 Ангар Склад 2 въезд\E33149364_6_20260117T151804Z.jpg</v>
      </c>
      <c r="N208" s="9" t="str">
        <f>VLOOKUP(склад2въезд[[#This Row],[Name]], СпрСобытий!$F:$G, 2, FALSE)</f>
        <v>Ангар Склад 2 въезд</v>
      </c>
    </row>
    <row r="209" spans="1:14" x14ac:dyDescent="0.25">
      <c r="A209" s="2" t="s">
        <v>18</v>
      </c>
      <c r="B209" s="4">
        <v>46039</v>
      </c>
      <c r="C209" s="5">
        <v>0.6466319444444445</v>
      </c>
      <c r="D209" s="9" t="s">
        <v>62</v>
      </c>
      <c r="E209" s="9" t="s">
        <v>9563</v>
      </c>
      <c r="F209" s="9"/>
      <c r="H209" s="9"/>
      <c r="I209" s="9" t="s">
        <v>9483</v>
      </c>
      <c r="J209" s="9" t="s">
        <v>2936</v>
      </c>
      <c r="K209" t="s">
        <v>9484</v>
      </c>
      <c r="L209" t="s">
        <v>9485</v>
      </c>
      <c r="M209" s="3" t="str">
        <f>HYPERLINK(склад2въезд[[#This Row],[RelativePath]])</f>
        <v>1 Ангар Склад 2 въезд\E33149364_6_20260117T153109Z.jpg</v>
      </c>
      <c r="N209" s="9" t="str">
        <f>VLOOKUP(склад2въезд[[#This Row],[Name]], СпрСобытий!$F:$G, 2, FALSE)</f>
        <v>Ангар Склад 2 въезд</v>
      </c>
    </row>
    <row r="210" spans="1:14" x14ac:dyDescent="0.25">
      <c r="A210" s="2" t="s">
        <v>18</v>
      </c>
      <c r="B210" s="4">
        <v>46039</v>
      </c>
      <c r="C210" s="5">
        <v>0.65831018518518514</v>
      </c>
      <c r="D210" s="9" t="s">
        <v>62</v>
      </c>
      <c r="E210" s="9" t="s">
        <v>6574</v>
      </c>
      <c r="F210" s="9" t="s">
        <v>9564</v>
      </c>
      <c r="H210" s="9"/>
      <c r="I210" s="9" t="s">
        <v>9486</v>
      </c>
      <c r="J210" s="9" t="s">
        <v>2936</v>
      </c>
      <c r="K210" t="s">
        <v>9487</v>
      </c>
      <c r="L210" t="s">
        <v>9488</v>
      </c>
      <c r="M210" s="3" t="str">
        <f>HYPERLINK(склад2въезд[[#This Row],[RelativePath]])</f>
        <v>1 Ангар Склад 2 въезд\E33149364_6_20260117T154758Z.jpg</v>
      </c>
      <c r="N210" s="9" t="str">
        <f>VLOOKUP(склад2въезд[[#This Row],[Name]], СпрСобытий!$F:$G, 2, FALSE)</f>
        <v>Ангар Склад 2 въезд</v>
      </c>
    </row>
    <row r="211" spans="1:14" x14ac:dyDescent="0.25">
      <c r="A211" s="2" t="s">
        <v>22</v>
      </c>
      <c r="B211" s="4">
        <v>46040</v>
      </c>
      <c r="C211" s="5">
        <v>0.74221064814814819</v>
      </c>
      <c r="D211" s="9" t="s">
        <v>1967</v>
      </c>
      <c r="E211" s="9"/>
      <c r="F211" s="9"/>
      <c r="H211" s="9"/>
      <c r="I211" s="9" t="s">
        <v>9489</v>
      </c>
      <c r="J211" s="9" t="s">
        <v>2936</v>
      </c>
      <c r="K211" t="s">
        <v>9490</v>
      </c>
      <c r="L211" t="s">
        <v>9491</v>
      </c>
      <c r="M211" s="3" t="str">
        <f>HYPERLINK(склад2въезд[[#This Row],[RelativePath]])</f>
        <v>1 Ангар Склад 2 въезд\E33149364_6_20260118T174847Z.jpg</v>
      </c>
      <c r="N211" s="9" t="str">
        <f>VLOOKUP(склад2въезд[[#This Row],[Name]], СпрСобытий!$F:$G, 2, FALSE)</f>
        <v>Ангар Склад 2 въезд</v>
      </c>
    </row>
    <row r="212" spans="1:14" x14ac:dyDescent="0.25">
      <c r="A212" s="2" t="s">
        <v>13</v>
      </c>
      <c r="B212" s="4">
        <v>46041</v>
      </c>
      <c r="C212" s="5">
        <v>0.6675578703703704</v>
      </c>
      <c r="D212" s="9" t="s">
        <v>1967</v>
      </c>
      <c r="E212" s="9"/>
      <c r="F212" s="9"/>
      <c r="H212" s="9"/>
      <c r="I212" s="9" t="s">
        <v>9588</v>
      </c>
      <c r="J212" s="9" t="s">
        <v>2936</v>
      </c>
      <c r="K212" t="s">
        <v>9589</v>
      </c>
      <c r="L212" t="s">
        <v>9590</v>
      </c>
      <c r="M212" s="3" t="str">
        <f>HYPERLINK(склад2въезд[[#This Row],[RelativePath]])</f>
        <v>1 Ангар Склад 2 въезд\E33149364_6_20260119T160117Z.jpg</v>
      </c>
      <c r="N212" s="9" t="str">
        <f>VLOOKUP(склад2въезд[[#This Row],[Name]], СпрСобытий!$F:$G, 2, FALSE)</f>
        <v>Ангар Склад 2 въезд</v>
      </c>
    </row>
    <row r="213" spans="1:14" x14ac:dyDescent="0.25">
      <c r="A213" s="2" t="s">
        <v>14</v>
      </c>
      <c r="B213" s="4">
        <v>46042</v>
      </c>
      <c r="C213" s="5">
        <v>0.70180555555555557</v>
      </c>
      <c r="D213" s="9" t="s">
        <v>1967</v>
      </c>
      <c r="E213" s="9"/>
      <c r="F213" s="9"/>
      <c r="H213" s="9"/>
      <c r="I213" s="9" t="s">
        <v>9591</v>
      </c>
      <c r="J213" s="9" t="s">
        <v>2936</v>
      </c>
      <c r="K213" t="s">
        <v>9592</v>
      </c>
      <c r="L213" t="s">
        <v>9593</v>
      </c>
      <c r="M213" s="3" t="str">
        <f>HYPERLINK(склад2въезд[[#This Row],[RelativePath]])</f>
        <v>1 Ангар Склад 2 въезд\E33149364_6_20260120T165036Z.jpg</v>
      </c>
      <c r="N213" s="9" t="str">
        <f>VLOOKUP(склад2въезд[[#This Row],[Name]], СпрСобытий!$F:$G, 2, FALSE)</f>
        <v>Ангар Склад 2 въезд</v>
      </c>
    </row>
    <row r="214" spans="1:14" x14ac:dyDescent="0.25">
      <c r="A214" s="2" t="s">
        <v>15</v>
      </c>
      <c r="B214" s="4">
        <v>46043</v>
      </c>
      <c r="C214" s="5">
        <v>0.70232638888888888</v>
      </c>
      <c r="D214" s="9" t="s">
        <v>1967</v>
      </c>
      <c r="E214" s="9"/>
      <c r="F214" s="9"/>
      <c r="H214" s="9"/>
      <c r="I214" s="9" t="s">
        <v>9805</v>
      </c>
      <c r="J214" s="9" t="s">
        <v>2936</v>
      </c>
      <c r="K214" t="s">
        <v>9806</v>
      </c>
      <c r="L214" t="s">
        <v>9807</v>
      </c>
      <c r="M214" s="3" t="str">
        <f>HYPERLINK(склад2въезд[[#This Row],[RelativePath]])</f>
        <v>1 Ангар Склад 2 въезд\E33149364_6_20260121T165121Z.jpg</v>
      </c>
      <c r="N214" s="9" t="str">
        <f>VLOOKUP(склад2въезд[[#This Row],[Name]], СпрСобытий!$F:$G, 2, FALSE)</f>
        <v>Ангар Склад 2 въезд</v>
      </c>
    </row>
    <row r="215" spans="1:14" x14ac:dyDescent="0.25">
      <c r="A215" s="2" t="s">
        <v>16</v>
      </c>
      <c r="B215" s="4">
        <v>46044</v>
      </c>
      <c r="C215" s="5">
        <v>0.50423611111111111</v>
      </c>
      <c r="D215" s="9" t="s">
        <v>91</v>
      </c>
      <c r="E215" s="9" t="s">
        <v>4134</v>
      </c>
      <c r="F215" s="9" t="s">
        <v>5010</v>
      </c>
      <c r="H215" s="9"/>
      <c r="I215" s="9" t="s">
        <v>9808</v>
      </c>
      <c r="J215" s="9" t="s">
        <v>2936</v>
      </c>
      <c r="K215" t="s">
        <v>9809</v>
      </c>
      <c r="L215" t="s">
        <v>9810</v>
      </c>
      <c r="M215" s="3" t="str">
        <f>HYPERLINK(склад2въезд[[#This Row],[RelativePath]])</f>
        <v>1 Ангар Склад 2 въезд\E33149364_6_20260122T120606Z.jpg</v>
      </c>
      <c r="N215" s="9" t="str">
        <f>VLOOKUP(склад2въезд[[#This Row],[Name]], СпрСобытий!$F:$G, 2, FALSE)</f>
        <v>Ангар Склад 2 въезд</v>
      </c>
    </row>
    <row r="216" spans="1:14" x14ac:dyDescent="0.25">
      <c r="A216" s="2" t="s">
        <v>16</v>
      </c>
      <c r="B216" s="4">
        <v>46044</v>
      </c>
      <c r="C216" s="5">
        <v>0.6736805555555555</v>
      </c>
      <c r="D216" s="9" t="s">
        <v>62</v>
      </c>
      <c r="E216" s="9" t="s">
        <v>4134</v>
      </c>
      <c r="F216" s="9" t="s">
        <v>5010</v>
      </c>
      <c r="H216" s="9"/>
      <c r="I216" s="9" t="s">
        <v>9811</v>
      </c>
      <c r="J216" s="9" t="s">
        <v>2936</v>
      </c>
      <c r="K216" t="s">
        <v>9812</v>
      </c>
      <c r="L216" t="s">
        <v>9813</v>
      </c>
      <c r="M216" s="3" t="str">
        <f>HYPERLINK(склад2въезд[[#This Row],[RelativePath]])</f>
        <v>1 Ангар Склад 2 въезд\E33149364_6_20260122T161006Z.jpg</v>
      </c>
      <c r="N216" s="9" t="str">
        <f>VLOOKUP(склад2въезд[[#This Row],[Name]], СпрСобытий!$F:$G, 2, FALSE)</f>
        <v>Ангар Склад 2 въезд</v>
      </c>
    </row>
    <row r="217" spans="1:14" x14ac:dyDescent="0.25">
      <c r="A217" s="2" t="s">
        <v>16</v>
      </c>
      <c r="B217" s="4">
        <v>46044</v>
      </c>
      <c r="C217" s="5">
        <v>0.93010416666666662</v>
      </c>
      <c r="D217" s="9" t="s">
        <v>91</v>
      </c>
      <c r="E217" s="9" t="s">
        <v>10039</v>
      </c>
      <c r="F217" s="9" t="s">
        <v>60</v>
      </c>
      <c r="H217" s="9"/>
      <c r="I217" s="9" t="s">
        <v>10033</v>
      </c>
      <c r="J217" s="9" t="s">
        <v>2936</v>
      </c>
      <c r="K217" t="s">
        <v>10034</v>
      </c>
      <c r="L217" t="s">
        <v>10035</v>
      </c>
      <c r="M217" s="3" t="str">
        <f>HYPERLINK(склад2въезд[[#This Row],[RelativePath]])</f>
        <v>1 Ангар Склад 2 въезд\E33149364_6_20260122T221921Z.jpg</v>
      </c>
      <c r="N217" s="9" t="str">
        <f>VLOOKUP(склад2въезд[[#This Row],[Name]], СпрСобытий!$F:$G, 2, FALSE)</f>
        <v>Ангар Склад 2 въезд</v>
      </c>
    </row>
    <row r="218" spans="1:14" x14ac:dyDescent="0.25">
      <c r="A218" s="2" t="s">
        <v>17</v>
      </c>
      <c r="B218" s="4">
        <v>46045</v>
      </c>
      <c r="C218" s="5">
        <v>1.7141203703703704E-2</v>
      </c>
      <c r="D218" s="9" t="s">
        <v>62</v>
      </c>
      <c r="E218" s="9" t="s">
        <v>10039</v>
      </c>
      <c r="F218" s="9" t="s">
        <v>51</v>
      </c>
      <c r="H218" s="9"/>
      <c r="I218" s="9" t="s">
        <v>10036</v>
      </c>
      <c r="J218" s="9" t="s">
        <v>2936</v>
      </c>
      <c r="K218" t="s">
        <v>10037</v>
      </c>
      <c r="L218" t="s">
        <v>10038</v>
      </c>
      <c r="M218" s="3" t="str">
        <f>HYPERLINK(склад2въезд[[#This Row],[RelativePath]])</f>
        <v>1 Ангар Склад 2 въезд\E33149364_6_20260123T002441Z.jpg</v>
      </c>
      <c r="N218" s="9" t="str">
        <f>VLOOKUP(склад2въезд[[#This Row],[Name]], СпрСобытий!$F:$G, 2, FALSE)</f>
        <v>Ангар Склад 2 въезд</v>
      </c>
    </row>
    <row r="219" spans="1:14" x14ac:dyDescent="0.25">
      <c r="A219" s="2" t="s">
        <v>17</v>
      </c>
      <c r="B219" s="4">
        <v>46045</v>
      </c>
      <c r="C219" s="5">
        <v>4.701388888888889E-2</v>
      </c>
      <c r="D219" s="9" t="s">
        <v>91</v>
      </c>
      <c r="E219" s="9" t="s">
        <v>10040</v>
      </c>
      <c r="F219" s="9" t="s">
        <v>60</v>
      </c>
      <c r="H219" s="9"/>
      <c r="I219" s="9" t="s">
        <v>10018</v>
      </c>
      <c r="J219" s="9" t="s">
        <v>2936</v>
      </c>
      <c r="K219" t="s">
        <v>10019</v>
      </c>
      <c r="L219" t="s">
        <v>10020</v>
      </c>
      <c r="M219" s="3" t="str">
        <f>HYPERLINK(склад2въезд[[#This Row],[RelativePath]])</f>
        <v>1 Ангар Склад 2 въезд\E33149364_6_20260123T010742Z.jpg</v>
      </c>
      <c r="N219" s="9" t="str">
        <f>VLOOKUP(склад2въезд[[#This Row],[Name]], СпрСобытий!$F:$G, 2, FALSE)</f>
        <v>Ангар Склад 2 въезд</v>
      </c>
    </row>
    <row r="220" spans="1:14" x14ac:dyDescent="0.25">
      <c r="A220" s="2" t="s">
        <v>17</v>
      </c>
      <c r="B220" s="4">
        <v>46045</v>
      </c>
      <c r="C220" s="5">
        <v>0.44885416666666667</v>
      </c>
      <c r="D220" s="9" t="s">
        <v>91</v>
      </c>
      <c r="E220" s="9" t="s">
        <v>10041</v>
      </c>
      <c r="F220" s="9"/>
      <c r="H220" s="9"/>
      <c r="I220" s="9" t="s">
        <v>10021</v>
      </c>
      <c r="J220" s="9" t="s">
        <v>2936</v>
      </c>
      <c r="K220" t="s">
        <v>10022</v>
      </c>
      <c r="L220" t="s">
        <v>10023</v>
      </c>
      <c r="M220" s="3" t="str">
        <f>HYPERLINK(склад2въезд[[#This Row],[RelativePath]])</f>
        <v>1 Ангар Склад 2 въезд\E33149364_6_20260123T104621Z.jpg</v>
      </c>
      <c r="N220" s="9" t="str">
        <f>VLOOKUP(склад2въезд[[#This Row],[Name]], СпрСобытий!$F:$G, 2, FALSE)</f>
        <v>Ангар Склад 2 въезд</v>
      </c>
    </row>
    <row r="221" spans="1:14" x14ac:dyDescent="0.25">
      <c r="A221" s="2" t="s">
        <v>17</v>
      </c>
      <c r="B221" s="4">
        <v>46045</v>
      </c>
      <c r="C221" s="5">
        <v>0.45699074074074075</v>
      </c>
      <c r="D221" s="9" t="s">
        <v>62</v>
      </c>
      <c r="E221" s="9" t="s">
        <v>10040</v>
      </c>
      <c r="F221" s="9" t="s">
        <v>10042</v>
      </c>
      <c r="G221">
        <v>1</v>
      </c>
      <c r="H221" s="9"/>
      <c r="I221" s="9" t="s">
        <v>10024</v>
      </c>
      <c r="J221" s="9" t="s">
        <v>2936</v>
      </c>
      <c r="K221" t="s">
        <v>10025</v>
      </c>
      <c r="L221" t="s">
        <v>10026</v>
      </c>
      <c r="M221" s="3" t="str">
        <f>HYPERLINK(склад2въезд[[#This Row],[RelativePath]])</f>
        <v>1 Ангар Склад 2 въезд\E33149364_6_20260123T105804Z.jpg</v>
      </c>
      <c r="N221" s="9" t="str">
        <f>VLOOKUP(склад2въезд[[#This Row],[Name]], СпрСобытий!$F:$G, 2, FALSE)</f>
        <v>Ангар Склад 2 въезд</v>
      </c>
    </row>
    <row r="222" spans="1:14" x14ac:dyDescent="0.25">
      <c r="A222" s="2" t="s">
        <v>17</v>
      </c>
      <c r="B222" s="4">
        <v>46045</v>
      </c>
      <c r="C222" s="5">
        <v>0.51879629629629631</v>
      </c>
      <c r="D222" s="9" t="s">
        <v>62</v>
      </c>
      <c r="E222" s="9" t="s">
        <v>10041</v>
      </c>
      <c r="F222" s="9"/>
      <c r="H222" s="9"/>
      <c r="I222" s="9" t="s">
        <v>10027</v>
      </c>
      <c r="J222" s="9" t="s">
        <v>2936</v>
      </c>
      <c r="K222" t="s">
        <v>10028</v>
      </c>
      <c r="L222" t="s">
        <v>10029</v>
      </c>
      <c r="M222" s="3" t="str">
        <f>HYPERLINK(склад2въезд[[#This Row],[RelativePath]])</f>
        <v>1 Ангар Склад 2 въезд\E33149364_6_20260123T122704Z.jpg</v>
      </c>
      <c r="N222" s="9" t="str">
        <f>VLOOKUP(склад2въезд[[#This Row],[Name]], СпрСобытий!$F:$G, 2, FALSE)</f>
        <v>Ангар Склад 2 въезд</v>
      </c>
    </row>
    <row r="223" spans="1:14" x14ac:dyDescent="0.25">
      <c r="A223" s="2" t="s">
        <v>17</v>
      </c>
      <c r="B223" s="4">
        <v>46045</v>
      </c>
      <c r="C223" s="5">
        <v>0.59809027777777779</v>
      </c>
      <c r="D223" s="9" t="s">
        <v>62</v>
      </c>
      <c r="E223" s="9" t="s">
        <v>9402</v>
      </c>
      <c r="F223" s="9" t="s">
        <v>58</v>
      </c>
      <c r="H223" s="10" t="s">
        <v>9221</v>
      </c>
      <c r="I223" s="9" t="s">
        <v>10030</v>
      </c>
      <c r="J223" s="9" t="s">
        <v>2936</v>
      </c>
      <c r="K223" t="s">
        <v>10031</v>
      </c>
      <c r="L223" t="s">
        <v>10032</v>
      </c>
      <c r="M223" s="3" t="str">
        <f>HYPERLINK(склад2въезд[[#This Row],[RelativePath]])</f>
        <v>1 Ангар Склад 2 въезд\E33149364_6_20260123T142115Z.jpg</v>
      </c>
      <c r="N223" s="9" t="str">
        <f>VLOOKUP(склад2въезд[[#This Row],[Name]], СпрСобытий!$F:$G, 2, FALSE)</f>
        <v>Ангар Склад 2 въезд</v>
      </c>
    </row>
    <row r="224" spans="1:14" x14ac:dyDescent="0.25">
      <c r="A224" s="2" t="s">
        <v>18</v>
      </c>
      <c r="B224" s="4">
        <v>46046</v>
      </c>
      <c r="C224" s="5">
        <v>0.68843750000000004</v>
      </c>
      <c r="D224" s="9" t="s">
        <v>1967</v>
      </c>
      <c r="E224" s="9"/>
      <c r="F224" s="9"/>
      <c r="H224" s="9"/>
      <c r="I224" s="9" t="s">
        <v>10326</v>
      </c>
      <c r="J224" s="9" t="s">
        <v>2936</v>
      </c>
      <c r="K224" t="s">
        <v>10327</v>
      </c>
      <c r="L224" t="s">
        <v>10328</v>
      </c>
      <c r="M224" s="3" t="str">
        <f>HYPERLINK(склад2въезд[[#This Row],[RelativePath]])</f>
        <v>1 Ангар Склад 2 въезд\E33149364_6_20260124T163121Z.jpg</v>
      </c>
      <c r="N224" s="9" t="str">
        <f>VLOOKUP(склад2въезд[[#This Row],[Name]], СпрСобытий!$F:$G, 2, FALSE)</f>
        <v>Ангар Склад 2 въезд</v>
      </c>
    </row>
    <row r="225" spans="1:14" x14ac:dyDescent="0.25">
      <c r="A225" s="2" t="s">
        <v>22</v>
      </c>
      <c r="B225" s="4">
        <v>46047</v>
      </c>
      <c r="C225" s="5">
        <v>0.68413194444444447</v>
      </c>
      <c r="D225" s="9" t="s">
        <v>1967</v>
      </c>
      <c r="E225" s="9"/>
      <c r="F225" s="9"/>
      <c r="H225" s="9"/>
      <c r="I225" s="9" t="s">
        <v>10329</v>
      </c>
      <c r="J225" s="9" t="s">
        <v>2936</v>
      </c>
      <c r="K225" t="s">
        <v>10330</v>
      </c>
      <c r="L225" t="s">
        <v>10331</v>
      </c>
      <c r="M225" s="3" t="str">
        <f>HYPERLINK(склад2въезд[[#This Row],[RelativePath]])</f>
        <v>1 Ангар Склад 2 въезд\E33149364_6_20260125T162509Z.jpg</v>
      </c>
      <c r="N225" s="9" t="str">
        <f>VLOOKUP(склад2въезд[[#This Row],[Name]], СпрСобытий!$F:$G, 2, FALSE)</f>
        <v>Ангар Склад 2 въезд</v>
      </c>
    </row>
    <row r="226" spans="1:14" x14ac:dyDescent="0.25">
      <c r="A226" s="2" t="s">
        <v>13</v>
      </c>
      <c r="B226" s="4">
        <v>46048</v>
      </c>
      <c r="C226" s="5">
        <v>0.69730324074074079</v>
      </c>
      <c r="D226" s="9" t="s">
        <v>1967</v>
      </c>
      <c r="E226" s="9"/>
      <c r="F226" s="9"/>
      <c r="H226" s="9"/>
      <c r="I226" s="9" t="s">
        <v>10406</v>
      </c>
      <c r="J226" s="9" t="s">
        <v>2936</v>
      </c>
      <c r="K226" t="s">
        <v>10407</v>
      </c>
      <c r="L226" t="s">
        <v>10408</v>
      </c>
      <c r="M226" s="3" t="str">
        <f>HYPERLINK(склад2въезд[[#This Row],[RelativePath]])</f>
        <v>1 Ангар Склад 2 въезд\E33149364_6_20260126T164407Z.jpg</v>
      </c>
      <c r="N226" s="9" t="str">
        <f>VLOOKUP(склад2въезд[[#This Row],[Name]], СпрСобытий!$F:$G, 2, FALSE)</f>
        <v>Ангар Склад 2 въезд</v>
      </c>
    </row>
    <row r="227" spans="1:14" x14ac:dyDescent="0.25">
      <c r="A227" s="2" t="s">
        <v>14</v>
      </c>
      <c r="B227" s="4">
        <v>46049</v>
      </c>
      <c r="C227" s="5">
        <v>0.72952546296296295</v>
      </c>
      <c r="D227" s="9" t="s">
        <v>1967</v>
      </c>
      <c r="E227" s="9"/>
      <c r="F227" s="9"/>
      <c r="H227" s="9"/>
      <c r="I227" s="9" t="s">
        <v>10409</v>
      </c>
      <c r="J227" s="9" t="s">
        <v>2936</v>
      </c>
      <c r="K227" t="s">
        <v>10410</v>
      </c>
      <c r="L227" t="s">
        <v>10411</v>
      </c>
      <c r="M227" s="3" t="str">
        <f>HYPERLINK(склад2въезд[[#This Row],[RelativePath]])</f>
        <v>1 Ангар Склад 2 въезд\E33149364_6_20260127T173031Z.jpg</v>
      </c>
      <c r="N227" s="9" t="str">
        <f>VLOOKUP(склад2въезд[[#This Row],[Name]], СпрСобытий!$F:$G, 2, FALSE)</f>
        <v>Ангар Склад 2 въезд</v>
      </c>
    </row>
    <row r="228" spans="1:14" x14ac:dyDescent="0.25">
      <c r="A228" s="2" t="s">
        <v>15</v>
      </c>
      <c r="B228" s="4">
        <v>46050</v>
      </c>
      <c r="C228" s="5">
        <v>0.71953703703703709</v>
      </c>
      <c r="D228" s="9" t="s">
        <v>1967</v>
      </c>
      <c r="E228" s="9"/>
      <c r="F228" s="9"/>
      <c r="H228" s="9"/>
      <c r="I228" s="9" t="s">
        <v>10586</v>
      </c>
      <c r="J228" s="9" t="s">
        <v>2936</v>
      </c>
      <c r="K228" t="s">
        <v>10587</v>
      </c>
      <c r="L228" t="s">
        <v>10588</v>
      </c>
      <c r="M228" s="3" t="str">
        <f>HYPERLINK(склад2въезд[[#This Row],[RelativePath]])</f>
        <v>1 Ангар Склад 2 въезд\E33149364_6_20260128T171608Z.jpg</v>
      </c>
      <c r="N228" s="9" t="str">
        <f>VLOOKUP(склад2въезд[[#This Row],[Name]], СпрСобытий!$F:$G, 2, FALSE)</f>
        <v>Ангар Склад 2 въезд</v>
      </c>
    </row>
    <row r="229" spans="1:14" x14ac:dyDescent="0.25">
      <c r="A229" s="2" t="s">
        <v>16</v>
      </c>
      <c r="B229" s="4">
        <v>46051</v>
      </c>
      <c r="C229" s="5">
        <v>0.4944560185185185</v>
      </c>
      <c r="D229" s="9" t="s">
        <v>62</v>
      </c>
      <c r="E229" s="9" t="s">
        <v>10752</v>
      </c>
      <c r="F229" s="9" t="s">
        <v>58</v>
      </c>
      <c r="G229">
        <v>4</v>
      </c>
      <c r="H229" s="9" t="s">
        <v>9221</v>
      </c>
      <c r="I229" s="9" t="s">
        <v>10589</v>
      </c>
      <c r="J229" s="9" t="s">
        <v>2936</v>
      </c>
      <c r="K229" t="s">
        <v>10590</v>
      </c>
      <c r="L229" t="s">
        <v>10591</v>
      </c>
      <c r="M229" s="3" t="str">
        <f>HYPERLINK(склад2въезд[[#This Row],[RelativePath]])</f>
        <v>1 Ангар Склад 2 въезд\E33149364_6_20260129T115201Z.jpg</v>
      </c>
      <c r="N229" s="9" t="str">
        <f>VLOOKUP(склад2въезд[[#This Row],[Name]], СпрСобытий!$F:$G, 2, FALSE)</f>
        <v>Ангар Склад 2 въезд</v>
      </c>
    </row>
    <row r="230" spans="1:14" x14ac:dyDescent="0.25">
      <c r="A230" s="2" t="s">
        <v>17</v>
      </c>
      <c r="B230" s="4">
        <v>46052</v>
      </c>
      <c r="C230" s="5">
        <v>0.36493055555555554</v>
      </c>
      <c r="D230" s="9" t="s">
        <v>91</v>
      </c>
      <c r="E230" s="9" t="s">
        <v>70</v>
      </c>
      <c r="F230" s="9" t="s">
        <v>5010</v>
      </c>
      <c r="H230" s="9"/>
      <c r="I230" s="9" t="s">
        <v>10768</v>
      </c>
      <c r="J230" s="9" t="s">
        <v>2936</v>
      </c>
      <c r="K230" t="s">
        <v>10769</v>
      </c>
      <c r="L230" t="s">
        <v>10770</v>
      </c>
      <c r="M230" s="3" t="str">
        <f>HYPERLINK(склад2въезд[[#This Row],[RelativePath]])</f>
        <v>1 Ангар Склад 2 въезд\E33149364_6_20260130T084530Z.jpg</v>
      </c>
      <c r="N230" s="9" t="str">
        <f>VLOOKUP(склад2въезд[[#This Row],[Name]], СпрСобытий!$F:$G, 2, FALSE)</f>
        <v>Ангар Склад 2 въезд</v>
      </c>
    </row>
    <row r="231" spans="1:14" x14ac:dyDescent="0.25">
      <c r="A231" s="2" t="s">
        <v>17</v>
      </c>
      <c r="B231" s="4">
        <v>46052</v>
      </c>
      <c r="C231" s="5">
        <v>0.38869212962962962</v>
      </c>
      <c r="D231" s="9" t="s">
        <v>62</v>
      </c>
      <c r="E231" s="9" t="s">
        <v>70</v>
      </c>
      <c r="F231" s="9" t="s">
        <v>5027</v>
      </c>
      <c r="H231" s="9"/>
      <c r="I231" s="9" t="s">
        <v>10771</v>
      </c>
      <c r="J231" s="9" t="s">
        <v>2936</v>
      </c>
      <c r="K231" t="s">
        <v>10772</v>
      </c>
      <c r="L231" t="s">
        <v>10773</v>
      </c>
      <c r="M231" s="3" t="str">
        <f>HYPERLINK(склад2въезд[[#This Row],[RelativePath]])</f>
        <v>1 Ангар Склад 2 въезд\E33149364_6_20260130T091943Z.jpg</v>
      </c>
      <c r="N231" s="9" t="str">
        <f>VLOOKUP(склад2въезд[[#This Row],[Name]], СпрСобытий!$F:$G, 2, FALSE)</f>
        <v>Ангар Склад 2 въезд</v>
      </c>
    </row>
    <row r="232" spans="1:14" x14ac:dyDescent="0.25">
      <c r="A232" s="2" t="s">
        <v>18</v>
      </c>
      <c r="B232" s="4">
        <v>46053</v>
      </c>
      <c r="C232" s="5">
        <v>0.48749999999999999</v>
      </c>
      <c r="D232" s="9" t="s">
        <v>91</v>
      </c>
      <c r="E232" s="9" t="s">
        <v>10988</v>
      </c>
      <c r="F232" s="9"/>
      <c r="H232" s="9"/>
      <c r="I232" s="9" t="s">
        <v>10876</v>
      </c>
      <c r="J232" s="9" t="s">
        <v>2936</v>
      </c>
      <c r="K232" t="s">
        <v>10877</v>
      </c>
      <c r="L232" t="s">
        <v>10878</v>
      </c>
      <c r="M232" s="3" t="str">
        <f>HYPERLINK(склад2въезд[[#This Row],[RelativePath]])</f>
        <v>1 Ангар Склад 2 въезд\E33149364_6_20260131T114200Z.jpg</v>
      </c>
      <c r="N232" s="9" t="str">
        <f>VLOOKUP(склад2въезд[[#This Row],[Name]], СпрСобытий!$F:$G, 2, FALSE)</f>
        <v>Ангар Склад 2 въезд</v>
      </c>
    </row>
    <row r="233" spans="1:14" x14ac:dyDescent="0.25">
      <c r="A233" s="2" t="s">
        <v>18</v>
      </c>
      <c r="B233" s="4">
        <v>46053</v>
      </c>
      <c r="C233" s="5">
        <v>0.5067476851851852</v>
      </c>
      <c r="D233" s="9" t="s">
        <v>62</v>
      </c>
      <c r="E233" s="9" t="s">
        <v>10988</v>
      </c>
      <c r="F233" s="9" t="s">
        <v>53</v>
      </c>
      <c r="G233">
        <v>11</v>
      </c>
      <c r="H233" s="9"/>
      <c r="I233" s="9" t="s">
        <v>10879</v>
      </c>
      <c r="J233" s="9" t="s">
        <v>2936</v>
      </c>
      <c r="K233" t="s">
        <v>10880</v>
      </c>
      <c r="L233" t="s">
        <v>10881</v>
      </c>
      <c r="M233" s="3" t="str">
        <f>HYPERLINK(склад2въезд[[#This Row],[RelativePath]])</f>
        <v>1 Ангар Склад 2 въезд\E33149364_6_20260131T120943Z.jpg</v>
      </c>
      <c r="N233" s="9" t="str">
        <f>VLOOKUP(склад2въезд[[#This Row],[Name]], СпрСобытий!$F:$G, 2, FALSE)</f>
        <v>Ангар Склад 2 въезд</v>
      </c>
    </row>
    <row r="234" spans="1:14" x14ac:dyDescent="0.25">
      <c r="A234" s="2" t="s">
        <v>18</v>
      </c>
      <c r="B234" s="4">
        <v>46053</v>
      </c>
      <c r="C234" s="5">
        <v>0.7240509259259259</v>
      </c>
      <c r="D234" s="9" t="s">
        <v>91</v>
      </c>
      <c r="E234" s="9" t="s">
        <v>10989</v>
      </c>
      <c r="F234" s="9"/>
      <c r="H234" s="9"/>
      <c r="I234" s="9" t="s">
        <v>10882</v>
      </c>
      <c r="J234" s="9" t="s">
        <v>2936</v>
      </c>
      <c r="K234" t="s">
        <v>10883</v>
      </c>
      <c r="L234" t="s">
        <v>10884</v>
      </c>
      <c r="M234" s="3" t="str">
        <f>HYPERLINK(склад2въезд[[#This Row],[RelativePath]])</f>
        <v>1 Ангар Склад 2 въезд\E33149364_6_20260131T172238Z.jpg</v>
      </c>
      <c r="N234" s="9" t="str">
        <f>VLOOKUP(склад2въезд[[#This Row],[Name]], СпрСобытий!$F:$G, 2, FALSE)</f>
        <v>Ангар Склад 2 въезд</v>
      </c>
    </row>
    <row r="235" spans="1:14" x14ac:dyDescent="0.25">
      <c r="A235" s="2" t="s">
        <v>22</v>
      </c>
      <c r="B235" s="4">
        <v>46054</v>
      </c>
      <c r="C235" s="5">
        <v>0.66899305555555555</v>
      </c>
      <c r="D235" s="9" t="s">
        <v>1967</v>
      </c>
      <c r="E235" s="9"/>
      <c r="F235" s="9"/>
      <c r="H235" s="9"/>
      <c r="I235" s="9" t="s">
        <v>10885</v>
      </c>
      <c r="J235" s="9" t="s">
        <v>2936</v>
      </c>
      <c r="K235" t="s">
        <v>10886</v>
      </c>
      <c r="L235" t="s">
        <v>10887</v>
      </c>
      <c r="M235" s="3" t="str">
        <f>HYPERLINK(склад2въезд[[#This Row],[RelativePath]])</f>
        <v>1 Ангар Склад 2 въезд\E33149364_6_20260201T160321Z.jpg</v>
      </c>
      <c r="N235" s="9" t="str">
        <f>VLOOKUP(склад2въезд[[#This Row],[Name]], СпрСобытий!$F:$G, 2, FALSE)</f>
        <v>Ангар Склад 2 въезд</v>
      </c>
    </row>
    <row r="236" spans="1:14" x14ac:dyDescent="0.25">
      <c r="A236" s="2" t="s">
        <v>13</v>
      </c>
      <c r="B236" s="4">
        <v>46055</v>
      </c>
      <c r="C236" s="5">
        <v>0.72170138888888891</v>
      </c>
      <c r="D236" s="9" t="s">
        <v>1967</v>
      </c>
      <c r="E236" s="9"/>
      <c r="F236" s="9"/>
      <c r="H236" s="9"/>
      <c r="I236" s="9" t="s">
        <v>11009</v>
      </c>
      <c r="J236" s="9" t="s">
        <v>2936</v>
      </c>
      <c r="K236" t="s">
        <v>11010</v>
      </c>
      <c r="L236" t="s">
        <v>11011</v>
      </c>
      <c r="M236" s="3" t="str">
        <f>HYPERLINK(склад2въезд[[#This Row],[RelativePath]])</f>
        <v>1 Ангар Склад 2 въезд\E33149364_6_20260202T171915Z.jpg</v>
      </c>
      <c r="N236" s="9" t="str">
        <f>VLOOKUP(склад2въезд[[#This Row],[Name]], СпрСобытий!$F:$G, 2, FALSE)</f>
        <v>Ангар Склад 2 въезд</v>
      </c>
    </row>
    <row r="237" spans="1:14" x14ac:dyDescent="0.25">
      <c r="A237" s="2" t="s">
        <v>14</v>
      </c>
      <c r="B237" s="4">
        <v>46056</v>
      </c>
      <c r="C237" s="5">
        <v>0.44545138888888891</v>
      </c>
      <c r="D237" s="9" t="s">
        <v>91</v>
      </c>
      <c r="E237" s="9" t="s">
        <v>11273</v>
      </c>
      <c r="F237" s="9" t="s">
        <v>60</v>
      </c>
      <c r="H237" s="9"/>
      <c r="I237" s="9" t="s">
        <v>11012</v>
      </c>
      <c r="J237" s="9" t="s">
        <v>2936</v>
      </c>
      <c r="K237" t="s">
        <v>11013</v>
      </c>
      <c r="L237" t="s">
        <v>11014</v>
      </c>
      <c r="M237" s="3" t="str">
        <f>HYPERLINK(склад2въезд[[#This Row],[RelativePath]])</f>
        <v>1 Ангар Склад 2 въезд\E33149364_6_20260203T104127Z.jpg</v>
      </c>
      <c r="N237" s="9" t="str">
        <f>VLOOKUP(склад2въезд[[#This Row],[Name]], СпрСобытий!$F:$G, 2, FALSE)</f>
        <v>Ангар Склад 2 въезд</v>
      </c>
    </row>
    <row r="238" spans="1:14" x14ac:dyDescent="0.25">
      <c r="A238" s="2" t="s">
        <v>14</v>
      </c>
      <c r="B238" s="4">
        <v>46056</v>
      </c>
      <c r="C238" s="5">
        <v>0.56745370370370374</v>
      </c>
      <c r="D238" s="9" t="s">
        <v>62</v>
      </c>
      <c r="E238" s="9" t="s">
        <v>11273</v>
      </c>
      <c r="F238" s="9" t="s">
        <v>51</v>
      </c>
      <c r="H238" s="9"/>
      <c r="I238" s="9" t="s">
        <v>11015</v>
      </c>
      <c r="J238" s="9" t="s">
        <v>2936</v>
      </c>
      <c r="K238" t="s">
        <v>11016</v>
      </c>
      <c r="L238" t="s">
        <v>11017</v>
      </c>
      <c r="M238" s="3" t="str">
        <f>HYPERLINK(склад2въезд[[#This Row],[RelativePath]])</f>
        <v>1 Ангар Склад 2 въезд\E33149364_6_20260203T133708Z.jpg</v>
      </c>
      <c r="N238" s="9" t="str">
        <f>VLOOKUP(склад2въезд[[#This Row],[Name]], СпрСобытий!$F:$G, 2, FALSE)</f>
        <v>Ангар Склад 2 въезд</v>
      </c>
    </row>
    <row r="239" spans="1:14" x14ac:dyDescent="0.25">
      <c r="A239" s="2" t="s">
        <v>14</v>
      </c>
      <c r="B239" s="4">
        <v>46056</v>
      </c>
      <c r="C239" s="5">
        <v>0.79409722222222223</v>
      </c>
      <c r="D239" s="9" t="s">
        <v>62</v>
      </c>
      <c r="E239" s="9" t="s">
        <v>6111</v>
      </c>
      <c r="F239" s="9" t="s">
        <v>11274</v>
      </c>
      <c r="H239" s="9"/>
      <c r="I239" s="9" t="s">
        <v>11018</v>
      </c>
      <c r="J239" s="9" t="s">
        <v>2936</v>
      </c>
      <c r="K239" t="s">
        <v>11019</v>
      </c>
      <c r="L239" t="s">
        <v>11020</v>
      </c>
      <c r="M239" s="3" t="str">
        <f>HYPERLINK(склад2въезд[[#This Row],[RelativePath]])</f>
        <v>1 Ангар Склад 2 въезд\E33149364_6_20260203T190330Z.jpg</v>
      </c>
      <c r="N239" s="9" t="str">
        <f>VLOOKUP(склад2въезд[[#This Row],[Name]], СпрСобытий!$F:$G, 2, FALSE)</f>
        <v>Ангар Склад 2 въезд</v>
      </c>
    </row>
    <row r="240" spans="1:14" x14ac:dyDescent="0.25">
      <c r="A240" s="2" t="s">
        <v>14</v>
      </c>
      <c r="B240" s="4">
        <v>46056</v>
      </c>
      <c r="C240" s="5">
        <v>0.83721064814814816</v>
      </c>
      <c r="D240" s="9" t="s">
        <v>91</v>
      </c>
      <c r="E240" s="9" t="s">
        <v>6111</v>
      </c>
      <c r="F240" s="9"/>
      <c r="H240" s="9"/>
      <c r="I240" s="9" t="s">
        <v>11021</v>
      </c>
      <c r="J240" s="9" t="s">
        <v>2936</v>
      </c>
      <c r="K240" t="s">
        <v>11022</v>
      </c>
      <c r="L240" t="s">
        <v>11023</v>
      </c>
      <c r="M240" s="3" t="str">
        <f>HYPERLINK(склад2въезд[[#This Row],[RelativePath]])</f>
        <v>1 Ангар Склад 2 въезд\E33149364_6_20260203T200535Z.jpg</v>
      </c>
      <c r="N240" s="9" t="str">
        <f>VLOOKUP(склад2въезд[[#This Row],[Name]], СпрСобытий!$F:$G, 2, FALSE)</f>
        <v>Ангар Склад 2 въезд</v>
      </c>
    </row>
    <row r="241" spans="1:14" x14ac:dyDescent="0.25">
      <c r="A241" s="2" t="s">
        <v>15</v>
      </c>
      <c r="B241" s="4">
        <v>46057</v>
      </c>
      <c r="C241" s="5">
        <v>0.71343749999999995</v>
      </c>
      <c r="D241" s="9" t="s">
        <v>1967</v>
      </c>
      <c r="E241" s="9"/>
      <c r="F241" s="9"/>
      <c r="H241" s="9"/>
      <c r="I241" s="9" t="s">
        <v>11309</v>
      </c>
      <c r="J241" s="9" t="s">
        <v>2936</v>
      </c>
      <c r="K241" t="s">
        <v>11310</v>
      </c>
      <c r="L241" t="s">
        <v>11311</v>
      </c>
      <c r="M241" s="3" t="str">
        <f>HYPERLINK(склад2въезд[[#This Row],[RelativePath]])</f>
        <v>1 Ангар Склад 2 въезд\E33149364_6_20260204T170721Z.jpg</v>
      </c>
      <c r="N241" s="9" t="str">
        <f>VLOOKUP(склад2въезд[[#This Row],[Name]], СпрСобытий!$F:$G, 2, FALSE)</f>
        <v>Ангар Склад 2 въезд</v>
      </c>
    </row>
    <row r="242" spans="1:14" x14ac:dyDescent="0.25">
      <c r="A242" s="2" t="s">
        <v>16</v>
      </c>
      <c r="B242" s="4">
        <v>46058</v>
      </c>
      <c r="C242" s="5">
        <v>0.54936342592592591</v>
      </c>
      <c r="D242" s="9" t="s">
        <v>91</v>
      </c>
      <c r="E242" s="9" t="s">
        <v>70</v>
      </c>
      <c r="F242" s="9" t="s">
        <v>51</v>
      </c>
      <c r="H242" s="9"/>
      <c r="I242" s="9" t="s">
        <v>11312</v>
      </c>
      <c r="J242" s="9" t="s">
        <v>2936</v>
      </c>
      <c r="K242" t="s">
        <v>11313</v>
      </c>
      <c r="L242" t="s">
        <v>11314</v>
      </c>
      <c r="M242" s="3" t="str">
        <f>HYPERLINK(склад2въезд[[#This Row],[RelativePath]])</f>
        <v>1 Ангар Склад 2 въезд\E33149364_6_20260205T131105Z.jpg</v>
      </c>
      <c r="N242" s="9" t="str">
        <f>VLOOKUP(склад2въезд[[#This Row],[Name]], СпрСобытий!$F:$G, 2, FALSE)</f>
        <v>Ангар Склад 2 въезд</v>
      </c>
    </row>
    <row r="243" spans="1:14" x14ac:dyDescent="0.25">
      <c r="A243" s="2" t="s">
        <v>16</v>
      </c>
      <c r="B243" s="4">
        <v>46058</v>
      </c>
      <c r="C243" s="5">
        <v>0.55303240740740744</v>
      </c>
      <c r="D243" s="9" t="s">
        <v>62</v>
      </c>
      <c r="E243" s="9" t="s">
        <v>70</v>
      </c>
      <c r="F243" s="9" t="s">
        <v>11489</v>
      </c>
      <c r="G243">
        <v>2</v>
      </c>
      <c r="H243" s="9"/>
      <c r="I243" s="9" t="s">
        <v>11315</v>
      </c>
      <c r="J243" s="9" t="s">
        <v>2936</v>
      </c>
      <c r="K243" t="s">
        <v>11316</v>
      </c>
      <c r="L243" t="s">
        <v>11317</v>
      </c>
      <c r="M243" s="3" t="str">
        <f>HYPERLINK(склад2въезд[[#This Row],[RelativePath]])</f>
        <v>1 Ангар Склад 2 въезд\E33149364_6_20260205T131622Z.jpg</v>
      </c>
      <c r="N243" s="9" t="str">
        <f>VLOOKUP(склад2въезд[[#This Row],[Name]], СпрСобытий!$F:$G, 2, FALSE)</f>
        <v>Ангар Склад 2 въезд</v>
      </c>
    </row>
    <row r="244" spans="1:14" x14ac:dyDescent="0.25">
      <c r="A244" s="2" t="s">
        <v>16</v>
      </c>
      <c r="B244" s="4">
        <v>46058</v>
      </c>
      <c r="C244" s="5">
        <v>0.58532407407407405</v>
      </c>
      <c r="D244" s="9" t="s">
        <v>91</v>
      </c>
      <c r="E244" s="9" t="s">
        <v>70</v>
      </c>
      <c r="F244" s="9" t="s">
        <v>11489</v>
      </c>
      <c r="G244">
        <v>2</v>
      </c>
      <c r="H244" s="9"/>
      <c r="I244" s="9" t="s">
        <v>11318</v>
      </c>
      <c r="J244" s="9" t="s">
        <v>2936</v>
      </c>
      <c r="K244" t="s">
        <v>11319</v>
      </c>
      <c r="L244" t="s">
        <v>11320</v>
      </c>
      <c r="M244" s="3" t="str">
        <f>HYPERLINK(склад2въезд[[#This Row],[RelativePath]])</f>
        <v>1 Ангар Склад 2 въезд\E33149364_6_20260205T140252Z.jpg</v>
      </c>
      <c r="N244" s="9" t="str">
        <f>VLOOKUP(склад2въезд[[#This Row],[Name]], СпрСобытий!$F:$G, 2, FALSE)</f>
        <v>Ангар Склад 2 въезд</v>
      </c>
    </row>
    <row r="245" spans="1:14" x14ac:dyDescent="0.25">
      <c r="A245" s="2" t="s">
        <v>16</v>
      </c>
      <c r="B245" s="4">
        <v>46058</v>
      </c>
      <c r="C245" s="5">
        <v>0.60366898148148151</v>
      </c>
      <c r="D245" s="9" t="s">
        <v>62</v>
      </c>
      <c r="E245" s="9" t="s">
        <v>70</v>
      </c>
      <c r="F245" s="9" t="s">
        <v>51</v>
      </c>
      <c r="H245" s="9"/>
      <c r="I245" s="9" t="s">
        <v>11321</v>
      </c>
      <c r="J245" s="9" t="s">
        <v>2936</v>
      </c>
      <c r="K245" t="s">
        <v>11322</v>
      </c>
      <c r="L245" t="s">
        <v>11323</v>
      </c>
      <c r="M245" s="3" t="str">
        <f>HYPERLINK(склад2въезд[[#This Row],[RelativePath]])</f>
        <v>1 Ангар Склад 2 въезд\E33149364_6_20260205T142917Z.jpg</v>
      </c>
      <c r="N245" s="9" t="str">
        <f>VLOOKUP(склад2въезд[[#This Row],[Name]], СпрСобытий!$F:$G, 2, FALSE)</f>
        <v>Ангар Склад 2 въезд</v>
      </c>
    </row>
    <row r="246" spans="1:14" x14ac:dyDescent="0.25">
      <c r="A246" s="2" t="s">
        <v>16</v>
      </c>
      <c r="B246" s="4">
        <v>46058</v>
      </c>
      <c r="C246" s="5">
        <v>0.69364583333333329</v>
      </c>
      <c r="D246" s="9" t="s">
        <v>91</v>
      </c>
      <c r="E246" s="9" t="s">
        <v>66</v>
      </c>
      <c r="F246" s="9" t="s">
        <v>51</v>
      </c>
      <c r="H246" s="9"/>
      <c r="I246" s="9" t="s">
        <v>11324</v>
      </c>
      <c r="J246" s="9" t="s">
        <v>2936</v>
      </c>
      <c r="K246" t="s">
        <v>11325</v>
      </c>
      <c r="L246" t="s">
        <v>11326</v>
      </c>
      <c r="M246" s="3" t="str">
        <f>HYPERLINK(склад2въезд[[#This Row],[RelativePath]])</f>
        <v>1 Ангар Склад 2 въезд\E33149364_6_20260205T163851Z.jpg</v>
      </c>
      <c r="N246" s="9" t="str">
        <f>VLOOKUP(склад2въезд[[#This Row],[Name]], СпрСобытий!$F:$G, 2, FALSE)</f>
        <v>Ангар Склад 2 въезд</v>
      </c>
    </row>
    <row r="247" spans="1:14" x14ac:dyDescent="0.25">
      <c r="A247" s="2" t="s">
        <v>16</v>
      </c>
      <c r="B247" s="4">
        <v>46058</v>
      </c>
      <c r="C247" s="5">
        <v>0.69685185185185183</v>
      </c>
      <c r="D247" s="9" t="s">
        <v>62</v>
      </c>
      <c r="E247" s="9" t="s">
        <v>66</v>
      </c>
      <c r="F247" s="9" t="s">
        <v>51</v>
      </c>
      <c r="H247" s="9" t="s">
        <v>5074</v>
      </c>
      <c r="I247" s="9" t="s">
        <v>11327</v>
      </c>
      <c r="J247" s="9" t="s">
        <v>2936</v>
      </c>
      <c r="K247" t="s">
        <v>11328</v>
      </c>
      <c r="L247" t="s">
        <v>11329</v>
      </c>
      <c r="M247" s="3" t="str">
        <f>HYPERLINK(склад2въезд[[#This Row],[RelativePath]])</f>
        <v>1 Ангар Склад 2 въезд\E33149364_6_20260205T164328Z.jpg</v>
      </c>
      <c r="N247" s="9" t="str">
        <f>VLOOKUP(склад2въезд[[#This Row],[Name]], СпрСобытий!$F:$G, 2, FALSE)</f>
        <v>Ангар Склад 2 въезд</v>
      </c>
    </row>
    <row r="248" spans="1:14" x14ac:dyDescent="0.25">
      <c r="A248" s="2" t="s">
        <v>17</v>
      </c>
      <c r="B248" s="4">
        <v>46059</v>
      </c>
      <c r="C248" s="5">
        <v>0.74123842592592593</v>
      </c>
      <c r="D248" s="9" t="s">
        <v>1967</v>
      </c>
      <c r="E248" s="9"/>
      <c r="F248" s="9"/>
      <c r="H248" s="9"/>
      <c r="I248" s="9" t="s">
        <v>11330</v>
      </c>
      <c r="J248" s="9" t="s">
        <v>2936</v>
      </c>
      <c r="K248" t="s">
        <v>11331</v>
      </c>
      <c r="L248" t="s">
        <v>11332</v>
      </c>
      <c r="M248" s="3" t="str">
        <f>HYPERLINK(склад2въезд[[#This Row],[RelativePath]])</f>
        <v>1 Ангар Склад 2 въезд\E33149364_6_20260206T174723Z.jpg</v>
      </c>
      <c r="N248" s="9" t="str">
        <f>VLOOKUP(склад2въезд[[#This Row],[Name]], СпрСобытий!$F:$G, 2, FALSE)</f>
        <v>Ангар Склад 2 въезд</v>
      </c>
    </row>
    <row r="249" spans="1:14" x14ac:dyDescent="0.25">
      <c r="A249" s="2" t="s">
        <v>18</v>
      </c>
      <c r="B249" s="4">
        <v>46060</v>
      </c>
      <c r="C249" s="5">
        <v>0.66508101851851853</v>
      </c>
      <c r="D249" s="9" t="s">
        <v>91</v>
      </c>
      <c r="E249" s="9" t="s">
        <v>11622</v>
      </c>
      <c r="F249" s="9"/>
      <c r="H249" s="9"/>
      <c r="I249" s="9" t="s">
        <v>11532</v>
      </c>
      <c r="J249" s="9" t="s">
        <v>2936</v>
      </c>
      <c r="K249" t="s">
        <v>11533</v>
      </c>
      <c r="L249" t="s">
        <v>11534</v>
      </c>
      <c r="M249" s="3" t="str">
        <f>HYPERLINK(склад2въезд[[#This Row],[RelativePath]])</f>
        <v>1 Ангар Склад 2 въезд\E33149364_6_20260207T155743Z.jpg</v>
      </c>
      <c r="N249" s="9" t="str">
        <f>VLOOKUP(склад2въезд[[#This Row],[Name]], СпрСобытий!$F:$G, 2, FALSE)</f>
        <v>Ангар Склад 2 въезд</v>
      </c>
    </row>
    <row r="250" spans="1:14" x14ac:dyDescent="0.25">
      <c r="A250" s="2" t="s">
        <v>18</v>
      </c>
      <c r="B250" s="4">
        <v>46060</v>
      </c>
      <c r="C250" s="5">
        <v>0.69887731481481485</v>
      </c>
      <c r="D250" s="9" t="s">
        <v>62</v>
      </c>
      <c r="E250" s="9" t="s">
        <v>11622</v>
      </c>
      <c r="F250" s="9"/>
      <c r="H250" s="9"/>
      <c r="I250" s="9" t="s">
        <v>11535</v>
      </c>
      <c r="J250" s="9" t="s">
        <v>2936</v>
      </c>
      <c r="K250" t="s">
        <v>11536</v>
      </c>
      <c r="L250" t="s">
        <v>11537</v>
      </c>
      <c r="M250" s="3" t="str">
        <f>HYPERLINK(склад2въезд[[#This Row],[RelativePath]])</f>
        <v>1 Ангар Склад 2 въезд\E33149364_6_20260207T164623Z.jpg</v>
      </c>
      <c r="N250" s="9" t="str">
        <f>VLOOKUP(склад2въезд[[#This Row],[Name]], СпрСобытий!$F:$G, 2, FALSE)</f>
        <v>Ангар Склад 2 въезд</v>
      </c>
    </row>
    <row r="251" spans="1:14" x14ac:dyDescent="0.25">
      <c r="A251" s="2" t="s">
        <v>22</v>
      </c>
      <c r="B251" s="4">
        <v>46061</v>
      </c>
      <c r="C251" s="5">
        <v>0.75907407407407412</v>
      </c>
      <c r="D251" s="9" t="s">
        <v>1967</v>
      </c>
      <c r="E251" s="9"/>
      <c r="F251" s="9"/>
      <c r="H251" s="9"/>
      <c r="I251" s="9" t="s">
        <v>11538</v>
      </c>
      <c r="J251" s="9" t="s">
        <v>2936</v>
      </c>
      <c r="K251" t="s">
        <v>11539</v>
      </c>
      <c r="L251" t="s">
        <v>11540</v>
      </c>
      <c r="M251" s="3" t="str">
        <f>HYPERLINK(склад2въезд[[#This Row],[RelativePath]])</f>
        <v>1 Ангар Склад 2 въезд\E33149364_6_20260208T181304Z.jpg</v>
      </c>
      <c r="N251" s="9" t="str">
        <f>VLOOKUP(склад2въезд[[#This Row],[Name]], СпрСобытий!$F:$G, 2, FALSE)</f>
        <v>Ангар Склад 2 въезд</v>
      </c>
    </row>
    <row r="252" spans="1:14" x14ac:dyDescent="0.25">
      <c r="A252" s="2" t="s">
        <v>14</v>
      </c>
      <c r="B252" s="4">
        <v>46077</v>
      </c>
      <c r="C252" s="5">
        <v>0.38238425925925928</v>
      </c>
      <c r="D252" s="9" t="s">
        <v>91</v>
      </c>
      <c r="E252" s="9" t="s">
        <v>13421</v>
      </c>
      <c r="F252" s="9"/>
      <c r="H252" s="9"/>
      <c r="I252" s="9" t="s">
        <v>12806</v>
      </c>
      <c r="J252" s="9" t="s">
        <v>2936</v>
      </c>
      <c r="K252" t="s">
        <v>12807</v>
      </c>
      <c r="L252" t="s">
        <v>12808</v>
      </c>
      <c r="M252" s="3" t="str">
        <f>HYPERLINK(склад2въезд[[#This Row],[RelativePath]])</f>
        <v>1 Ангар Склад 2 въезд\GA3948333_4_20260224T091038Z.jpg</v>
      </c>
      <c r="N252" s="9" t="str">
        <f>VLOOKUP(склад2въезд[[#This Row],[Name]], СпрСобытий!$F:$G, 2, FALSE)</f>
        <v>Ангар Склад 2 въезд</v>
      </c>
    </row>
    <row r="253" spans="1:14" x14ac:dyDescent="0.25">
      <c r="A253" s="2" t="s">
        <v>14</v>
      </c>
      <c r="B253" s="4">
        <v>46077</v>
      </c>
      <c r="C253" s="5">
        <v>0.40115740740740741</v>
      </c>
      <c r="D253" s="9" t="s">
        <v>91</v>
      </c>
      <c r="E253" s="9" t="s">
        <v>13420</v>
      </c>
      <c r="F253" s="9" t="s">
        <v>5010</v>
      </c>
      <c r="H253" s="9" t="s">
        <v>13423</v>
      </c>
      <c r="I253" s="9" t="s">
        <v>12809</v>
      </c>
      <c r="J253" s="9" t="s">
        <v>2936</v>
      </c>
      <c r="K253" t="s">
        <v>12810</v>
      </c>
      <c r="L253" t="s">
        <v>12811</v>
      </c>
      <c r="M253" s="3" t="str">
        <f>HYPERLINK(склад2въезд[[#This Row],[RelativePath]])</f>
        <v>1 Ангар Склад 2 въезд\GA3948333_4_20260224T093740Z.jpg</v>
      </c>
      <c r="N253" s="9" t="str">
        <f>VLOOKUP(склад2въезд[[#This Row],[Name]], СпрСобытий!$F:$G, 2, FALSE)</f>
        <v>Ангар Склад 2 въезд</v>
      </c>
    </row>
    <row r="254" spans="1:14" x14ac:dyDescent="0.25">
      <c r="A254" s="2" t="s">
        <v>14</v>
      </c>
      <c r="B254" s="4">
        <v>46077</v>
      </c>
      <c r="C254" s="5">
        <v>0.42549768518518516</v>
      </c>
      <c r="D254" s="9" t="s">
        <v>62</v>
      </c>
      <c r="E254" s="9" t="s">
        <v>13421</v>
      </c>
      <c r="F254" s="9" t="s">
        <v>200</v>
      </c>
      <c r="H254" s="9"/>
      <c r="I254" s="9" t="s">
        <v>12812</v>
      </c>
      <c r="J254" s="9" t="s">
        <v>2936</v>
      </c>
      <c r="K254" t="s">
        <v>12813</v>
      </c>
      <c r="L254" t="s">
        <v>12814</v>
      </c>
      <c r="M254" s="3" t="str">
        <f>HYPERLINK(склад2въезд[[#This Row],[RelativePath]])</f>
        <v>1 Ангар Склад 2 въезд\GA3948333_4_20260224T101243Z.jpg</v>
      </c>
      <c r="N254" s="9" t="str">
        <f>VLOOKUP(склад2въезд[[#This Row],[Name]], СпрСобытий!$F:$G, 2, FALSE)</f>
        <v>Ангар Склад 2 въезд</v>
      </c>
    </row>
    <row r="255" spans="1:14" x14ac:dyDescent="0.25">
      <c r="A255" s="2" t="s">
        <v>14</v>
      </c>
      <c r="B255" s="4">
        <v>46077</v>
      </c>
      <c r="C255" s="5">
        <v>0.9199074074074074</v>
      </c>
      <c r="D255" s="9" t="s">
        <v>91</v>
      </c>
      <c r="E255" s="9" t="s">
        <v>13422</v>
      </c>
      <c r="F255" s="9" t="s">
        <v>60</v>
      </c>
      <c r="H255" s="9"/>
      <c r="I255" s="9" t="s">
        <v>12815</v>
      </c>
      <c r="J255" s="9" t="s">
        <v>2936</v>
      </c>
      <c r="K255" t="s">
        <v>12816</v>
      </c>
      <c r="L255" t="s">
        <v>12817</v>
      </c>
      <c r="M255" s="3" t="str">
        <f>HYPERLINK(склад2въезд[[#This Row],[RelativePath]])</f>
        <v>1 Ангар Склад 2 въезд\GA3948333_4_20260224T220440Z.jpg</v>
      </c>
      <c r="N255" s="9" t="str">
        <f>VLOOKUP(склад2въезд[[#This Row],[Name]], СпрСобытий!$F:$G, 2, FALSE)</f>
        <v>Ангар Склад 2 въезд</v>
      </c>
    </row>
    <row r="256" spans="1:14" x14ac:dyDescent="0.25">
      <c r="A256" s="2" t="s">
        <v>15</v>
      </c>
      <c r="B256" s="4">
        <v>46078</v>
      </c>
      <c r="C256" s="5">
        <v>0.41562500000000002</v>
      </c>
      <c r="D256" s="9" t="s">
        <v>91</v>
      </c>
      <c r="E256" s="9" t="s">
        <v>13420</v>
      </c>
      <c r="F256" s="9" t="s">
        <v>5010</v>
      </c>
      <c r="H256" s="9"/>
      <c r="I256" s="9" t="s">
        <v>12818</v>
      </c>
      <c r="J256" s="9" t="s">
        <v>2936</v>
      </c>
      <c r="K256" t="s">
        <v>12819</v>
      </c>
      <c r="L256" t="s">
        <v>12820</v>
      </c>
      <c r="M256" s="3" t="str">
        <f>HYPERLINK(склад2въезд[[#This Row],[RelativePath]])</f>
        <v>1 Ангар Склад 2 въезд\GA3948333_4_20260225T095830Z.jpg</v>
      </c>
      <c r="N256" s="9" t="str">
        <f>VLOOKUP(склад2въезд[[#This Row],[Name]], СпрСобытий!$F:$G, 2, FALSE)</f>
        <v>Ангар Склад 2 въезд</v>
      </c>
    </row>
    <row r="257" spans="1:14" x14ac:dyDescent="0.25">
      <c r="A257" s="2" t="s">
        <v>15</v>
      </c>
      <c r="B257" s="4">
        <v>46078</v>
      </c>
      <c r="C257" s="5">
        <v>0.42684027777777778</v>
      </c>
      <c r="D257" s="9" t="s">
        <v>62</v>
      </c>
      <c r="E257" s="9" t="s">
        <v>13422</v>
      </c>
      <c r="F257" s="9" t="s">
        <v>51</v>
      </c>
      <c r="H257" s="9"/>
      <c r="I257" s="9" t="s">
        <v>12821</v>
      </c>
      <c r="J257" s="9" t="s">
        <v>2936</v>
      </c>
      <c r="K257" t="s">
        <v>12822</v>
      </c>
      <c r="L257" t="s">
        <v>12823</v>
      </c>
      <c r="M257" s="3" t="str">
        <f>HYPERLINK(склад2въезд[[#This Row],[RelativePath]])</f>
        <v>1 Ангар Склад 2 въезд\GA3948333_4_20260225T101439Z.jpg</v>
      </c>
      <c r="N257" s="9" t="str">
        <f>VLOOKUP(склад2въезд[[#This Row],[Name]], СпрСобытий!$F:$G, 2, FALSE)</f>
        <v>Ангар Склад 2 въезд</v>
      </c>
    </row>
    <row r="258" spans="1:14" x14ac:dyDescent="0.25">
      <c r="A258" s="2" t="s">
        <v>15</v>
      </c>
      <c r="B258" s="4">
        <v>46078</v>
      </c>
      <c r="C258" s="5">
        <v>0.51353009259259264</v>
      </c>
      <c r="D258" s="9" t="s">
        <v>62</v>
      </c>
      <c r="E258" s="9" t="s">
        <v>13420</v>
      </c>
      <c r="F258" s="9" t="s">
        <v>5010</v>
      </c>
      <c r="H258" s="9"/>
      <c r="I258" s="9" t="s">
        <v>12824</v>
      </c>
      <c r="J258" s="9" t="s">
        <v>2936</v>
      </c>
      <c r="K258" t="s">
        <v>12825</v>
      </c>
      <c r="L258" t="s">
        <v>12826</v>
      </c>
      <c r="M258" s="3" t="str">
        <f>HYPERLINK(склад2въезд[[#This Row],[RelativePath]])</f>
        <v>1 Ангар Склад 2 въезд\GA3948333_4_20260225T121929Z.jpg</v>
      </c>
      <c r="N258" s="9" t="str">
        <f>VLOOKUP(склад2въезд[[#This Row],[Name]], СпрСобытий!$F:$G, 2, FALSE)</f>
        <v>Ангар Склад 2 въезд</v>
      </c>
    </row>
    <row r="259" spans="1:14" x14ac:dyDescent="0.25">
      <c r="A259" s="2" t="s">
        <v>15</v>
      </c>
      <c r="B259" s="4">
        <v>46078</v>
      </c>
      <c r="C259" s="5">
        <v>0.54078703703703701</v>
      </c>
      <c r="D259" s="9" t="s">
        <v>62</v>
      </c>
      <c r="E259" s="9" t="s">
        <v>13424</v>
      </c>
      <c r="F259" s="9" t="s">
        <v>58</v>
      </c>
      <c r="G259">
        <v>3</v>
      </c>
      <c r="H259" s="9" t="s">
        <v>9221</v>
      </c>
      <c r="I259" s="9" t="s">
        <v>12827</v>
      </c>
      <c r="J259" s="9" t="s">
        <v>2936</v>
      </c>
      <c r="K259" t="s">
        <v>12828</v>
      </c>
      <c r="L259" t="s">
        <v>12829</v>
      </c>
      <c r="M259" s="3" t="str">
        <f>HYPERLINK(склад2въезд[[#This Row],[RelativePath]])</f>
        <v>1 Ангар Склад 2 въезд\GA3948333_4_20260225T125844Z.jpg</v>
      </c>
      <c r="N259" s="9" t="str">
        <f>VLOOKUP(склад2въезд[[#This Row],[Name]], СпрСобытий!$F:$G, 2, FALSE)</f>
        <v>Ангар Склад 2 въезд</v>
      </c>
    </row>
  </sheetData>
  <phoneticPr fontId="2" type="noConversion"/>
  <conditionalFormatting sqref="E260:E273 D260:D270 G2:H259 D2:E259">
    <cfRule type="containsText" dxfId="989" priority="23" operator="containsText" text="Выезд с территории">
      <formula>NOT(ISERROR(SEARCH("Выезд с территории",D2)))</formula>
    </cfRule>
  </conditionalFormatting>
  <conditionalFormatting sqref="F2:F747">
    <cfRule type="notContainsText" dxfId="988" priority="21" operator="notContains" text="порожний">
      <formula>ISERROR(SEARCH("порожний",F2))</formula>
    </cfRule>
  </conditionalFormatting>
  <conditionalFormatting sqref="E2:E273">
    <cfRule type="containsText" dxfId="987" priority="12" operator="containsText" text="Газель базы">
      <formula>NOT(ISERROR(SEARCH("Газель базы",E2)))</formula>
    </cfRule>
    <cfRule type="containsText" dxfId="986" priority="13" operator="containsText" text="Погрузчик базы">
      <formula>NOT(ISERROR(SEARCH("Погрузчик базы",E2)))</formula>
    </cfRule>
  </conditionalFormatting>
  <conditionalFormatting sqref="E2:E273">
    <cfRule type="containsText" dxfId="985" priority="11" operator="containsText" text="Трактор базы">
      <formula>NOT(ISERROR(SEARCH("Трактор базы",E2)))</formula>
    </cfRule>
  </conditionalFormatting>
  <conditionalFormatting sqref="A2:C259">
    <cfRule type="expression" dxfId="984" priority="9">
      <formula>$A2="пн"</formula>
    </cfRule>
  </conditionalFormatting>
  <conditionalFormatting sqref="A2:C261">
    <cfRule type="expression" dxfId="983" priority="3">
      <formula>$A2="вс"</formula>
    </cfRule>
    <cfRule type="expression" dxfId="982" priority="4">
      <formula>$A2="сб"</formula>
    </cfRule>
    <cfRule type="expression" dxfId="981" priority="5">
      <formula>$A2="пт"</formula>
    </cfRule>
    <cfRule type="expression" dxfId="980" priority="6">
      <formula>$A2="чт"</formula>
    </cfRule>
    <cfRule type="expression" dxfId="979" priority="7">
      <formula>$A2="ср"</formula>
    </cfRule>
    <cfRule type="expression" dxfId="978" priority="8">
      <formula>$A2="вт"</formula>
    </cfRule>
  </conditionalFormatting>
  <conditionalFormatting sqref="D2:D270">
    <cfRule type="containsText" dxfId="977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70">
    <cfRule type="containsText" dxfId="976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E1CA-5CF9-4822-B0F7-E62B950A9D2C}">
  <sheetPr>
    <tabColor theme="4" tint="0.39997558519241921"/>
  </sheetPr>
  <dimension ref="A1:M281"/>
  <sheetViews>
    <sheetView zoomScale="90" zoomScaleNormal="90" workbookViewId="0">
      <pane ySplit="1" topLeftCell="A264" activePane="bottomLeft" state="frozen"/>
      <selection pane="bottomLeft" activeCell="I280" sqref="I280:I282"/>
    </sheetView>
  </sheetViews>
  <sheetFormatPr defaultRowHeight="15" x14ac:dyDescent="0.25"/>
  <cols>
    <col min="1" max="1" width="14.7109375" style="2" bestFit="1" customWidth="1"/>
    <col min="2" max="2" width="11" style="2" bestFit="1" customWidth="1"/>
    <col min="3" max="3" width="11.85546875" style="2" bestFit="1" customWidth="1"/>
    <col min="4" max="4" width="34.42578125" bestFit="1" customWidth="1"/>
    <col min="5" max="5" width="54.28515625" bestFit="1" customWidth="1"/>
    <col min="6" max="6" width="28.7109375" bestFit="1" customWidth="1"/>
    <col min="7" max="7" width="9.7109375" bestFit="1" customWidth="1"/>
    <col min="8" max="8" width="52.85546875" bestFit="1" customWidth="1"/>
    <col min="9" max="9" width="35.7109375" bestFit="1" customWidth="1"/>
    <col min="10" max="10" width="43.140625" hidden="1" customWidth="1"/>
    <col min="11" max="11" width="54.42578125" hidden="1" customWidth="1"/>
    <col min="12" max="12" width="24.5703125" hidden="1" customWidth="1"/>
    <col min="13" max="13" width="54.425781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0.39209490740740743</v>
      </c>
      <c r="D2" s="9" t="s">
        <v>4</v>
      </c>
      <c r="E2" s="9" t="s">
        <v>8</v>
      </c>
      <c r="F2" s="9"/>
      <c r="H2" s="9"/>
      <c r="I2" s="9" t="s">
        <v>92</v>
      </c>
      <c r="J2" s="9" t="s">
        <v>2944</v>
      </c>
      <c r="K2" t="s">
        <v>136</v>
      </c>
      <c r="L2" t="s">
        <v>93</v>
      </c>
      <c r="M2" s="3" t="str">
        <f>HYPERLINK(склад2въезд14[[#This Row],[RelativePath]])</f>
        <v>2 Пилорама поката\E33149364_7_20251110T092437Z.jpg</v>
      </c>
    </row>
    <row r="3" spans="1:13" x14ac:dyDescent="0.25">
      <c r="A3" s="2" t="s">
        <v>13</v>
      </c>
      <c r="B3" s="4">
        <v>45971</v>
      </c>
      <c r="C3" s="5">
        <v>0.39253472222222224</v>
      </c>
      <c r="D3" s="9" t="s">
        <v>158</v>
      </c>
      <c r="E3" s="9" t="s">
        <v>86</v>
      </c>
      <c r="F3" s="9" t="s">
        <v>60</v>
      </c>
      <c r="G3">
        <v>2</v>
      </c>
      <c r="H3" s="9"/>
      <c r="I3" s="9" t="s">
        <v>94</v>
      </c>
      <c r="J3" s="9" t="s">
        <v>2944</v>
      </c>
      <c r="K3" t="s">
        <v>137</v>
      </c>
      <c r="L3" t="s">
        <v>95</v>
      </c>
      <c r="M3" s="3" t="str">
        <f>HYPERLINK(склад2въезд14[[#This Row],[RelativePath]])</f>
        <v>2 Пилорама поката\E33149364_7_20251110T092515Z.jpg</v>
      </c>
    </row>
    <row r="4" spans="1:13" x14ac:dyDescent="0.25">
      <c r="A4" s="2" t="s">
        <v>13</v>
      </c>
      <c r="B4" s="4">
        <v>45971</v>
      </c>
      <c r="C4" s="5">
        <v>0.41855324074074074</v>
      </c>
      <c r="D4" s="9" t="s">
        <v>158</v>
      </c>
      <c r="E4" s="9" t="s">
        <v>86</v>
      </c>
      <c r="F4" s="9" t="s">
        <v>60</v>
      </c>
      <c r="G4">
        <v>1</v>
      </c>
      <c r="H4" s="9"/>
      <c r="I4" s="9" t="s">
        <v>96</v>
      </c>
      <c r="J4" s="9" t="s">
        <v>2944</v>
      </c>
      <c r="K4" t="s">
        <v>138</v>
      </c>
      <c r="L4" t="s">
        <v>97</v>
      </c>
      <c r="M4" s="3" t="str">
        <f>HYPERLINK(склад2въезд14[[#This Row],[RelativePath]])</f>
        <v>2 Пилорама поката\E33149364_7_20251110T100243Z.jpg</v>
      </c>
    </row>
    <row r="5" spans="1:13" x14ac:dyDescent="0.25">
      <c r="A5" s="2" t="s">
        <v>13</v>
      </c>
      <c r="B5" s="4">
        <v>45971</v>
      </c>
      <c r="C5" s="5">
        <v>0.43763888888888891</v>
      </c>
      <c r="D5" s="9" t="s">
        <v>158</v>
      </c>
      <c r="E5" s="9" t="s">
        <v>86</v>
      </c>
      <c r="F5" s="9" t="s">
        <v>60</v>
      </c>
      <c r="G5">
        <v>2</v>
      </c>
      <c r="H5" s="9"/>
      <c r="I5" s="9" t="s">
        <v>98</v>
      </c>
      <c r="J5" s="9" t="s">
        <v>2944</v>
      </c>
      <c r="K5" t="s">
        <v>139</v>
      </c>
      <c r="L5" t="s">
        <v>99</v>
      </c>
      <c r="M5" s="3" t="str">
        <f>HYPERLINK(склад2въезд14[[#This Row],[RelativePath]])</f>
        <v>2 Пилорама поката\E33149364_7_20251110T103012Z.jpg</v>
      </c>
    </row>
    <row r="6" spans="1:13" x14ac:dyDescent="0.25">
      <c r="A6" s="2" t="s">
        <v>13</v>
      </c>
      <c r="B6" s="4">
        <v>45971</v>
      </c>
      <c r="C6" s="5">
        <v>0.44165509259259261</v>
      </c>
      <c r="D6" s="9" t="s">
        <v>158</v>
      </c>
      <c r="E6" s="9" t="s">
        <v>86</v>
      </c>
      <c r="F6" s="9" t="s">
        <v>60</v>
      </c>
      <c r="G6">
        <v>2</v>
      </c>
      <c r="H6" s="9"/>
      <c r="I6" s="9" t="s">
        <v>100</v>
      </c>
      <c r="J6" s="9" t="s">
        <v>2944</v>
      </c>
      <c r="K6" t="s">
        <v>140</v>
      </c>
      <c r="L6" t="s">
        <v>101</v>
      </c>
      <c r="M6" s="3" t="str">
        <f>HYPERLINK(склад2въезд14[[#This Row],[RelativePath]])</f>
        <v>2 Пилорама поката\E33149364_7_20251110T103559Z.jpg</v>
      </c>
    </row>
    <row r="7" spans="1:13" x14ac:dyDescent="0.25">
      <c r="A7" s="2" t="s">
        <v>13</v>
      </c>
      <c r="B7" s="4">
        <v>45971</v>
      </c>
      <c r="C7" s="5">
        <v>0.44550925925925927</v>
      </c>
      <c r="D7" s="9" t="s">
        <v>158</v>
      </c>
      <c r="E7" s="9" t="s">
        <v>86</v>
      </c>
      <c r="F7" s="9" t="s">
        <v>60</v>
      </c>
      <c r="G7">
        <v>1</v>
      </c>
      <c r="H7" s="9"/>
      <c r="I7" s="9" t="s">
        <v>102</v>
      </c>
      <c r="J7" s="9" t="s">
        <v>2944</v>
      </c>
      <c r="K7" t="s">
        <v>141</v>
      </c>
      <c r="L7" t="s">
        <v>103</v>
      </c>
      <c r="M7" s="3" t="str">
        <f>HYPERLINK(склад2въезд14[[#This Row],[RelativePath]])</f>
        <v>2 Пилорама поката\E33149364_7_20251110T104132Z.jpg</v>
      </c>
    </row>
    <row r="8" spans="1:13" x14ac:dyDescent="0.25">
      <c r="A8" s="2" t="s">
        <v>13</v>
      </c>
      <c r="B8" s="4">
        <v>45971</v>
      </c>
      <c r="C8" s="5">
        <v>0.45173611111111112</v>
      </c>
      <c r="D8" s="9" t="s">
        <v>158</v>
      </c>
      <c r="E8" s="9" t="s">
        <v>86</v>
      </c>
      <c r="F8" s="9" t="s">
        <v>60</v>
      </c>
      <c r="G8">
        <v>2</v>
      </c>
      <c r="H8" s="9"/>
      <c r="I8" s="9" t="s">
        <v>104</v>
      </c>
      <c r="J8" s="9" t="s">
        <v>2944</v>
      </c>
      <c r="K8" t="s">
        <v>142</v>
      </c>
      <c r="L8" t="s">
        <v>105</v>
      </c>
      <c r="M8" s="3" t="str">
        <f>HYPERLINK(склад2въезд14[[#This Row],[RelativePath]])</f>
        <v>2 Пилорама поката\E33149364_7_20251110T105030Z.jpg</v>
      </c>
    </row>
    <row r="9" spans="1:13" x14ac:dyDescent="0.25">
      <c r="A9" s="2" t="s">
        <v>13</v>
      </c>
      <c r="B9" s="4">
        <v>45971</v>
      </c>
      <c r="C9" s="5">
        <v>0.45603009259259258</v>
      </c>
      <c r="D9" s="9" t="s">
        <v>158</v>
      </c>
      <c r="E9" s="9" t="s">
        <v>86</v>
      </c>
      <c r="F9" s="9" t="s">
        <v>60</v>
      </c>
      <c r="G9">
        <v>1</v>
      </c>
      <c r="H9" s="9"/>
      <c r="I9" s="9" t="s">
        <v>106</v>
      </c>
      <c r="J9" s="9" t="s">
        <v>2944</v>
      </c>
      <c r="K9" t="s">
        <v>143</v>
      </c>
      <c r="L9" t="s">
        <v>107</v>
      </c>
      <c r="M9" s="3" t="str">
        <f>HYPERLINK(склад2въезд14[[#This Row],[RelativePath]])</f>
        <v>2 Пилорама поката\E33149364_7_20251110T105641Z.jpg</v>
      </c>
    </row>
    <row r="10" spans="1:13" x14ac:dyDescent="0.25">
      <c r="A10" s="2" t="s">
        <v>14</v>
      </c>
      <c r="B10" s="4">
        <v>45972</v>
      </c>
      <c r="C10" s="5">
        <v>0.3332060185185185</v>
      </c>
      <c r="D10" s="9" t="s">
        <v>4</v>
      </c>
      <c r="E10" s="9" t="s">
        <v>8</v>
      </c>
      <c r="F10" s="9"/>
      <c r="H10" s="9"/>
      <c r="I10" s="9" t="s">
        <v>108</v>
      </c>
      <c r="J10" s="9" t="s">
        <v>2944</v>
      </c>
      <c r="K10" t="s">
        <v>144</v>
      </c>
      <c r="L10" t="s">
        <v>109</v>
      </c>
      <c r="M10" s="3" t="str">
        <f>HYPERLINK(склад2въезд14[[#This Row],[RelativePath]])</f>
        <v>2 Пилорама поката\E33149364_7_20251111T075949Z.jpg</v>
      </c>
    </row>
    <row r="11" spans="1:13" x14ac:dyDescent="0.25">
      <c r="A11" s="2" t="s">
        <v>14</v>
      </c>
      <c r="B11" s="4">
        <v>45972</v>
      </c>
      <c r="C11" s="5">
        <v>0.35127314814814814</v>
      </c>
      <c r="D11" s="9" t="s">
        <v>4</v>
      </c>
      <c r="E11" s="9" t="s">
        <v>8</v>
      </c>
      <c r="F11" s="9"/>
      <c r="H11" s="9"/>
      <c r="I11" s="9" t="s">
        <v>110</v>
      </c>
      <c r="J11" s="9" t="s">
        <v>2944</v>
      </c>
      <c r="K11" t="s">
        <v>145</v>
      </c>
      <c r="L11" t="s">
        <v>111</v>
      </c>
      <c r="M11" s="3" t="str">
        <f>HYPERLINK(склад2въезд14[[#This Row],[RelativePath]])</f>
        <v>2 Пилорама поката\E33149364_7_20251111T082550Z.jpg</v>
      </c>
    </row>
    <row r="12" spans="1:13" x14ac:dyDescent="0.25">
      <c r="A12" s="2" t="s">
        <v>14</v>
      </c>
      <c r="B12" s="4">
        <v>45972</v>
      </c>
      <c r="C12" s="5">
        <v>0.45701388888888889</v>
      </c>
      <c r="D12" s="9" t="s">
        <v>159</v>
      </c>
      <c r="E12" s="9" t="s">
        <v>63</v>
      </c>
      <c r="F12" s="9" t="s">
        <v>51</v>
      </c>
      <c r="H12" s="9"/>
      <c r="I12" s="9" t="s">
        <v>112</v>
      </c>
      <c r="J12" s="9" t="s">
        <v>2944</v>
      </c>
      <c r="K12" t="s">
        <v>146</v>
      </c>
      <c r="L12" t="s">
        <v>113</v>
      </c>
      <c r="M12" s="3" t="str">
        <f>HYPERLINK(склад2въезд14[[#This Row],[RelativePath]])</f>
        <v>2 Пилорама поката\E33149364_7_20251111T105806Z.jpg</v>
      </c>
    </row>
    <row r="13" spans="1:13" x14ac:dyDescent="0.25">
      <c r="A13" s="2" t="s">
        <v>14</v>
      </c>
      <c r="B13" s="4">
        <v>45972</v>
      </c>
      <c r="C13" s="5">
        <v>0.60871527777777779</v>
      </c>
      <c r="D13" s="9" t="s">
        <v>158</v>
      </c>
      <c r="E13" s="9" t="s">
        <v>86</v>
      </c>
      <c r="F13" s="9" t="s">
        <v>60</v>
      </c>
      <c r="G13">
        <v>1</v>
      </c>
      <c r="H13" s="9"/>
      <c r="I13" s="9" t="s">
        <v>114</v>
      </c>
      <c r="J13" s="9" t="s">
        <v>2944</v>
      </c>
      <c r="K13" t="s">
        <v>147</v>
      </c>
      <c r="L13" t="s">
        <v>115</v>
      </c>
      <c r="M13" s="3" t="str">
        <f>HYPERLINK(склад2въезд14[[#This Row],[RelativePath]])</f>
        <v>2 Пилорама поката\E33149364_7_20251111T143633Z.jpg</v>
      </c>
    </row>
    <row r="14" spans="1:13" x14ac:dyDescent="0.25">
      <c r="A14" s="2" t="s">
        <v>14</v>
      </c>
      <c r="B14" s="4">
        <v>45972</v>
      </c>
      <c r="C14" s="5">
        <v>0.61587962962962961</v>
      </c>
      <c r="D14" s="9" t="s">
        <v>158</v>
      </c>
      <c r="E14" s="9" t="s">
        <v>86</v>
      </c>
      <c r="F14" s="9" t="s">
        <v>60</v>
      </c>
      <c r="G14">
        <v>1</v>
      </c>
      <c r="H14" s="9"/>
      <c r="I14" s="9" t="s">
        <v>116</v>
      </c>
      <c r="J14" s="9" t="s">
        <v>2944</v>
      </c>
      <c r="K14" t="s">
        <v>148</v>
      </c>
      <c r="L14" t="s">
        <v>117</v>
      </c>
      <c r="M14" s="3" t="str">
        <f>HYPERLINK(склад2въезд14[[#This Row],[RelativePath]])</f>
        <v>2 Пилорама поката\E33149364_7_20251111T144652Z.jpg</v>
      </c>
    </row>
    <row r="15" spans="1:13" x14ac:dyDescent="0.25">
      <c r="A15" s="2" t="s">
        <v>14</v>
      </c>
      <c r="B15" s="4">
        <v>45972</v>
      </c>
      <c r="C15" s="5">
        <v>0.62045138888888884</v>
      </c>
      <c r="D15" s="9" t="s">
        <v>158</v>
      </c>
      <c r="E15" s="9" t="s">
        <v>86</v>
      </c>
      <c r="F15" s="9" t="s">
        <v>60</v>
      </c>
      <c r="G15">
        <v>1</v>
      </c>
      <c r="H15" s="9"/>
      <c r="I15" s="9" t="s">
        <v>118</v>
      </c>
      <c r="J15" s="9" t="s">
        <v>2944</v>
      </c>
      <c r="K15" t="s">
        <v>149</v>
      </c>
      <c r="L15" t="s">
        <v>119</v>
      </c>
      <c r="M15" s="3" t="str">
        <f>HYPERLINK(склад2въезд14[[#This Row],[RelativePath]])</f>
        <v>2 Пилорама поката\E33149364_7_20251111T145327Z.jpg</v>
      </c>
    </row>
    <row r="16" spans="1:13" x14ac:dyDescent="0.25">
      <c r="A16" s="2" t="s">
        <v>14</v>
      </c>
      <c r="B16" s="4">
        <v>45972</v>
      </c>
      <c r="C16" s="5">
        <v>0.6263657407407407</v>
      </c>
      <c r="D16" s="9" t="s">
        <v>158</v>
      </c>
      <c r="E16" s="9" t="s">
        <v>86</v>
      </c>
      <c r="F16" s="9" t="s">
        <v>60</v>
      </c>
      <c r="G16">
        <v>2</v>
      </c>
      <c r="H16" s="9"/>
      <c r="I16" s="9" t="s">
        <v>120</v>
      </c>
      <c r="J16" s="9" t="s">
        <v>2944</v>
      </c>
      <c r="K16" t="s">
        <v>150</v>
      </c>
      <c r="L16" t="s">
        <v>121</v>
      </c>
      <c r="M16" s="3" t="str">
        <f>HYPERLINK(склад2въезд14[[#This Row],[RelativePath]])</f>
        <v>2 Пилорама поката\E33149364_7_20251111T150158Z.jpg</v>
      </c>
    </row>
    <row r="17" spans="1:13" x14ac:dyDescent="0.25">
      <c r="A17" s="2" t="s">
        <v>14</v>
      </c>
      <c r="B17" s="4">
        <v>45972</v>
      </c>
      <c r="C17" s="5">
        <v>0.66290509259259256</v>
      </c>
      <c r="D17" s="9" t="s">
        <v>158</v>
      </c>
      <c r="E17" s="9" t="s">
        <v>86</v>
      </c>
      <c r="F17" s="9" t="s">
        <v>60</v>
      </c>
      <c r="G17">
        <v>1</v>
      </c>
      <c r="H17" s="9"/>
      <c r="I17" s="9" t="s">
        <v>122</v>
      </c>
      <c r="J17" s="9" t="s">
        <v>2944</v>
      </c>
      <c r="K17" t="s">
        <v>151</v>
      </c>
      <c r="L17" t="s">
        <v>123</v>
      </c>
      <c r="M17" s="3" t="str">
        <f>HYPERLINK(склад2въезд14[[#This Row],[RelativePath]])</f>
        <v>2 Пилорама поката\E33149364_7_20251111T155435Z.jpg</v>
      </c>
    </row>
    <row r="18" spans="1:13" x14ac:dyDescent="0.25">
      <c r="A18" s="2" t="s">
        <v>15</v>
      </c>
      <c r="B18" s="4">
        <v>45973</v>
      </c>
      <c r="C18" s="5">
        <v>0.76931712962962961</v>
      </c>
      <c r="D18" s="9" t="s">
        <v>4</v>
      </c>
      <c r="E18" s="9" t="s">
        <v>8</v>
      </c>
      <c r="F18" s="9"/>
      <c r="H18" s="9"/>
      <c r="I18" s="9" t="s">
        <v>124</v>
      </c>
      <c r="J18" s="9" t="s">
        <v>2944</v>
      </c>
      <c r="K18" t="s">
        <v>152</v>
      </c>
      <c r="L18" t="s">
        <v>125</v>
      </c>
      <c r="M18" s="3" t="str">
        <f>HYPERLINK(склад2въезд14[[#This Row],[RelativePath]])</f>
        <v>2 Пилорама поката\E33149364_7_20251112T182749Z.jpg</v>
      </c>
    </row>
    <row r="19" spans="1:13" x14ac:dyDescent="0.25">
      <c r="A19" s="2" t="s">
        <v>16</v>
      </c>
      <c r="B19" s="4">
        <v>45974</v>
      </c>
      <c r="C19" s="5">
        <v>0.34604166666666669</v>
      </c>
      <c r="D19" s="9" t="s">
        <v>4</v>
      </c>
      <c r="E19" s="9" t="s">
        <v>8</v>
      </c>
      <c r="F19" s="9"/>
      <c r="H19" s="9"/>
      <c r="I19" s="9" t="s">
        <v>126</v>
      </c>
      <c r="J19" s="9" t="s">
        <v>2944</v>
      </c>
      <c r="K19" t="s">
        <v>153</v>
      </c>
      <c r="L19" t="s">
        <v>127</v>
      </c>
      <c r="M19" s="3" t="str">
        <f>HYPERLINK(склад2въезд14[[#This Row],[RelativePath]])</f>
        <v>2 Пилорама поката\E33149364_7_20251113T081818Z.jpg</v>
      </c>
    </row>
    <row r="20" spans="1:13" x14ac:dyDescent="0.25">
      <c r="A20" s="2" t="s">
        <v>16</v>
      </c>
      <c r="B20" s="4">
        <v>45974</v>
      </c>
      <c r="C20" s="5">
        <v>0.37868055555555558</v>
      </c>
      <c r="D20" s="9" t="s">
        <v>159</v>
      </c>
      <c r="E20" s="9" t="s">
        <v>70</v>
      </c>
      <c r="F20" s="9"/>
      <c r="H20" s="9"/>
      <c r="I20" s="9" t="s">
        <v>128</v>
      </c>
      <c r="J20" s="9" t="s">
        <v>2944</v>
      </c>
      <c r="K20" t="s">
        <v>154</v>
      </c>
      <c r="L20" t="s">
        <v>129</v>
      </c>
      <c r="M20" s="3" t="str">
        <f>HYPERLINK(склад2въезд14[[#This Row],[RelativePath]])</f>
        <v>2 Пилорама поката\E33149364_7_20251113T090518Z.jpg</v>
      </c>
    </row>
    <row r="21" spans="1:13" x14ac:dyDescent="0.25">
      <c r="A21" s="2" t="s">
        <v>16</v>
      </c>
      <c r="B21" s="4">
        <v>45974</v>
      </c>
      <c r="C21" s="5">
        <v>0.68540509259259264</v>
      </c>
      <c r="D21" s="9" t="s">
        <v>158</v>
      </c>
      <c r="E21" s="9" t="s">
        <v>86</v>
      </c>
      <c r="F21" s="9" t="s">
        <v>60</v>
      </c>
      <c r="G21">
        <v>1</v>
      </c>
      <c r="H21" s="9"/>
      <c r="I21" s="9" t="s">
        <v>130</v>
      </c>
      <c r="J21" s="9" t="s">
        <v>2944</v>
      </c>
      <c r="K21" t="s">
        <v>155</v>
      </c>
      <c r="L21" t="s">
        <v>131</v>
      </c>
      <c r="M21" s="3" t="str">
        <f>HYPERLINK(склад2въезд14[[#This Row],[RelativePath]])</f>
        <v>2 Пилорама поката\E33149364_7_20251113T162659Z.jpg</v>
      </c>
    </row>
    <row r="22" spans="1:13" x14ac:dyDescent="0.25">
      <c r="A22" s="2" t="s">
        <v>16</v>
      </c>
      <c r="B22" s="4">
        <v>45974</v>
      </c>
      <c r="C22" s="5">
        <v>0.68618055555555557</v>
      </c>
      <c r="D22" s="9" t="s">
        <v>4</v>
      </c>
      <c r="E22" s="9" t="s">
        <v>160</v>
      </c>
      <c r="F22" s="9"/>
      <c r="H22" s="9"/>
      <c r="I22" s="9" t="s">
        <v>132</v>
      </c>
      <c r="J22" s="9" t="s">
        <v>2944</v>
      </c>
      <c r="K22" t="s">
        <v>156</v>
      </c>
      <c r="L22" t="s">
        <v>133</v>
      </c>
      <c r="M22" s="3" t="str">
        <f>HYPERLINK(склад2въезд14[[#This Row],[RelativePath]])</f>
        <v>2 Пилорама поката\E33149364_7_20251113T162806Z.jpg</v>
      </c>
    </row>
    <row r="23" spans="1:13" x14ac:dyDescent="0.25">
      <c r="A23" s="2" t="s">
        <v>16</v>
      </c>
      <c r="B23" s="4">
        <v>45974</v>
      </c>
      <c r="C23" s="5">
        <v>0.71075231481481482</v>
      </c>
      <c r="D23" s="9" t="s">
        <v>4</v>
      </c>
      <c r="E23" s="9" t="s">
        <v>8</v>
      </c>
      <c r="F23" s="9"/>
      <c r="H23" s="9"/>
      <c r="I23" s="9" t="s">
        <v>134</v>
      </c>
      <c r="J23" s="9" t="s">
        <v>2944</v>
      </c>
      <c r="K23" t="s">
        <v>157</v>
      </c>
      <c r="L23" t="s">
        <v>135</v>
      </c>
      <c r="M23" s="3" t="str">
        <f>HYPERLINK(склад2въезд14[[#This Row],[RelativePath]])</f>
        <v>2 Пилорама поката\E33149364_7_20251113T170329Z.jpg</v>
      </c>
    </row>
    <row r="24" spans="1:13" x14ac:dyDescent="0.25">
      <c r="A24" s="2" t="s">
        <v>17</v>
      </c>
      <c r="B24" s="4">
        <v>45975</v>
      </c>
      <c r="C24" s="5">
        <v>0.40074074074074073</v>
      </c>
      <c r="D24" s="9" t="s">
        <v>4</v>
      </c>
      <c r="E24" s="9" t="s">
        <v>8</v>
      </c>
      <c r="F24" s="9"/>
      <c r="H24" s="9"/>
      <c r="I24" s="9" t="s">
        <v>161</v>
      </c>
      <c r="J24" s="9" t="s">
        <v>2944</v>
      </c>
      <c r="K24" t="s">
        <v>162</v>
      </c>
      <c r="L24" t="s">
        <v>163</v>
      </c>
      <c r="M24" s="3" t="str">
        <f>HYPERLINK(склад2въезд14[[#This Row],[RelativePath]])</f>
        <v>2 Пилорама поката\E33149364_7_20251114T093704Z.jpg</v>
      </c>
    </row>
    <row r="25" spans="1:13" x14ac:dyDescent="0.25">
      <c r="A25" s="2" t="s">
        <v>17</v>
      </c>
      <c r="B25" s="4">
        <v>45975</v>
      </c>
      <c r="C25" s="5">
        <v>0.40642361111111114</v>
      </c>
      <c r="D25" s="9" t="s">
        <v>159</v>
      </c>
      <c r="E25" s="9" t="s">
        <v>86</v>
      </c>
      <c r="F25" s="9" t="s">
        <v>200</v>
      </c>
      <c r="H25" s="9"/>
      <c r="I25" s="9" t="s">
        <v>164</v>
      </c>
      <c r="J25" s="9" t="s">
        <v>2944</v>
      </c>
      <c r="K25" t="s">
        <v>165</v>
      </c>
      <c r="L25" t="s">
        <v>166</v>
      </c>
      <c r="M25" s="3" t="str">
        <f>HYPERLINK(склад2въезд14[[#This Row],[RelativePath]])</f>
        <v>2 Пилорама поката\E33149364_7_20251114T094515Z.jpg</v>
      </c>
    </row>
    <row r="26" spans="1:13" x14ac:dyDescent="0.25">
      <c r="A26" s="2" t="s">
        <v>17</v>
      </c>
      <c r="B26" s="4">
        <v>45975</v>
      </c>
      <c r="C26" s="5">
        <v>0.42190972222222223</v>
      </c>
      <c r="D26" s="9" t="s">
        <v>159</v>
      </c>
      <c r="E26" s="9" t="s">
        <v>86</v>
      </c>
      <c r="F26" s="9" t="s">
        <v>200</v>
      </c>
      <c r="H26" s="9"/>
      <c r="I26" s="9" t="s">
        <v>167</v>
      </c>
      <c r="J26" s="9" t="s">
        <v>2944</v>
      </c>
      <c r="K26" t="s">
        <v>168</v>
      </c>
      <c r="L26" t="s">
        <v>169</v>
      </c>
      <c r="M26" s="3" t="str">
        <f>HYPERLINK(склад2въезд14[[#This Row],[RelativePath]])</f>
        <v>2 Пилорама поката\E33149364_7_20251114T100733Z.jpg</v>
      </c>
    </row>
    <row r="27" spans="1:13" x14ac:dyDescent="0.25">
      <c r="A27" s="2" t="s">
        <v>17</v>
      </c>
      <c r="B27" s="4">
        <v>45975</v>
      </c>
      <c r="C27" s="5">
        <v>0.42277777777777775</v>
      </c>
      <c r="D27" s="9" t="s">
        <v>201</v>
      </c>
      <c r="E27" s="9" t="s">
        <v>86</v>
      </c>
      <c r="F27" s="9" t="s">
        <v>51</v>
      </c>
      <c r="H27" s="9"/>
      <c r="I27" s="9" t="s">
        <v>170</v>
      </c>
      <c r="J27" s="9" t="s">
        <v>2944</v>
      </c>
      <c r="K27" t="s">
        <v>171</v>
      </c>
      <c r="L27" t="s">
        <v>172</v>
      </c>
      <c r="M27" s="3" t="str">
        <f>HYPERLINK(склад2въезд14[[#This Row],[RelativePath]])</f>
        <v>2 Пилорама поката\E33149364_7_20251114T100848Z.jpg</v>
      </c>
    </row>
    <row r="28" spans="1:13" x14ac:dyDescent="0.25">
      <c r="A28" s="2" t="s">
        <v>17</v>
      </c>
      <c r="B28" s="4">
        <v>45975</v>
      </c>
      <c r="C28" s="5">
        <v>0.48237268518518517</v>
      </c>
      <c r="D28" s="9" t="s">
        <v>159</v>
      </c>
      <c r="E28" s="9" t="s">
        <v>86</v>
      </c>
      <c r="F28" s="9" t="s">
        <v>200</v>
      </c>
      <c r="H28" s="9"/>
      <c r="I28" s="9" t="s">
        <v>173</v>
      </c>
      <c r="J28" s="9" t="s">
        <v>2944</v>
      </c>
      <c r="K28" t="s">
        <v>174</v>
      </c>
      <c r="L28" t="s">
        <v>175</v>
      </c>
      <c r="M28" s="3" t="str">
        <f>HYPERLINK(склад2въезд14[[#This Row],[RelativePath]])</f>
        <v>2 Пилорама поката\E33149364_7_20251114T113437Z.jpg</v>
      </c>
    </row>
    <row r="29" spans="1:13" x14ac:dyDescent="0.25">
      <c r="A29" s="2" t="s">
        <v>17</v>
      </c>
      <c r="B29" s="4">
        <v>45975</v>
      </c>
      <c r="C29" s="5">
        <v>0.49148148148148146</v>
      </c>
      <c r="D29" s="9" t="s">
        <v>159</v>
      </c>
      <c r="E29" s="9" t="s">
        <v>86</v>
      </c>
      <c r="F29" s="9" t="s">
        <v>200</v>
      </c>
      <c r="H29" s="9"/>
      <c r="I29" s="9" t="s">
        <v>176</v>
      </c>
      <c r="J29" s="9" t="s">
        <v>2944</v>
      </c>
      <c r="K29" t="s">
        <v>177</v>
      </c>
      <c r="L29" t="s">
        <v>178</v>
      </c>
      <c r="M29" s="3" t="str">
        <f>HYPERLINK(склад2въезд14[[#This Row],[RelativePath]])</f>
        <v>2 Пилорама поката\E33149364_7_20251114T114744Z.jpg</v>
      </c>
    </row>
    <row r="30" spans="1:13" x14ac:dyDescent="0.25">
      <c r="A30" s="2" t="s">
        <v>17</v>
      </c>
      <c r="B30" s="4">
        <v>45975</v>
      </c>
      <c r="C30" s="5">
        <v>0.49703703703703705</v>
      </c>
      <c r="D30" s="9" t="s">
        <v>158</v>
      </c>
      <c r="E30" s="9" t="s">
        <v>86</v>
      </c>
      <c r="F30" s="9" t="s">
        <v>60</v>
      </c>
      <c r="G30">
        <v>1</v>
      </c>
      <c r="H30" s="9"/>
      <c r="I30" s="9" t="s">
        <v>179</v>
      </c>
      <c r="J30" s="9" t="s">
        <v>2944</v>
      </c>
      <c r="K30" t="s">
        <v>180</v>
      </c>
      <c r="L30" t="s">
        <v>181</v>
      </c>
      <c r="M30" s="3" t="str">
        <f>HYPERLINK(склад2въезд14[[#This Row],[RelativePath]])</f>
        <v>2 Пилорама поката\E33149364_7_20251114T115544Z.jpg</v>
      </c>
    </row>
    <row r="31" spans="1:13" x14ac:dyDescent="0.25">
      <c r="A31" s="2" t="s">
        <v>17</v>
      </c>
      <c r="B31" s="4">
        <v>45975</v>
      </c>
      <c r="C31" s="5">
        <v>0.50545138888888885</v>
      </c>
      <c r="D31" s="9" t="s">
        <v>159</v>
      </c>
      <c r="E31" s="9" t="s">
        <v>86</v>
      </c>
      <c r="F31" s="9" t="s">
        <v>200</v>
      </c>
      <c r="H31" s="9"/>
      <c r="I31" s="9" t="s">
        <v>182</v>
      </c>
      <c r="J31" s="9" t="s">
        <v>2944</v>
      </c>
      <c r="K31" t="s">
        <v>183</v>
      </c>
      <c r="L31" t="s">
        <v>184</v>
      </c>
      <c r="M31" s="3" t="str">
        <f>HYPERLINK(склад2въезд14[[#This Row],[RelativePath]])</f>
        <v>2 Пилорама поката\E33149364_7_20251114T120751Z.jpg</v>
      </c>
    </row>
    <row r="32" spans="1:13" x14ac:dyDescent="0.25">
      <c r="A32" s="2" t="s">
        <v>17</v>
      </c>
      <c r="B32" s="4">
        <v>45975</v>
      </c>
      <c r="C32" s="5">
        <v>0.51671296296296299</v>
      </c>
      <c r="D32" s="9" t="s">
        <v>159</v>
      </c>
      <c r="E32" s="9" t="s">
        <v>86</v>
      </c>
      <c r="F32" s="9" t="s">
        <v>200</v>
      </c>
      <c r="H32" s="9"/>
      <c r="I32" s="9" t="s">
        <v>185</v>
      </c>
      <c r="J32" s="9" t="s">
        <v>2944</v>
      </c>
      <c r="K32" t="s">
        <v>186</v>
      </c>
      <c r="L32" t="s">
        <v>187</v>
      </c>
      <c r="M32" s="3" t="str">
        <f>HYPERLINK(склад2въезд14[[#This Row],[RelativePath]])</f>
        <v>2 Пилорама поката\E33149364_7_20251114T122404Z.jpg</v>
      </c>
    </row>
    <row r="33" spans="1:13" x14ac:dyDescent="0.25">
      <c r="A33" s="2" t="s">
        <v>17</v>
      </c>
      <c r="B33" s="4">
        <v>45975</v>
      </c>
      <c r="C33" s="5">
        <v>0.52964120370370371</v>
      </c>
      <c r="D33" s="9" t="s">
        <v>159</v>
      </c>
      <c r="E33" s="9" t="s">
        <v>86</v>
      </c>
      <c r="F33" s="9" t="s">
        <v>200</v>
      </c>
      <c r="H33" s="9"/>
      <c r="I33" s="9" t="s">
        <v>188</v>
      </c>
      <c r="J33" s="9" t="s">
        <v>2944</v>
      </c>
      <c r="K33" t="s">
        <v>189</v>
      </c>
      <c r="L33" t="s">
        <v>190</v>
      </c>
      <c r="M33" s="3" t="str">
        <f>HYPERLINK(склад2въезд14[[#This Row],[RelativePath]])</f>
        <v>2 Пилорама поката\E33149364_7_20251114T124241Z.jpg</v>
      </c>
    </row>
    <row r="34" spans="1:13" x14ac:dyDescent="0.25">
      <c r="A34" s="2" t="s">
        <v>17</v>
      </c>
      <c r="B34" s="4">
        <v>45975</v>
      </c>
      <c r="C34" s="5">
        <v>0.53068287037037032</v>
      </c>
      <c r="D34" s="9" t="s">
        <v>202</v>
      </c>
      <c r="E34" s="9" t="s">
        <v>86</v>
      </c>
      <c r="F34" s="9" t="s">
        <v>51</v>
      </c>
      <c r="H34" s="9"/>
      <c r="I34" s="9" t="s">
        <v>191</v>
      </c>
      <c r="J34" s="9" t="s">
        <v>2944</v>
      </c>
      <c r="K34" t="s">
        <v>192</v>
      </c>
      <c r="L34" t="s">
        <v>193</v>
      </c>
      <c r="M34" s="3" t="str">
        <f>HYPERLINK(склад2въезд14[[#This Row],[RelativePath]])</f>
        <v>2 Пилорама поката\E33149364_7_20251114T124411Z.jpg</v>
      </c>
    </row>
    <row r="35" spans="1:13" x14ac:dyDescent="0.25">
      <c r="A35" s="2" t="s">
        <v>17</v>
      </c>
      <c r="B35" s="4">
        <v>45975</v>
      </c>
      <c r="C35" s="5">
        <v>0.54098379629629634</v>
      </c>
      <c r="D35" s="9" t="s">
        <v>159</v>
      </c>
      <c r="E35" s="9" t="s">
        <v>86</v>
      </c>
      <c r="F35" s="9" t="s">
        <v>87</v>
      </c>
      <c r="H35" s="9"/>
      <c r="I35" s="9" t="s">
        <v>194</v>
      </c>
      <c r="J35" s="9" t="s">
        <v>2944</v>
      </c>
      <c r="K35" t="s">
        <v>195</v>
      </c>
      <c r="L35" t="s">
        <v>196</v>
      </c>
      <c r="M35" s="3" t="str">
        <f>HYPERLINK(склад2въезд14[[#This Row],[RelativePath]])</f>
        <v>2 Пилорама поката\E33149364_7_20251114T125901Z.jpg</v>
      </c>
    </row>
    <row r="36" spans="1:13" x14ac:dyDescent="0.25">
      <c r="A36" s="2" t="s">
        <v>17</v>
      </c>
      <c r="B36" s="4">
        <v>45975</v>
      </c>
      <c r="C36" s="5">
        <v>0.74130787037037038</v>
      </c>
      <c r="D36" s="9" t="s">
        <v>4</v>
      </c>
      <c r="E36" s="9" t="s">
        <v>8</v>
      </c>
      <c r="F36" s="9"/>
      <c r="H36" s="9"/>
      <c r="I36" s="9" t="s">
        <v>197</v>
      </c>
      <c r="J36" s="9" t="s">
        <v>2944</v>
      </c>
      <c r="K36" t="s">
        <v>198</v>
      </c>
      <c r="L36" t="s">
        <v>199</v>
      </c>
      <c r="M36" s="3" t="str">
        <f>HYPERLINK(склад2въезд14[[#This Row],[RelativePath]])</f>
        <v>2 Пилорама поката\E33149364_7_20251114T174729Z.jpg</v>
      </c>
    </row>
    <row r="37" spans="1:13" x14ac:dyDescent="0.25">
      <c r="A37" s="2" t="s">
        <v>18</v>
      </c>
      <c r="B37" s="4">
        <v>45976</v>
      </c>
      <c r="C37" s="5">
        <v>0.35449074074074072</v>
      </c>
      <c r="D37" s="9" t="s">
        <v>4</v>
      </c>
      <c r="E37" s="9" t="s">
        <v>8</v>
      </c>
      <c r="F37" s="9"/>
      <c r="H37" s="9" t="s">
        <v>1967</v>
      </c>
      <c r="I37" s="9" t="s">
        <v>1150</v>
      </c>
      <c r="J37" s="9" t="s">
        <v>2944</v>
      </c>
      <c r="K37" t="s">
        <v>1151</v>
      </c>
      <c r="L37" t="s">
        <v>1152</v>
      </c>
      <c r="M37" s="3" t="str">
        <f>HYPERLINK(склад2въезд14[[#This Row],[RelativePath]])</f>
        <v>2 Пилорама поката\E33149364_7_20251115T083028Z.jpg</v>
      </c>
    </row>
    <row r="38" spans="1:13" x14ac:dyDescent="0.25">
      <c r="A38" s="2" t="s">
        <v>18</v>
      </c>
      <c r="B38" s="4">
        <v>45976</v>
      </c>
      <c r="C38" s="5">
        <v>0.73379629629629628</v>
      </c>
      <c r="D38" s="9" t="s">
        <v>4</v>
      </c>
      <c r="E38" s="9" t="s">
        <v>8</v>
      </c>
      <c r="F38" s="9"/>
      <c r="H38" s="9"/>
      <c r="I38" s="9" t="s">
        <v>1153</v>
      </c>
      <c r="J38" s="9" t="s">
        <v>2944</v>
      </c>
      <c r="K38" t="s">
        <v>1154</v>
      </c>
      <c r="L38" t="s">
        <v>1155</v>
      </c>
      <c r="M38" s="3" t="str">
        <f>HYPERLINK(склад2въезд14[[#This Row],[RelativePath]])</f>
        <v>2 Пилорама поката\E33149364_7_20251115T173640Z.jpg</v>
      </c>
    </row>
    <row r="39" spans="1:13" x14ac:dyDescent="0.25">
      <c r="A39" s="2" t="s">
        <v>22</v>
      </c>
      <c r="B39" s="4">
        <v>45977</v>
      </c>
      <c r="C39" s="5">
        <v>0.39959490740740738</v>
      </c>
      <c r="D39" s="9" t="s">
        <v>4</v>
      </c>
      <c r="E39" s="9" t="s">
        <v>8</v>
      </c>
      <c r="F39" s="9"/>
      <c r="H39" s="9" t="s">
        <v>1967</v>
      </c>
      <c r="I39" s="9" t="s">
        <v>1156</v>
      </c>
      <c r="J39" s="9" t="s">
        <v>2944</v>
      </c>
      <c r="K39" t="s">
        <v>1157</v>
      </c>
      <c r="L39" t="s">
        <v>1158</v>
      </c>
      <c r="M39" s="3" t="str">
        <f>HYPERLINK(склад2въезд14[[#This Row],[RelativePath]])</f>
        <v>2 Пилорама поката\E33149364_7_20251116T093525Z.jpg</v>
      </c>
    </row>
    <row r="40" spans="1:13" x14ac:dyDescent="0.25">
      <c r="A40" s="2" t="s">
        <v>22</v>
      </c>
      <c r="B40" s="4">
        <v>45977</v>
      </c>
      <c r="C40" s="5">
        <v>0.74412037037037038</v>
      </c>
      <c r="D40" s="9" t="s">
        <v>4</v>
      </c>
      <c r="E40" s="9" t="s">
        <v>8</v>
      </c>
      <c r="F40" s="9"/>
      <c r="H40" s="9"/>
      <c r="I40" s="9" t="s">
        <v>1159</v>
      </c>
      <c r="J40" s="9" t="s">
        <v>2944</v>
      </c>
      <c r="K40" t="s">
        <v>1160</v>
      </c>
      <c r="L40" t="s">
        <v>1161</v>
      </c>
      <c r="M40" s="3" t="str">
        <f>HYPERLINK(склад2въезд14[[#This Row],[RelativePath]])</f>
        <v>2 Пилорама поката\E33149364_7_20251116T175132Z.jpg</v>
      </c>
    </row>
    <row r="41" spans="1:13" x14ac:dyDescent="0.25">
      <c r="A41" s="2" t="s">
        <v>13</v>
      </c>
      <c r="B41" s="4">
        <v>45978</v>
      </c>
      <c r="C41" s="5">
        <v>0.74068287037037039</v>
      </c>
      <c r="D41" s="9" t="s">
        <v>1967</v>
      </c>
      <c r="E41" s="9"/>
      <c r="F41" s="9"/>
      <c r="H41" s="9"/>
      <c r="I41" s="9" t="s">
        <v>1988</v>
      </c>
      <c r="J41" s="9" t="s">
        <v>2944</v>
      </c>
      <c r="K41" t="s">
        <v>1989</v>
      </c>
      <c r="L41" t="s">
        <v>1990</v>
      </c>
      <c r="M41" s="3" t="str">
        <f>HYPERLINK(склад2въезд14[[#This Row],[RelativePath]])</f>
        <v>2 Пилорама поката\E33149364_7_20251117T174635Z.jpg</v>
      </c>
    </row>
    <row r="42" spans="1:13" x14ac:dyDescent="0.25">
      <c r="A42" s="2" t="s">
        <v>14</v>
      </c>
      <c r="B42" s="4">
        <v>45979</v>
      </c>
      <c r="C42" s="5">
        <v>0.47488425925925926</v>
      </c>
      <c r="D42" s="9" t="s">
        <v>1967</v>
      </c>
      <c r="E42" s="9"/>
      <c r="F42" s="9"/>
      <c r="H42" s="9"/>
      <c r="I42" s="9" t="s">
        <v>1991</v>
      </c>
      <c r="J42" s="9" t="s">
        <v>2944</v>
      </c>
      <c r="K42" t="s">
        <v>1992</v>
      </c>
      <c r="L42" t="s">
        <v>1993</v>
      </c>
      <c r="M42" s="3" t="str">
        <f>HYPERLINK(склад2въезд14[[#This Row],[RelativePath]])</f>
        <v>2 Пилорама поката\E33149364_7_20251118T112350Z.jpg</v>
      </c>
    </row>
    <row r="43" spans="1:13" x14ac:dyDescent="0.25">
      <c r="A43" s="2" t="s">
        <v>15</v>
      </c>
      <c r="B43" s="4">
        <v>45980</v>
      </c>
      <c r="C43" s="5">
        <v>0.71018518518518514</v>
      </c>
      <c r="D43" s="9" t="s">
        <v>1967</v>
      </c>
      <c r="E43" s="9"/>
      <c r="F43" s="9"/>
      <c r="H43" s="9"/>
      <c r="I43" s="9" t="s">
        <v>1994</v>
      </c>
      <c r="J43" s="9" t="s">
        <v>2944</v>
      </c>
      <c r="K43" t="s">
        <v>1995</v>
      </c>
      <c r="L43" t="s">
        <v>1996</v>
      </c>
      <c r="M43" s="3" t="str">
        <f>HYPERLINK(склад2въезд14[[#This Row],[RelativePath]])</f>
        <v>2 Пилорама поката\E33149364_7_20251119T170240Z.jpg</v>
      </c>
    </row>
    <row r="44" spans="1:13" x14ac:dyDescent="0.25">
      <c r="A44" s="2" t="s">
        <v>16</v>
      </c>
      <c r="B44" s="4">
        <v>45981</v>
      </c>
      <c r="C44" s="5">
        <v>0.68290509259259258</v>
      </c>
      <c r="D44" s="9" t="s">
        <v>2881</v>
      </c>
      <c r="E44" s="9"/>
      <c r="F44" s="9"/>
      <c r="H44" s="9"/>
      <c r="I44" s="9" t="s">
        <v>1997</v>
      </c>
      <c r="J44" s="9" t="s">
        <v>2944</v>
      </c>
      <c r="K44" t="s">
        <v>1998</v>
      </c>
      <c r="L44" t="s">
        <v>1999</v>
      </c>
      <c r="M44" s="3" t="str">
        <f>HYPERLINK(склад2въезд14[[#This Row],[RelativePath]])</f>
        <v>2 Пилорама поката\E33149364_7_20251120T162323Z.jpg</v>
      </c>
    </row>
    <row r="45" spans="1:13" x14ac:dyDescent="0.25">
      <c r="A45" s="2" t="s">
        <v>16</v>
      </c>
      <c r="B45" s="4">
        <v>45981</v>
      </c>
      <c r="C45" s="5">
        <v>0.7059375</v>
      </c>
      <c r="D45" s="9" t="s">
        <v>4</v>
      </c>
      <c r="E45" s="9" t="s">
        <v>8</v>
      </c>
      <c r="F45" s="9"/>
      <c r="H45" s="9"/>
      <c r="I45" s="9" t="s">
        <v>2000</v>
      </c>
      <c r="J45" s="9" t="s">
        <v>2944</v>
      </c>
      <c r="K45" t="s">
        <v>2001</v>
      </c>
      <c r="L45" t="s">
        <v>2002</v>
      </c>
      <c r="M45" s="3" t="str">
        <f>HYPERLINK(склад2въезд14[[#This Row],[RelativePath]])</f>
        <v>2 Пилорама поката\E33149364_7_20251120T165633Z.jpg</v>
      </c>
    </row>
    <row r="46" spans="1:13" x14ac:dyDescent="0.25">
      <c r="A46" s="2" t="s">
        <v>17</v>
      </c>
      <c r="B46" s="4">
        <v>45982</v>
      </c>
      <c r="C46" s="5">
        <v>0.73827546296296298</v>
      </c>
      <c r="D46" s="9" t="s">
        <v>1967</v>
      </c>
      <c r="E46" s="9"/>
      <c r="F46" s="9"/>
      <c r="H46" s="9"/>
      <c r="I46" s="9" t="s">
        <v>2003</v>
      </c>
      <c r="J46" s="9" t="s">
        <v>2944</v>
      </c>
      <c r="K46" t="s">
        <v>2004</v>
      </c>
      <c r="L46" t="s">
        <v>2005</v>
      </c>
      <c r="M46" s="3" t="str">
        <f>HYPERLINK(склад2въезд14[[#This Row],[RelativePath]])</f>
        <v>2 Пилорама поката\E33149364_7_20251121T174307Z.jpg</v>
      </c>
    </row>
    <row r="47" spans="1:13" x14ac:dyDescent="0.25">
      <c r="A47" s="2" t="s">
        <v>18</v>
      </c>
      <c r="B47" s="4">
        <v>45983</v>
      </c>
      <c r="C47" s="5">
        <v>0.73099537037037032</v>
      </c>
      <c r="D47" s="9" t="s">
        <v>1967</v>
      </c>
      <c r="E47" s="9"/>
      <c r="F47" s="9"/>
      <c r="H47" s="9"/>
      <c r="I47" s="9" t="s">
        <v>2006</v>
      </c>
      <c r="J47" s="9" t="s">
        <v>2944</v>
      </c>
      <c r="K47" t="s">
        <v>2007</v>
      </c>
      <c r="L47" t="s">
        <v>2008</v>
      </c>
      <c r="M47" s="3" t="str">
        <f>HYPERLINK(склад2въезд14[[#This Row],[RelativePath]])</f>
        <v>2 Пилорама поката\E33149364_7_20251122T173238Z.jpg</v>
      </c>
    </row>
    <row r="48" spans="1:13" x14ac:dyDescent="0.25">
      <c r="A48" s="2" t="s">
        <v>22</v>
      </c>
      <c r="B48" s="4">
        <v>45984</v>
      </c>
      <c r="C48" s="5">
        <v>0.72163194444444445</v>
      </c>
      <c r="D48" s="9" t="s">
        <v>1967</v>
      </c>
      <c r="E48" s="9"/>
      <c r="F48" s="9"/>
      <c r="H48" s="9"/>
      <c r="I48" s="9" t="s">
        <v>2009</v>
      </c>
      <c r="J48" s="9" t="s">
        <v>2944</v>
      </c>
      <c r="K48" t="s">
        <v>2010</v>
      </c>
      <c r="L48" t="s">
        <v>2011</v>
      </c>
      <c r="M48" s="3" t="str">
        <f>HYPERLINK(склад2въезд14[[#This Row],[RelativePath]])</f>
        <v>2 Пилорама поката\E33149364_7_20251123T171909Z.jpg</v>
      </c>
    </row>
    <row r="49" spans="1:13" x14ac:dyDescent="0.25">
      <c r="A49" s="2" t="s">
        <v>13</v>
      </c>
      <c r="B49" s="4">
        <v>45985</v>
      </c>
      <c r="C49" s="5">
        <v>0.61034722222222226</v>
      </c>
      <c r="D49" s="9" t="s">
        <v>261</v>
      </c>
      <c r="E49" s="9" t="s">
        <v>86</v>
      </c>
      <c r="F49" s="9" t="s">
        <v>3026</v>
      </c>
      <c r="H49" s="9" t="s">
        <v>3027</v>
      </c>
      <c r="I49" s="9" t="s">
        <v>2975</v>
      </c>
      <c r="J49" s="9" t="s">
        <v>2944</v>
      </c>
      <c r="K49" t="s">
        <v>2976</v>
      </c>
      <c r="L49" t="s">
        <v>2977</v>
      </c>
      <c r="M49" s="3" t="str">
        <f>HYPERLINK(склад2въезд14[[#This Row],[RelativePath]])</f>
        <v>2 Пилорама поката\E33149364_7_20251124T143854Z.jpg</v>
      </c>
    </row>
    <row r="50" spans="1:13" x14ac:dyDescent="0.25">
      <c r="A50" s="2" t="s">
        <v>13</v>
      </c>
      <c r="B50" s="4">
        <v>45985</v>
      </c>
      <c r="C50" s="5">
        <v>0.61153935185185182</v>
      </c>
      <c r="D50" s="9" t="s">
        <v>3028</v>
      </c>
      <c r="E50" s="9" t="s">
        <v>86</v>
      </c>
      <c r="F50" s="9" t="s">
        <v>3026</v>
      </c>
      <c r="H50" s="9" t="s">
        <v>3029</v>
      </c>
      <c r="I50" s="9" t="s">
        <v>2978</v>
      </c>
      <c r="J50" s="9" t="s">
        <v>2944</v>
      </c>
      <c r="K50" t="s">
        <v>2979</v>
      </c>
      <c r="L50" t="s">
        <v>2980</v>
      </c>
      <c r="M50" s="3" t="str">
        <f>HYPERLINK(склад2въезд14[[#This Row],[RelativePath]])</f>
        <v>2 Пилорама поката\E33149364_7_20251124T144037Z.jpg</v>
      </c>
    </row>
    <row r="51" spans="1:13" x14ac:dyDescent="0.25">
      <c r="A51" s="2" t="s">
        <v>13</v>
      </c>
      <c r="B51" s="4">
        <v>45985</v>
      </c>
      <c r="C51" s="5">
        <v>0.61314814814814811</v>
      </c>
      <c r="D51" s="9" t="s">
        <v>261</v>
      </c>
      <c r="E51" s="9" t="s">
        <v>86</v>
      </c>
      <c r="F51" s="9" t="s">
        <v>3026</v>
      </c>
      <c r="H51" s="9" t="s">
        <v>3027</v>
      </c>
      <c r="I51" s="9" t="s">
        <v>2981</v>
      </c>
      <c r="J51" s="9" t="s">
        <v>2944</v>
      </c>
      <c r="K51" t="s">
        <v>2982</v>
      </c>
      <c r="L51" t="s">
        <v>2983</v>
      </c>
      <c r="M51" s="3" t="str">
        <f>HYPERLINK(склад2въезд14[[#This Row],[RelativePath]])</f>
        <v>2 Пилорама поката\E33149364_7_20251124T144256Z.jpg</v>
      </c>
    </row>
    <row r="52" spans="1:13" x14ac:dyDescent="0.25">
      <c r="A52" s="2" t="s">
        <v>13</v>
      </c>
      <c r="B52" s="4">
        <v>45985</v>
      </c>
      <c r="C52" s="5">
        <v>0.61351851851851846</v>
      </c>
      <c r="D52" s="9" t="s">
        <v>3028</v>
      </c>
      <c r="E52" s="9" t="s">
        <v>86</v>
      </c>
      <c r="F52" s="9" t="s">
        <v>3026</v>
      </c>
      <c r="H52" s="9" t="s">
        <v>3029</v>
      </c>
      <c r="I52" s="9" t="s">
        <v>2984</v>
      </c>
      <c r="J52" s="9" t="s">
        <v>2944</v>
      </c>
      <c r="K52" t="s">
        <v>2985</v>
      </c>
      <c r="L52" t="s">
        <v>2986</v>
      </c>
      <c r="M52" s="3" t="str">
        <f>HYPERLINK(склад2въезд14[[#This Row],[RelativePath]])</f>
        <v>2 Пилорама поката\E33149364_7_20251124T144328Z.jpg</v>
      </c>
    </row>
    <row r="53" spans="1:13" x14ac:dyDescent="0.25">
      <c r="A53" s="2" t="s">
        <v>13</v>
      </c>
      <c r="B53" s="4">
        <v>45985</v>
      </c>
      <c r="C53" s="5">
        <v>0.70601851851851849</v>
      </c>
      <c r="D53" s="9" t="s">
        <v>158</v>
      </c>
      <c r="E53" s="9" t="s">
        <v>86</v>
      </c>
      <c r="F53" s="9" t="s">
        <v>60</v>
      </c>
      <c r="G53">
        <v>4</v>
      </c>
      <c r="H53" s="9" t="s">
        <v>3030</v>
      </c>
      <c r="I53" s="9" t="s">
        <v>2987</v>
      </c>
      <c r="J53" s="9" t="s">
        <v>2944</v>
      </c>
      <c r="K53" t="s">
        <v>2988</v>
      </c>
      <c r="L53" t="s">
        <v>2989</v>
      </c>
      <c r="M53" s="3" t="str">
        <f>HYPERLINK(склад2въезд14[[#This Row],[RelativePath]])</f>
        <v>2 Пилорама поката\E33149364_7_20251124T165640Z.jpg</v>
      </c>
    </row>
    <row r="54" spans="1:13" x14ac:dyDescent="0.25">
      <c r="A54" s="2" t="s">
        <v>14</v>
      </c>
      <c r="B54" s="4">
        <v>45986</v>
      </c>
      <c r="C54" s="5">
        <v>0.43487268518518518</v>
      </c>
      <c r="D54" s="9" t="s">
        <v>261</v>
      </c>
      <c r="E54" s="9" t="s">
        <v>86</v>
      </c>
      <c r="F54" s="9" t="s">
        <v>3026</v>
      </c>
      <c r="H54" s="9" t="s">
        <v>3027</v>
      </c>
      <c r="I54" s="9" t="s">
        <v>2990</v>
      </c>
      <c r="J54" s="9" t="s">
        <v>2944</v>
      </c>
      <c r="K54" t="s">
        <v>2991</v>
      </c>
      <c r="L54" t="s">
        <v>2992</v>
      </c>
      <c r="M54" s="3" t="str">
        <f>HYPERLINK(склад2въезд14[[#This Row],[RelativePath]])</f>
        <v>2 Пилорама поката\E33149364_7_20251125T102613Z.jpg</v>
      </c>
    </row>
    <row r="55" spans="1:13" x14ac:dyDescent="0.25">
      <c r="A55" s="2" t="s">
        <v>14</v>
      </c>
      <c r="B55" s="4">
        <v>45986</v>
      </c>
      <c r="C55" s="5">
        <v>0.43512731481481481</v>
      </c>
      <c r="D55" s="9" t="s">
        <v>3028</v>
      </c>
      <c r="E55" s="9" t="s">
        <v>86</v>
      </c>
      <c r="F55" s="9" t="s">
        <v>3026</v>
      </c>
      <c r="H55" s="9" t="s">
        <v>3029</v>
      </c>
      <c r="I55" s="9" t="s">
        <v>2993</v>
      </c>
      <c r="J55" s="9" t="s">
        <v>2944</v>
      </c>
      <c r="K55" t="s">
        <v>2994</v>
      </c>
      <c r="L55" t="s">
        <v>2995</v>
      </c>
      <c r="M55" s="3" t="str">
        <f>HYPERLINK(склад2въезд14[[#This Row],[RelativePath]])</f>
        <v>2 Пилорама поката\E33149364_7_20251125T102635Z.jpg</v>
      </c>
    </row>
    <row r="56" spans="1:13" x14ac:dyDescent="0.25">
      <c r="A56" s="2" t="s">
        <v>14</v>
      </c>
      <c r="B56" s="4">
        <v>45986</v>
      </c>
      <c r="C56" s="5">
        <v>0.44564814814814813</v>
      </c>
      <c r="D56" s="9" t="s">
        <v>261</v>
      </c>
      <c r="E56" s="9" t="s">
        <v>86</v>
      </c>
      <c r="F56" s="9" t="s">
        <v>3026</v>
      </c>
      <c r="H56" s="9" t="s">
        <v>3027</v>
      </c>
      <c r="I56" s="9" t="s">
        <v>2996</v>
      </c>
      <c r="J56" s="9" t="s">
        <v>2944</v>
      </c>
      <c r="K56" t="s">
        <v>2997</v>
      </c>
      <c r="L56" t="s">
        <v>2998</v>
      </c>
      <c r="M56" s="3" t="str">
        <f>HYPERLINK(склад2въезд14[[#This Row],[RelativePath]])</f>
        <v>2 Пилорама поката\E33149364_7_20251125T104144Z.jpg</v>
      </c>
    </row>
    <row r="57" spans="1:13" x14ac:dyDescent="0.25">
      <c r="A57" s="2" t="s">
        <v>14</v>
      </c>
      <c r="B57" s="4">
        <v>45986</v>
      </c>
      <c r="C57" s="5">
        <v>0.44611111111111112</v>
      </c>
      <c r="D57" s="9" t="s">
        <v>3028</v>
      </c>
      <c r="E57" s="9" t="s">
        <v>86</v>
      </c>
      <c r="F57" s="9" t="s">
        <v>3026</v>
      </c>
      <c r="H57" s="9" t="s">
        <v>3029</v>
      </c>
      <c r="I57" s="9" t="s">
        <v>2999</v>
      </c>
      <c r="J57" s="9" t="s">
        <v>2944</v>
      </c>
      <c r="K57" t="s">
        <v>3000</v>
      </c>
      <c r="L57" t="s">
        <v>3001</v>
      </c>
      <c r="M57" s="3" t="str">
        <f>HYPERLINK(склад2въезд14[[#This Row],[RelativePath]])</f>
        <v>2 Пилорама поката\E33149364_7_20251125T104224Z.jpg</v>
      </c>
    </row>
    <row r="58" spans="1:13" x14ac:dyDescent="0.25">
      <c r="A58" s="2" t="s">
        <v>14</v>
      </c>
      <c r="B58" s="4">
        <v>45986</v>
      </c>
      <c r="C58" s="5">
        <v>0.45468750000000002</v>
      </c>
      <c r="D58" s="9" t="s">
        <v>261</v>
      </c>
      <c r="E58" s="9" t="s">
        <v>86</v>
      </c>
      <c r="F58" s="9" t="s">
        <v>3026</v>
      </c>
      <c r="H58" s="9" t="s">
        <v>3027</v>
      </c>
      <c r="I58" s="9" t="s">
        <v>3002</v>
      </c>
      <c r="J58" s="9" t="s">
        <v>2944</v>
      </c>
      <c r="K58" t="s">
        <v>3003</v>
      </c>
      <c r="L58" t="s">
        <v>3004</v>
      </c>
      <c r="M58" s="3" t="str">
        <f>HYPERLINK(склад2въезд14[[#This Row],[RelativePath]])</f>
        <v>2 Пилорама поката\E33149364_7_20251125T105445Z.jpg</v>
      </c>
    </row>
    <row r="59" spans="1:13" x14ac:dyDescent="0.25">
      <c r="A59" s="2" t="s">
        <v>14</v>
      </c>
      <c r="B59" s="4">
        <v>45986</v>
      </c>
      <c r="C59" s="5">
        <v>0.45495370370370369</v>
      </c>
      <c r="D59" s="9" t="s">
        <v>3028</v>
      </c>
      <c r="E59" s="9" t="s">
        <v>86</v>
      </c>
      <c r="F59" s="9" t="s">
        <v>3026</v>
      </c>
      <c r="H59" s="9" t="s">
        <v>3029</v>
      </c>
      <c r="I59" s="9" t="s">
        <v>3005</v>
      </c>
      <c r="J59" s="9" t="s">
        <v>2944</v>
      </c>
      <c r="K59" t="s">
        <v>3006</v>
      </c>
      <c r="L59" t="s">
        <v>3007</v>
      </c>
      <c r="M59" s="3" t="str">
        <f>HYPERLINK(склад2въезд14[[#This Row],[RelativePath]])</f>
        <v>2 Пилорама поката\E33149364_7_20251125T105508Z.jpg</v>
      </c>
    </row>
    <row r="60" spans="1:13" x14ac:dyDescent="0.25">
      <c r="A60" s="2" t="s">
        <v>14</v>
      </c>
      <c r="B60" s="4">
        <v>45986</v>
      </c>
      <c r="C60" s="5">
        <v>0.51313657407407409</v>
      </c>
      <c r="D60" s="9" t="s">
        <v>261</v>
      </c>
      <c r="E60" s="9" t="s">
        <v>86</v>
      </c>
      <c r="F60" s="9" t="s">
        <v>3031</v>
      </c>
      <c r="G60">
        <v>1</v>
      </c>
      <c r="H60" s="9"/>
      <c r="I60" s="9" t="s">
        <v>3008</v>
      </c>
      <c r="J60" s="9" t="s">
        <v>2944</v>
      </c>
      <c r="K60" t="s">
        <v>3009</v>
      </c>
      <c r="L60" t="s">
        <v>3010</v>
      </c>
      <c r="M60" s="3" t="str">
        <f>HYPERLINK(склад2въезд14[[#This Row],[RelativePath]])</f>
        <v>2 Пилорама поката\E33149364_7_20251125T121855Z.jpg</v>
      </c>
    </row>
    <row r="61" spans="1:13" x14ac:dyDescent="0.25">
      <c r="A61" s="2" t="s">
        <v>14</v>
      </c>
      <c r="B61" s="4">
        <v>45986</v>
      </c>
      <c r="C61" s="5">
        <v>0.51368055555555558</v>
      </c>
      <c r="D61" s="9" t="s">
        <v>3028</v>
      </c>
      <c r="E61" s="9" t="s">
        <v>86</v>
      </c>
      <c r="F61" s="9" t="s">
        <v>3031</v>
      </c>
      <c r="G61">
        <v>1</v>
      </c>
      <c r="H61" s="9" t="s">
        <v>3032</v>
      </c>
      <c r="I61" s="9" t="s">
        <v>3011</v>
      </c>
      <c r="J61" s="9" t="s">
        <v>2944</v>
      </c>
      <c r="K61" t="s">
        <v>3012</v>
      </c>
      <c r="L61" t="s">
        <v>3013</v>
      </c>
      <c r="M61" s="3" t="str">
        <f>HYPERLINK(склад2въезд14[[#This Row],[RelativePath]])</f>
        <v>2 Пилорама поката\E33149364_7_20251125T121942Z.jpg</v>
      </c>
    </row>
    <row r="62" spans="1:13" x14ac:dyDescent="0.25">
      <c r="A62" s="2" t="s">
        <v>14</v>
      </c>
      <c r="B62" s="4">
        <v>45986</v>
      </c>
      <c r="C62" s="5">
        <v>0.51457175925925924</v>
      </c>
      <c r="D62" s="9" t="s">
        <v>261</v>
      </c>
      <c r="E62" s="9" t="s">
        <v>86</v>
      </c>
      <c r="F62" s="9" t="s">
        <v>3031</v>
      </c>
      <c r="G62">
        <v>1</v>
      </c>
      <c r="H62" s="9"/>
      <c r="I62" s="9" t="s">
        <v>3014</v>
      </c>
      <c r="J62" s="9" t="s">
        <v>2944</v>
      </c>
      <c r="K62" t="s">
        <v>3015</v>
      </c>
      <c r="L62" t="s">
        <v>3016</v>
      </c>
      <c r="M62" s="3" t="str">
        <f>HYPERLINK(склад2въезд14[[#This Row],[RelativePath]])</f>
        <v>2 Пилорама поката\E33149364_7_20251125T122059Z.jpg</v>
      </c>
    </row>
    <row r="63" spans="1:13" x14ac:dyDescent="0.25">
      <c r="A63" s="2" t="s">
        <v>14</v>
      </c>
      <c r="B63" s="4">
        <v>45986</v>
      </c>
      <c r="C63" s="5">
        <v>0.51493055555555556</v>
      </c>
      <c r="D63" s="9" t="s">
        <v>3028</v>
      </c>
      <c r="E63" s="9" t="s">
        <v>86</v>
      </c>
      <c r="F63" s="9" t="s">
        <v>3031</v>
      </c>
      <c r="G63">
        <v>1</v>
      </c>
      <c r="H63" s="9" t="s">
        <v>3032</v>
      </c>
      <c r="I63" s="9" t="s">
        <v>3017</v>
      </c>
      <c r="J63" s="9" t="s">
        <v>2944</v>
      </c>
      <c r="K63" t="s">
        <v>3018</v>
      </c>
      <c r="L63" t="s">
        <v>3019</v>
      </c>
      <c r="M63" s="3" t="str">
        <f>HYPERLINK(склад2въезд14[[#This Row],[RelativePath]])</f>
        <v>2 Пилорама поката\E33149364_7_20251125T122130Z.jpg</v>
      </c>
    </row>
    <row r="64" spans="1:13" x14ac:dyDescent="0.25">
      <c r="A64" s="2" t="s">
        <v>14</v>
      </c>
      <c r="B64" s="4">
        <v>45986</v>
      </c>
      <c r="C64" s="5">
        <v>0.52054398148148151</v>
      </c>
      <c r="D64" s="9" t="s">
        <v>158</v>
      </c>
      <c r="E64" s="9" t="s">
        <v>86</v>
      </c>
      <c r="F64" s="9" t="s">
        <v>60</v>
      </c>
      <c r="G64">
        <v>1</v>
      </c>
      <c r="H64" s="9" t="s">
        <v>3030</v>
      </c>
      <c r="I64" s="9" t="s">
        <v>3020</v>
      </c>
      <c r="J64" s="9" t="s">
        <v>2944</v>
      </c>
      <c r="K64" t="s">
        <v>3021</v>
      </c>
      <c r="L64" t="s">
        <v>3022</v>
      </c>
      <c r="M64" s="3" t="str">
        <f>HYPERLINK(склад2въезд14[[#This Row],[RelativePath]])</f>
        <v>2 Пилорама поката\E33149364_7_20251125T122935Z.jpg</v>
      </c>
    </row>
    <row r="65" spans="1:13" x14ac:dyDescent="0.25">
      <c r="A65" s="2" t="s">
        <v>14</v>
      </c>
      <c r="B65" s="4">
        <v>45986</v>
      </c>
      <c r="C65" s="5">
        <v>0.68429398148148146</v>
      </c>
      <c r="D65" s="9" t="s">
        <v>4</v>
      </c>
      <c r="E65" s="9" t="s">
        <v>8</v>
      </c>
      <c r="F65" s="9"/>
      <c r="H65" s="9" t="s">
        <v>3033</v>
      </c>
      <c r="I65" s="9" t="s">
        <v>3023</v>
      </c>
      <c r="J65" s="9" t="s">
        <v>2944</v>
      </c>
      <c r="K65" t="s">
        <v>3024</v>
      </c>
      <c r="L65" t="s">
        <v>3025</v>
      </c>
      <c r="M65" s="3" t="str">
        <f>HYPERLINK(склад2въезд14[[#This Row],[RelativePath]])</f>
        <v>2 Пилорама поката\E33149364_7_20251125T162523Z.jpg</v>
      </c>
    </row>
    <row r="66" spans="1:13" x14ac:dyDescent="0.25">
      <c r="A66" s="2" t="s">
        <v>15</v>
      </c>
      <c r="B66" s="4">
        <v>45987</v>
      </c>
      <c r="C66" s="5">
        <v>0.43495370370370373</v>
      </c>
      <c r="D66" s="9" t="s">
        <v>4139</v>
      </c>
      <c r="E66" s="9" t="s">
        <v>4133</v>
      </c>
      <c r="F66" s="9" t="s">
        <v>51</v>
      </c>
      <c r="H66" s="9"/>
      <c r="I66" s="9" t="s">
        <v>3216</v>
      </c>
      <c r="J66" s="9" t="s">
        <v>2944</v>
      </c>
      <c r="K66" t="s">
        <v>3217</v>
      </c>
      <c r="L66" t="s">
        <v>3218</v>
      </c>
      <c r="M66" s="3" t="str">
        <f>HYPERLINK(склад2въезд14[[#This Row],[RelativePath]])</f>
        <v>2 Пилорама поката\E33149364_7_20251126T102620Z.jpg</v>
      </c>
    </row>
    <row r="67" spans="1:13" x14ac:dyDescent="0.25">
      <c r="A67" s="2" t="s">
        <v>15</v>
      </c>
      <c r="B67" s="4">
        <v>45987</v>
      </c>
      <c r="C67" s="5">
        <v>0.45113425925925926</v>
      </c>
      <c r="D67" s="9" t="s">
        <v>4140</v>
      </c>
      <c r="E67" s="9" t="s">
        <v>4141</v>
      </c>
      <c r="F67" s="9"/>
      <c r="H67" s="9" t="s">
        <v>3030</v>
      </c>
      <c r="I67" s="9" t="s">
        <v>3219</v>
      </c>
      <c r="J67" s="9" t="s">
        <v>2944</v>
      </c>
      <c r="K67" t="s">
        <v>3220</v>
      </c>
      <c r="L67" t="s">
        <v>3221</v>
      </c>
      <c r="M67" s="3" t="str">
        <f>HYPERLINK(склад2въезд14[[#This Row],[RelativePath]])</f>
        <v>2 Пилорама поката\E33149364_7_20251126T104938Z.jpg</v>
      </c>
    </row>
    <row r="68" spans="1:13" x14ac:dyDescent="0.25">
      <c r="A68" s="2" t="s">
        <v>15</v>
      </c>
      <c r="B68" s="4">
        <v>45987</v>
      </c>
      <c r="C68" s="5">
        <v>0.49391203703703701</v>
      </c>
      <c r="D68" s="9" t="s">
        <v>4140</v>
      </c>
      <c r="E68" s="9" t="s">
        <v>4141</v>
      </c>
      <c r="F68" s="9"/>
      <c r="H68" s="9" t="s">
        <v>2891</v>
      </c>
      <c r="I68" s="9" t="s">
        <v>3222</v>
      </c>
      <c r="J68" s="9" t="s">
        <v>2944</v>
      </c>
      <c r="K68" t="s">
        <v>3223</v>
      </c>
      <c r="L68" t="s">
        <v>3224</v>
      </c>
      <c r="M68" s="3" t="str">
        <f>HYPERLINK(склад2въезд14[[#This Row],[RelativePath]])</f>
        <v>2 Пилорама поката\E33149364_7_20251126T115114Z.jpg</v>
      </c>
    </row>
    <row r="69" spans="1:13" x14ac:dyDescent="0.25">
      <c r="A69" s="2" t="s">
        <v>15</v>
      </c>
      <c r="B69" s="4">
        <v>45987</v>
      </c>
      <c r="C69" s="5">
        <v>0.60818287037037033</v>
      </c>
      <c r="D69" s="9" t="s">
        <v>4140</v>
      </c>
      <c r="E69" s="9" t="s">
        <v>4141</v>
      </c>
      <c r="F69" s="9"/>
      <c r="H69" s="9" t="s">
        <v>2891</v>
      </c>
      <c r="I69" s="9" t="s">
        <v>3225</v>
      </c>
      <c r="J69" s="9" t="s">
        <v>2944</v>
      </c>
      <c r="K69" t="s">
        <v>3226</v>
      </c>
      <c r="L69" t="s">
        <v>3227</v>
      </c>
      <c r="M69" s="3" t="str">
        <f>HYPERLINK(склад2въезд14[[#This Row],[RelativePath]])</f>
        <v>2 Пилорама поката\E33149364_7_20251126T143547Z.jpg</v>
      </c>
    </row>
    <row r="70" spans="1:13" x14ac:dyDescent="0.25">
      <c r="A70" s="2" t="s">
        <v>15</v>
      </c>
      <c r="B70" s="4">
        <v>45987</v>
      </c>
      <c r="C70" s="5">
        <v>0.60833333333333328</v>
      </c>
      <c r="D70" s="9" t="s">
        <v>4140</v>
      </c>
      <c r="E70" s="9" t="s">
        <v>4141</v>
      </c>
      <c r="F70" s="9"/>
      <c r="H70" s="9" t="s">
        <v>2891</v>
      </c>
      <c r="I70" s="9" t="s">
        <v>3228</v>
      </c>
      <c r="J70" s="9" t="s">
        <v>2944</v>
      </c>
      <c r="K70" t="s">
        <v>3229</v>
      </c>
      <c r="L70" t="s">
        <v>3230</v>
      </c>
      <c r="M70" s="3" t="str">
        <f>HYPERLINK(склад2въезд14[[#This Row],[RelativePath]])</f>
        <v>2 Пилорама поката\E33149364_7_20251126T143600Z.jpg</v>
      </c>
    </row>
    <row r="71" spans="1:13" x14ac:dyDescent="0.25">
      <c r="A71" s="2" t="s">
        <v>15</v>
      </c>
      <c r="B71" s="4">
        <v>45987</v>
      </c>
      <c r="C71" s="5">
        <v>0.62814814814814812</v>
      </c>
      <c r="D71" s="9" t="s">
        <v>4140</v>
      </c>
      <c r="E71" s="9" t="s">
        <v>4141</v>
      </c>
      <c r="F71" s="9"/>
      <c r="H71" s="9" t="s">
        <v>2891</v>
      </c>
      <c r="I71" s="9" t="s">
        <v>3231</v>
      </c>
      <c r="J71" s="9" t="s">
        <v>2944</v>
      </c>
      <c r="K71" t="s">
        <v>3232</v>
      </c>
      <c r="L71" t="s">
        <v>3233</v>
      </c>
      <c r="M71" s="3" t="str">
        <f>HYPERLINK(склад2въезд14[[#This Row],[RelativePath]])</f>
        <v>2 Пилорама поката\E33149364_7_20251126T150432Z.jpg</v>
      </c>
    </row>
    <row r="72" spans="1:13" x14ac:dyDescent="0.25">
      <c r="A72" s="2" t="s">
        <v>15</v>
      </c>
      <c r="B72" s="4">
        <v>45987</v>
      </c>
      <c r="C72" s="5">
        <v>0.6676157407407407</v>
      </c>
      <c r="D72" s="9" t="s">
        <v>4140</v>
      </c>
      <c r="E72" s="9" t="s">
        <v>4141</v>
      </c>
      <c r="F72" s="9"/>
      <c r="H72" s="9" t="s">
        <v>2891</v>
      </c>
      <c r="I72" s="9" t="s">
        <v>3234</v>
      </c>
      <c r="J72" s="9" t="s">
        <v>2944</v>
      </c>
      <c r="K72" t="s">
        <v>3235</v>
      </c>
      <c r="L72" t="s">
        <v>3236</v>
      </c>
      <c r="M72" s="3" t="str">
        <f>HYPERLINK(склад2въезд14[[#This Row],[RelativePath]])</f>
        <v>2 Пилорама поката\E33149364_7_20251126T160122Z.jpg</v>
      </c>
    </row>
    <row r="73" spans="1:13" x14ac:dyDescent="0.25">
      <c r="A73" s="2" t="s">
        <v>15</v>
      </c>
      <c r="B73" s="4">
        <v>45987</v>
      </c>
      <c r="C73" s="5">
        <v>0.70072916666666663</v>
      </c>
      <c r="D73" s="9" t="s">
        <v>4140</v>
      </c>
      <c r="E73" s="9" t="s">
        <v>4141</v>
      </c>
      <c r="F73" s="9"/>
      <c r="H73" s="9" t="s">
        <v>2891</v>
      </c>
      <c r="I73" s="9" t="s">
        <v>3237</v>
      </c>
      <c r="J73" s="9" t="s">
        <v>2944</v>
      </c>
      <c r="K73" t="s">
        <v>3238</v>
      </c>
      <c r="L73" t="s">
        <v>3239</v>
      </c>
      <c r="M73" s="3" t="str">
        <f>HYPERLINK(склад2въезд14[[#This Row],[RelativePath]])</f>
        <v>2 Пилорама поката\E33149364_7_20251126T164903Z.jpg</v>
      </c>
    </row>
    <row r="74" spans="1:13" x14ac:dyDescent="0.25">
      <c r="A74" s="2" t="s">
        <v>16</v>
      </c>
      <c r="B74" s="4">
        <v>45988</v>
      </c>
      <c r="C74" s="5">
        <v>0.39187499999999997</v>
      </c>
      <c r="D74" s="9" t="s">
        <v>4140</v>
      </c>
      <c r="E74" s="9" t="s">
        <v>4141</v>
      </c>
      <c r="F74" s="9"/>
      <c r="H74" s="9" t="s">
        <v>2891</v>
      </c>
      <c r="I74" s="9" t="s">
        <v>3240</v>
      </c>
      <c r="J74" s="9" t="s">
        <v>2944</v>
      </c>
      <c r="K74" t="s">
        <v>3241</v>
      </c>
      <c r="L74" t="s">
        <v>3242</v>
      </c>
      <c r="M74" s="3" t="str">
        <f>HYPERLINK(склад2въезд14[[#This Row],[RelativePath]])</f>
        <v>2 Пилорама поката\E33149364_7_20251127T092418Z.jpg</v>
      </c>
    </row>
    <row r="75" spans="1:13" x14ac:dyDescent="0.25">
      <c r="A75" s="2" t="s">
        <v>16</v>
      </c>
      <c r="B75" s="4">
        <v>45988</v>
      </c>
      <c r="C75" s="5">
        <v>0.44978009259259261</v>
      </c>
      <c r="D75" s="9" t="s">
        <v>4140</v>
      </c>
      <c r="E75" s="9" t="s">
        <v>4141</v>
      </c>
      <c r="F75" s="9"/>
      <c r="H75" s="9" t="s">
        <v>2891</v>
      </c>
      <c r="I75" s="9" t="s">
        <v>3243</v>
      </c>
      <c r="J75" s="9" t="s">
        <v>2944</v>
      </c>
      <c r="K75" t="s">
        <v>3244</v>
      </c>
      <c r="L75" t="s">
        <v>3245</v>
      </c>
      <c r="M75" s="3" t="str">
        <f>HYPERLINK(склад2въезд14[[#This Row],[RelativePath]])</f>
        <v>2 Пилорама поката\E33149364_7_20251127T104741Z.jpg</v>
      </c>
    </row>
    <row r="76" spans="1:13" x14ac:dyDescent="0.25">
      <c r="A76" s="2" t="s">
        <v>16</v>
      </c>
      <c r="B76" s="4">
        <v>45988</v>
      </c>
      <c r="C76" s="5">
        <v>0.61861111111111111</v>
      </c>
      <c r="D76" s="9" t="s">
        <v>4140</v>
      </c>
      <c r="E76" s="9" t="s">
        <v>4141</v>
      </c>
      <c r="F76" s="9"/>
      <c r="H76" s="9" t="s">
        <v>2891</v>
      </c>
      <c r="I76" s="9" t="s">
        <v>3246</v>
      </c>
      <c r="J76" s="9" t="s">
        <v>2944</v>
      </c>
      <c r="K76" t="s">
        <v>3247</v>
      </c>
      <c r="L76" t="s">
        <v>3248</v>
      </c>
      <c r="M76" s="3" t="str">
        <f>HYPERLINK(склад2въезд14[[#This Row],[RelativePath]])</f>
        <v>2 Пилорама поката\E33149364_7_20251127T145048Z.jpg</v>
      </c>
    </row>
    <row r="77" spans="1:13" x14ac:dyDescent="0.25">
      <c r="A77" s="2" t="s">
        <v>16</v>
      </c>
      <c r="B77" s="4">
        <v>45988</v>
      </c>
      <c r="C77" s="5">
        <v>0.64340277777777777</v>
      </c>
      <c r="D77" s="9" t="s">
        <v>4140</v>
      </c>
      <c r="E77" s="9" t="s">
        <v>4141</v>
      </c>
      <c r="F77" s="9"/>
      <c r="H77" s="9" t="s">
        <v>2891</v>
      </c>
      <c r="I77" s="9" t="s">
        <v>3249</v>
      </c>
      <c r="J77" s="9" t="s">
        <v>2944</v>
      </c>
      <c r="K77" t="s">
        <v>3250</v>
      </c>
      <c r="L77" t="s">
        <v>3251</v>
      </c>
      <c r="M77" s="3" t="str">
        <f>HYPERLINK(склад2въезд14[[#This Row],[RelativePath]])</f>
        <v>2 Пилорама поката\E33149364_7_20251127T152630Z.jpg</v>
      </c>
    </row>
    <row r="78" spans="1:13" x14ac:dyDescent="0.25">
      <c r="A78" s="2" t="s">
        <v>16</v>
      </c>
      <c r="B78" s="4">
        <v>45988</v>
      </c>
      <c r="C78" s="5">
        <v>0.68502314814814813</v>
      </c>
      <c r="D78" s="9" t="s">
        <v>261</v>
      </c>
      <c r="E78" s="9" t="s">
        <v>86</v>
      </c>
      <c r="F78" s="9" t="s">
        <v>3026</v>
      </c>
      <c r="H78" s="9" t="s">
        <v>3027</v>
      </c>
      <c r="I78" s="9" t="s">
        <v>3252</v>
      </c>
      <c r="J78" s="9" t="s">
        <v>2944</v>
      </c>
      <c r="K78" t="s">
        <v>3253</v>
      </c>
      <c r="L78" t="s">
        <v>3254</v>
      </c>
      <c r="M78" s="3" t="str">
        <f>HYPERLINK(склад2въезд14[[#This Row],[RelativePath]])</f>
        <v>2 Пилорама поката\E33149364_7_20251127T162626Z.jpg</v>
      </c>
    </row>
    <row r="79" spans="1:13" x14ac:dyDescent="0.25">
      <c r="A79" s="2" t="s">
        <v>16</v>
      </c>
      <c r="B79" s="4">
        <v>45988</v>
      </c>
      <c r="C79" s="5">
        <v>0.68557870370370366</v>
      </c>
      <c r="D79" s="9" t="s">
        <v>3028</v>
      </c>
      <c r="E79" s="9" t="s">
        <v>86</v>
      </c>
      <c r="F79" s="9" t="s">
        <v>3026</v>
      </c>
      <c r="H79" s="9" t="s">
        <v>3029</v>
      </c>
      <c r="I79" s="9" t="s">
        <v>3255</v>
      </c>
      <c r="J79" s="9" t="s">
        <v>2944</v>
      </c>
      <c r="K79" t="s">
        <v>3256</v>
      </c>
      <c r="L79" t="s">
        <v>3257</v>
      </c>
      <c r="M79" s="3" t="str">
        <f>HYPERLINK(склад2въезд14[[#This Row],[RelativePath]])</f>
        <v>2 Пилорама поката\E33149364_7_20251127T162714Z.jpg</v>
      </c>
    </row>
    <row r="80" spans="1:13" x14ac:dyDescent="0.25">
      <c r="A80" s="2" t="s">
        <v>17</v>
      </c>
      <c r="B80" s="4">
        <v>45989</v>
      </c>
      <c r="C80" s="5">
        <v>0.39405092592592594</v>
      </c>
      <c r="D80" s="9" t="s">
        <v>261</v>
      </c>
      <c r="E80" s="9" t="s">
        <v>86</v>
      </c>
      <c r="F80" s="9" t="s">
        <v>3026</v>
      </c>
      <c r="H80" s="9" t="s">
        <v>3027</v>
      </c>
      <c r="I80" s="9" t="s">
        <v>3258</v>
      </c>
      <c r="J80" s="9" t="s">
        <v>2944</v>
      </c>
      <c r="K80" t="s">
        <v>3259</v>
      </c>
      <c r="L80" t="s">
        <v>3260</v>
      </c>
      <c r="M80" s="3" t="str">
        <f>HYPERLINK(склад2въезд14[[#This Row],[RelativePath]])</f>
        <v>2 Пилорама поката\E33149364_7_20251128T092726Z.jpg</v>
      </c>
    </row>
    <row r="81" spans="1:13" x14ac:dyDescent="0.25">
      <c r="A81" s="2" t="s">
        <v>17</v>
      </c>
      <c r="B81" s="4">
        <v>45989</v>
      </c>
      <c r="C81" s="5">
        <v>0.39444444444444443</v>
      </c>
      <c r="D81" s="9" t="s">
        <v>3028</v>
      </c>
      <c r="E81" s="9" t="s">
        <v>86</v>
      </c>
      <c r="F81" s="9" t="s">
        <v>3026</v>
      </c>
      <c r="H81" s="9" t="s">
        <v>3029</v>
      </c>
      <c r="I81" s="9" t="s">
        <v>3261</v>
      </c>
      <c r="J81" s="9" t="s">
        <v>2944</v>
      </c>
      <c r="K81" t="s">
        <v>3262</v>
      </c>
      <c r="L81" t="s">
        <v>3263</v>
      </c>
      <c r="M81" s="3" t="str">
        <f>HYPERLINK(склад2въезд14[[#This Row],[RelativePath]])</f>
        <v>2 Пилорама поката\E33149364_7_20251128T092800Z.jpg</v>
      </c>
    </row>
    <row r="82" spans="1:13" x14ac:dyDescent="0.25">
      <c r="A82" s="2" t="s">
        <v>17</v>
      </c>
      <c r="B82" s="4">
        <v>45989</v>
      </c>
      <c r="C82" s="5">
        <v>0.40479166666666666</v>
      </c>
      <c r="D82" s="9" t="s">
        <v>261</v>
      </c>
      <c r="E82" s="9" t="s">
        <v>86</v>
      </c>
      <c r="F82" s="9" t="s">
        <v>3026</v>
      </c>
      <c r="H82" s="9" t="s">
        <v>3027</v>
      </c>
      <c r="I82" s="9" t="s">
        <v>3264</v>
      </c>
      <c r="J82" s="9" t="s">
        <v>2944</v>
      </c>
      <c r="K82" t="s">
        <v>3265</v>
      </c>
      <c r="L82" t="s">
        <v>3266</v>
      </c>
      <c r="M82" s="3" t="str">
        <f>HYPERLINK(склад2въезд14[[#This Row],[RelativePath]])</f>
        <v>2 Пилорама поката\E33149364_7_20251128T094254Z.jpg</v>
      </c>
    </row>
    <row r="83" spans="1:13" x14ac:dyDescent="0.25">
      <c r="A83" s="2" t="s">
        <v>17</v>
      </c>
      <c r="B83" s="4">
        <v>45989</v>
      </c>
      <c r="C83" s="5">
        <v>0.40516203703703701</v>
      </c>
      <c r="D83" s="9" t="s">
        <v>3028</v>
      </c>
      <c r="E83" s="9" t="s">
        <v>86</v>
      </c>
      <c r="F83" s="9" t="s">
        <v>3026</v>
      </c>
      <c r="H83" s="9" t="s">
        <v>3029</v>
      </c>
      <c r="I83" s="9" t="s">
        <v>3267</v>
      </c>
      <c r="J83" s="9" t="s">
        <v>2944</v>
      </c>
      <c r="K83" t="s">
        <v>3268</v>
      </c>
      <c r="L83" t="s">
        <v>3269</v>
      </c>
      <c r="M83" s="3" t="str">
        <f>HYPERLINK(склад2въезд14[[#This Row],[RelativePath]])</f>
        <v>2 Пилорама поката\E33149364_7_20251128T094326Z.jpg</v>
      </c>
    </row>
    <row r="84" spans="1:13" x14ac:dyDescent="0.25">
      <c r="A84" s="2" t="s">
        <v>17</v>
      </c>
      <c r="B84" s="4">
        <v>45989</v>
      </c>
      <c r="C84" s="5">
        <v>0.41587962962962965</v>
      </c>
      <c r="D84" s="9" t="s">
        <v>261</v>
      </c>
      <c r="E84" s="9" t="s">
        <v>86</v>
      </c>
      <c r="F84" s="9" t="s">
        <v>3026</v>
      </c>
      <c r="H84" s="9" t="s">
        <v>3027</v>
      </c>
      <c r="I84" s="9" t="s">
        <v>3270</v>
      </c>
      <c r="J84" s="9" t="s">
        <v>2944</v>
      </c>
      <c r="K84" t="s">
        <v>3271</v>
      </c>
      <c r="L84" t="s">
        <v>3272</v>
      </c>
      <c r="M84" s="3" t="str">
        <f>HYPERLINK(склад2въезд14[[#This Row],[RelativePath]])</f>
        <v>2 Пилорама поката\E33149364_7_20251128T095852Z.jpg</v>
      </c>
    </row>
    <row r="85" spans="1:13" x14ac:dyDescent="0.25">
      <c r="A85" s="2" t="s">
        <v>17</v>
      </c>
      <c r="B85" s="4">
        <v>45989</v>
      </c>
      <c r="C85" s="5">
        <v>0.43194444444444446</v>
      </c>
      <c r="D85" s="9" t="s">
        <v>3028</v>
      </c>
      <c r="E85" s="9" t="s">
        <v>86</v>
      </c>
      <c r="F85" s="9" t="s">
        <v>3026</v>
      </c>
      <c r="H85" s="9" t="s">
        <v>3029</v>
      </c>
      <c r="I85" s="9" t="s">
        <v>3273</v>
      </c>
      <c r="J85" s="9" t="s">
        <v>2944</v>
      </c>
      <c r="K85" t="s">
        <v>3274</v>
      </c>
      <c r="L85" t="s">
        <v>3275</v>
      </c>
      <c r="M85" s="3" t="str">
        <f>HYPERLINK(склад2въезд14[[#This Row],[RelativePath]])</f>
        <v>2 Пилорама поката\E33149364_7_20251128T102200Z.jpg</v>
      </c>
    </row>
    <row r="86" spans="1:13" x14ac:dyDescent="0.25">
      <c r="A86" s="2" t="s">
        <v>17</v>
      </c>
      <c r="B86" s="4">
        <v>45989</v>
      </c>
      <c r="C86" s="5">
        <v>0.45557870370370368</v>
      </c>
      <c r="D86" s="9" t="s">
        <v>4143</v>
      </c>
      <c r="E86" s="9" t="s">
        <v>4134</v>
      </c>
      <c r="F86" s="9" t="s">
        <v>51</v>
      </c>
      <c r="H86" s="9"/>
      <c r="I86" s="9" t="s">
        <v>3276</v>
      </c>
      <c r="J86" s="9" t="s">
        <v>2944</v>
      </c>
      <c r="K86" t="s">
        <v>3277</v>
      </c>
      <c r="L86" t="s">
        <v>3278</v>
      </c>
      <c r="M86" s="3" t="str">
        <f>HYPERLINK(склад2въезд14[[#This Row],[RelativePath]])</f>
        <v>2 Пилорама поката\E33149364_7_20251128T105602Z.jpg</v>
      </c>
    </row>
    <row r="87" spans="1:13" x14ac:dyDescent="0.25">
      <c r="A87" s="2" t="s">
        <v>17</v>
      </c>
      <c r="B87" s="4">
        <v>45989</v>
      </c>
      <c r="C87" s="5">
        <v>0.45584490740740741</v>
      </c>
      <c r="D87" s="9" t="s">
        <v>4143</v>
      </c>
      <c r="E87" s="9" t="s">
        <v>4134</v>
      </c>
      <c r="F87" s="9" t="s">
        <v>51</v>
      </c>
      <c r="H87" s="9" t="s">
        <v>2891</v>
      </c>
      <c r="I87" s="9" t="s">
        <v>3279</v>
      </c>
      <c r="J87" s="9" t="s">
        <v>2944</v>
      </c>
      <c r="K87" t="s">
        <v>3280</v>
      </c>
      <c r="L87" t="s">
        <v>3281</v>
      </c>
      <c r="M87" s="3" t="str">
        <f>HYPERLINK(склад2въезд14[[#This Row],[RelativePath]])</f>
        <v>2 Пилорама поката\E33149364_7_20251128T105625Z.jpg</v>
      </c>
    </row>
    <row r="88" spans="1:13" x14ac:dyDescent="0.25">
      <c r="A88" s="2" t="s">
        <v>17</v>
      </c>
      <c r="B88" s="4">
        <v>45989</v>
      </c>
      <c r="C88" s="5">
        <v>0.49850694444444443</v>
      </c>
      <c r="D88" s="9" t="s">
        <v>4143</v>
      </c>
      <c r="E88" s="9" t="s">
        <v>4134</v>
      </c>
      <c r="F88" s="9" t="s">
        <v>51</v>
      </c>
      <c r="H88" s="9" t="s">
        <v>2891</v>
      </c>
      <c r="I88" s="9" t="s">
        <v>3282</v>
      </c>
      <c r="J88" s="9" t="s">
        <v>2944</v>
      </c>
      <c r="K88" t="s">
        <v>3283</v>
      </c>
      <c r="L88" t="s">
        <v>3284</v>
      </c>
      <c r="M88" s="3" t="str">
        <f>HYPERLINK(склад2въезд14[[#This Row],[RelativePath]])</f>
        <v>2 Пилорама поката\E33149364_7_20251128T115751Z.jpg</v>
      </c>
    </row>
    <row r="89" spans="1:13" x14ac:dyDescent="0.25">
      <c r="A89" s="2" t="s">
        <v>17</v>
      </c>
      <c r="B89" s="4">
        <v>45989</v>
      </c>
      <c r="C89" s="5">
        <v>0.50651620370370365</v>
      </c>
      <c r="D89" s="9" t="s">
        <v>4142</v>
      </c>
      <c r="E89" s="9" t="s">
        <v>4134</v>
      </c>
      <c r="F89" s="9"/>
      <c r="H89" s="9"/>
      <c r="I89" s="9" t="s">
        <v>3285</v>
      </c>
      <c r="J89" s="9" t="s">
        <v>2944</v>
      </c>
      <c r="K89" t="s">
        <v>3286</v>
      </c>
      <c r="L89" t="s">
        <v>3287</v>
      </c>
      <c r="M89" s="3" t="str">
        <f>HYPERLINK(склад2въезд14[[#This Row],[RelativePath]])</f>
        <v>2 Пилорама поката\E33149364_7_20251128T120923Z.jpg</v>
      </c>
    </row>
    <row r="90" spans="1:13" x14ac:dyDescent="0.25">
      <c r="A90" s="2" t="s">
        <v>18</v>
      </c>
      <c r="B90" s="4">
        <v>45990</v>
      </c>
      <c r="C90" s="5">
        <v>0.7224652777777778</v>
      </c>
      <c r="D90" s="9" t="s">
        <v>4</v>
      </c>
      <c r="E90" s="9" t="s">
        <v>8</v>
      </c>
      <c r="F90" s="9"/>
      <c r="H90" s="9" t="s">
        <v>3033</v>
      </c>
      <c r="I90" s="9" t="s">
        <v>3288</v>
      </c>
      <c r="J90" s="9" t="s">
        <v>2944</v>
      </c>
      <c r="K90" t="s">
        <v>3289</v>
      </c>
      <c r="L90" t="s">
        <v>3290</v>
      </c>
      <c r="M90" s="3" t="str">
        <f>HYPERLINK(склад2въезд14[[#This Row],[RelativePath]])</f>
        <v>2 Пилорама поката\E33149364_7_20251129T172021Z.jpg</v>
      </c>
    </row>
    <row r="91" spans="1:13" x14ac:dyDescent="0.25">
      <c r="A91" s="2" t="s">
        <v>22</v>
      </c>
      <c r="B91" s="4">
        <v>45991</v>
      </c>
      <c r="C91" s="5">
        <v>0.48660879629629628</v>
      </c>
      <c r="D91" s="9" t="s">
        <v>1967</v>
      </c>
      <c r="E91" s="9"/>
      <c r="F91" s="9"/>
      <c r="H91" s="9"/>
      <c r="I91" s="9" t="s">
        <v>4199</v>
      </c>
      <c r="J91" s="9" t="s">
        <v>2944</v>
      </c>
      <c r="K91" t="s">
        <v>4200</v>
      </c>
      <c r="L91" t="s">
        <v>4201</v>
      </c>
      <c r="M91" s="3" t="str">
        <f>HYPERLINK(склад2въезд14[[#This Row],[RelativePath]])</f>
        <v>2 Пилорама поката\E33149364_7_20251130T114043Z.jpg</v>
      </c>
    </row>
    <row r="92" spans="1:13" x14ac:dyDescent="0.25">
      <c r="A92" s="2" t="s">
        <v>13</v>
      </c>
      <c r="B92" s="4">
        <v>45992</v>
      </c>
      <c r="C92" s="5">
        <v>0.40438657407407408</v>
      </c>
      <c r="D92" s="9" t="s">
        <v>5012</v>
      </c>
      <c r="E92" s="9" t="s">
        <v>1570</v>
      </c>
      <c r="F92" s="9" t="s">
        <v>5013</v>
      </c>
      <c r="H92" s="9" t="s">
        <v>5014</v>
      </c>
      <c r="I92" s="9" t="s">
        <v>4239</v>
      </c>
      <c r="J92" s="9" t="s">
        <v>2944</v>
      </c>
      <c r="K92" t="s">
        <v>4240</v>
      </c>
      <c r="L92" t="s">
        <v>4241</v>
      </c>
      <c r="M92" s="3" t="str">
        <f>HYPERLINK(склад2въезд14[[#This Row],[RelativePath]])</f>
        <v>2 Пилорама поката\E33149364_7_20251201T094219Z.jpg</v>
      </c>
    </row>
    <row r="93" spans="1:13" x14ac:dyDescent="0.25">
      <c r="A93" s="2" t="s">
        <v>13</v>
      </c>
      <c r="B93" s="4">
        <v>45992</v>
      </c>
      <c r="C93" s="5">
        <v>0.41398148148148151</v>
      </c>
      <c r="D93" s="9" t="s">
        <v>5015</v>
      </c>
      <c r="E93" s="9" t="s">
        <v>86</v>
      </c>
      <c r="F93" s="9" t="s">
        <v>3026</v>
      </c>
      <c r="H93" s="9" t="s">
        <v>5016</v>
      </c>
      <c r="I93" s="9" t="s">
        <v>4242</v>
      </c>
      <c r="J93" s="9" t="s">
        <v>2944</v>
      </c>
      <c r="K93" t="s">
        <v>4243</v>
      </c>
      <c r="L93" t="s">
        <v>4244</v>
      </c>
      <c r="M93" s="3" t="str">
        <f>HYPERLINK(склад2въезд14[[#This Row],[RelativePath]])</f>
        <v>2 Пилорама поката\E33149364_7_20251201T095608Z.jpg</v>
      </c>
    </row>
    <row r="94" spans="1:13" x14ac:dyDescent="0.25">
      <c r="A94" s="2" t="s">
        <v>13</v>
      </c>
      <c r="B94" s="4">
        <v>45992</v>
      </c>
      <c r="C94" s="5">
        <v>0.43004629629629632</v>
      </c>
      <c r="D94" s="9" t="s">
        <v>4</v>
      </c>
      <c r="E94" s="9" t="s">
        <v>86</v>
      </c>
      <c r="F94" s="9" t="s">
        <v>51</v>
      </c>
      <c r="H94" s="9"/>
      <c r="I94" s="9" t="s">
        <v>4245</v>
      </c>
      <c r="J94" s="9" t="s">
        <v>2944</v>
      </c>
      <c r="K94" t="s">
        <v>4246</v>
      </c>
      <c r="L94" t="s">
        <v>4247</v>
      </c>
      <c r="M94" s="3" t="str">
        <f>HYPERLINK(склад2въезд14[[#This Row],[RelativePath]])</f>
        <v>2 Пилорама поката\E33149364_7_20251201T101916Z.jpg</v>
      </c>
    </row>
    <row r="95" spans="1:13" x14ac:dyDescent="0.25">
      <c r="A95" s="2" t="s">
        <v>13</v>
      </c>
      <c r="B95" s="4">
        <v>45992</v>
      </c>
      <c r="C95" s="5">
        <v>0.4418287037037037</v>
      </c>
      <c r="D95" s="9" t="s">
        <v>4</v>
      </c>
      <c r="E95" s="9" t="s">
        <v>86</v>
      </c>
      <c r="F95" s="9" t="s">
        <v>2893</v>
      </c>
      <c r="H95" s="9"/>
      <c r="I95" s="9" t="s">
        <v>4248</v>
      </c>
      <c r="J95" s="9" t="s">
        <v>2944</v>
      </c>
      <c r="K95" t="s">
        <v>4249</v>
      </c>
      <c r="L95" t="s">
        <v>4250</v>
      </c>
      <c r="M95" s="3" t="str">
        <f>HYPERLINK(склад2въезд14[[#This Row],[RelativePath]])</f>
        <v>2 Пилорама поката\E33149364_7_20251201T103614Z.jpg</v>
      </c>
    </row>
    <row r="96" spans="1:13" x14ac:dyDescent="0.25">
      <c r="A96" s="2" t="s">
        <v>13</v>
      </c>
      <c r="B96" s="4">
        <v>45992</v>
      </c>
      <c r="C96" s="5">
        <v>0.44217592592592592</v>
      </c>
      <c r="D96" s="9" t="s">
        <v>5015</v>
      </c>
      <c r="E96" s="9" t="s">
        <v>86</v>
      </c>
      <c r="F96" s="9" t="s">
        <v>2893</v>
      </c>
      <c r="H96" s="9" t="s">
        <v>5016</v>
      </c>
      <c r="I96" s="9" t="s">
        <v>4251</v>
      </c>
      <c r="J96" s="9" t="s">
        <v>2944</v>
      </c>
      <c r="K96" t="s">
        <v>4252</v>
      </c>
      <c r="L96" t="s">
        <v>4253</v>
      </c>
      <c r="M96" s="3" t="str">
        <f>HYPERLINK(склад2въезд14[[#This Row],[RelativePath]])</f>
        <v>2 Пилорама поката\E33149364_7_20251201T103644Z.jpg</v>
      </c>
    </row>
    <row r="97" spans="1:13" x14ac:dyDescent="0.25">
      <c r="A97" s="2" t="s">
        <v>13</v>
      </c>
      <c r="B97" s="4">
        <v>45992</v>
      </c>
      <c r="C97" s="5">
        <v>0.4924189814814815</v>
      </c>
      <c r="D97" s="9" t="s">
        <v>4</v>
      </c>
      <c r="E97" s="9" t="s">
        <v>86</v>
      </c>
      <c r="F97" s="9" t="s">
        <v>5017</v>
      </c>
      <c r="H97" s="9" t="s">
        <v>5018</v>
      </c>
      <c r="I97" s="9" t="s">
        <v>4254</v>
      </c>
      <c r="J97" s="9" t="s">
        <v>2944</v>
      </c>
      <c r="K97" t="s">
        <v>4255</v>
      </c>
      <c r="L97" t="s">
        <v>4256</v>
      </c>
      <c r="M97" s="3" t="str">
        <f>HYPERLINK(склад2въезд14[[#This Row],[RelativePath]])</f>
        <v>2 Пилорама поката\E33149364_7_20251201T114905Z.jpg</v>
      </c>
    </row>
    <row r="98" spans="1:13" x14ac:dyDescent="0.25">
      <c r="A98" s="2" t="s">
        <v>13</v>
      </c>
      <c r="B98" s="4">
        <v>45992</v>
      </c>
      <c r="C98" s="5">
        <v>0.4931828703703704</v>
      </c>
      <c r="D98" s="9" t="s">
        <v>4</v>
      </c>
      <c r="E98" s="9" t="s">
        <v>8</v>
      </c>
      <c r="F98" s="9"/>
      <c r="H98" s="9"/>
      <c r="I98" s="9" t="s">
        <v>4258</v>
      </c>
      <c r="J98" s="9" t="s">
        <v>2944</v>
      </c>
      <c r="K98" t="s">
        <v>4259</v>
      </c>
      <c r="L98" t="s">
        <v>4260</v>
      </c>
      <c r="M98" s="3" t="str">
        <f>HYPERLINK(склад2въезд14[[#This Row],[RelativePath]])</f>
        <v>2 Пилорама поката\E33149364_7_20251201T115011Z.jpg</v>
      </c>
    </row>
    <row r="99" spans="1:13" x14ac:dyDescent="0.25">
      <c r="A99" s="2" t="s">
        <v>13</v>
      </c>
      <c r="B99" s="4">
        <v>45992</v>
      </c>
      <c r="C99" s="5">
        <v>0.50033564814814813</v>
      </c>
      <c r="D99" s="9" t="s">
        <v>158</v>
      </c>
      <c r="E99" s="9" t="s">
        <v>86</v>
      </c>
      <c r="F99" s="9" t="s">
        <v>60</v>
      </c>
      <c r="G99">
        <v>2</v>
      </c>
      <c r="H99" s="9" t="s">
        <v>3030</v>
      </c>
      <c r="I99" s="9" t="s">
        <v>4261</v>
      </c>
      <c r="J99" s="9" t="s">
        <v>2944</v>
      </c>
      <c r="K99" t="s">
        <v>4262</v>
      </c>
      <c r="L99" t="s">
        <v>4263</v>
      </c>
      <c r="M99" s="3" t="str">
        <f>HYPERLINK(склад2въезд14[[#This Row],[RelativePath]])</f>
        <v>2 Пилорама поката\E33149364_7_20251201T120029Z.jpg</v>
      </c>
    </row>
    <row r="100" spans="1:13" x14ac:dyDescent="0.25">
      <c r="A100" s="2" t="s">
        <v>13</v>
      </c>
      <c r="B100" s="4">
        <v>45992</v>
      </c>
      <c r="C100" s="5">
        <v>0.50459490740740742</v>
      </c>
      <c r="D100" s="9" t="s">
        <v>158</v>
      </c>
      <c r="E100" s="9" t="s">
        <v>86</v>
      </c>
      <c r="F100" s="9" t="s">
        <v>60</v>
      </c>
      <c r="G100">
        <v>1</v>
      </c>
      <c r="H100" s="9" t="s">
        <v>3030</v>
      </c>
      <c r="I100" s="9" t="s">
        <v>4264</v>
      </c>
      <c r="J100" s="9" t="s">
        <v>2944</v>
      </c>
      <c r="K100" t="s">
        <v>4265</v>
      </c>
      <c r="L100" t="s">
        <v>4266</v>
      </c>
      <c r="M100" s="3" t="str">
        <f>HYPERLINK(склад2въезд14[[#This Row],[RelativePath]])</f>
        <v>2 Пилорама поката\E33149364_7_20251201T120637Z.jpg</v>
      </c>
    </row>
    <row r="101" spans="1:13" x14ac:dyDescent="0.25">
      <c r="A101" s="2" t="s">
        <v>13</v>
      </c>
      <c r="B101" s="4">
        <v>45992</v>
      </c>
      <c r="C101" s="5">
        <v>0.51089120370370367</v>
      </c>
      <c r="D101" s="9" t="s">
        <v>158</v>
      </c>
      <c r="E101" s="9" t="s">
        <v>86</v>
      </c>
      <c r="F101" s="9" t="s">
        <v>60</v>
      </c>
      <c r="G101">
        <v>2</v>
      </c>
      <c r="H101" s="9" t="s">
        <v>3030</v>
      </c>
      <c r="I101" s="9" t="s">
        <v>4267</v>
      </c>
      <c r="J101" s="9" t="s">
        <v>2944</v>
      </c>
      <c r="K101" t="s">
        <v>4268</v>
      </c>
      <c r="L101" t="s">
        <v>4269</v>
      </c>
      <c r="M101" s="3" t="str">
        <f>HYPERLINK(склад2въезд14[[#This Row],[RelativePath]])</f>
        <v>2 Пилорама поката\E33149364_7_20251201T121541Z.jpg</v>
      </c>
    </row>
    <row r="102" spans="1:13" x14ac:dyDescent="0.25">
      <c r="A102" s="2" t="s">
        <v>13</v>
      </c>
      <c r="B102" s="4">
        <v>45992</v>
      </c>
      <c r="C102" s="5">
        <v>0.61046296296296299</v>
      </c>
      <c r="D102" s="9" t="s">
        <v>158</v>
      </c>
      <c r="E102" s="9" t="s">
        <v>86</v>
      </c>
      <c r="F102" s="9" t="s">
        <v>200</v>
      </c>
      <c r="G102">
        <v>2</v>
      </c>
      <c r="H102" s="9" t="s">
        <v>3030</v>
      </c>
      <c r="I102" s="9" t="s">
        <v>4270</v>
      </c>
      <c r="J102" s="9" t="s">
        <v>2944</v>
      </c>
      <c r="K102" t="s">
        <v>4271</v>
      </c>
      <c r="L102" t="s">
        <v>4272</v>
      </c>
      <c r="M102" s="3" t="str">
        <f>HYPERLINK(склад2въезд14[[#This Row],[RelativePath]])</f>
        <v>2 Пилорама поката\E33149364_7_20251201T143904Z.jpg</v>
      </c>
    </row>
    <row r="103" spans="1:13" x14ac:dyDescent="0.25">
      <c r="A103" s="2" t="s">
        <v>13</v>
      </c>
      <c r="B103" s="4">
        <v>45992</v>
      </c>
      <c r="C103" s="5">
        <v>0.61878472222222225</v>
      </c>
      <c r="D103" s="9" t="s">
        <v>158</v>
      </c>
      <c r="E103" s="9" t="s">
        <v>86</v>
      </c>
      <c r="F103" s="9" t="s">
        <v>200</v>
      </c>
      <c r="G103">
        <v>4</v>
      </c>
      <c r="H103" s="9" t="s">
        <v>3030</v>
      </c>
      <c r="I103" s="9" t="s">
        <v>4273</v>
      </c>
      <c r="J103" s="9" t="s">
        <v>2944</v>
      </c>
      <c r="K103" t="s">
        <v>4274</v>
      </c>
      <c r="L103" t="s">
        <v>4275</v>
      </c>
      <c r="M103" s="3" t="str">
        <f>HYPERLINK(склад2въезд14[[#This Row],[RelativePath]])</f>
        <v>2 Пилорама поката\E33149364_7_20251201T145103Z.jpg</v>
      </c>
    </row>
    <row r="104" spans="1:13" x14ac:dyDescent="0.25">
      <c r="A104" s="2" t="s">
        <v>13</v>
      </c>
      <c r="B104" s="4">
        <v>45992</v>
      </c>
      <c r="C104" s="5">
        <v>0.64337962962962958</v>
      </c>
      <c r="D104" s="9" t="s">
        <v>158</v>
      </c>
      <c r="E104" s="9" t="s">
        <v>86</v>
      </c>
      <c r="F104" s="9" t="s">
        <v>200</v>
      </c>
      <c r="G104">
        <v>4</v>
      </c>
      <c r="H104" s="9" t="s">
        <v>3030</v>
      </c>
      <c r="I104" s="9" t="s">
        <v>4276</v>
      </c>
      <c r="J104" s="9" t="s">
        <v>2944</v>
      </c>
      <c r="K104" t="s">
        <v>4277</v>
      </c>
      <c r="L104" t="s">
        <v>4278</v>
      </c>
      <c r="M104" s="3" t="str">
        <f>HYPERLINK(склад2въезд14[[#This Row],[RelativePath]])</f>
        <v>2 Пилорама поката\E33149364_7_20251201T152628Z.jpg</v>
      </c>
    </row>
    <row r="105" spans="1:13" x14ac:dyDescent="0.25">
      <c r="A105" s="2" t="s">
        <v>14</v>
      </c>
      <c r="B105" s="4">
        <v>45993</v>
      </c>
      <c r="C105" s="5">
        <v>0.40924768518518517</v>
      </c>
      <c r="D105" s="9" t="s">
        <v>158</v>
      </c>
      <c r="E105" s="9" t="s">
        <v>86</v>
      </c>
      <c r="F105" s="9" t="s">
        <v>200</v>
      </c>
      <c r="G105">
        <v>1</v>
      </c>
      <c r="H105" s="9" t="s">
        <v>3030</v>
      </c>
      <c r="I105" s="9" t="s">
        <v>4279</v>
      </c>
      <c r="J105" s="9" t="s">
        <v>2944</v>
      </c>
      <c r="K105" t="s">
        <v>4280</v>
      </c>
      <c r="L105" t="s">
        <v>4281</v>
      </c>
      <c r="M105" s="3" t="str">
        <f>HYPERLINK(склад2въезд14[[#This Row],[RelativePath]])</f>
        <v>2 Пилорама поката\E33149364_7_20251202T094919Z.jpg</v>
      </c>
    </row>
    <row r="106" spans="1:13" x14ac:dyDescent="0.25">
      <c r="A106" s="2" t="s">
        <v>14</v>
      </c>
      <c r="B106" s="4">
        <v>45993</v>
      </c>
      <c r="C106" s="5">
        <v>0.5259490740740741</v>
      </c>
      <c r="D106" s="9" t="s">
        <v>158</v>
      </c>
      <c r="E106" s="9" t="s">
        <v>86</v>
      </c>
      <c r="F106" s="9" t="s">
        <v>5019</v>
      </c>
      <c r="G106">
        <v>3</v>
      </c>
      <c r="H106" s="9" t="s">
        <v>3030</v>
      </c>
      <c r="I106" s="9" t="s">
        <v>4282</v>
      </c>
      <c r="J106" s="9" t="s">
        <v>2944</v>
      </c>
      <c r="K106" t="s">
        <v>4283</v>
      </c>
      <c r="L106" t="s">
        <v>4284</v>
      </c>
      <c r="M106" s="3" t="str">
        <f>HYPERLINK(склад2въезд14[[#This Row],[RelativePath]])</f>
        <v>2 Пилорама поката\E33149364_7_20251202T123722Z.jpg</v>
      </c>
    </row>
    <row r="107" spans="1:13" x14ac:dyDescent="0.25">
      <c r="A107" s="2" t="s">
        <v>14</v>
      </c>
      <c r="B107" s="4">
        <v>45993</v>
      </c>
      <c r="C107" s="5">
        <v>0.63435185185185183</v>
      </c>
      <c r="D107" s="9" t="s">
        <v>158</v>
      </c>
      <c r="E107" s="9" t="s">
        <v>86</v>
      </c>
      <c r="F107" s="9" t="s">
        <v>5019</v>
      </c>
      <c r="G107">
        <v>3</v>
      </c>
      <c r="H107" s="9" t="s">
        <v>3030</v>
      </c>
      <c r="I107" s="9" t="s">
        <v>4285</v>
      </c>
      <c r="J107" s="9" t="s">
        <v>2944</v>
      </c>
      <c r="K107" t="s">
        <v>4286</v>
      </c>
      <c r="L107" t="s">
        <v>4287</v>
      </c>
      <c r="M107" s="3" t="str">
        <f>HYPERLINK(склад2въезд14[[#This Row],[RelativePath]])</f>
        <v>2 Пилорама поката\E33149364_7_20251202T151328Z.jpg</v>
      </c>
    </row>
    <row r="108" spans="1:13" x14ac:dyDescent="0.25">
      <c r="A108" s="2" t="s">
        <v>14</v>
      </c>
      <c r="B108" s="4">
        <v>45993</v>
      </c>
      <c r="C108" s="5">
        <v>0.64623842592592595</v>
      </c>
      <c r="D108" s="9" t="s">
        <v>158</v>
      </c>
      <c r="E108" s="9" t="s">
        <v>86</v>
      </c>
      <c r="F108" s="9" t="s">
        <v>5019</v>
      </c>
      <c r="G108">
        <v>3</v>
      </c>
      <c r="H108" s="9" t="s">
        <v>3030</v>
      </c>
      <c r="I108" s="9" t="s">
        <v>4288</v>
      </c>
      <c r="J108" s="9" t="s">
        <v>2944</v>
      </c>
      <c r="K108" t="s">
        <v>4289</v>
      </c>
      <c r="L108" t="s">
        <v>4290</v>
      </c>
      <c r="M108" s="3" t="str">
        <f>HYPERLINK(склад2въезд14[[#This Row],[RelativePath]])</f>
        <v>2 Пилорама поката\E33149364_7_20251202T153035Z.jpg</v>
      </c>
    </row>
    <row r="109" spans="1:13" x14ac:dyDescent="0.25">
      <c r="A109" s="2" t="s">
        <v>14</v>
      </c>
      <c r="B109" s="4">
        <v>45993</v>
      </c>
      <c r="C109" s="5">
        <v>0.65961805555555553</v>
      </c>
      <c r="D109" s="9" t="s">
        <v>4162</v>
      </c>
      <c r="E109" s="9" t="s">
        <v>86</v>
      </c>
      <c r="F109" s="9" t="s">
        <v>4181</v>
      </c>
      <c r="H109" s="9" t="s">
        <v>4177</v>
      </c>
      <c r="I109" s="9" t="s">
        <v>4291</v>
      </c>
      <c r="J109" s="9" t="s">
        <v>2944</v>
      </c>
      <c r="K109" t="s">
        <v>4292</v>
      </c>
      <c r="L109" t="s">
        <v>4293</v>
      </c>
      <c r="M109" s="3" t="str">
        <f>HYPERLINK(склад2въезд14[[#This Row],[RelativePath]])</f>
        <v>2 Пилорама поката\E33149364_7_20251202T154951Z.jpg</v>
      </c>
    </row>
    <row r="110" spans="1:13" x14ac:dyDescent="0.25">
      <c r="A110" s="2" t="s">
        <v>14</v>
      </c>
      <c r="B110" s="4">
        <v>45993</v>
      </c>
      <c r="C110" s="5">
        <v>0.65982638888888889</v>
      </c>
      <c r="D110" s="9" t="s">
        <v>4162</v>
      </c>
      <c r="E110" s="9" t="s">
        <v>86</v>
      </c>
      <c r="F110" s="9" t="s">
        <v>4181</v>
      </c>
      <c r="H110" s="9" t="s">
        <v>2891</v>
      </c>
      <c r="I110" s="9" t="s">
        <v>4294</v>
      </c>
      <c r="J110" s="9" t="s">
        <v>2944</v>
      </c>
      <c r="K110" t="s">
        <v>4295</v>
      </c>
      <c r="L110" t="s">
        <v>4296</v>
      </c>
      <c r="M110" s="3" t="str">
        <f>HYPERLINK(склад2въезд14[[#This Row],[RelativePath]])</f>
        <v>2 Пилорама поката\E33149364_7_20251202T155009Z.jpg</v>
      </c>
    </row>
    <row r="111" spans="1:13" x14ac:dyDescent="0.25">
      <c r="A111" s="2" t="s">
        <v>15</v>
      </c>
      <c r="B111" s="4">
        <v>45994</v>
      </c>
      <c r="C111" s="5">
        <v>0.37923611111111111</v>
      </c>
      <c r="D111" s="9" t="s">
        <v>158</v>
      </c>
      <c r="E111" s="9" t="s">
        <v>86</v>
      </c>
      <c r="F111" s="9" t="s">
        <v>5019</v>
      </c>
      <c r="G111">
        <v>3</v>
      </c>
      <c r="H111" s="9" t="s">
        <v>3030</v>
      </c>
      <c r="I111" s="9" t="s">
        <v>4297</v>
      </c>
      <c r="J111" s="9" t="s">
        <v>2944</v>
      </c>
      <c r="K111" t="s">
        <v>4298</v>
      </c>
      <c r="L111" t="s">
        <v>4299</v>
      </c>
      <c r="M111" s="3" t="str">
        <f>HYPERLINK(склад2въезд14[[#This Row],[RelativePath]])</f>
        <v>2 Пилорама поката\E33149364_7_20251203T090606Z.jpg</v>
      </c>
    </row>
    <row r="112" spans="1:13" x14ac:dyDescent="0.25">
      <c r="A112" s="2" t="s">
        <v>15</v>
      </c>
      <c r="B112" s="4">
        <v>45994</v>
      </c>
      <c r="C112" s="5">
        <v>0.40377314814814813</v>
      </c>
      <c r="D112" s="9" t="s">
        <v>158</v>
      </c>
      <c r="E112" s="9" t="s">
        <v>86</v>
      </c>
      <c r="F112" s="9" t="s">
        <v>200</v>
      </c>
      <c r="G112">
        <v>2</v>
      </c>
      <c r="H112" s="9" t="s">
        <v>3030</v>
      </c>
      <c r="I112" s="9" t="s">
        <v>4300</v>
      </c>
      <c r="J112" s="9" t="s">
        <v>2944</v>
      </c>
      <c r="K112" t="s">
        <v>4301</v>
      </c>
      <c r="L112" t="s">
        <v>4302</v>
      </c>
      <c r="M112" s="3" t="str">
        <f>HYPERLINK(склад2въезд14[[#This Row],[RelativePath]])</f>
        <v>2 Пилорама поката\E33149364_7_20251203T094126Z.jpg</v>
      </c>
    </row>
    <row r="113" spans="1:13" x14ac:dyDescent="0.25">
      <c r="A113" s="2" t="s">
        <v>15</v>
      </c>
      <c r="B113" s="4">
        <v>45994</v>
      </c>
      <c r="C113" s="5">
        <v>0.44018518518518518</v>
      </c>
      <c r="D113" s="9" t="s">
        <v>158</v>
      </c>
      <c r="E113" s="9" t="s">
        <v>86</v>
      </c>
      <c r="F113" s="9" t="s">
        <v>200</v>
      </c>
      <c r="G113">
        <v>5</v>
      </c>
      <c r="H113" s="9" t="s">
        <v>3030</v>
      </c>
      <c r="I113" s="9" t="s">
        <v>4303</v>
      </c>
      <c r="J113" s="9" t="s">
        <v>2944</v>
      </c>
      <c r="K113" t="s">
        <v>4304</v>
      </c>
      <c r="L113" t="s">
        <v>4305</v>
      </c>
      <c r="M113" s="3" t="str">
        <f>HYPERLINK(склад2въезд14[[#This Row],[RelativePath]])</f>
        <v>2 Пилорама поката\E33149364_7_20251203T103352Z.jpg</v>
      </c>
    </row>
    <row r="114" spans="1:13" x14ac:dyDescent="0.25">
      <c r="A114" s="2" t="s">
        <v>15</v>
      </c>
      <c r="B114" s="4">
        <v>45994</v>
      </c>
      <c r="C114" s="5">
        <v>0.52025462962962965</v>
      </c>
      <c r="D114" s="9" t="s">
        <v>158</v>
      </c>
      <c r="E114" s="9" t="s">
        <v>86</v>
      </c>
      <c r="F114" s="9" t="s">
        <v>200</v>
      </c>
      <c r="G114">
        <v>4</v>
      </c>
      <c r="H114" s="9" t="s">
        <v>3030</v>
      </c>
      <c r="I114" s="9" t="s">
        <v>4306</v>
      </c>
      <c r="J114" s="9" t="s">
        <v>2944</v>
      </c>
      <c r="K114" t="s">
        <v>4307</v>
      </c>
      <c r="L114" t="s">
        <v>4308</v>
      </c>
      <c r="M114" s="3" t="str">
        <f>HYPERLINK(склад2въезд14[[#This Row],[RelativePath]])</f>
        <v>2 Пилорама поката\E33149364_7_20251203T122910Z.jpg</v>
      </c>
    </row>
    <row r="115" spans="1:13" x14ac:dyDescent="0.25">
      <c r="A115" s="2" t="s">
        <v>15</v>
      </c>
      <c r="B115" s="4">
        <v>45994</v>
      </c>
      <c r="C115" s="5">
        <v>0.52848379629629627</v>
      </c>
      <c r="D115" s="9" t="s">
        <v>158</v>
      </c>
      <c r="E115" s="9" t="s">
        <v>86</v>
      </c>
      <c r="F115" s="9" t="s">
        <v>200</v>
      </c>
      <c r="G115">
        <v>4</v>
      </c>
      <c r="H115" s="9" t="s">
        <v>3030</v>
      </c>
      <c r="I115" s="9" t="s">
        <v>4309</v>
      </c>
      <c r="J115" s="9" t="s">
        <v>2944</v>
      </c>
      <c r="K115" t="s">
        <v>4310</v>
      </c>
      <c r="L115" t="s">
        <v>4311</v>
      </c>
      <c r="M115" s="3" t="str">
        <f>HYPERLINK(склад2въезд14[[#This Row],[RelativePath]])</f>
        <v>2 Пилорама поката\E33149364_7_20251203T124101Z.jpg</v>
      </c>
    </row>
    <row r="116" spans="1:13" x14ac:dyDescent="0.25">
      <c r="A116" s="2" t="s">
        <v>16</v>
      </c>
      <c r="B116" s="4">
        <v>45995</v>
      </c>
      <c r="C116" s="5">
        <v>0.65629629629629627</v>
      </c>
      <c r="D116" s="9" t="s">
        <v>158</v>
      </c>
      <c r="E116" s="9" t="s">
        <v>86</v>
      </c>
      <c r="F116" s="9" t="s">
        <v>60</v>
      </c>
      <c r="G116">
        <v>2</v>
      </c>
      <c r="H116" s="9" t="s">
        <v>3030</v>
      </c>
      <c r="I116" s="9" t="s">
        <v>4312</v>
      </c>
      <c r="J116" s="9" t="s">
        <v>2944</v>
      </c>
      <c r="K116" t="s">
        <v>4313</v>
      </c>
      <c r="L116" t="s">
        <v>4314</v>
      </c>
      <c r="M116" s="3" t="str">
        <f>HYPERLINK(склад2въезд14[[#This Row],[RelativePath]])</f>
        <v>2 Пилорама поката\E33149364_7_20251204T154504Z.jpg</v>
      </c>
    </row>
    <row r="117" spans="1:13" x14ac:dyDescent="0.25">
      <c r="A117" s="2" t="s">
        <v>16</v>
      </c>
      <c r="B117" s="4">
        <v>45995</v>
      </c>
      <c r="C117" s="5">
        <v>0.66488425925925931</v>
      </c>
      <c r="D117" s="9" t="s">
        <v>158</v>
      </c>
      <c r="E117" s="9" t="s">
        <v>86</v>
      </c>
      <c r="F117" s="9" t="s">
        <v>200</v>
      </c>
      <c r="G117">
        <v>1</v>
      </c>
      <c r="H117" s="9" t="s">
        <v>3030</v>
      </c>
      <c r="I117" s="9" t="s">
        <v>4315</v>
      </c>
      <c r="J117" s="9" t="s">
        <v>2944</v>
      </c>
      <c r="K117" t="s">
        <v>4316</v>
      </c>
      <c r="L117" t="s">
        <v>4317</v>
      </c>
      <c r="M117" s="3" t="str">
        <f>HYPERLINK(склад2въезд14[[#This Row],[RelativePath]])</f>
        <v>2 Пилорама поката\E33149364_7_20251204T155726Z.jpg</v>
      </c>
    </row>
    <row r="118" spans="1:13" x14ac:dyDescent="0.25">
      <c r="A118" s="2" t="s">
        <v>17</v>
      </c>
      <c r="B118" s="4">
        <v>45996</v>
      </c>
      <c r="C118" s="5">
        <v>0.38974537037037038</v>
      </c>
      <c r="D118" s="9" t="s">
        <v>4162</v>
      </c>
      <c r="E118" s="9" t="s">
        <v>86</v>
      </c>
      <c r="F118" s="9" t="s">
        <v>2893</v>
      </c>
      <c r="H118" s="9" t="s">
        <v>4177</v>
      </c>
      <c r="I118" s="9" t="s">
        <v>4318</v>
      </c>
      <c r="J118" s="9" t="s">
        <v>2944</v>
      </c>
      <c r="K118" t="s">
        <v>4319</v>
      </c>
      <c r="L118" t="s">
        <v>4320</v>
      </c>
      <c r="M118" s="3" t="str">
        <f>HYPERLINK(склад2въезд14[[#This Row],[RelativePath]])</f>
        <v>2 Пилорама поката\E33149364_7_20251205T092114Z.jpg</v>
      </c>
    </row>
    <row r="119" spans="1:13" x14ac:dyDescent="0.25">
      <c r="A119" s="2" t="s">
        <v>17</v>
      </c>
      <c r="B119" s="4">
        <v>45996</v>
      </c>
      <c r="C119" s="5">
        <v>0.39002314814814815</v>
      </c>
      <c r="D119" s="9" t="s">
        <v>4162</v>
      </c>
      <c r="E119" s="9" t="s">
        <v>86</v>
      </c>
      <c r="F119" s="9" t="s">
        <v>2893</v>
      </c>
      <c r="H119" s="9" t="s">
        <v>2891</v>
      </c>
      <c r="I119" s="9" t="s">
        <v>4321</v>
      </c>
      <c r="J119" s="9" t="s">
        <v>2944</v>
      </c>
      <c r="K119" t="s">
        <v>4322</v>
      </c>
      <c r="L119" t="s">
        <v>4323</v>
      </c>
      <c r="M119" s="3" t="str">
        <f>HYPERLINK(склад2въезд14[[#This Row],[RelativePath]])</f>
        <v>2 Пилорама поката\E33149364_7_20251205T092138Z.jpg</v>
      </c>
    </row>
    <row r="120" spans="1:13" x14ac:dyDescent="0.25">
      <c r="A120" s="2" t="s">
        <v>17</v>
      </c>
      <c r="B120" s="4">
        <v>45996</v>
      </c>
      <c r="C120" s="5">
        <v>0.51715277777777779</v>
      </c>
      <c r="D120" s="9" t="s">
        <v>158</v>
      </c>
      <c r="E120" s="9" t="s">
        <v>86</v>
      </c>
      <c r="F120" s="9" t="s">
        <v>200</v>
      </c>
      <c r="G120">
        <v>4</v>
      </c>
      <c r="H120" s="9" t="s">
        <v>3030</v>
      </c>
      <c r="I120" s="9" t="s">
        <v>4324</v>
      </c>
      <c r="J120" s="9" t="s">
        <v>2944</v>
      </c>
      <c r="K120" t="s">
        <v>4325</v>
      </c>
      <c r="L120" t="s">
        <v>4326</v>
      </c>
      <c r="M120" s="3" t="str">
        <f>HYPERLINK(склад2въезд14[[#This Row],[RelativePath]])</f>
        <v>2 Пилорама поката\E33149364_7_20251205T122442Z.jpg</v>
      </c>
    </row>
    <row r="121" spans="1:13" x14ac:dyDescent="0.25">
      <c r="A121" s="2" t="s">
        <v>17</v>
      </c>
      <c r="B121" s="4">
        <v>45996</v>
      </c>
      <c r="C121" s="5">
        <v>0.52350694444444446</v>
      </c>
      <c r="D121" s="9" t="s">
        <v>158</v>
      </c>
      <c r="E121" s="9" t="s">
        <v>86</v>
      </c>
      <c r="F121" s="9" t="s">
        <v>200</v>
      </c>
      <c r="G121">
        <v>3</v>
      </c>
      <c r="H121" s="9" t="s">
        <v>3030</v>
      </c>
      <c r="I121" s="9" t="s">
        <v>4327</v>
      </c>
      <c r="J121" s="9" t="s">
        <v>2944</v>
      </c>
      <c r="K121" t="s">
        <v>4328</v>
      </c>
      <c r="L121" t="s">
        <v>4329</v>
      </c>
      <c r="M121" s="3" t="str">
        <f>HYPERLINK(склад2въезд14[[#This Row],[RelativePath]])</f>
        <v>2 Пилорама поката\E33149364_7_20251205T123351Z.jpg</v>
      </c>
    </row>
    <row r="122" spans="1:13" x14ac:dyDescent="0.25">
      <c r="A122" s="2" t="s">
        <v>17</v>
      </c>
      <c r="B122" s="4">
        <v>45996</v>
      </c>
      <c r="C122" s="5">
        <v>0.60083333333333333</v>
      </c>
      <c r="D122" s="9" t="s">
        <v>158</v>
      </c>
      <c r="E122" s="9" t="s">
        <v>86</v>
      </c>
      <c r="F122" s="9" t="s">
        <v>200</v>
      </c>
      <c r="G122">
        <v>2</v>
      </c>
      <c r="H122" s="9" t="s">
        <v>3030</v>
      </c>
      <c r="I122" s="9" t="s">
        <v>4330</v>
      </c>
      <c r="J122" s="9" t="s">
        <v>2944</v>
      </c>
      <c r="K122" t="s">
        <v>4331</v>
      </c>
      <c r="L122" t="s">
        <v>4332</v>
      </c>
      <c r="M122" s="3" t="str">
        <f>HYPERLINK(склад2въезд14[[#This Row],[RelativePath]])</f>
        <v>2 Пилорама поката\E33149364_7_20251205T142512Z.jpg</v>
      </c>
    </row>
    <row r="123" spans="1:13" x14ac:dyDescent="0.25">
      <c r="A123" s="2" t="s">
        <v>17</v>
      </c>
      <c r="B123" s="4">
        <v>45996</v>
      </c>
      <c r="C123" s="5">
        <v>0.60820601851851852</v>
      </c>
      <c r="D123" s="9" t="s">
        <v>158</v>
      </c>
      <c r="E123" s="9" t="s">
        <v>86</v>
      </c>
      <c r="F123" s="9" t="s">
        <v>200</v>
      </c>
      <c r="G123">
        <v>3</v>
      </c>
      <c r="H123" s="9" t="s">
        <v>3030</v>
      </c>
      <c r="I123" s="9" t="s">
        <v>4333</v>
      </c>
      <c r="J123" s="9" t="s">
        <v>2944</v>
      </c>
      <c r="K123" t="s">
        <v>4334</v>
      </c>
      <c r="L123" t="s">
        <v>4335</v>
      </c>
      <c r="M123" s="3" t="str">
        <f>HYPERLINK(склад2въезд14[[#This Row],[RelativePath]])</f>
        <v>2 Пилорама поката\E33149364_7_20251205T143549Z.jpg</v>
      </c>
    </row>
    <row r="124" spans="1:13" x14ac:dyDescent="0.25">
      <c r="A124" s="2" t="s">
        <v>17</v>
      </c>
      <c r="B124" s="4">
        <v>45996</v>
      </c>
      <c r="C124" s="5">
        <v>0.61489583333333331</v>
      </c>
      <c r="D124" s="9" t="s">
        <v>158</v>
      </c>
      <c r="E124" s="9" t="s">
        <v>86</v>
      </c>
      <c r="F124" s="9" t="s">
        <v>200</v>
      </c>
      <c r="G124">
        <v>4</v>
      </c>
      <c r="H124" s="9" t="s">
        <v>3030</v>
      </c>
      <c r="I124" s="9" t="s">
        <v>4336</v>
      </c>
      <c r="J124" s="9" t="s">
        <v>2944</v>
      </c>
      <c r="K124" t="s">
        <v>4337</v>
      </c>
      <c r="L124" t="s">
        <v>4338</v>
      </c>
      <c r="M124" s="3" t="str">
        <f>HYPERLINK(склад2въезд14[[#This Row],[RelativePath]])</f>
        <v>2 Пилорама поката\E33149364_7_20251205T144527Z.jpg</v>
      </c>
    </row>
    <row r="125" spans="1:13" x14ac:dyDescent="0.25">
      <c r="A125" s="2" t="s">
        <v>18</v>
      </c>
      <c r="B125" s="4">
        <v>45997</v>
      </c>
      <c r="C125" s="5">
        <v>0.51355324074074071</v>
      </c>
      <c r="D125" s="9" t="s">
        <v>1967</v>
      </c>
      <c r="E125" s="9"/>
      <c r="F125" s="9"/>
      <c r="H125" s="9"/>
      <c r="I125" s="9" t="s">
        <v>4339</v>
      </c>
      <c r="J125" s="9" t="s">
        <v>2944</v>
      </c>
      <c r="K125" t="s">
        <v>4340</v>
      </c>
      <c r="L125" t="s">
        <v>4341</v>
      </c>
      <c r="M125" s="3" t="str">
        <f>HYPERLINK(склад2въезд14[[#This Row],[RelativePath]])</f>
        <v>2 Пилорама поката\E33149364_7_20251206T121931Z.jpg</v>
      </c>
    </row>
    <row r="126" spans="1:13" x14ac:dyDescent="0.25">
      <c r="A126" s="2" t="s">
        <v>22</v>
      </c>
      <c r="B126" s="4">
        <v>45998</v>
      </c>
      <c r="C126" s="5">
        <v>0.72687500000000005</v>
      </c>
      <c r="D126" s="9" t="s">
        <v>1967</v>
      </c>
      <c r="E126" s="9"/>
      <c r="F126" s="9"/>
      <c r="H126" s="9"/>
      <c r="I126" s="9" t="s">
        <v>5129</v>
      </c>
      <c r="J126" s="9" t="s">
        <v>2944</v>
      </c>
      <c r="K126" t="s">
        <v>5130</v>
      </c>
      <c r="L126" t="s">
        <v>5131</v>
      </c>
      <c r="M126" s="3" t="str">
        <f>HYPERLINK(склад2въезд14[[#This Row],[RelativePath]])</f>
        <v>2 Пилорама поката\E33149364_7_20251207T172642Z.jpg</v>
      </c>
    </row>
    <row r="127" spans="1:13" x14ac:dyDescent="0.25">
      <c r="A127" s="2" t="s">
        <v>13</v>
      </c>
      <c r="B127" s="4">
        <v>45999</v>
      </c>
      <c r="C127" s="5">
        <v>0.59916666666666663</v>
      </c>
      <c r="D127" s="9" t="s">
        <v>4</v>
      </c>
      <c r="E127" s="9" t="s">
        <v>4134</v>
      </c>
      <c r="F127" s="9" t="s">
        <v>5010</v>
      </c>
      <c r="H127" s="9"/>
      <c r="I127" s="9" t="s">
        <v>5213</v>
      </c>
      <c r="J127" s="9" t="s">
        <v>2944</v>
      </c>
      <c r="K127" t="s">
        <v>5214</v>
      </c>
      <c r="L127" t="s">
        <v>5215</v>
      </c>
      <c r="M127" s="3" t="str">
        <f>HYPERLINK(склад2въезд14[[#This Row],[RelativePath]])</f>
        <v>2 Пилорама поката\E33149364_7_20251208T142248Z.jpg</v>
      </c>
    </row>
    <row r="128" spans="1:13" x14ac:dyDescent="0.25">
      <c r="A128" s="2" t="s">
        <v>13</v>
      </c>
      <c r="B128" s="4">
        <v>45999</v>
      </c>
      <c r="C128" s="5">
        <v>0.6244791666666667</v>
      </c>
      <c r="D128" s="9" t="s">
        <v>4</v>
      </c>
      <c r="E128" s="9" t="s">
        <v>4134</v>
      </c>
      <c r="F128" s="9" t="s">
        <v>5010</v>
      </c>
      <c r="H128" s="9" t="s">
        <v>5405</v>
      </c>
      <c r="I128" s="9" t="s">
        <v>5202</v>
      </c>
      <c r="J128" s="9" t="s">
        <v>2944</v>
      </c>
      <c r="K128" t="s">
        <v>5203</v>
      </c>
      <c r="L128" t="s">
        <v>5204</v>
      </c>
      <c r="M128" s="3" t="str">
        <f>HYPERLINK(склад2въезд14[[#This Row],[RelativePath]])</f>
        <v>2 Пилорама поката\E33149364_7_20251208T145915Z.jpg</v>
      </c>
    </row>
    <row r="129" spans="1:13" x14ac:dyDescent="0.25">
      <c r="A129" s="2" t="s">
        <v>13</v>
      </c>
      <c r="B129" s="4">
        <v>45999</v>
      </c>
      <c r="C129" s="5">
        <v>0.63473379629629634</v>
      </c>
      <c r="D129" s="9" t="s">
        <v>158</v>
      </c>
      <c r="E129" s="9" t="s">
        <v>86</v>
      </c>
      <c r="F129" s="9" t="s">
        <v>200</v>
      </c>
      <c r="G129">
        <v>3</v>
      </c>
      <c r="H129" s="9" t="s">
        <v>3030</v>
      </c>
      <c r="I129" s="9" t="s">
        <v>5216</v>
      </c>
      <c r="J129" s="9" t="s">
        <v>2944</v>
      </c>
      <c r="K129" t="s">
        <v>5217</v>
      </c>
      <c r="L129" t="s">
        <v>5218</v>
      </c>
      <c r="M129" s="3" t="str">
        <f>HYPERLINK(склад2въезд14[[#This Row],[RelativePath]])</f>
        <v>2 Пилорама поката\E33149364_7_20251208T151401Z.jpg</v>
      </c>
    </row>
    <row r="130" spans="1:13" x14ac:dyDescent="0.25">
      <c r="A130" s="2" t="s">
        <v>13</v>
      </c>
      <c r="B130" s="4">
        <v>45999</v>
      </c>
      <c r="C130" s="5">
        <v>0.64184027777777775</v>
      </c>
      <c r="D130" s="9" t="s">
        <v>158</v>
      </c>
      <c r="E130" s="9" t="s">
        <v>86</v>
      </c>
      <c r="F130" s="9" t="s">
        <v>200</v>
      </c>
      <c r="G130">
        <v>4</v>
      </c>
      <c r="H130" s="9" t="s">
        <v>3030</v>
      </c>
      <c r="I130" s="9" t="s">
        <v>5219</v>
      </c>
      <c r="J130" s="9" t="s">
        <v>2944</v>
      </c>
      <c r="K130" t="s">
        <v>5220</v>
      </c>
      <c r="L130" t="s">
        <v>5221</v>
      </c>
      <c r="M130" s="3" t="str">
        <f>HYPERLINK(склад2въезд14[[#This Row],[RelativePath]])</f>
        <v>2 Пилорама поката\E33149364_7_20251208T152415Z.jpg</v>
      </c>
    </row>
    <row r="131" spans="1:13" x14ac:dyDescent="0.25">
      <c r="A131" s="2" t="s">
        <v>13</v>
      </c>
      <c r="B131" s="4">
        <v>45999</v>
      </c>
      <c r="C131" s="5">
        <v>0.66174768518518523</v>
      </c>
      <c r="D131" s="9" t="s">
        <v>4</v>
      </c>
      <c r="E131" s="9" t="s">
        <v>5406</v>
      </c>
      <c r="F131" s="9" t="s">
        <v>5010</v>
      </c>
      <c r="H131" s="9" t="s">
        <v>5405</v>
      </c>
      <c r="I131" s="9" t="s">
        <v>5222</v>
      </c>
      <c r="J131" s="9" t="s">
        <v>2944</v>
      </c>
      <c r="K131" t="s">
        <v>5223</v>
      </c>
      <c r="L131" t="s">
        <v>5224</v>
      </c>
      <c r="M131" s="3" t="str">
        <f>HYPERLINK(склад2въезд14[[#This Row],[RelativePath]])</f>
        <v>2 Пилорама поката\E33149364_7_20251208T155255Z.jpg</v>
      </c>
    </row>
    <row r="132" spans="1:13" x14ac:dyDescent="0.25">
      <c r="A132" s="2" t="s">
        <v>13</v>
      </c>
      <c r="B132" s="4">
        <v>45999</v>
      </c>
      <c r="C132" s="5">
        <v>0.72633101851851856</v>
      </c>
      <c r="D132" s="9" t="s">
        <v>4</v>
      </c>
      <c r="E132" s="9" t="s">
        <v>8</v>
      </c>
      <c r="F132" s="9"/>
      <c r="H132" s="9"/>
      <c r="I132" s="9" t="s">
        <v>5225</v>
      </c>
      <c r="J132" s="9" t="s">
        <v>2944</v>
      </c>
      <c r="K132" t="s">
        <v>5226</v>
      </c>
      <c r="L132" t="s">
        <v>5227</v>
      </c>
      <c r="M132" s="3" t="str">
        <f>HYPERLINK(склад2въезд14[[#This Row],[RelativePath]])</f>
        <v>2 Пилорама поката\E33149364_7_20251208T172555Z.jpg</v>
      </c>
    </row>
    <row r="133" spans="1:13" x14ac:dyDescent="0.25">
      <c r="A133" s="2" t="s">
        <v>14</v>
      </c>
      <c r="B133" s="4">
        <v>46000</v>
      </c>
      <c r="C133" s="5">
        <v>0.42149305555555555</v>
      </c>
      <c r="D133" s="9" t="s">
        <v>4139</v>
      </c>
      <c r="E133" s="9" t="s">
        <v>86</v>
      </c>
      <c r="F133" s="9" t="s">
        <v>6091</v>
      </c>
      <c r="H133" s="9"/>
      <c r="I133" s="9" t="s">
        <v>5437</v>
      </c>
      <c r="J133" s="9" t="s">
        <v>2944</v>
      </c>
      <c r="K133" t="s">
        <v>5438</v>
      </c>
      <c r="L133" t="s">
        <v>5439</v>
      </c>
      <c r="M133" s="3" t="str">
        <f>HYPERLINK(склад2въезд14[[#This Row],[RelativePath]])</f>
        <v>2 Пилорама поката\E33149364_7_20251209T100657Z.jpg</v>
      </c>
    </row>
    <row r="134" spans="1:13" x14ac:dyDescent="0.25">
      <c r="A134" s="2" t="s">
        <v>14</v>
      </c>
      <c r="B134" s="4">
        <v>46000</v>
      </c>
      <c r="C134" s="5">
        <v>0.43395833333333333</v>
      </c>
      <c r="D134" s="9" t="s">
        <v>1569</v>
      </c>
      <c r="E134" s="9" t="s">
        <v>4134</v>
      </c>
      <c r="F134" s="9" t="s">
        <v>5010</v>
      </c>
      <c r="H134" s="9"/>
      <c r="I134" s="9" t="s">
        <v>5440</v>
      </c>
      <c r="J134" s="9" t="s">
        <v>2944</v>
      </c>
      <c r="K134" t="s">
        <v>5441</v>
      </c>
      <c r="L134" t="s">
        <v>5442</v>
      </c>
      <c r="M134" s="3" t="str">
        <f>HYPERLINK(склад2въезд14[[#This Row],[RelativePath]])</f>
        <v>2 Пилорама поката\E33149364_7_20251209T102454Z.jpg</v>
      </c>
    </row>
    <row r="135" spans="1:13" x14ac:dyDescent="0.25">
      <c r="A135" s="2" t="s">
        <v>14</v>
      </c>
      <c r="B135" s="4">
        <v>46000</v>
      </c>
      <c r="C135" s="5">
        <v>0.43410879629629628</v>
      </c>
      <c r="D135" s="9" t="s">
        <v>6092</v>
      </c>
      <c r="E135" s="9" t="s">
        <v>4134</v>
      </c>
      <c r="F135" s="9" t="s">
        <v>5010</v>
      </c>
      <c r="H135" s="9" t="s">
        <v>5405</v>
      </c>
      <c r="I135" s="9" t="s">
        <v>5443</v>
      </c>
      <c r="J135" s="9" t="s">
        <v>2944</v>
      </c>
      <c r="K135" t="s">
        <v>5444</v>
      </c>
      <c r="L135" t="s">
        <v>5445</v>
      </c>
      <c r="M135" s="3" t="str">
        <f>HYPERLINK(склад2въезд14[[#This Row],[RelativePath]])</f>
        <v>2 Пилорама поката\E33149364_7_20251209T102507Z.jpg</v>
      </c>
    </row>
    <row r="136" spans="1:13" x14ac:dyDescent="0.25">
      <c r="A136" s="2" t="s">
        <v>14</v>
      </c>
      <c r="B136" s="4">
        <v>46000</v>
      </c>
      <c r="C136" s="5">
        <v>0.63540509259259259</v>
      </c>
      <c r="D136" s="9" t="s">
        <v>1569</v>
      </c>
      <c r="E136" s="9" t="s">
        <v>4134</v>
      </c>
      <c r="F136" s="9" t="s">
        <v>5010</v>
      </c>
      <c r="H136" s="9"/>
      <c r="I136" s="9" t="s">
        <v>5446</v>
      </c>
      <c r="J136" s="9" t="s">
        <v>2944</v>
      </c>
      <c r="K136" t="s">
        <v>5447</v>
      </c>
      <c r="L136" t="s">
        <v>5448</v>
      </c>
      <c r="M136" s="3" t="str">
        <f>HYPERLINK(склад2въезд14[[#This Row],[RelativePath]])</f>
        <v>2 Пилорама поката\E33149364_7_20251209T151459Z.jpg</v>
      </c>
    </row>
    <row r="137" spans="1:13" x14ac:dyDescent="0.25">
      <c r="A137" s="2" t="s">
        <v>14</v>
      </c>
      <c r="B137" s="4">
        <v>46000</v>
      </c>
      <c r="C137" s="5">
        <v>0.6868171296296296</v>
      </c>
      <c r="D137" s="9" t="s">
        <v>6092</v>
      </c>
      <c r="E137" s="9" t="s">
        <v>4134</v>
      </c>
      <c r="F137" s="9" t="s">
        <v>5010</v>
      </c>
      <c r="H137" s="9" t="s">
        <v>5405</v>
      </c>
      <c r="I137" s="9" t="s">
        <v>5449</v>
      </c>
      <c r="J137" s="9" t="s">
        <v>2944</v>
      </c>
      <c r="K137" t="s">
        <v>5450</v>
      </c>
      <c r="L137" t="s">
        <v>5451</v>
      </c>
      <c r="M137" s="3" t="str">
        <f>HYPERLINK(склад2въезд14[[#This Row],[RelativePath]])</f>
        <v>2 Пилорама поката\E33149364_7_20251209T162901Z.jpg</v>
      </c>
    </row>
    <row r="138" spans="1:13" x14ac:dyDescent="0.25">
      <c r="A138" s="2" t="s">
        <v>15</v>
      </c>
      <c r="B138" s="4">
        <v>46001</v>
      </c>
      <c r="C138" s="5">
        <v>0.37682870370370369</v>
      </c>
      <c r="D138" s="9" t="s">
        <v>4139</v>
      </c>
      <c r="E138" s="9" t="s">
        <v>86</v>
      </c>
      <c r="F138" s="9" t="s">
        <v>2899</v>
      </c>
      <c r="H138" s="9"/>
      <c r="I138" s="9" t="s">
        <v>5452</v>
      </c>
      <c r="J138" s="9" t="s">
        <v>2944</v>
      </c>
      <c r="K138" t="s">
        <v>5453</v>
      </c>
      <c r="L138" t="s">
        <v>5454</v>
      </c>
      <c r="M138" s="3" t="str">
        <f>HYPERLINK(склад2въезд14[[#This Row],[RelativePath]])</f>
        <v>2 Пилорама поката\E33149364_7_20251210T090238Z.jpg</v>
      </c>
    </row>
    <row r="139" spans="1:13" x14ac:dyDescent="0.25">
      <c r="A139" s="2" t="s">
        <v>15</v>
      </c>
      <c r="B139" s="4">
        <v>46001</v>
      </c>
      <c r="C139" s="5">
        <v>0.37695601851851851</v>
      </c>
      <c r="D139" s="9" t="s">
        <v>4139</v>
      </c>
      <c r="E139" s="9" t="s">
        <v>86</v>
      </c>
      <c r="F139" s="9" t="s">
        <v>2899</v>
      </c>
      <c r="H139" s="9" t="s">
        <v>2891</v>
      </c>
      <c r="I139" s="9" t="s">
        <v>5455</v>
      </c>
      <c r="J139" s="9" t="s">
        <v>2944</v>
      </c>
      <c r="K139" t="s">
        <v>5456</v>
      </c>
      <c r="L139" t="s">
        <v>5457</v>
      </c>
      <c r="M139" s="3" t="str">
        <f>HYPERLINK(склад2въезд14[[#This Row],[RelativePath]])</f>
        <v>2 Пилорама поката\E33149364_7_20251210T090249Z.jpg</v>
      </c>
    </row>
    <row r="140" spans="1:13" x14ac:dyDescent="0.25">
      <c r="A140" s="2" t="s">
        <v>15</v>
      </c>
      <c r="B140" s="4">
        <v>46001</v>
      </c>
      <c r="C140" s="5">
        <v>0.3828125</v>
      </c>
      <c r="D140" s="9" t="s">
        <v>4139</v>
      </c>
      <c r="E140" s="9" t="s">
        <v>86</v>
      </c>
      <c r="F140" s="9" t="s">
        <v>500</v>
      </c>
      <c r="H140" s="9"/>
      <c r="I140" s="9" t="s">
        <v>5458</v>
      </c>
      <c r="J140" s="9" t="s">
        <v>2944</v>
      </c>
      <c r="K140" t="s">
        <v>5459</v>
      </c>
      <c r="L140" t="s">
        <v>5460</v>
      </c>
      <c r="M140" s="3" t="str">
        <f>HYPERLINK(склад2въезд14[[#This Row],[RelativePath]])</f>
        <v>2 Пилорама поката\E33149364_7_20251210T091115Z.jpg</v>
      </c>
    </row>
    <row r="141" spans="1:13" x14ac:dyDescent="0.25">
      <c r="A141" s="2" t="s">
        <v>15</v>
      </c>
      <c r="B141" s="4">
        <v>46001</v>
      </c>
      <c r="C141" s="5">
        <v>0.3830439814814815</v>
      </c>
      <c r="D141" s="9" t="s">
        <v>4139</v>
      </c>
      <c r="E141" s="9" t="s">
        <v>86</v>
      </c>
      <c r="F141" s="9" t="s">
        <v>500</v>
      </c>
      <c r="H141" s="9" t="s">
        <v>2891</v>
      </c>
      <c r="I141" s="9" t="s">
        <v>5461</v>
      </c>
      <c r="J141" s="9" t="s">
        <v>2944</v>
      </c>
      <c r="K141" t="s">
        <v>5462</v>
      </c>
      <c r="L141" t="s">
        <v>5463</v>
      </c>
      <c r="M141" s="3" t="str">
        <f>HYPERLINK(склад2въезд14[[#This Row],[RelativePath]])</f>
        <v>2 Пилорама поката\E33149364_7_20251210T091135Z.jpg</v>
      </c>
    </row>
    <row r="142" spans="1:13" x14ac:dyDescent="0.25">
      <c r="A142" s="2" t="s">
        <v>15</v>
      </c>
      <c r="B142" s="4">
        <v>46001</v>
      </c>
      <c r="C142" s="5">
        <v>0.53289351851851852</v>
      </c>
      <c r="D142" s="9" t="s">
        <v>1569</v>
      </c>
      <c r="E142" s="9" t="s">
        <v>4134</v>
      </c>
      <c r="F142" s="9" t="s">
        <v>5010</v>
      </c>
      <c r="H142" s="9"/>
      <c r="I142" s="9" t="s">
        <v>5464</v>
      </c>
      <c r="J142" s="9" t="s">
        <v>2944</v>
      </c>
      <c r="K142" t="s">
        <v>5465</v>
      </c>
      <c r="L142" t="s">
        <v>5466</v>
      </c>
      <c r="M142" s="3" t="str">
        <f>HYPERLINK(склад2въезд14[[#This Row],[RelativePath]])</f>
        <v>2 Пилорама поката\E33149364_7_20251210T124722Z.jpg</v>
      </c>
    </row>
    <row r="143" spans="1:13" x14ac:dyDescent="0.25">
      <c r="A143" s="2" t="s">
        <v>15</v>
      </c>
      <c r="B143" s="4">
        <v>46001</v>
      </c>
      <c r="C143" s="5">
        <v>0.57746527777777779</v>
      </c>
      <c r="D143" s="9" t="s">
        <v>6092</v>
      </c>
      <c r="E143" s="9" t="s">
        <v>4134</v>
      </c>
      <c r="F143" s="9" t="s">
        <v>5010</v>
      </c>
      <c r="H143" s="9" t="s">
        <v>5405</v>
      </c>
      <c r="I143" s="9" t="s">
        <v>5467</v>
      </c>
      <c r="J143" s="9" t="s">
        <v>2944</v>
      </c>
      <c r="K143" t="s">
        <v>5468</v>
      </c>
      <c r="L143" t="s">
        <v>5469</v>
      </c>
      <c r="M143" s="3" t="str">
        <f>HYPERLINK(склад2въезд14[[#This Row],[RelativePath]])</f>
        <v>2 Пилорама поката\E33149364_7_20251210T135133Z.jpg</v>
      </c>
    </row>
    <row r="144" spans="1:13" x14ac:dyDescent="0.25">
      <c r="A144" s="2" t="s">
        <v>16</v>
      </c>
      <c r="B144" s="4">
        <v>46002</v>
      </c>
      <c r="C144" s="5">
        <v>0.62288194444444445</v>
      </c>
      <c r="D144" s="9" t="s">
        <v>4</v>
      </c>
      <c r="E144" s="9" t="s">
        <v>8</v>
      </c>
      <c r="F144" s="9"/>
      <c r="H144" s="9"/>
      <c r="I144" s="9" t="s">
        <v>5728</v>
      </c>
      <c r="J144" s="9" t="s">
        <v>2944</v>
      </c>
      <c r="K144" t="s">
        <v>5729</v>
      </c>
      <c r="L144" t="s">
        <v>5730</v>
      </c>
      <c r="M144" s="3" t="str">
        <f>HYPERLINK(склад2въезд14[[#This Row],[RelativePath]])</f>
        <v>2 Пилорама поката\E33149364_7_20251211T145657Z.jpg</v>
      </c>
    </row>
    <row r="145" spans="1:13" x14ac:dyDescent="0.25">
      <c r="A145" s="2" t="s">
        <v>17</v>
      </c>
      <c r="B145" s="4">
        <v>46003</v>
      </c>
      <c r="C145" s="5">
        <v>0.44298611111111114</v>
      </c>
      <c r="D145" s="9" t="s">
        <v>4139</v>
      </c>
      <c r="E145" s="9" t="s">
        <v>86</v>
      </c>
      <c r="F145" s="9" t="s">
        <v>6093</v>
      </c>
      <c r="H145" s="9"/>
      <c r="I145" s="9" t="s">
        <v>5731</v>
      </c>
      <c r="J145" s="9" t="s">
        <v>2944</v>
      </c>
      <c r="K145" t="s">
        <v>5732</v>
      </c>
      <c r="L145" t="s">
        <v>5733</v>
      </c>
      <c r="M145" s="3" t="str">
        <f>HYPERLINK(склад2въезд14[[#This Row],[RelativePath]])</f>
        <v>2 Пилорама поката\E33149364_7_20251212T103754Z.jpg</v>
      </c>
    </row>
    <row r="146" spans="1:13" x14ac:dyDescent="0.25">
      <c r="A146" s="2" t="s">
        <v>17</v>
      </c>
      <c r="B146" s="4">
        <v>46003</v>
      </c>
      <c r="C146" s="5">
        <v>0.4594212962962963</v>
      </c>
      <c r="D146" s="9" t="s">
        <v>158</v>
      </c>
      <c r="E146" s="9" t="s">
        <v>86</v>
      </c>
      <c r="F146" s="9" t="s">
        <v>200</v>
      </c>
      <c r="G146">
        <v>3</v>
      </c>
      <c r="H146" s="9" t="s">
        <v>3030</v>
      </c>
      <c r="I146" s="9" t="s">
        <v>5734</v>
      </c>
      <c r="J146" s="9" t="s">
        <v>2944</v>
      </c>
      <c r="K146" t="s">
        <v>5735</v>
      </c>
      <c r="L146" t="s">
        <v>5736</v>
      </c>
      <c r="M146" s="3" t="str">
        <f>HYPERLINK(склад2въезд14[[#This Row],[RelativePath]])</f>
        <v>2 Пилорама поката\E33149364_7_20251212T110134Z.jpg</v>
      </c>
    </row>
    <row r="147" spans="1:13" x14ac:dyDescent="0.25">
      <c r="A147" s="2" t="s">
        <v>17</v>
      </c>
      <c r="B147" s="4">
        <v>46003</v>
      </c>
      <c r="C147" s="5">
        <v>0.47104166666666669</v>
      </c>
      <c r="D147" s="9" t="s">
        <v>158</v>
      </c>
      <c r="E147" s="9" t="s">
        <v>86</v>
      </c>
      <c r="F147" s="9" t="s">
        <v>200</v>
      </c>
      <c r="G147">
        <v>4</v>
      </c>
      <c r="H147" s="9" t="s">
        <v>3030</v>
      </c>
      <c r="I147" s="9" t="s">
        <v>5737</v>
      </c>
      <c r="J147" s="9" t="s">
        <v>2944</v>
      </c>
      <c r="K147" t="s">
        <v>5738</v>
      </c>
      <c r="L147" t="s">
        <v>5739</v>
      </c>
      <c r="M147" s="3" t="str">
        <f>HYPERLINK(склад2въезд14[[#This Row],[RelativePath]])</f>
        <v>2 Пилорама поката\E33149364_7_20251212T111818Z.jpg</v>
      </c>
    </row>
    <row r="148" spans="1:13" x14ac:dyDescent="0.25">
      <c r="A148" s="2" t="s">
        <v>17</v>
      </c>
      <c r="B148" s="4">
        <v>46003</v>
      </c>
      <c r="C148" s="5">
        <v>0.47760416666666666</v>
      </c>
      <c r="D148" s="9" t="s">
        <v>158</v>
      </c>
      <c r="E148" s="9" t="s">
        <v>86</v>
      </c>
      <c r="F148" s="9" t="s">
        <v>60</v>
      </c>
      <c r="G148">
        <v>2</v>
      </c>
      <c r="H148" s="9" t="s">
        <v>3030</v>
      </c>
      <c r="I148" s="9" t="s">
        <v>5740</v>
      </c>
      <c r="J148" s="9" t="s">
        <v>2944</v>
      </c>
      <c r="K148" t="s">
        <v>5741</v>
      </c>
      <c r="L148" t="s">
        <v>5742</v>
      </c>
      <c r="M148" s="3" t="str">
        <f>HYPERLINK(склад2въезд14[[#This Row],[RelativePath]])</f>
        <v>2 Пилорама поката\E33149364_7_20251212T112745Z.jpg</v>
      </c>
    </row>
    <row r="149" spans="1:13" x14ac:dyDescent="0.25">
      <c r="A149" s="2" t="s">
        <v>17</v>
      </c>
      <c r="B149" s="4">
        <v>46003</v>
      </c>
      <c r="C149" s="5">
        <v>0.4820949074074074</v>
      </c>
      <c r="D149" s="9" t="s">
        <v>158</v>
      </c>
      <c r="E149" s="9" t="s">
        <v>86</v>
      </c>
      <c r="F149" s="9" t="s">
        <v>200</v>
      </c>
      <c r="G149">
        <v>2</v>
      </c>
      <c r="H149" s="9" t="s">
        <v>3030</v>
      </c>
      <c r="I149" s="9" t="s">
        <v>5743</v>
      </c>
      <c r="J149" s="9" t="s">
        <v>2944</v>
      </c>
      <c r="K149" t="s">
        <v>5744</v>
      </c>
      <c r="L149" t="s">
        <v>5745</v>
      </c>
      <c r="M149" s="3" t="str">
        <f>HYPERLINK(склад2въезд14[[#This Row],[RelativePath]])</f>
        <v>2 Пилорама поката\E33149364_7_20251212T113413Z.jpg</v>
      </c>
    </row>
    <row r="150" spans="1:13" x14ac:dyDescent="0.25">
      <c r="A150" s="2" t="s">
        <v>17</v>
      </c>
      <c r="B150" s="4">
        <v>46003</v>
      </c>
      <c r="C150" s="5">
        <v>0.48931712962962964</v>
      </c>
      <c r="D150" s="9" t="s">
        <v>158</v>
      </c>
      <c r="E150" s="9" t="s">
        <v>86</v>
      </c>
      <c r="F150" s="9" t="s">
        <v>60</v>
      </c>
      <c r="G150">
        <v>3</v>
      </c>
      <c r="H150" s="9" t="s">
        <v>3030</v>
      </c>
      <c r="I150" s="9" t="s">
        <v>5746</v>
      </c>
      <c r="J150" s="9" t="s">
        <v>2944</v>
      </c>
      <c r="K150" t="s">
        <v>5747</v>
      </c>
      <c r="L150" t="s">
        <v>5748</v>
      </c>
      <c r="M150" s="3" t="str">
        <f>HYPERLINK(склад2въезд14[[#This Row],[RelativePath]])</f>
        <v>2 Пилорама поката\E33149364_7_20251212T114437Z.jpg</v>
      </c>
    </row>
    <row r="151" spans="1:13" x14ac:dyDescent="0.25">
      <c r="A151" s="2" t="s">
        <v>17</v>
      </c>
      <c r="B151" s="4">
        <v>46003</v>
      </c>
      <c r="C151" s="5">
        <v>0.50577546296296294</v>
      </c>
      <c r="D151" s="9" t="s">
        <v>158</v>
      </c>
      <c r="E151" s="9" t="s">
        <v>86</v>
      </c>
      <c r="F151" s="9" t="s">
        <v>60</v>
      </c>
      <c r="G151">
        <v>3</v>
      </c>
      <c r="H151" s="9" t="s">
        <v>3030</v>
      </c>
      <c r="I151" s="9" t="s">
        <v>5749</v>
      </c>
      <c r="J151" s="9" t="s">
        <v>2944</v>
      </c>
      <c r="K151" t="s">
        <v>5750</v>
      </c>
      <c r="L151" t="s">
        <v>5751</v>
      </c>
      <c r="M151" s="3" t="str">
        <f>HYPERLINK(склад2въезд14[[#This Row],[RelativePath]])</f>
        <v>2 Пилорама поката\E33149364_7_20251212T120819Z.jpg</v>
      </c>
    </row>
    <row r="152" spans="1:13" x14ac:dyDescent="0.25">
      <c r="A152" s="2" t="s">
        <v>17</v>
      </c>
      <c r="B152" s="4">
        <v>46003</v>
      </c>
      <c r="C152" s="5">
        <v>0.51458333333333328</v>
      </c>
      <c r="D152" s="9" t="s">
        <v>158</v>
      </c>
      <c r="E152" s="9" t="s">
        <v>86</v>
      </c>
      <c r="F152" s="9" t="s">
        <v>200</v>
      </c>
      <c r="G152">
        <v>2</v>
      </c>
      <c r="H152" s="9" t="s">
        <v>3030</v>
      </c>
      <c r="I152" s="9" t="s">
        <v>5752</v>
      </c>
      <c r="J152" s="9" t="s">
        <v>2944</v>
      </c>
      <c r="K152" t="s">
        <v>5753</v>
      </c>
      <c r="L152" t="s">
        <v>5754</v>
      </c>
      <c r="M152" s="3" t="str">
        <f>HYPERLINK(склад2въезд14[[#This Row],[RelativePath]])</f>
        <v>2 Пилорама поката\E33149364_7_20251212T122100Z.jpg</v>
      </c>
    </row>
    <row r="153" spans="1:13" x14ac:dyDescent="0.25">
      <c r="A153" s="2" t="s">
        <v>18</v>
      </c>
      <c r="B153" s="4">
        <v>46004</v>
      </c>
      <c r="C153" s="5">
        <v>0.73241898148148143</v>
      </c>
      <c r="D153" s="9" t="s">
        <v>1967</v>
      </c>
      <c r="E153" s="9" t="s">
        <v>8</v>
      </c>
      <c r="F153" s="9"/>
      <c r="H153" s="9"/>
      <c r="I153" s="9" t="s">
        <v>5944</v>
      </c>
      <c r="J153" s="9" t="s">
        <v>2944</v>
      </c>
      <c r="K153" t="s">
        <v>5945</v>
      </c>
      <c r="L153" t="s">
        <v>5946</v>
      </c>
      <c r="M153" s="3" t="str">
        <f>HYPERLINK(склад2въезд14[[#This Row],[RelativePath]])</f>
        <v>2 Пилорама поката\E33149364_7_20251213T173441Z.jpg</v>
      </c>
    </row>
    <row r="154" spans="1:13" x14ac:dyDescent="0.25">
      <c r="A154" s="2" t="s">
        <v>22</v>
      </c>
      <c r="B154" s="4">
        <v>46005</v>
      </c>
      <c r="C154" s="5">
        <v>0.73868055555555556</v>
      </c>
      <c r="D154" s="9" t="s">
        <v>1967</v>
      </c>
      <c r="E154" s="9" t="s">
        <v>8</v>
      </c>
      <c r="F154" s="9"/>
      <c r="H154" s="9"/>
      <c r="I154" s="9" t="s">
        <v>6113</v>
      </c>
      <c r="J154" s="9" t="s">
        <v>2944</v>
      </c>
      <c r="K154" t="s">
        <v>6114</v>
      </c>
      <c r="L154" t="s">
        <v>6115</v>
      </c>
      <c r="M154" s="3" t="str">
        <f>HYPERLINK(склад2въезд14[[#This Row],[RelativePath]])</f>
        <v>2 Пилорама поката\E33149364_7_20251214T174342Z.jpg</v>
      </c>
    </row>
    <row r="155" spans="1:13" x14ac:dyDescent="0.25">
      <c r="A155" s="2" t="s">
        <v>13</v>
      </c>
      <c r="B155" s="4">
        <v>46006</v>
      </c>
      <c r="C155" s="5">
        <v>0.40811342592592592</v>
      </c>
      <c r="D155" s="9" t="s">
        <v>261</v>
      </c>
      <c r="E155" s="9" t="s">
        <v>86</v>
      </c>
      <c r="F155" s="9" t="s">
        <v>4181</v>
      </c>
      <c r="H155" s="9"/>
      <c r="I155" s="9" t="s">
        <v>6201</v>
      </c>
      <c r="J155" s="9" t="s">
        <v>2944</v>
      </c>
      <c r="K155" t="s">
        <v>6202</v>
      </c>
      <c r="L155" t="s">
        <v>6203</v>
      </c>
      <c r="M155" s="3" t="str">
        <f>HYPERLINK(склад2въезд14[[#This Row],[RelativePath]])</f>
        <v>2 Пилорама поката\E33149364_7_20251215T094741Z.jpg</v>
      </c>
    </row>
    <row r="156" spans="1:13" x14ac:dyDescent="0.25">
      <c r="A156" s="2" t="s">
        <v>13</v>
      </c>
      <c r="B156" s="4">
        <v>46006</v>
      </c>
      <c r="C156" s="5">
        <v>0.40850694444444446</v>
      </c>
      <c r="D156" s="9" t="s">
        <v>4139</v>
      </c>
      <c r="E156" s="9" t="s">
        <v>86</v>
      </c>
      <c r="F156" s="9" t="s">
        <v>4181</v>
      </c>
      <c r="H156" s="9" t="s">
        <v>1583</v>
      </c>
      <c r="I156" s="9" t="s">
        <v>6204</v>
      </c>
      <c r="J156" s="9" t="s">
        <v>2944</v>
      </c>
      <c r="K156" t="s">
        <v>6205</v>
      </c>
      <c r="L156" t="s">
        <v>6206</v>
      </c>
      <c r="M156" s="3" t="str">
        <f>HYPERLINK(склад2въезд14[[#This Row],[RelativePath]])</f>
        <v>2 Пилорама поката\E33149364_7_20251215T094815Z.jpg</v>
      </c>
    </row>
    <row r="157" spans="1:13" x14ac:dyDescent="0.25">
      <c r="A157" s="2" t="s">
        <v>13</v>
      </c>
      <c r="B157" s="4">
        <v>46006</v>
      </c>
      <c r="C157" s="5">
        <v>0.42865740740740743</v>
      </c>
      <c r="D157" s="9" t="s">
        <v>4139</v>
      </c>
      <c r="E157" s="9" t="s">
        <v>86</v>
      </c>
      <c r="F157" s="9" t="s">
        <v>6103</v>
      </c>
      <c r="H157" s="9" t="s">
        <v>6258</v>
      </c>
      <c r="I157" s="9" t="s">
        <v>6207</v>
      </c>
      <c r="J157" s="9" t="s">
        <v>2944</v>
      </c>
      <c r="K157" t="s">
        <v>6208</v>
      </c>
      <c r="L157" t="s">
        <v>6209</v>
      </c>
      <c r="M157" s="3" t="str">
        <f>HYPERLINK(склад2въезд14[[#This Row],[RelativePath]])</f>
        <v>2 Пилорама поката\E33149364_7_20251215T101716Z.jpg</v>
      </c>
    </row>
    <row r="158" spans="1:13" x14ac:dyDescent="0.25">
      <c r="A158" s="2" t="s">
        <v>13</v>
      </c>
      <c r="B158" s="4">
        <v>46006</v>
      </c>
      <c r="C158" s="5">
        <v>0.4377199074074074</v>
      </c>
      <c r="D158" s="9" t="s">
        <v>1569</v>
      </c>
      <c r="E158" s="9" t="s">
        <v>4134</v>
      </c>
      <c r="F158" s="9" t="s">
        <v>5010</v>
      </c>
      <c r="H158" s="9"/>
      <c r="I158" s="9" t="s">
        <v>6210</v>
      </c>
      <c r="J158" s="9" t="s">
        <v>2944</v>
      </c>
      <c r="K158" t="s">
        <v>6211</v>
      </c>
      <c r="L158" t="s">
        <v>6212</v>
      </c>
      <c r="M158" s="3" t="str">
        <f>HYPERLINK(склад2въезд14[[#This Row],[RelativePath]])</f>
        <v>2 Пилорама поката\E33149364_7_20251215T103019Z.jpg</v>
      </c>
    </row>
    <row r="159" spans="1:13" x14ac:dyDescent="0.25">
      <c r="A159" s="2" t="s">
        <v>13</v>
      </c>
      <c r="B159" s="4">
        <v>46006</v>
      </c>
      <c r="C159" s="5">
        <v>0.44763888888888886</v>
      </c>
      <c r="D159" s="9" t="s">
        <v>6092</v>
      </c>
      <c r="E159" s="9" t="s">
        <v>4134</v>
      </c>
      <c r="F159" s="9" t="s">
        <v>5010</v>
      </c>
      <c r="H159" s="9" t="s">
        <v>5405</v>
      </c>
      <c r="I159" s="9" t="s">
        <v>6213</v>
      </c>
      <c r="J159" s="9" t="s">
        <v>2944</v>
      </c>
      <c r="K159" t="s">
        <v>6214</v>
      </c>
      <c r="L159" t="s">
        <v>6215</v>
      </c>
      <c r="M159" s="3" t="str">
        <f>HYPERLINK(склад2въезд14[[#This Row],[RelativePath]])</f>
        <v>2 Пилорама поката\E33149364_7_20251215T104436Z.jpg</v>
      </c>
    </row>
    <row r="160" spans="1:13" x14ac:dyDescent="0.25">
      <c r="A160" s="2" t="s">
        <v>13</v>
      </c>
      <c r="B160" s="4">
        <v>46006</v>
      </c>
      <c r="C160" s="5">
        <v>0.54278935185185184</v>
      </c>
      <c r="D160" s="9" t="s">
        <v>622</v>
      </c>
      <c r="E160" s="9" t="s">
        <v>4134</v>
      </c>
      <c r="F160" s="9" t="s">
        <v>5010</v>
      </c>
      <c r="H160" s="9"/>
      <c r="I160" s="9" t="s">
        <v>6217</v>
      </c>
      <c r="J160" s="9" t="s">
        <v>2944</v>
      </c>
      <c r="K160" t="s">
        <v>6218</v>
      </c>
      <c r="L160" t="s">
        <v>6219</v>
      </c>
      <c r="M160" s="3" t="str">
        <f>HYPERLINK(склад2въезд14[[#This Row],[RelativePath]])</f>
        <v>2 Пилорама поката\E33149364_7_20251215T130137Z.jpg</v>
      </c>
    </row>
    <row r="161" spans="1:13" x14ac:dyDescent="0.25">
      <c r="A161" s="2" t="s">
        <v>13</v>
      </c>
      <c r="B161" s="4">
        <v>46006</v>
      </c>
      <c r="C161" s="5">
        <v>0.6224305555555556</v>
      </c>
      <c r="D161" s="9" t="s">
        <v>158</v>
      </c>
      <c r="E161" s="9" t="s">
        <v>86</v>
      </c>
      <c r="F161" s="9" t="s">
        <v>500</v>
      </c>
      <c r="G161">
        <v>1</v>
      </c>
      <c r="H161" s="9" t="s">
        <v>3030</v>
      </c>
      <c r="I161" s="9" t="s">
        <v>6220</v>
      </c>
      <c r="J161" s="9" t="s">
        <v>2944</v>
      </c>
      <c r="K161" t="s">
        <v>6221</v>
      </c>
      <c r="L161" t="s">
        <v>6222</v>
      </c>
      <c r="M161" s="3" t="str">
        <f>HYPERLINK(склад2въезд14[[#This Row],[RelativePath]])</f>
        <v>2 Пилорама поката\E33149364_7_20251215T145618Z.jpg</v>
      </c>
    </row>
    <row r="162" spans="1:13" x14ac:dyDescent="0.25">
      <c r="A162" s="2" t="s">
        <v>13</v>
      </c>
      <c r="B162" s="4">
        <v>46006</v>
      </c>
      <c r="C162" s="5">
        <v>0.62848379629629625</v>
      </c>
      <c r="D162" s="9" t="s">
        <v>158</v>
      </c>
      <c r="E162" s="9" t="s">
        <v>86</v>
      </c>
      <c r="F162" s="9" t="s">
        <v>500</v>
      </c>
      <c r="G162">
        <v>1</v>
      </c>
      <c r="H162" s="9" t="s">
        <v>3030</v>
      </c>
      <c r="I162" s="9" t="s">
        <v>6223</v>
      </c>
      <c r="J162" s="9" t="s">
        <v>2944</v>
      </c>
      <c r="K162" t="s">
        <v>6224</v>
      </c>
      <c r="L162" t="s">
        <v>6225</v>
      </c>
      <c r="M162" s="3" t="str">
        <f>HYPERLINK(склад2въезд14[[#This Row],[RelativePath]])</f>
        <v>2 Пилорама поката\E33149364_7_20251215T150501Z.jpg</v>
      </c>
    </row>
    <row r="163" spans="1:13" x14ac:dyDescent="0.25">
      <c r="A163" s="2" t="s">
        <v>13</v>
      </c>
      <c r="B163" s="4">
        <v>46006</v>
      </c>
      <c r="C163" s="5">
        <v>0.63356481481481486</v>
      </c>
      <c r="D163" s="9" t="s">
        <v>158</v>
      </c>
      <c r="E163" s="9" t="s">
        <v>86</v>
      </c>
      <c r="F163" s="9" t="s">
        <v>200</v>
      </c>
      <c r="G163">
        <v>1</v>
      </c>
      <c r="H163" s="9" t="s">
        <v>3030</v>
      </c>
      <c r="I163" s="9" t="s">
        <v>6226</v>
      </c>
      <c r="J163" s="9" t="s">
        <v>2944</v>
      </c>
      <c r="K163" t="s">
        <v>6227</v>
      </c>
      <c r="L163" t="s">
        <v>6228</v>
      </c>
      <c r="M163" s="3" t="str">
        <f>HYPERLINK(склад2въезд14[[#This Row],[RelativePath]])</f>
        <v>2 Пилорама поката\E33149364_7_20251215T151220Z.jpg</v>
      </c>
    </row>
    <row r="164" spans="1:13" x14ac:dyDescent="0.25">
      <c r="A164" s="2" t="s">
        <v>14</v>
      </c>
      <c r="B164" s="4">
        <v>46007</v>
      </c>
      <c r="C164" s="5">
        <v>0.49843749999999998</v>
      </c>
      <c r="D164" s="9" t="s">
        <v>6092</v>
      </c>
      <c r="E164" s="9" t="s">
        <v>4134</v>
      </c>
      <c r="F164" s="9" t="s">
        <v>5010</v>
      </c>
      <c r="H164" s="9" t="s">
        <v>5405</v>
      </c>
      <c r="I164" s="9" t="s">
        <v>6470</v>
      </c>
      <c r="J164" s="9" t="s">
        <v>2944</v>
      </c>
      <c r="K164" t="s">
        <v>6471</v>
      </c>
      <c r="L164" t="s">
        <v>6472</v>
      </c>
      <c r="M164" s="3" t="str">
        <f>HYPERLINK(склад2въезд14[[#This Row],[RelativePath]])</f>
        <v>2 Пилорама поката\E33149364_7_20251216T115745Z.jpg</v>
      </c>
    </row>
    <row r="165" spans="1:13" x14ac:dyDescent="0.25">
      <c r="A165" s="2" t="s">
        <v>14</v>
      </c>
      <c r="B165" s="4">
        <v>46007</v>
      </c>
      <c r="C165" s="5">
        <v>0.58371527777777776</v>
      </c>
      <c r="D165" s="9" t="s">
        <v>622</v>
      </c>
      <c r="E165" s="9" t="s">
        <v>4134</v>
      </c>
      <c r="F165" s="9" t="s">
        <v>5010</v>
      </c>
      <c r="H165" s="9"/>
      <c r="I165" s="9" t="s">
        <v>6473</v>
      </c>
      <c r="J165" s="9" t="s">
        <v>2944</v>
      </c>
      <c r="K165" t="s">
        <v>6474</v>
      </c>
      <c r="L165" t="s">
        <v>6475</v>
      </c>
      <c r="M165" s="3" t="str">
        <f>HYPERLINK(склад2въезд14[[#This Row],[RelativePath]])</f>
        <v>2 Пилорама поката\E33149364_7_20251216T140033Z.jpg</v>
      </c>
    </row>
    <row r="166" spans="1:13" x14ac:dyDescent="0.25">
      <c r="A166" s="2" t="s">
        <v>15</v>
      </c>
      <c r="B166" s="4">
        <v>46008</v>
      </c>
      <c r="C166" s="5">
        <v>0.47833333333333333</v>
      </c>
      <c r="D166" s="9" t="s">
        <v>505</v>
      </c>
      <c r="E166" s="9" t="s">
        <v>1570</v>
      </c>
      <c r="F166" s="9" t="s">
        <v>1071</v>
      </c>
      <c r="H166" s="9" t="s">
        <v>1583</v>
      </c>
      <c r="I166" s="9" t="s">
        <v>6598</v>
      </c>
      <c r="J166" s="9" t="s">
        <v>2944</v>
      </c>
      <c r="K166" t="s">
        <v>6599</v>
      </c>
      <c r="L166" t="s">
        <v>6600</v>
      </c>
      <c r="M166" s="3" t="str">
        <f>HYPERLINK(склад2въезд14[[#This Row],[RelativePath]])</f>
        <v>2 Пилорама поката\E33149364_7_20251217T112848Z.jpg</v>
      </c>
    </row>
    <row r="167" spans="1:13" x14ac:dyDescent="0.25">
      <c r="A167" s="2" t="s">
        <v>16</v>
      </c>
      <c r="B167" s="4">
        <v>46009</v>
      </c>
      <c r="C167" s="5">
        <v>0.4130787037037037</v>
      </c>
      <c r="D167" s="9" t="s">
        <v>4162</v>
      </c>
      <c r="E167" s="9" t="s">
        <v>86</v>
      </c>
      <c r="F167" s="9" t="s">
        <v>2899</v>
      </c>
      <c r="H167" s="9" t="s">
        <v>1583</v>
      </c>
      <c r="I167" s="9" t="s">
        <v>6601</v>
      </c>
      <c r="J167" s="9" t="s">
        <v>2944</v>
      </c>
      <c r="K167" t="s">
        <v>6602</v>
      </c>
      <c r="L167" t="s">
        <v>6603</v>
      </c>
      <c r="M167" s="3" t="str">
        <f>HYPERLINK(склад2въезд14[[#This Row],[RelativePath]])</f>
        <v>2 Пилорама поката\E33149364_7_20251218T095450Z.jpg</v>
      </c>
    </row>
    <row r="168" spans="1:13" x14ac:dyDescent="0.25">
      <c r="A168" s="2" t="s">
        <v>16</v>
      </c>
      <c r="B168" s="4">
        <v>46009</v>
      </c>
      <c r="C168" s="5">
        <v>0.41344907407407405</v>
      </c>
      <c r="D168" s="9" t="s">
        <v>4162</v>
      </c>
      <c r="E168" s="9" t="s">
        <v>86</v>
      </c>
      <c r="F168" s="9" t="s">
        <v>2899</v>
      </c>
      <c r="H168" s="9" t="s">
        <v>2891</v>
      </c>
      <c r="I168" s="9" t="s">
        <v>6604</v>
      </c>
      <c r="J168" s="9" t="s">
        <v>2944</v>
      </c>
      <c r="K168" t="s">
        <v>6605</v>
      </c>
      <c r="L168" t="s">
        <v>6606</v>
      </c>
      <c r="M168" s="3" t="str">
        <f>HYPERLINK(склад2въезд14[[#This Row],[RelativePath]])</f>
        <v>2 Пилорама поката\E33149364_7_20251218T095522Z.jpg</v>
      </c>
    </row>
    <row r="169" spans="1:13" x14ac:dyDescent="0.25">
      <c r="A169" s="2" t="s">
        <v>16</v>
      </c>
      <c r="B169" s="4">
        <v>46009</v>
      </c>
      <c r="C169" s="5">
        <v>0.42593750000000002</v>
      </c>
      <c r="D169" s="9" t="s">
        <v>158</v>
      </c>
      <c r="E169" s="9" t="s">
        <v>86</v>
      </c>
      <c r="F169" s="9" t="s">
        <v>500</v>
      </c>
      <c r="G169">
        <v>1</v>
      </c>
      <c r="H169" s="9" t="s">
        <v>3030</v>
      </c>
      <c r="I169" s="9" t="s">
        <v>6607</v>
      </c>
      <c r="J169" s="9" t="s">
        <v>2944</v>
      </c>
      <c r="K169" t="s">
        <v>6608</v>
      </c>
      <c r="L169" t="s">
        <v>6609</v>
      </c>
      <c r="M169" s="3" t="str">
        <f>HYPERLINK(склад2въезд14[[#This Row],[RelativePath]])</f>
        <v>2 Пилорама поката\E33149364_7_20251218T101321Z.jpg</v>
      </c>
    </row>
    <row r="170" spans="1:13" x14ac:dyDescent="0.25">
      <c r="A170" s="2" t="s">
        <v>16</v>
      </c>
      <c r="B170" s="4">
        <v>46009</v>
      </c>
      <c r="C170" s="5">
        <v>0.51219907407407406</v>
      </c>
      <c r="D170" s="9" t="s">
        <v>1569</v>
      </c>
      <c r="E170" s="9" t="s">
        <v>4134</v>
      </c>
      <c r="F170" s="9" t="s">
        <v>5010</v>
      </c>
      <c r="H170" s="9"/>
      <c r="I170" s="9" t="s">
        <v>6610</v>
      </c>
      <c r="J170" s="9" t="s">
        <v>2944</v>
      </c>
      <c r="K170" t="s">
        <v>6611</v>
      </c>
      <c r="L170" t="s">
        <v>6612</v>
      </c>
      <c r="M170" s="3" t="str">
        <f>HYPERLINK(склад2въезд14[[#This Row],[RelativePath]])</f>
        <v>2 Пилорама поката\E33149364_7_20251218T121734Z.jpg</v>
      </c>
    </row>
    <row r="171" spans="1:13" x14ac:dyDescent="0.25">
      <c r="A171" s="2" t="s">
        <v>16</v>
      </c>
      <c r="B171" s="4">
        <v>46009</v>
      </c>
      <c r="C171" s="5">
        <v>0.51600694444444439</v>
      </c>
      <c r="D171" s="9" t="s">
        <v>6092</v>
      </c>
      <c r="E171" s="9" t="s">
        <v>4134</v>
      </c>
      <c r="F171" s="9" t="s">
        <v>5010</v>
      </c>
      <c r="H171" s="9" t="s">
        <v>5405</v>
      </c>
      <c r="I171" s="9" t="s">
        <v>6613</v>
      </c>
      <c r="J171" s="9" t="s">
        <v>2944</v>
      </c>
      <c r="K171" t="s">
        <v>6614</v>
      </c>
      <c r="L171" t="s">
        <v>6615</v>
      </c>
      <c r="M171" s="3" t="str">
        <f>HYPERLINK(склад2въезд14[[#This Row],[RelativePath]])</f>
        <v>2 Пилорама поката\E33149364_7_20251218T122303Z.jpg</v>
      </c>
    </row>
    <row r="172" spans="1:13" x14ac:dyDescent="0.25">
      <c r="A172" s="2" t="s">
        <v>16</v>
      </c>
      <c r="B172" s="4">
        <v>46009</v>
      </c>
      <c r="C172" s="5">
        <v>0.61460648148148145</v>
      </c>
      <c r="D172" s="9" t="s">
        <v>622</v>
      </c>
      <c r="E172" s="9" t="s">
        <v>4134</v>
      </c>
      <c r="F172" s="9" t="s">
        <v>5010</v>
      </c>
      <c r="H172" s="9"/>
      <c r="I172" s="9" t="s">
        <v>6616</v>
      </c>
      <c r="J172" s="9" t="s">
        <v>2944</v>
      </c>
      <c r="K172" t="s">
        <v>6617</v>
      </c>
      <c r="L172" t="s">
        <v>6618</v>
      </c>
      <c r="M172" s="3" t="str">
        <f>HYPERLINK(склад2въезд14[[#This Row],[RelativePath]])</f>
        <v>2 Пилорама поката\E33149364_7_20251218T144502Z.jpg</v>
      </c>
    </row>
    <row r="173" spans="1:13" x14ac:dyDescent="0.25">
      <c r="A173" s="2" t="s">
        <v>17</v>
      </c>
      <c r="B173" s="4">
        <v>46010</v>
      </c>
      <c r="C173" s="5">
        <v>0.46439814814814817</v>
      </c>
      <c r="D173" s="9" t="s">
        <v>4162</v>
      </c>
      <c r="E173" s="9" t="s">
        <v>86</v>
      </c>
      <c r="F173" s="9" t="s">
        <v>1071</v>
      </c>
      <c r="H173" s="9" t="s">
        <v>4177</v>
      </c>
      <c r="I173" s="9" t="s">
        <v>6794</v>
      </c>
      <c r="J173" s="9" t="s">
        <v>2944</v>
      </c>
      <c r="K173" t="s">
        <v>6795</v>
      </c>
      <c r="L173" t="s">
        <v>6796</v>
      </c>
      <c r="M173" s="3" t="str">
        <f>HYPERLINK(склад2въезд14[[#This Row],[RelativePath]])</f>
        <v>2 Пилорама поката\E33149364_7_20251219T110844Z.jpg</v>
      </c>
    </row>
    <row r="174" spans="1:13" x14ac:dyDescent="0.25">
      <c r="A174" s="2" t="s">
        <v>17</v>
      </c>
      <c r="B174" s="4">
        <v>46010</v>
      </c>
      <c r="C174" s="5">
        <v>0.46481481481481479</v>
      </c>
      <c r="D174" s="9" t="s">
        <v>4162</v>
      </c>
      <c r="E174" s="9" t="s">
        <v>86</v>
      </c>
      <c r="F174" s="9" t="s">
        <v>1071</v>
      </c>
      <c r="H174" s="9" t="s">
        <v>4177</v>
      </c>
      <c r="I174" s="9" t="s">
        <v>6797</v>
      </c>
      <c r="J174" s="9" t="s">
        <v>2944</v>
      </c>
      <c r="K174" t="s">
        <v>6798</v>
      </c>
      <c r="L174" t="s">
        <v>6799</v>
      </c>
      <c r="M174" s="3" t="str">
        <f>HYPERLINK(склад2въезд14[[#This Row],[RelativePath]])</f>
        <v>2 Пилорама поката\E33149364_7_20251219T110920Z.jpg</v>
      </c>
    </row>
    <row r="175" spans="1:13" x14ac:dyDescent="0.25">
      <c r="A175" s="2" t="s">
        <v>17</v>
      </c>
      <c r="B175" s="4">
        <v>46010</v>
      </c>
      <c r="C175" s="5">
        <v>0.4649652777777778</v>
      </c>
      <c r="D175" s="9" t="s">
        <v>4162</v>
      </c>
      <c r="E175" s="9" t="s">
        <v>86</v>
      </c>
      <c r="F175" s="9" t="s">
        <v>1071</v>
      </c>
      <c r="H175" s="9" t="s">
        <v>4177</v>
      </c>
      <c r="I175" s="9" t="s">
        <v>6800</v>
      </c>
      <c r="J175" s="9" t="s">
        <v>2944</v>
      </c>
      <c r="K175" t="s">
        <v>6801</v>
      </c>
      <c r="L175" t="s">
        <v>6802</v>
      </c>
      <c r="M175" s="3" t="str">
        <f>HYPERLINK(склад2въезд14[[#This Row],[RelativePath]])</f>
        <v>2 Пилорама поката\E33149364_7_20251219T110933Z.jpg</v>
      </c>
    </row>
    <row r="176" spans="1:13" x14ac:dyDescent="0.25">
      <c r="A176" s="2" t="s">
        <v>17</v>
      </c>
      <c r="B176" s="4">
        <v>46010</v>
      </c>
      <c r="C176" s="5">
        <v>0.46814814814814815</v>
      </c>
      <c r="D176" s="9" t="s">
        <v>4162</v>
      </c>
      <c r="E176" s="9" t="s">
        <v>86</v>
      </c>
      <c r="F176" s="9" t="s">
        <v>1071</v>
      </c>
      <c r="H176" s="9" t="s">
        <v>4177</v>
      </c>
      <c r="I176" s="9" t="s">
        <v>6803</v>
      </c>
      <c r="J176" s="9" t="s">
        <v>2944</v>
      </c>
      <c r="K176" t="s">
        <v>6804</v>
      </c>
      <c r="L176" t="s">
        <v>6805</v>
      </c>
      <c r="M176" s="3" t="str">
        <f>HYPERLINK(склад2въезд14[[#This Row],[RelativePath]])</f>
        <v>2 Пилорама поката\E33149364_7_20251219T111408Z.jpg</v>
      </c>
    </row>
    <row r="177" spans="1:13" x14ac:dyDescent="0.25">
      <c r="A177" s="2" t="s">
        <v>17</v>
      </c>
      <c r="B177" s="4">
        <v>46010</v>
      </c>
      <c r="C177" s="5">
        <v>0.4723148148148148</v>
      </c>
      <c r="D177" s="9" t="s">
        <v>4162</v>
      </c>
      <c r="E177" s="9" t="s">
        <v>86</v>
      </c>
      <c r="F177" s="9" t="s">
        <v>1071</v>
      </c>
      <c r="H177" s="9" t="s">
        <v>4177</v>
      </c>
      <c r="I177" s="9" t="s">
        <v>6806</v>
      </c>
      <c r="J177" s="9" t="s">
        <v>2944</v>
      </c>
      <c r="K177" t="s">
        <v>6807</v>
      </c>
      <c r="L177" t="s">
        <v>6808</v>
      </c>
      <c r="M177" s="3" t="str">
        <f>HYPERLINK(склад2въезд14[[#This Row],[RelativePath]])</f>
        <v>2 Пилорама поката\E33149364_7_20251219T112008Z.jpg</v>
      </c>
    </row>
    <row r="178" spans="1:13" x14ac:dyDescent="0.25">
      <c r="A178" s="2" t="s">
        <v>17</v>
      </c>
      <c r="B178" s="4">
        <v>46010</v>
      </c>
      <c r="C178" s="5">
        <v>0.47408564814814813</v>
      </c>
      <c r="D178" s="9" t="s">
        <v>4162</v>
      </c>
      <c r="E178" s="9" t="s">
        <v>86</v>
      </c>
      <c r="F178" s="9" t="s">
        <v>1071</v>
      </c>
      <c r="H178" s="9" t="s">
        <v>4177</v>
      </c>
      <c r="I178" s="9" t="s">
        <v>6809</v>
      </c>
      <c r="J178" s="9" t="s">
        <v>2944</v>
      </c>
      <c r="K178" t="s">
        <v>6810</v>
      </c>
      <c r="L178" t="s">
        <v>6811</v>
      </c>
      <c r="M178" s="3" t="str">
        <f>HYPERLINK(склад2въезд14[[#This Row],[RelativePath]])</f>
        <v>2 Пилорама поката\E33149364_7_20251219T112241Z.jpg</v>
      </c>
    </row>
    <row r="179" spans="1:13" x14ac:dyDescent="0.25">
      <c r="A179" s="2" t="s">
        <v>18</v>
      </c>
      <c r="B179" s="4">
        <v>46011</v>
      </c>
      <c r="C179" s="5">
        <v>0.658599537037037</v>
      </c>
      <c r="D179" s="9" t="s">
        <v>1967</v>
      </c>
      <c r="E179" s="9" t="s">
        <v>8</v>
      </c>
      <c r="F179" s="9"/>
      <c r="H179" s="9"/>
      <c r="I179" s="9" t="s">
        <v>6812</v>
      </c>
      <c r="J179" s="9" t="s">
        <v>2944</v>
      </c>
      <c r="K179" t="s">
        <v>6813</v>
      </c>
      <c r="L179" t="s">
        <v>6814</v>
      </c>
      <c r="M179" s="3" t="str">
        <f>HYPERLINK(склад2въезд14[[#This Row],[RelativePath]])</f>
        <v>2 Пилорама поката\E33149364_7_20251220T154823Z.jpg</v>
      </c>
    </row>
    <row r="180" spans="1:13" x14ac:dyDescent="0.25">
      <c r="A180" s="2" t="s">
        <v>22</v>
      </c>
      <c r="B180" s="4">
        <v>46012</v>
      </c>
      <c r="C180" s="5">
        <v>0.73824074074074075</v>
      </c>
      <c r="D180" s="9" t="s">
        <v>1967</v>
      </c>
      <c r="E180" s="9" t="s">
        <v>8</v>
      </c>
      <c r="F180" s="9"/>
      <c r="H180" s="9"/>
      <c r="I180" s="9" t="s">
        <v>7092</v>
      </c>
      <c r="J180" s="9" t="s">
        <v>2944</v>
      </c>
      <c r="K180" t="s">
        <v>7093</v>
      </c>
      <c r="L180" t="s">
        <v>7094</v>
      </c>
      <c r="M180" s="3" t="str">
        <f>HYPERLINK(склад2въезд14[[#This Row],[RelativePath]])</f>
        <v>2 Пилорама поката\E33149364_7_20251221T174304Z.jpg</v>
      </c>
    </row>
    <row r="181" spans="1:13" x14ac:dyDescent="0.25">
      <c r="A181" s="2" t="s">
        <v>13</v>
      </c>
      <c r="B181" s="4">
        <v>46013</v>
      </c>
      <c r="C181" s="5">
        <v>0.46530092592592592</v>
      </c>
      <c r="D181" s="9" t="s">
        <v>1569</v>
      </c>
      <c r="E181" s="9" t="s">
        <v>4134</v>
      </c>
      <c r="F181" s="9" t="s">
        <v>5010</v>
      </c>
      <c r="H181" s="9"/>
      <c r="I181" s="9" t="s">
        <v>7131</v>
      </c>
      <c r="J181" s="9" t="s">
        <v>2944</v>
      </c>
      <c r="K181" t="s">
        <v>7132</v>
      </c>
      <c r="L181" t="s">
        <v>7133</v>
      </c>
      <c r="M181" s="3" t="str">
        <f>HYPERLINK(склад2въезд14[[#This Row],[RelativePath]])</f>
        <v>2 Пилорама поката\E33149364_7_20251222T111002Z.jpg</v>
      </c>
    </row>
    <row r="182" spans="1:13" x14ac:dyDescent="0.25">
      <c r="A182" s="2" t="s">
        <v>13</v>
      </c>
      <c r="B182" s="4">
        <v>46013</v>
      </c>
      <c r="C182" s="5">
        <v>0.54984953703703698</v>
      </c>
      <c r="D182" s="9" t="s">
        <v>622</v>
      </c>
      <c r="E182" s="9" t="s">
        <v>4134</v>
      </c>
      <c r="F182" s="9" t="s">
        <v>5010</v>
      </c>
      <c r="H182" s="9"/>
      <c r="I182" s="9" t="s">
        <v>7134</v>
      </c>
      <c r="J182" s="9" t="s">
        <v>2944</v>
      </c>
      <c r="K182" t="s">
        <v>7135</v>
      </c>
      <c r="L182" t="s">
        <v>7136</v>
      </c>
      <c r="M182" s="3" t="str">
        <f>HYPERLINK(склад2въезд14[[#This Row],[RelativePath]])</f>
        <v>2 Пилорама поката\E33149364_7_20251222T131147Z.jpg</v>
      </c>
    </row>
    <row r="183" spans="1:13" x14ac:dyDescent="0.25">
      <c r="A183" s="2" t="s">
        <v>14</v>
      </c>
      <c r="B183" s="4">
        <v>46014</v>
      </c>
      <c r="C183" s="5">
        <v>0.74086805555555557</v>
      </c>
      <c r="D183" s="9" t="s">
        <v>1967</v>
      </c>
      <c r="E183" s="9" t="s">
        <v>8</v>
      </c>
      <c r="F183" s="9"/>
      <c r="H183" s="9"/>
      <c r="I183" s="9" t="s">
        <v>7137</v>
      </c>
      <c r="J183" s="9" t="s">
        <v>2944</v>
      </c>
      <c r="K183" t="s">
        <v>7138</v>
      </c>
      <c r="L183" t="s">
        <v>7139</v>
      </c>
      <c r="M183" s="3" t="str">
        <f>HYPERLINK(склад2въезд14[[#This Row],[RelativePath]])</f>
        <v>2 Пилорама поката\E33149364_7_20251223T174651Z.jpg</v>
      </c>
    </row>
    <row r="184" spans="1:13" x14ac:dyDescent="0.25">
      <c r="A184" s="2" t="s">
        <v>15</v>
      </c>
      <c r="B184" s="4">
        <v>46015</v>
      </c>
      <c r="C184" s="5">
        <v>0.69908564814814811</v>
      </c>
      <c r="D184" s="9" t="s">
        <v>1967</v>
      </c>
      <c r="E184" s="9" t="s">
        <v>8</v>
      </c>
      <c r="F184" s="9"/>
      <c r="H184" s="9"/>
      <c r="I184" s="9" t="s">
        <v>7349</v>
      </c>
      <c r="J184" s="9" t="s">
        <v>2944</v>
      </c>
      <c r="K184" t="s">
        <v>7350</v>
      </c>
      <c r="L184" t="s">
        <v>7351</v>
      </c>
      <c r="M184" s="3" t="str">
        <f>HYPERLINK(склад2въезд14[[#This Row],[RelativePath]])</f>
        <v>2 Пилорама поката\E33149364_7_20251224T164641Z.jpg</v>
      </c>
    </row>
    <row r="185" spans="1:13" x14ac:dyDescent="0.25">
      <c r="A185" s="2" t="s">
        <v>16</v>
      </c>
      <c r="B185" s="4">
        <v>46016</v>
      </c>
      <c r="C185" s="5">
        <v>0.74168981481481477</v>
      </c>
      <c r="D185" s="9" t="s">
        <v>1967</v>
      </c>
      <c r="E185" s="9" t="s">
        <v>8</v>
      </c>
      <c r="F185" s="9"/>
      <c r="H185" s="9"/>
      <c r="I185" s="9" t="s">
        <v>7352</v>
      </c>
      <c r="J185" s="9" t="s">
        <v>2944</v>
      </c>
      <c r="K185" t="s">
        <v>7353</v>
      </c>
      <c r="L185" t="s">
        <v>7354</v>
      </c>
      <c r="M185" s="3" t="str">
        <f>HYPERLINK(склад2въезд14[[#This Row],[RelativePath]])</f>
        <v>2 Пилорама поката\E33149364_7_20251225T174802Z.jpg</v>
      </c>
    </row>
    <row r="186" spans="1:13" x14ac:dyDescent="0.25">
      <c r="A186" s="2" t="s">
        <v>17</v>
      </c>
      <c r="B186" s="4">
        <v>46017</v>
      </c>
      <c r="C186" s="5">
        <v>0.74050925925925926</v>
      </c>
      <c r="D186" s="9" t="s">
        <v>1967</v>
      </c>
      <c r="E186" s="9" t="s">
        <v>8</v>
      </c>
      <c r="F186" s="9"/>
      <c r="H186" s="9"/>
      <c r="I186" s="9" t="s">
        <v>7626</v>
      </c>
      <c r="J186" s="9" t="s">
        <v>2944</v>
      </c>
      <c r="K186" t="s">
        <v>7627</v>
      </c>
      <c r="L186" t="s">
        <v>7628</v>
      </c>
      <c r="M186" s="3" t="str">
        <f>HYPERLINK(склад2въезд14[[#This Row],[RelativePath]])</f>
        <v>2 Пилорама поката\E33149364_7_20251226T174620Z.jpg</v>
      </c>
    </row>
    <row r="187" spans="1:13" x14ac:dyDescent="0.25">
      <c r="A187" s="2" t="s">
        <v>18</v>
      </c>
      <c r="B187" s="4">
        <v>46018</v>
      </c>
      <c r="C187" s="5">
        <v>0.43297453703703703</v>
      </c>
      <c r="D187" s="9" t="s">
        <v>1569</v>
      </c>
      <c r="E187" s="9" t="s">
        <v>4134</v>
      </c>
      <c r="F187" s="9" t="s">
        <v>5010</v>
      </c>
      <c r="H187" s="9"/>
      <c r="I187" s="9" t="s">
        <v>7778</v>
      </c>
      <c r="J187" s="9" t="s">
        <v>2944</v>
      </c>
      <c r="K187" t="s">
        <v>7779</v>
      </c>
      <c r="L187" t="s">
        <v>7780</v>
      </c>
      <c r="M187" s="3" t="str">
        <f>HYPERLINK(склад2въезд14[[#This Row],[RelativePath]])</f>
        <v>2 Пилорама поката\E33149364_7_20251227T102329Z.jpg</v>
      </c>
    </row>
    <row r="188" spans="1:13" x14ac:dyDescent="0.25">
      <c r="A188" s="2" t="s">
        <v>18</v>
      </c>
      <c r="B188" s="4">
        <v>46018</v>
      </c>
      <c r="C188" s="5">
        <v>0.44199074074074074</v>
      </c>
      <c r="D188" s="9" t="s">
        <v>6092</v>
      </c>
      <c r="E188" s="9" t="s">
        <v>4134</v>
      </c>
      <c r="F188" s="9" t="s">
        <v>5010</v>
      </c>
      <c r="H188" s="9" t="s">
        <v>5405</v>
      </c>
      <c r="I188" s="9" t="s">
        <v>7781</v>
      </c>
      <c r="J188" s="9" t="s">
        <v>2944</v>
      </c>
      <c r="K188" t="s">
        <v>7782</v>
      </c>
      <c r="L188" t="s">
        <v>7783</v>
      </c>
      <c r="M188" s="3" t="str">
        <f>HYPERLINK(склад2въезд14[[#This Row],[RelativePath]])</f>
        <v>2 Пилорама поката\E33149364_7_20251227T103628Z.jpg</v>
      </c>
    </row>
    <row r="189" spans="1:13" x14ac:dyDescent="0.25">
      <c r="A189" s="2" t="s">
        <v>18</v>
      </c>
      <c r="B189" s="4">
        <v>46018</v>
      </c>
      <c r="C189" s="5">
        <v>0.5803356481481482</v>
      </c>
      <c r="D189" s="9" t="s">
        <v>622</v>
      </c>
      <c r="E189" s="9" t="s">
        <v>4134</v>
      </c>
      <c r="F189" s="9" t="s">
        <v>5010</v>
      </c>
      <c r="H189" s="9"/>
      <c r="I189" s="9" t="s">
        <v>7784</v>
      </c>
      <c r="J189" s="9" t="s">
        <v>2944</v>
      </c>
      <c r="K189" t="s">
        <v>7785</v>
      </c>
      <c r="L189" t="s">
        <v>7786</v>
      </c>
      <c r="M189" s="3" t="str">
        <f>HYPERLINK(склад2въезд14[[#This Row],[RelativePath]])</f>
        <v>2 Пилорама поката\E33149364_7_20251227T135541Z.jpg</v>
      </c>
    </row>
    <row r="190" spans="1:13" x14ac:dyDescent="0.25">
      <c r="A190" s="2" t="s">
        <v>18</v>
      </c>
      <c r="B190" s="4">
        <v>46018</v>
      </c>
      <c r="C190" s="5">
        <v>0.60796296296296293</v>
      </c>
      <c r="D190" s="9" t="s">
        <v>7944</v>
      </c>
      <c r="E190" s="9" t="s">
        <v>6248</v>
      </c>
      <c r="F190" s="9" t="s">
        <v>5010</v>
      </c>
      <c r="H190" s="9"/>
      <c r="I190" s="9" t="s">
        <v>7787</v>
      </c>
      <c r="J190" s="9" t="s">
        <v>2944</v>
      </c>
      <c r="K190" t="s">
        <v>7788</v>
      </c>
      <c r="L190" t="s">
        <v>7789</v>
      </c>
      <c r="M190" s="3" t="str">
        <f>HYPERLINK(склад2въезд14[[#This Row],[RelativePath]])</f>
        <v>2 Пилорама поката\E33149364_7_20251227T143528Z.jpg</v>
      </c>
    </row>
    <row r="191" spans="1:13" x14ac:dyDescent="0.25">
      <c r="A191" s="2" t="s">
        <v>22</v>
      </c>
      <c r="B191" s="4">
        <v>46019</v>
      </c>
      <c r="C191" s="5">
        <v>0.59177083333333336</v>
      </c>
      <c r="D191" s="9" t="s">
        <v>1569</v>
      </c>
      <c r="E191" s="9" t="s">
        <v>4134</v>
      </c>
      <c r="F191" s="9" t="s">
        <v>5010</v>
      </c>
      <c r="H191" s="9"/>
      <c r="I191" s="9" t="s">
        <v>7790</v>
      </c>
      <c r="J191" s="9" t="s">
        <v>2944</v>
      </c>
      <c r="K191" t="s">
        <v>7791</v>
      </c>
      <c r="L191" t="s">
        <v>7792</v>
      </c>
      <c r="M191" s="3" t="str">
        <f>HYPERLINK(склад2въезд14[[#This Row],[RelativePath]])</f>
        <v>2 Пилорама поката\E33149364_7_20251228T141209Z.jpg</v>
      </c>
    </row>
    <row r="192" spans="1:13" x14ac:dyDescent="0.25">
      <c r="A192" s="2" t="s">
        <v>22</v>
      </c>
      <c r="B192" s="4">
        <v>46019</v>
      </c>
      <c r="C192" s="5">
        <v>0.64005787037037032</v>
      </c>
      <c r="D192" s="9" t="s">
        <v>622</v>
      </c>
      <c r="E192" s="9" t="s">
        <v>4134</v>
      </c>
      <c r="F192" s="9" t="s">
        <v>5010</v>
      </c>
      <c r="H192" s="9"/>
      <c r="I192" s="9" t="s">
        <v>7793</v>
      </c>
      <c r="J192" s="9" t="s">
        <v>2944</v>
      </c>
      <c r="K192" t="s">
        <v>7794</v>
      </c>
      <c r="L192" t="s">
        <v>7795</v>
      </c>
      <c r="M192" s="3" t="str">
        <f>HYPERLINK(склад2въезд14[[#This Row],[RelativePath]])</f>
        <v>2 Пилорама поката\E33149364_7_20251228T152141Z.jpg</v>
      </c>
    </row>
    <row r="193" spans="1:13" x14ac:dyDescent="0.25">
      <c r="A193" s="2" t="s">
        <v>13</v>
      </c>
      <c r="B193" s="4">
        <v>46020</v>
      </c>
      <c r="C193" s="5">
        <v>0.64398148148148149</v>
      </c>
      <c r="D193" s="9" t="s">
        <v>505</v>
      </c>
      <c r="E193" s="9" t="s">
        <v>503</v>
      </c>
      <c r="F193" s="9" t="s">
        <v>1584</v>
      </c>
      <c r="H193" s="9" t="s">
        <v>1583</v>
      </c>
      <c r="I193" s="9" t="s">
        <v>7980</v>
      </c>
      <c r="J193" s="9" t="s">
        <v>2944</v>
      </c>
      <c r="K193" t="s">
        <v>7981</v>
      </c>
      <c r="L193" t="s">
        <v>7982</v>
      </c>
      <c r="M193" s="3" t="str">
        <f>HYPERLINK(склад2въезд14[[#This Row],[RelativePath]])</f>
        <v>2 Пилорама поката\E33149364_7_20251229T152720Z.jpg</v>
      </c>
    </row>
    <row r="194" spans="1:13" x14ac:dyDescent="0.25">
      <c r="A194" s="2" t="s">
        <v>14</v>
      </c>
      <c r="B194" s="4">
        <v>46021</v>
      </c>
      <c r="C194" s="5">
        <v>0.74420138888888887</v>
      </c>
      <c r="D194" s="9" t="s">
        <v>1967</v>
      </c>
      <c r="E194" s="9" t="s">
        <v>8</v>
      </c>
      <c r="F194" s="9"/>
      <c r="H194" s="9"/>
      <c r="I194" s="9" t="s">
        <v>7983</v>
      </c>
      <c r="J194" s="9" t="s">
        <v>2944</v>
      </c>
      <c r="K194" t="s">
        <v>7984</v>
      </c>
      <c r="L194" t="s">
        <v>7985</v>
      </c>
      <c r="M194" s="3" t="str">
        <f>HYPERLINK(склад2въезд14[[#This Row],[RelativePath]])</f>
        <v>2 Пилорама поката\E33149364_7_20251230T175139Z.jpg</v>
      </c>
    </row>
    <row r="195" spans="1:13" x14ac:dyDescent="0.25">
      <c r="A195" s="2" t="s">
        <v>15</v>
      </c>
      <c r="B195" s="4">
        <v>46022</v>
      </c>
      <c r="C195" s="5">
        <v>0.69723379629629634</v>
      </c>
      <c r="D195" s="9" t="s">
        <v>1967</v>
      </c>
      <c r="E195" s="9" t="s">
        <v>8</v>
      </c>
      <c r="F195" s="9"/>
      <c r="H195" s="9"/>
      <c r="I195" s="9" t="s">
        <v>7986</v>
      </c>
      <c r="J195" s="9" t="s">
        <v>2944</v>
      </c>
      <c r="K195" t="s">
        <v>7987</v>
      </c>
      <c r="L195" t="s">
        <v>7988</v>
      </c>
      <c r="M195" s="3" t="str">
        <f>HYPERLINK(склад2въезд14[[#This Row],[RelativePath]])</f>
        <v>2 Пилорама поката\E33149364_7_20251231T164401Z.jpg</v>
      </c>
    </row>
    <row r="196" spans="1:13" x14ac:dyDescent="0.25">
      <c r="A196" s="2" t="s">
        <v>16</v>
      </c>
      <c r="B196" s="4">
        <v>46023</v>
      </c>
      <c r="C196" s="5">
        <v>0.74738425925925922</v>
      </c>
      <c r="D196" s="9" t="s">
        <v>1967</v>
      </c>
      <c r="E196" s="9" t="s">
        <v>8</v>
      </c>
      <c r="F196" s="9"/>
      <c r="H196" s="9"/>
      <c r="I196" s="9" t="s">
        <v>7989</v>
      </c>
      <c r="J196" s="9" t="s">
        <v>2944</v>
      </c>
      <c r="K196" t="s">
        <v>7990</v>
      </c>
      <c r="L196" t="s">
        <v>7991</v>
      </c>
      <c r="M196" s="3" t="str">
        <f>HYPERLINK(склад2въезд14[[#This Row],[RelativePath]])</f>
        <v>2 Пилорама поката\E33149364_7_20260101T175614Z.jpg</v>
      </c>
    </row>
    <row r="197" spans="1:13" x14ac:dyDescent="0.25">
      <c r="A197" s="2" t="s">
        <v>17</v>
      </c>
      <c r="B197" s="4">
        <v>46024</v>
      </c>
      <c r="C197" s="5">
        <v>0.74721064814814819</v>
      </c>
      <c r="D197" s="9" t="s">
        <v>1967</v>
      </c>
      <c r="E197" s="9" t="s">
        <v>8</v>
      </c>
      <c r="F197" s="9"/>
      <c r="H197" s="9"/>
      <c r="I197" s="9" t="s">
        <v>8261</v>
      </c>
      <c r="J197" s="9" t="s">
        <v>2944</v>
      </c>
      <c r="K197" t="s">
        <v>8262</v>
      </c>
      <c r="L197" t="s">
        <v>8263</v>
      </c>
      <c r="M197" s="3" t="str">
        <f>HYPERLINK(склад2въезд14[[#This Row],[RelativePath]])</f>
        <v>2 Пилорама поката\E33149364_7_20260102T175559Z.jpg</v>
      </c>
    </row>
    <row r="198" spans="1:13" x14ac:dyDescent="0.25">
      <c r="A198" s="2" t="s">
        <v>18</v>
      </c>
      <c r="B198" s="4">
        <v>46025</v>
      </c>
      <c r="C198" s="5">
        <v>0.74724537037037042</v>
      </c>
      <c r="D198" s="9" t="s">
        <v>1967</v>
      </c>
      <c r="E198" s="9" t="s">
        <v>8</v>
      </c>
      <c r="F198" s="9"/>
      <c r="H198" s="9"/>
      <c r="I198" s="9" t="s">
        <v>8264</v>
      </c>
      <c r="J198" s="9" t="s">
        <v>2944</v>
      </c>
      <c r="K198" t="s">
        <v>8265</v>
      </c>
      <c r="L198" t="s">
        <v>8266</v>
      </c>
      <c r="M198" s="3" t="str">
        <f>HYPERLINK(склад2въезд14[[#This Row],[RelativePath]])</f>
        <v>2 Пилорама поката\E33149364_7_20260103T175602Z.jpg</v>
      </c>
    </row>
    <row r="199" spans="1:13" x14ac:dyDescent="0.25">
      <c r="A199" s="2" t="s">
        <v>22</v>
      </c>
      <c r="B199" s="4">
        <v>46026</v>
      </c>
      <c r="C199" s="5">
        <v>0.48228009259259258</v>
      </c>
      <c r="D199" s="9" t="s">
        <v>1967</v>
      </c>
      <c r="E199" s="9" t="s">
        <v>8</v>
      </c>
      <c r="F199" s="9"/>
      <c r="H199" s="9"/>
      <c r="I199" s="9" t="s">
        <v>8267</v>
      </c>
      <c r="J199" s="9" t="s">
        <v>2944</v>
      </c>
      <c r="K199" t="s">
        <v>8268</v>
      </c>
      <c r="L199" t="s">
        <v>8269</v>
      </c>
      <c r="M199" s="3" t="str">
        <f>HYPERLINK(склад2въезд14[[#This Row],[RelativePath]])</f>
        <v>2 Пилорама поката\E33149364_7_20260104T113429Z.jpg</v>
      </c>
    </row>
    <row r="200" spans="1:13" x14ac:dyDescent="0.25">
      <c r="A200" s="2" t="s">
        <v>13</v>
      </c>
      <c r="B200" s="4">
        <v>46027</v>
      </c>
      <c r="C200" s="5">
        <v>0.68752314814814819</v>
      </c>
      <c r="D200" s="9" t="s">
        <v>1967</v>
      </c>
      <c r="E200" s="9" t="s">
        <v>8</v>
      </c>
      <c r="F200" s="9"/>
      <c r="H200" s="9"/>
      <c r="I200" s="9" t="s">
        <v>8379</v>
      </c>
      <c r="J200" s="9" t="s">
        <v>2944</v>
      </c>
      <c r="K200" t="s">
        <v>8380</v>
      </c>
      <c r="L200" t="s">
        <v>8381</v>
      </c>
      <c r="M200" s="3" t="str">
        <f>HYPERLINK(склад2въезд14[[#This Row],[RelativePath]])</f>
        <v>2 Пилорама поката\E33149364_7_20260105T163002Z.jpg</v>
      </c>
    </row>
    <row r="201" spans="1:13" x14ac:dyDescent="0.25">
      <c r="A201" s="2" t="s">
        <v>14</v>
      </c>
      <c r="B201" s="4">
        <v>46028</v>
      </c>
      <c r="C201" s="5">
        <v>0.7502199074074074</v>
      </c>
      <c r="D201" s="9" t="s">
        <v>1967</v>
      </c>
      <c r="E201" s="9" t="s">
        <v>8</v>
      </c>
      <c r="F201" s="9"/>
      <c r="H201" s="9"/>
      <c r="I201" s="9" t="s">
        <v>8382</v>
      </c>
      <c r="J201" s="9" t="s">
        <v>2944</v>
      </c>
      <c r="K201" t="s">
        <v>8383</v>
      </c>
      <c r="L201" t="s">
        <v>8384</v>
      </c>
      <c r="M201" s="3" t="str">
        <f>HYPERLINK(склад2въезд14[[#This Row],[RelativePath]])</f>
        <v>2 Пилорама поката\E33149364_7_20260106T180019Z.jpg</v>
      </c>
    </row>
    <row r="202" spans="1:13" x14ac:dyDescent="0.25">
      <c r="A202" s="2" t="s">
        <v>15</v>
      </c>
      <c r="B202" s="4">
        <v>46029</v>
      </c>
      <c r="C202" s="5">
        <v>0.74949074074074074</v>
      </c>
      <c r="D202" s="9" t="s">
        <v>1967</v>
      </c>
      <c r="E202" s="9" t="s">
        <v>8</v>
      </c>
      <c r="F202" s="9"/>
      <c r="H202" s="9"/>
      <c r="I202" s="9" t="s">
        <v>8385</v>
      </c>
      <c r="J202" s="9" t="s">
        <v>2944</v>
      </c>
      <c r="K202" t="s">
        <v>8386</v>
      </c>
      <c r="L202" t="s">
        <v>8387</v>
      </c>
      <c r="M202" s="3" t="str">
        <f>HYPERLINK(склад2въезд14[[#This Row],[RelativePath]])</f>
        <v>2 Пилорама поката\E33149364_7_20260107T175916Z.jpg</v>
      </c>
    </row>
    <row r="203" spans="1:13" x14ac:dyDescent="0.25">
      <c r="A203" s="2" t="s">
        <v>16</v>
      </c>
      <c r="B203" s="4">
        <v>46030</v>
      </c>
      <c r="C203" s="5">
        <v>0.74802083333333336</v>
      </c>
      <c r="D203" s="9" t="s">
        <v>1967</v>
      </c>
      <c r="E203" s="9" t="s">
        <v>8</v>
      </c>
      <c r="F203" s="9"/>
      <c r="H203" s="9"/>
      <c r="I203" s="9" t="s">
        <v>8388</v>
      </c>
      <c r="J203" s="9" t="s">
        <v>2944</v>
      </c>
      <c r="K203" t="s">
        <v>8389</v>
      </c>
      <c r="L203" t="s">
        <v>8390</v>
      </c>
      <c r="M203" s="3" t="str">
        <f>HYPERLINK(склад2въезд14[[#This Row],[RelativePath]])</f>
        <v>2 Пилорама поката\E33149364_7_20260108T175709Z.jpg</v>
      </c>
    </row>
    <row r="204" spans="1:13" x14ac:dyDescent="0.25">
      <c r="A204" s="2" t="s">
        <v>17</v>
      </c>
      <c r="B204" s="4">
        <v>46031</v>
      </c>
      <c r="C204" s="5">
        <v>0.75283564814814818</v>
      </c>
      <c r="D204" s="9" t="s">
        <v>1967</v>
      </c>
      <c r="E204" s="9" t="s">
        <v>8</v>
      </c>
      <c r="F204" s="9"/>
      <c r="H204" s="9"/>
      <c r="I204" s="9" t="s">
        <v>8391</v>
      </c>
      <c r="J204" s="9" t="s">
        <v>2944</v>
      </c>
      <c r="K204" t="s">
        <v>8392</v>
      </c>
      <c r="L204" t="s">
        <v>8393</v>
      </c>
      <c r="M204" s="3" t="str">
        <f>HYPERLINK(склад2въезд14[[#This Row],[RelativePath]])</f>
        <v>2 Пилорама поката\E33149364_7_20260109T180405Z.jpg</v>
      </c>
    </row>
    <row r="205" spans="1:13" x14ac:dyDescent="0.25">
      <c r="A205" s="2" t="s">
        <v>18</v>
      </c>
      <c r="B205" s="4">
        <v>46032</v>
      </c>
      <c r="C205" s="5">
        <v>0.75362268518518516</v>
      </c>
      <c r="D205" s="9" t="s">
        <v>1967</v>
      </c>
      <c r="E205" s="9" t="s">
        <v>8</v>
      </c>
      <c r="F205" s="9"/>
      <c r="H205" s="9"/>
      <c r="I205" s="9" t="s">
        <v>8394</v>
      </c>
      <c r="J205" s="9" t="s">
        <v>2944</v>
      </c>
      <c r="K205" t="s">
        <v>8395</v>
      </c>
      <c r="L205" t="s">
        <v>8396</v>
      </c>
      <c r="M205" s="3" t="str">
        <f>HYPERLINK(склад2въезд14[[#This Row],[RelativePath]])</f>
        <v>2 Пилорама поката\E33149364_7_20260110T180513Z.jpg</v>
      </c>
    </row>
    <row r="206" spans="1:13" x14ac:dyDescent="0.25">
      <c r="A206" s="2" t="s">
        <v>22</v>
      </c>
      <c r="B206" s="4">
        <v>46033</v>
      </c>
      <c r="C206" s="5">
        <v>0.63422453703703707</v>
      </c>
      <c r="D206" s="9" t="s">
        <v>1967</v>
      </c>
      <c r="E206" s="9" t="s">
        <v>8</v>
      </c>
      <c r="F206" s="9"/>
      <c r="H206" s="9"/>
      <c r="I206" s="9" t="s">
        <v>8397</v>
      </c>
      <c r="J206" s="9" t="s">
        <v>2944</v>
      </c>
      <c r="K206" t="s">
        <v>8398</v>
      </c>
      <c r="L206" t="s">
        <v>8399</v>
      </c>
      <c r="M206" s="3" t="str">
        <f>HYPERLINK(склад2въезд14[[#This Row],[RelativePath]])</f>
        <v>2 Пилорама поката\E33149364_7_20260111T151317Z.jpg</v>
      </c>
    </row>
    <row r="207" spans="1:13" x14ac:dyDescent="0.25">
      <c r="A207" s="2" t="s">
        <v>13</v>
      </c>
      <c r="B207" s="4">
        <v>46034</v>
      </c>
      <c r="C207" s="5">
        <v>0.46210648148148148</v>
      </c>
      <c r="D207" s="9" t="s">
        <v>4162</v>
      </c>
      <c r="E207" s="9" t="s">
        <v>86</v>
      </c>
      <c r="F207" s="9" t="s">
        <v>4181</v>
      </c>
      <c r="H207" s="9" t="s">
        <v>1583</v>
      </c>
      <c r="I207" s="9" t="s">
        <v>8716</v>
      </c>
      <c r="J207" s="9" t="s">
        <v>2944</v>
      </c>
      <c r="K207" t="s">
        <v>8717</v>
      </c>
      <c r="L207" t="s">
        <v>8718</v>
      </c>
      <c r="M207" s="3" t="str">
        <f>HYPERLINK(склад2въезд14[[#This Row],[RelativePath]])</f>
        <v>2 Пилорама поката\E33149364_7_20260112T110526Z.jpg</v>
      </c>
    </row>
    <row r="208" spans="1:13" x14ac:dyDescent="0.25">
      <c r="A208" s="2" t="s">
        <v>13</v>
      </c>
      <c r="B208" s="4">
        <v>46034</v>
      </c>
      <c r="C208" s="5">
        <v>0.46229166666666666</v>
      </c>
      <c r="D208" s="9" t="s">
        <v>4162</v>
      </c>
      <c r="E208" s="9" t="s">
        <v>86</v>
      </c>
      <c r="F208" s="9" t="s">
        <v>4181</v>
      </c>
      <c r="H208" s="9" t="s">
        <v>4177</v>
      </c>
      <c r="I208" s="9" t="s">
        <v>8719</v>
      </c>
      <c r="J208" s="9" t="s">
        <v>2944</v>
      </c>
      <c r="K208" t="s">
        <v>8720</v>
      </c>
      <c r="L208" t="s">
        <v>8721</v>
      </c>
      <c r="M208" s="3" t="str">
        <f>HYPERLINK(склад2въезд14[[#This Row],[RelativePath]])</f>
        <v>2 Пилорама поката\E33149364_7_20260112T110542Z.jpg</v>
      </c>
    </row>
    <row r="209" spans="1:13" x14ac:dyDescent="0.25">
      <c r="A209" s="2" t="s">
        <v>13</v>
      </c>
      <c r="B209" s="4">
        <v>46034</v>
      </c>
      <c r="C209" s="5">
        <v>0.47791666666666666</v>
      </c>
      <c r="D209" s="9" t="s">
        <v>158</v>
      </c>
      <c r="E209" s="9" t="s">
        <v>86</v>
      </c>
      <c r="F209" s="9" t="s">
        <v>60</v>
      </c>
      <c r="G209">
        <v>3</v>
      </c>
      <c r="H209" s="9" t="s">
        <v>3030</v>
      </c>
      <c r="I209" s="9" t="s">
        <v>8722</v>
      </c>
      <c r="J209" s="9" t="s">
        <v>2944</v>
      </c>
      <c r="K209" t="s">
        <v>8723</v>
      </c>
      <c r="L209" t="s">
        <v>8724</v>
      </c>
      <c r="M209" s="3" t="str">
        <f>HYPERLINK(склад2въезд14[[#This Row],[RelativePath]])</f>
        <v>2 Пилорама поката\E33149364_7_20260112T112812Z.jpg</v>
      </c>
    </row>
    <row r="210" spans="1:13" x14ac:dyDescent="0.25">
      <c r="A210" s="2" t="s">
        <v>13</v>
      </c>
      <c r="B210" s="4">
        <v>46034</v>
      </c>
      <c r="C210" s="5">
        <v>0.59212962962962967</v>
      </c>
      <c r="D210" s="9" t="s">
        <v>158</v>
      </c>
      <c r="E210" s="9" t="s">
        <v>86</v>
      </c>
      <c r="F210" s="9" t="s">
        <v>60</v>
      </c>
      <c r="G210">
        <v>2</v>
      </c>
      <c r="H210" s="9" t="s">
        <v>3030</v>
      </c>
      <c r="I210" s="9" t="s">
        <v>8725</v>
      </c>
      <c r="J210" s="9" t="s">
        <v>2944</v>
      </c>
      <c r="K210" t="s">
        <v>8726</v>
      </c>
      <c r="L210" t="s">
        <v>8727</v>
      </c>
      <c r="M210" s="3" t="str">
        <f>HYPERLINK(склад2въезд14[[#This Row],[RelativePath]])</f>
        <v>2 Пилорама поката\E33149364_7_20260112T141240Z.jpg</v>
      </c>
    </row>
    <row r="211" spans="1:13" x14ac:dyDescent="0.25">
      <c r="A211" s="2" t="s">
        <v>13</v>
      </c>
      <c r="B211" s="4">
        <v>46034</v>
      </c>
      <c r="C211" s="5">
        <v>0.59865740740740736</v>
      </c>
      <c r="D211" s="9" t="s">
        <v>158</v>
      </c>
      <c r="E211" s="9" t="s">
        <v>86</v>
      </c>
      <c r="F211" s="9" t="s">
        <v>60</v>
      </c>
      <c r="G211">
        <v>1</v>
      </c>
      <c r="H211" s="9" t="s">
        <v>3030</v>
      </c>
      <c r="I211" s="9" t="s">
        <v>8728</v>
      </c>
      <c r="J211" s="9" t="s">
        <v>2944</v>
      </c>
      <c r="K211" t="s">
        <v>8729</v>
      </c>
      <c r="L211" t="s">
        <v>8730</v>
      </c>
      <c r="M211" s="3" t="str">
        <f>HYPERLINK(склад2въезд14[[#This Row],[RelativePath]])</f>
        <v>2 Пилорама поката\E33149364_7_20260112T142204Z.jpg</v>
      </c>
    </row>
    <row r="212" spans="1:13" x14ac:dyDescent="0.25">
      <c r="A212" s="2" t="s">
        <v>13</v>
      </c>
      <c r="B212" s="4">
        <v>46034</v>
      </c>
      <c r="C212" s="5">
        <v>0.6675578703703704</v>
      </c>
      <c r="D212" s="9" t="s">
        <v>4162</v>
      </c>
      <c r="E212" s="9" t="s">
        <v>86</v>
      </c>
      <c r="F212" s="9" t="s">
        <v>9075</v>
      </c>
      <c r="H212" s="9" t="s">
        <v>1583</v>
      </c>
      <c r="I212" s="9" t="s">
        <v>8731</v>
      </c>
      <c r="J212" s="9" t="s">
        <v>2944</v>
      </c>
      <c r="K212" t="s">
        <v>8732</v>
      </c>
      <c r="L212" t="s">
        <v>8733</v>
      </c>
      <c r="M212" s="3" t="str">
        <f>HYPERLINK(склад2въезд14[[#This Row],[RelativePath]])</f>
        <v>2 Пилорама поката\E33149364_7_20260112T160117Z.jpg</v>
      </c>
    </row>
    <row r="213" spans="1:13" x14ac:dyDescent="0.25">
      <c r="A213" s="2" t="s">
        <v>13</v>
      </c>
      <c r="B213" s="4">
        <v>46034</v>
      </c>
      <c r="C213" s="5">
        <v>0.66769675925925931</v>
      </c>
      <c r="D213" s="9" t="s">
        <v>4162</v>
      </c>
      <c r="E213" s="9" t="s">
        <v>86</v>
      </c>
      <c r="F213" s="9" t="s">
        <v>9075</v>
      </c>
      <c r="H213" s="9" t="s">
        <v>2891</v>
      </c>
      <c r="I213" s="9" t="s">
        <v>8734</v>
      </c>
      <c r="J213" s="9" t="s">
        <v>2944</v>
      </c>
      <c r="K213" t="s">
        <v>8735</v>
      </c>
      <c r="L213" t="s">
        <v>8736</v>
      </c>
      <c r="M213" s="3" t="str">
        <f>HYPERLINK(склад2въезд14[[#This Row],[RelativePath]])</f>
        <v>2 Пилорама поката\E33149364_7_20260112T160129Z.jpg</v>
      </c>
    </row>
    <row r="214" spans="1:13" x14ac:dyDescent="0.25">
      <c r="A214" s="2" t="s">
        <v>14</v>
      </c>
      <c r="B214" s="4">
        <v>46035</v>
      </c>
      <c r="C214" s="5">
        <v>0.3973726851851852</v>
      </c>
      <c r="D214" s="9" t="s">
        <v>158</v>
      </c>
      <c r="E214" s="9" t="s">
        <v>86</v>
      </c>
      <c r="F214" s="9" t="s">
        <v>60</v>
      </c>
      <c r="G214">
        <v>1</v>
      </c>
      <c r="H214" s="9" t="s">
        <v>3030</v>
      </c>
      <c r="I214" s="9" t="s">
        <v>8737</v>
      </c>
      <c r="J214" s="9" t="s">
        <v>2944</v>
      </c>
      <c r="K214" t="s">
        <v>8738</v>
      </c>
      <c r="L214" t="s">
        <v>8739</v>
      </c>
      <c r="M214" s="3" t="str">
        <f>HYPERLINK(склад2въезд14[[#This Row],[RelativePath]])</f>
        <v>2 Пилорама поката\E33149364_7_20260113T093213Z.jpg</v>
      </c>
    </row>
    <row r="215" spans="1:13" x14ac:dyDescent="0.25">
      <c r="A215" s="2" t="s">
        <v>15</v>
      </c>
      <c r="B215" s="4">
        <v>46036</v>
      </c>
      <c r="C215" s="5">
        <v>0.50626157407407413</v>
      </c>
      <c r="D215" s="9" t="s">
        <v>1569</v>
      </c>
      <c r="E215" s="9" t="s">
        <v>4134</v>
      </c>
      <c r="F215" s="9"/>
      <c r="H215" s="9"/>
      <c r="I215" s="9" t="s">
        <v>9099</v>
      </c>
      <c r="J215" s="9" t="s">
        <v>2944</v>
      </c>
      <c r="K215" t="s">
        <v>9100</v>
      </c>
      <c r="L215" t="s">
        <v>9101</v>
      </c>
      <c r="M215" s="3" t="str">
        <f>HYPERLINK(склад2въезд14[[#This Row],[RelativePath]])</f>
        <v>2 Пилорама поката\E33149364_7_20260114T120901Z.jpg</v>
      </c>
    </row>
    <row r="216" spans="1:13" x14ac:dyDescent="0.25">
      <c r="A216" s="2" t="s">
        <v>15</v>
      </c>
      <c r="B216" s="4">
        <v>46036</v>
      </c>
      <c r="C216" s="5">
        <v>0.51443287037037033</v>
      </c>
      <c r="D216" s="9" t="s">
        <v>9222</v>
      </c>
      <c r="E216" s="9" t="s">
        <v>4134</v>
      </c>
      <c r="F216" s="9"/>
      <c r="H216" s="9"/>
      <c r="I216" s="9" t="s">
        <v>9102</v>
      </c>
      <c r="J216" s="9" t="s">
        <v>2944</v>
      </c>
      <c r="K216" t="s">
        <v>9103</v>
      </c>
      <c r="L216" t="s">
        <v>9104</v>
      </c>
      <c r="M216" s="3" t="str">
        <f>HYPERLINK(склад2въезд14[[#This Row],[RelativePath]])</f>
        <v>2 Пилорама поката\E33149364_7_20260114T122047Z.jpg</v>
      </c>
    </row>
    <row r="217" spans="1:13" x14ac:dyDescent="0.25">
      <c r="A217" s="2" t="s">
        <v>15</v>
      </c>
      <c r="B217" s="4">
        <v>46036</v>
      </c>
      <c r="C217" s="5">
        <v>0.59844907407407411</v>
      </c>
      <c r="D217" s="9" t="s">
        <v>9222</v>
      </c>
      <c r="E217" s="9" t="s">
        <v>4134</v>
      </c>
      <c r="F217" s="9"/>
      <c r="H217" s="9" t="s">
        <v>9223</v>
      </c>
      <c r="I217" s="9" t="s">
        <v>9105</v>
      </c>
      <c r="J217" s="9" t="s">
        <v>2944</v>
      </c>
      <c r="K217" t="s">
        <v>9106</v>
      </c>
      <c r="L217" t="s">
        <v>9107</v>
      </c>
      <c r="M217" s="3" t="str">
        <f>HYPERLINK(склад2въезд14[[#This Row],[RelativePath]])</f>
        <v>2 Пилорама поката\E33149364_7_20260114T142146Z.jpg</v>
      </c>
    </row>
    <row r="218" spans="1:13" x14ac:dyDescent="0.25">
      <c r="A218" s="2" t="s">
        <v>15</v>
      </c>
      <c r="B218" s="4">
        <v>46036</v>
      </c>
      <c r="C218" s="5">
        <v>0.68151620370370369</v>
      </c>
      <c r="D218" s="9" t="s">
        <v>9222</v>
      </c>
      <c r="E218" s="9" t="s">
        <v>4134</v>
      </c>
      <c r="F218" s="9" t="s">
        <v>9224</v>
      </c>
      <c r="H218" s="9" t="s">
        <v>9225</v>
      </c>
      <c r="I218" s="9" t="s">
        <v>9108</v>
      </c>
      <c r="J218" s="9" t="s">
        <v>2944</v>
      </c>
      <c r="K218" t="s">
        <v>9109</v>
      </c>
      <c r="L218" t="s">
        <v>9110</v>
      </c>
      <c r="M218" s="3" t="str">
        <f>HYPERLINK(склад2въезд14[[#This Row],[RelativePath]])</f>
        <v>2 Пилорама поката\E33149364_7_20260114T162123Z.jpg</v>
      </c>
    </row>
    <row r="219" spans="1:13" x14ac:dyDescent="0.25">
      <c r="A219" s="2" t="s">
        <v>15</v>
      </c>
      <c r="B219" s="4">
        <v>46036</v>
      </c>
      <c r="C219" s="5">
        <v>0.70737268518518515</v>
      </c>
      <c r="D219" s="9" t="s">
        <v>622</v>
      </c>
      <c r="E219" s="9" t="s">
        <v>4134</v>
      </c>
      <c r="F219" s="9"/>
      <c r="H219" s="9"/>
      <c r="I219" s="9" t="s">
        <v>9111</v>
      </c>
      <c r="J219" s="9" t="s">
        <v>2944</v>
      </c>
      <c r="K219" t="s">
        <v>9112</v>
      </c>
      <c r="L219" t="s">
        <v>9113</v>
      </c>
      <c r="M219" s="3" t="str">
        <f>HYPERLINK(склад2въезд14[[#This Row],[RelativePath]])</f>
        <v>2 Пилорама поката\E33149364_7_20260114T165837Z.jpg</v>
      </c>
    </row>
    <row r="220" spans="1:13" x14ac:dyDescent="0.25">
      <c r="A220" s="2" t="s">
        <v>16</v>
      </c>
      <c r="B220" s="4">
        <v>46037</v>
      </c>
      <c r="C220" s="5">
        <v>0.69466435185185182</v>
      </c>
      <c r="D220" s="9" t="s">
        <v>1967</v>
      </c>
      <c r="E220" s="9" t="s">
        <v>8</v>
      </c>
      <c r="F220" s="9"/>
      <c r="H220" s="9"/>
      <c r="I220" s="9" t="s">
        <v>9114</v>
      </c>
      <c r="J220" s="9" t="s">
        <v>2944</v>
      </c>
      <c r="K220" t="s">
        <v>9115</v>
      </c>
      <c r="L220" t="s">
        <v>9116</v>
      </c>
      <c r="M220" s="3" t="str">
        <f>HYPERLINK(склад2въезд14[[#This Row],[RelativePath]])</f>
        <v>2 Пилорама поката\E33149364_7_20260115T164019Z.jpg</v>
      </c>
    </row>
    <row r="221" spans="1:13" x14ac:dyDescent="0.25">
      <c r="A221" s="2" t="s">
        <v>17</v>
      </c>
      <c r="B221" s="4">
        <v>46038</v>
      </c>
      <c r="C221" s="5">
        <v>0.39196759259259262</v>
      </c>
      <c r="D221" s="9" t="s">
        <v>505</v>
      </c>
      <c r="E221" s="9" t="s">
        <v>503</v>
      </c>
      <c r="F221" s="9" t="s">
        <v>2884</v>
      </c>
      <c r="H221" s="9"/>
      <c r="I221" s="9" t="s">
        <v>9117</v>
      </c>
      <c r="J221" s="9" t="s">
        <v>2944</v>
      </c>
      <c r="K221" t="s">
        <v>9118</v>
      </c>
      <c r="L221" t="s">
        <v>9119</v>
      </c>
      <c r="M221" s="3" t="str">
        <f>HYPERLINK(склад2въезд14[[#This Row],[RelativePath]])</f>
        <v>2 Пилорама поката\E33149364_7_20260116T092426Z.jpg</v>
      </c>
    </row>
    <row r="222" spans="1:13" x14ac:dyDescent="0.25">
      <c r="A222" s="2" t="s">
        <v>17</v>
      </c>
      <c r="B222" s="4">
        <v>46038</v>
      </c>
      <c r="C222" s="5">
        <v>0.39203703703703702</v>
      </c>
      <c r="D222" s="9" t="s">
        <v>505</v>
      </c>
      <c r="E222" s="9" t="s">
        <v>503</v>
      </c>
      <c r="F222" s="9" t="s">
        <v>2884</v>
      </c>
      <c r="H222" s="9" t="s">
        <v>2891</v>
      </c>
      <c r="I222" s="9" t="s">
        <v>9120</v>
      </c>
      <c r="J222" s="9" t="s">
        <v>2944</v>
      </c>
      <c r="K222" t="s">
        <v>9121</v>
      </c>
      <c r="L222" t="s">
        <v>9122</v>
      </c>
      <c r="M222" s="3" t="str">
        <f>HYPERLINK(склад2въезд14[[#This Row],[RelativePath]])</f>
        <v>2 Пилорама поката\E33149364_7_20260116T092432Z.jpg</v>
      </c>
    </row>
    <row r="223" spans="1:13" x14ac:dyDescent="0.25">
      <c r="A223" s="2" t="s">
        <v>17</v>
      </c>
      <c r="B223" s="4">
        <v>46038</v>
      </c>
      <c r="C223" s="5">
        <v>0.46456018518518516</v>
      </c>
      <c r="D223" s="9" t="s">
        <v>9226</v>
      </c>
      <c r="E223" s="9" t="s">
        <v>9227</v>
      </c>
      <c r="F223" s="9"/>
      <c r="H223" s="9" t="s">
        <v>6450</v>
      </c>
      <c r="I223" s="9" t="s">
        <v>9123</v>
      </c>
      <c r="J223" s="9" t="s">
        <v>2944</v>
      </c>
      <c r="K223" t="s">
        <v>9124</v>
      </c>
      <c r="L223" t="s">
        <v>9125</v>
      </c>
      <c r="M223" s="3" t="str">
        <f>HYPERLINK(склад2въезд14[[#This Row],[RelativePath]])</f>
        <v>2 Пилорама поката\E33149364_7_20260116T110858Z.jpg</v>
      </c>
    </row>
    <row r="224" spans="1:13" x14ac:dyDescent="0.25">
      <c r="A224" s="2" t="s">
        <v>18</v>
      </c>
      <c r="B224" s="4">
        <v>46039</v>
      </c>
      <c r="C224" s="5">
        <v>0.59896990740740741</v>
      </c>
      <c r="D224" s="9" t="s">
        <v>1569</v>
      </c>
      <c r="E224" s="9" t="s">
        <v>6574</v>
      </c>
      <c r="F224" s="9" t="s">
        <v>51</v>
      </c>
      <c r="H224" s="9"/>
      <c r="I224" s="9" t="s">
        <v>9452</v>
      </c>
      <c r="J224" s="9" t="s">
        <v>2944</v>
      </c>
      <c r="K224" t="s">
        <v>9453</v>
      </c>
      <c r="L224" t="s">
        <v>9454</v>
      </c>
      <c r="M224" s="3" t="str">
        <f>HYPERLINK(склад2въезд14[[#This Row],[RelativePath]])</f>
        <v>2 Пилорама поката\E33149364_7_20260117T142231Z.jpg</v>
      </c>
    </row>
    <row r="225" spans="1:13" x14ac:dyDescent="0.25">
      <c r="A225" s="2" t="s">
        <v>18</v>
      </c>
      <c r="B225" s="4">
        <v>46039</v>
      </c>
      <c r="C225" s="5">
        <v>0.61084490740740738</v>
      </c>
      <c r="D225" s="9" t="s">
        <v>622</v>
      </c>
      <c r="E225" s="9" t="s">
        <v>6574</v>
      </c>
      <c r="F225" s="9" t="s">
        <v>4181</v>
      </c>
      <c r="H225" s="9"/>
      <c r="I225" s="9" t="s">
        <v>9455</v>
      </c>
      <c r="J225" s="9" t="s">
        <v>2944</v>
      </c>
      <c r="K225" t="s">
        <v>9456</v>
      </c>
      <c r="L225" t="s">
        <v>9457</v>
      </c>
      <c r="M225" s="3" t="str">
        <f>HYPERLINK(склад2въезд14[[#This Row],[RelativePath]])</f>
        <v>2 Пилорама поката\E33149364_7_20260117T143937Z.jpg</v>
      </c>
    </row>
    <row r="226" spans="1:13" x14ac:dyDescent="0.25">
      <c r="A226" s="2" t="s">
        <v>18</v>
      </c>
      <c r="B226" s="4">
        <v>46039</v>
      </c>
      <c r="C226" s="5">
        <v>0.63849537037037041</v>
      </c>
      <c r="D226" s="9" t="s">
        <v>1569</v>
      </c>
      <c r="E226" s="9" t="s">
        <v>6574</v>
      </c>
      <c r="F226" s="9" t="s">
        <v>51</v>
      </c>
      <c r="H226" s="9"/>
      <c r="I226" s="9" t="s">
        <v>9458</v>
      </c>
      <c r="J226" s="9" t="s">
        <v>2944</v>
      </c>
      <c r="K226" t="s">
        <v>9459</v>
      </c>
      <c r="L226" t="s">
        <v>9460</v>
      </c>
      <c r="M226" s="3" t="str">
        <f>HYPERLINK(склад2въезд14[[#This Row],[RelativePath]])</f>
        <v>2 Пилорама поката\E33149364_7_20260117T151926Z.jpg</v>
      </c>
    </row>
    <row r="227" spans="1:13" x14ac:dyDescent="0.25">
      <c r="A227" s="2" t="s">
        <v>18</v>
      </c>
      <c r="B227" s="4">
        <v>46039</v>
      </c>
      <c r="C227" s="5">
        <v>0.65743055555555552</v>
      </c>
      <c r="D227" s="9" t="s">
        <v>622</v>
      </c>
      <c r="E227" s="9" t="s">
        <v>6574</v>
      </c>
      <c r="F227" s="9" t="s">
        <v>9564</v>
      </c>
      <c r="H227" s="9"/>
      <c r="I227" s="9" t="s">
        <v>9461</v>
      </c>
      <c r="J227" s="9" t="s">
        <v>2944</v>
      </c>
      <c r="K227" t="s">
        <v>9462</v>
      </c>
      <c r="L227" t="s">
        <v>9463</v>
      </c>
      <c r="M227" s="3" t="str">
        <f>HYPERLINK(склад2въезд14[[#This Row],[RelativePath]])</f>
        <v>2 Пилорама поката\E33149364_7_20260117T154642Z.jpg</v>
      </c>
    </row>
    <row r="228" spans="1:13" x14ac:dyDescent="0.25">
      <c r="A228" s="2" t="s">
        <v>22</v>
      </c>
      <c r="B228" s="4">
        <v>46040</v>
      </c>
      <c r="C228" s="5">
        <v>0.37439814814814815</v>
      </c>
      <c r="D228" s="9" t="s">
        <v>1967</v>
      </c>
      <c r="E228" s="9" t="s">
        <v>8</v>
      </c>
      <c r="F228" s="9"/>
      <c r="H228" s="9"/>
      <c r="I228" s="9" t="s">
        <v>9464</v>
      </c>
      <c r="J228" s="9" t="s">
        <v>2944</v>
      </c>
      <c r="K228" t="s">
        <v>9465</v>
      </c>
      <c r="L228" t="s">
        <v>9466</v>
      </c>
      <c r="M228" s="3" t="str">
        <f>HYPERLINK(склад2въезд14[[#This Row],[RelativePath]])</f>
        <v>2 Пилорама поката\E33149364_7_20260118T085908Z.jpg</v>
      </c>
    </row>
    <row r="229" spans="1:13" x14ac:dyDescent="0.25">
      <c r="A229" s="2" t="s">
        <v>13</v>
      </c>
      <c r="B229" s="4">
        <v>46041</v>
      </c>
      <c r="C229" s="5">
        <v>0.76245370370370369</v>
      </c>
      <c r="D229" s="9" t="s">
        <v>1967</v>
      </c>
      <c r="E229" s="9" t="s">
        <v>8</v>
      </c>
      <c r="F229" s="9"/>
      <c r="H229" s="9"/>
      <c r="I229" s="9" t="s">
        <v>9594</v>
      </c>
      <c r="J229" s="9" t="s">
        <v>2944</v>
      </c>
      <c r="K229" t="s">
        <v>9595</v>
      </c>
      <c r="L229" t="s">
        <v>9596</v>
      </c>
      <c r="M229" s="3" t="str">
        <f>HYPERLINK(склад2въезд14[[#This Row],[RelativePath]])</f>
        <v>2 Пилорама поката\E33149364_7_20260119T181756Z.jpg</v>
      </c>
    </row>
    <row r="230" spans="1:13" x14ac:dyDescent="0.25">
      <c r="A230" s="2" t="s">
        <v>14</v>
      </c>
      <c r="B230" s="4">
        <v>46042</v>
      </c>
      <c r="C230" s="5">
        <v>0.72775462962962967</v>
      </c>
      <c r="D230" s="9" t="s">
        <v>1967</v>
      </c>
      <c r="E230" s="9" t="s">
        <v>8</v>
      </c>
      <c r="F230" s="9"/>
      <c r="H230" s="9"/>
      <c r="I230" s="9" t="s">
        <v>9597</v>
      </c>
      <c r="J230" s="9" t="s">
        <v>2944</v>
      </c>
      <c r="K230" t="s">
        <v>9598</v>
      </c>
      <c r="L230" t="s">
        <v>9599</v>
      </c>
      <c r="M230" s="3" t="str">
        <f>HYPERLINK(склад2въезд14[[#This Row],[RelativePath]])</f>
        <v>2 Пилорама поката\E33149364_7_20260120T172758Z.jpg</v>
      </c>
    </row>
    <row r="231" spans="1:13" x14ac:dyDescent="0.25">
      <c r="A231" s="2" t="s">
        <v>15</v>
      </c>
      <c r="B231" s="4">
        <v>46043</v>
      </c>
      <c r="C231" s="5">
        <v>0.56034722222222222</v>
      </c>
      <c r="D231" s="9" t="s">
        <v>1569</v>
      </c>
      <c r="E231" s="9" t="s">
        <v>10015</v>
      </c>
      <c r="F231" s="9"/>
      <c r="H231" s="9" t="s">
        <v>5405</v>
      </c>
      <c r="I231" s="9" t="s">
        <v>9793</v>
      </c>
      <c r="J231" s="9" t="s">
        <v>2944</v>
      </c>
      <c r="K231" t="s">
        <v>9794</v>
      </c>
      <c r="L231" t="s">
        <v>9795</v>
      </c>
      <c r="M231" s="3" t="str">
        <f>HYPERLINK(склад2въезд14[[#This Row],[RelativePath]])</f>
        <v>2 Пилорама поката\E33149364_7_20260121T132654Z.jpg</v>
      </c>
    </row>
    <row r="232" spans="1:13" x14ac:dyDescent="0.25">
      <c r="A232" s="2" t="s">
        <v>15</v>
      </c>
      <c r="B232" s="4">
        <v>46043</v>
      </c>
      <c r="C232" s="5">
        <v>0.82356481481481481</v>
      </c>
      <c r="D232" s="9" t="s">
        <v>622</v>
      </c>
      <c r="E232" s="9" t="s">
        <v>10015</v>
      </c>
      <c r="F232" s="9"/>
      <c r="H232" s="9"/>
      <c r="I232" s="9" t="s">
        <v>9796</v>
      </c>
      <c r="J232" s="9" t="s">
        <v>2944</v>
      </c>
      <c r="K232" t="s">
        <v>9797</v>
      </c>
      <c r="L232" t="s">
        <v>9798</v>
      </c>
      <c r="M232" s="3" t="str">
        <f>HYPERLINK(склад2въезд14[[#This Row],[RelativePath]])</f>
        <v>2 Пилорама поката\E33149364_7_20260121T194556Z.jpg</v>
      </c>
    </row>
    <row r="233" spans="1:13" x14ac:dyDescent="0.25">
      <c r="A233" s="2" t="s">
        <v>16</v>
      </c>
      <c r="B233" s="4">
        <v>46044</v>
      </c>
      <c r="C233" s="5">
        <v>0.51006944444444446</v>
      </c>
      <c r="D233" s="9" t="s">
        <v>1569</v>
      </c>
      <c r="E233" s="9" t="s">
        <v>4134</v>
      </c>
      <c r="F233" s="9"/>
      <c r="H233" s="9" t="s">
        <v>5405</v>
      </c>
      <c r="I233" s="9" t="s">
        <v>9799</v>
      </c>
      <c r="J233" s="9" t="s">
        <v>2944</v>
      </c>
      <c r="K233" t="s">
        <v>9800</v>
      </c>
      <c r="L233" t="s">
        <v>9801</v>
      </c>
      <c r="M233" s="3" t="str">
        <f>HYPERLINK(склад2въезд14[[#This Row],[RelativePath]])</f>
        <v>2 Пилорама поката\E33149364_7_20260122T121430Z.jpg</v>
      </c>
    </row>
    <row r="234" spans="1:13" x14ac:dyDescent="0.25">
      <c r="A234" s="2" t="s">
        <v>16</v>
      </c>
      <c r="B234" s="4">
        <v>46044</v>
      </c>
      <c r="C234" s="5">
        <v>0.52622685185185181</v>
      </c>
      <c r="D234" s="9" t="s">
        <v>622</v>
      </c>
      <c r="E234" s="9" t="s">
        <v>4134</v>
      </c>
      <c r="F234" s="9"/>
      <c r="H234" s="9"/>
      <c r="I234" s="9" t="s">
        <v>9802</v>
      </c>
      <c r="J234" s="9" t="s">
        <v>2944</v>
      </c>
      <c r="K234" t="s">
        <v>9803</v>
      </c>
      <c r="L234" t="s">
        <v>9804</v>
      </c>
      <c r="M234" s="3" t="str">
        <f>HYPERLINK(склад2въезд14[[#This Row],[RelativePath]])</f>
        <v>2 Пилорама поката\E33149364_7_20260122T123746Z.jpg</v>
      </c>
    </row>
    <row r="235" spans="1:13" x14ac:dyDescent="0.25">
      <c r="A235" s="2" t="s">
        <v>17</v>
      </c>
      <c r="B235" s="4">
        <v>46045</v>
      </c>
      <c r="C235" s="5">
        <v>0.45284722222222223</v>
      </c>
      <c r="D235" s="9" t="s">
        <v>1569</v>
      </c>
      <c r="E235" s="9" t="s">
        <v>10041</v>
      </c>
      <c r="F235" s="9" t="s">
        <v>5010</v>
      </c>
      <c r="H235" s="9"/>
      <c r="I235" s="9" t="s">
        <v>10043</v>
      </c>
      <c r="J235" s="9" t="s">
        <v>2944</v>
      </c>
      <c r="K235" t="s">
        <v>10044</v>
      </c>
      <c r="L235" t="s">
        <v>10045</v>
      </c>
      <c r="M235" s="3" t="str">
        <f>HYPERLINK(склад2въезд14[[#This Row],[RelativePath]])</f>
        <v>2 Пилорама поката\E33149364_7_20260123T105206Z.jpg</v>
      </c>
    </row>
    <row r="236" spans="1:13" x14ac:dyDescent="0.25">
      <c r="A236" s="2" t="s">
        <v>17</v>
      </c>
      <c r="B236" s="4">
        <v>46045</v>
      </c>
      <c r="C236" s="5">
        <v>0.51587962962962963</v>
      </c>
      <c r="D236" s="9" t="s">
        <v>6092</v>
      </c>
      <c r="E236" s="9" t="s">
        <v>10041</v>
      </c>
      <c r="F236" s="9" t="s">
        <v>5010</v>
      </c>
      <c r="H236" s="9" t="s">
        <v>5405</v>
      </c>
      <c r="I236" s="9" t="s">
        <v>10046</v>
      </c>
      <c r="J236" s="9" t="s">
        <v>2944</v>
      </c>
      <c r="K236" t="s">
        <v>10047</v>
      </c>
      <c r="L236" t="s">
        <v>10048</v>
      </c>
      <c r="M236" s="3" t="str">
        <f>HYPERLINK(склад2въезд14[[#This Row],[RelativePath]])</f>
        <v>2 Пилорама поката\E33149364_7_20260123T122252Z.jpg</v>
      </c>
    </row>
    <row r="237" spans="1:13" x14ac:dyDescent="0.25">
      <c r="A237" s="2" t="s">
        <v>17</v>
      </c>
      <c r="B237" s="4">
        <v>46045</v>
      </c>
      <c r="C237" s="5">
        <v>0.51633101851851848</v>
      </c>
      <c r="D237" s="9" t="s">
        <v>622</v>
      </c>
      <c r="E237" s="9" t="s">
        <v>10041</v>
      </c>
      <c r="F237" s="9" t="s">
        <v>5010</v>
      </c>
      <c r="H237" s="9"/>
      <c r="I237" s="9" t="s">
        <v>10049</v>
      </c>
      <c r="J237" s="9" t="s">
        <v>2944</v>
      </c>
      <c r="K237" t="s">
        <v>10050</v>
      </c>
      <c r="L237" t="s">
        <v>10051</v>
      </c>
      <c r="M237" s="3" t="str">
        <f>HYPERLINK(склад2въезд14[[#This Row],[RelativePath]])</f>
        <v>2 Пилорама поката\E33149364_7_20260123T122331Z.jpg</v>
      </c>
    </row>
    <row r="238" spans="1:13" x14ac:dyDescent="0.25">
      <c r="A238" s="2" t="s">
        <v>18</v>
      </c>
      <c r="B238" s="4">
        <v>46046</v>
      </c>
      <c r="C238" s="5">
        <v>0.36871527777777779</v>
      </c>
      <c r="D238" s="9" t="s">
        <v>1967</v>
      </c>
      <c r="E238" s="9" t="s">
        <v>8</v>
      </c>
      <c r="F238" s="9"/>
      <c r="H238" s="9"/>
      <c r="I238" s="9" t="s">
        <v>10320</v>
      </c>
      <c r="J238" s="9" t="s">
        <v>2944</v>
      </c>
      <c r="K238" t="s">
        <v>10321</v>
      </c>
      <c r="L238" t="s">
        <v>10322</v>
      </c>
      <c r="M238" s="3" t="str">
        <f>HYPERLINK(склад2въезд14[[#This Row],[RelativePath]])</f>
        <v>2 Пилорама поката\E33149364_7_20260124T085057Z.jpg</v>
      </c>
    </row>
    <row r="239" spans="1:13" x14ac:dyDescent="0.25">
      <c r="A239" s="2" t="s">
        <v>22</v>
      </c>
      <c r="B239" s="4">
        <v>46047</v>
      </c>
      <c r="C239" s="5">
        <v>0.77027777777777773</v>
      </c>
      <c r="D239" s="9" t="s">
        <v>1967</v>
      </c>
      <c r="E239" s="9" t="s">
        <v>8</v>
      </c>
      <c r="F239" s="9"/>
      <c r="H239" s="9"/>
      <c r="I239" s="9" t="s">
        <v>10323</v>
      </c>
      <c r="J239" s="9" t="s">
        <v>2944</v>
      </c>
      <c r="K239" t="s">
        <v>10324</v>
      </c>
      <c r="L239" t="s">
        <v>10325</v>
      </c>
      <c r="M239" s="3" t="str">
        <f>HYPERLINK(склад2въезд14[[#This Row],[RelativePath]])</f>
        <v>2 Пилорама поката\E33149364_7_20260125T182912Z.jpg</v>
      </c>
    </row>
    <row r="240" spans="1:13" x14ac:dyDescent="0.25">
      <c r="A240" s="2" t="s">
        <v>13</v>
      </c>
      <c r="B240" s="4">
        <v>46048</v>
      </c>
      <c r="C240" s="5">
        <v>0.77182870370370371</v>
      </c>
      <c r="D240" s="9" t="s">
        <v>1967</v>
      </c>
      <c r="E240" s="9" t="s">
        <v>8</v>
      </c>
      <c r="F240" s="9"/>
      <c r="H240" s="9"/>
      <c r="I240" s="9" t="s">
        <v>10400</v>
      </c>
      <c r="J240" s="9" t="s">
        <v>2944</v>
      </c>
      <c r="K240" t="s">
        <v>10401</v>
      </c>
      <c r="L240" t="s">
        <v>10402</v>
      </c>
      <c r="M240" s="3" t="str">
        <f>HYPERLINK(склад2въезд14[[#This Row],[RelativePath]])</f>
        <v>2 Пилорама поката\E33149364_7_20260126T183126Z.jpg</v>
      </c>
    </row>
    <row r="241" spans="1:13" x14ac:dyDescent="0.25">
      <c r="A241" s="2" t="s">
        <v>14</v>
      </c>
      <c r="B241" s="4">
        <v>46049</v>
      </c>
      <c r="C241" s="5">
        <v>0.61211805555555554</v>
      </c>
      <c r="D241" s="9" t="s">
        <v>1967</v>
      </c>
      <c r="E241" s="9" t="s">
        <v>8</v>
      </c>
      <c r="F241" s="9"/>
      <c r="H241" s="9"/>
      <c r="I241" s="9" t="s">
        <v>10403</v>
      </c>
      <c r="J241" s="9" t="s">
        <v>2944</v>
      </c>
      <c r="K241" t="s">
        <v>10404</v>
      </c>
      <c r="L241" t="s">
        <v>10405</v>
      </c>
      <c r="M241" s="3" t="str">
        <f>HYPERLINK(склад2въезд14[[#This Row],[RelativePath]])</f>
        <v>2 Пилорама поката\E33149364_7_20260127T144127Z.jpg</v>
      </c>
    </row>
    <row r="242" spans="1:13" x14ac:dyDescent="0.25">
      <c r="A242" s="2" t="s">
        <v>15</v>
      </c>
      <c r="B242" s="4">
        <v>46050</v>
      </c>
      <c r="C242" s="5">
        <v>0.61832175925925925</v>
      </c>
      <c r="D242" s="9" t="s">
        <v>158</v>
      </c>
      <c r="E242" s="9" t="s">
        <v>1570</v>
      </c>
      <c r="F242" s="9" t="s">
        <v>2884</v>
      </c>
      <c r="G242">
        <v>1</v>
      </c>
      <c r="H242" s="9" t="s">
        <v>3030</v>
      </c>
      <c r="I242" s="9" t="s">
        <v>10511</v>
      </c>
      <c r="J242" s="9" t="s">
        <v>2944</v>
      </c>
      <c r="K242" t="s">
        <v>10512</v>
      </c>
      <c r="L242" t="s">
        <v>10513</v>
      </c>
      <c r="M242" s="3" t="str">
        <f>HYPERLINK(склад2въезд14[[#This Row],[RelativePath]])</f>
        <v>2 Пилорама поката\E33149364_7_20260128T145023Z.jpg</v>
      </c>
    </row>
    <row r="243" spans="1:13" x14ac:dyDescent="0.25">
      <c r="A243" s="2" t="s">
        <v>15</v>
      </c>
      <c r="B243" s="4">
        <v>46050</v>
      </c>
      <c r="C243" s="5">
        <v>0.6216666666666667</v>
      </c>
      <c r="D243" s="9" t="s">
        <v>158</v>
      </c>
      <c r="E243" s="9" t="s">
        <v>1570</v>
      </c>
      <c r="F243" s="9" t="s">
        <v>2884</v>
      </c>
      <c r="G243">
        <v>1</v>
      </c>
      <c r="H243" s="9" t="s">
        <v>3030</v>
      </c>
      <c r="I243" s="9" t="s">
        <v>10514</v>
      </c>
      <c r="J243" s="9" t="s">
        <v>2944</v>
      </c>
      <c r="K243" t="s">
        <v>10515</v>
      </c>
      <c r="L243" t="s">
        <v>10516</v>
      </c>
      <c r="M243" s="3" t="str">
        <f>HYPERLINK(склад2въезд14[[#This Row],[RelativePath]])</f>
        <v>2 Пилорама поката\E33149364_7_20260128T145512Z.jpg</v>
      </c>
    </row>
    <row r="244" spans="1:13" x14ac:dyDescent="0.25">
      <c r="A244" s="2" t="s">
        <v>15</v>
      </c>
      <c r="B244" s="4">
        <v>46050</v>
      </c>
      <c r="C244" s="5">
        <v>0.62906249999999997</v>
      </c>
      <c r="D244" s="9" t="s">
        <v>158</v>
      </c>
      <c r="E244" s="9" t="s">
        <v>1570</v>
      </c>
      <c r="F244" s="9" t="s">
        <v>2884</v>
      </c>
      <c r="G244">
        <v>1</v>
      </c>
      <c r="H244" s="9" t="s">
        <v>3030</v>
      </c>
      <c r="I244" s="9" t="s">
        <v>10517</v>
      </c>
      <c r="J244" s="9" t="s">
        <v>2944</v>
      </c>
      <c r="K244" t="s">
        <v>10518</v>
      </c>
      <c r="L244" t="s">
        <v>10519</v>
      </c>
      <c r="M244" s="3" t="str">
        <f>HYPERLINK(склад2въезд14[[#This Row],[RelativePath]])</f>
        <v>2 Пилорама поката\E33149364_7_20260128T150551Z.jpg</v>
      </c>
    </row>
    <row r="245" spans="1:13" x14ac:dyDescent="0.25">
      <c r="A245" s="2" t="s">
        <v>15</v>
      </c>
      <c r="B245" s="4">
        <v>46050</v>
      </c>
      <c r="C245" s="5">
        <v>0.64170138888888884</v>
      </c>
      <c r="D245" s="9" t="s">
        <v>158</v>
      </c>
      <c r="E245" s="9" t="s">
        <v>1570</v>
      </c>
      <c r="F245" s="9" t="s">
        <v>2884</v>
      </c>
      <c r="G245">
        <v>1</v>
      </c>
      <c r="H245" s="9" t="s">
        <v>3030</v>
      </c>
      <c r="I245" s="9" t="s">
        <v>10520</v>
      </c>
      <c r="J245" s="9" t="s">
        <v>2944</v>
      </c>
      <c r="K245" t="s">
        <v>10521</v>
      </c>
      <c r="L245" t="s">
        <v>10522</v>
      </c>
      <c r="M245" s="3" t="str">
        <f>HYPERLINK(склад2въезд14[[#This Row],[RelativePath]])</f>
        <v>2 Пилорама поката\E33149364_7_20260128T152403Z.jpg</v>
      </c>
    </row>
    <row r="246" spans="1:13" x14ac:dyDescent="0.25">
      <c r="A246" s="2" t="s">
        <v>16</v>
      </c>
      <c r="B246" s="4">
        <v>46051</v>
      </c>
      <c r="C246" s="5">
        <v>0.47310185185185183</v>
      </c>
      <c r="D246" s="9" t="s">
        <v>261</v>
      </c>
      <c r="E246" s="9" t="s">
        <v>10752</v>
      </c>
      <c r="F246" s="9" t="s">
        <v>2884</v>
      </c>
      <c r="G246">
        <v>1</v>
      </c>
      <c r="H246" s="9"/>
      <c r="I246" s="9" t="s">
        <v>10523</v>
      </c>
      <c r="J246" s="9" t="s">
        <v>2944</v>
      </c>
      <c r="K246" t="s">
        <v>10524</v>
      </c>
      <c r="L246" t="s">
        <v>10525</v>
      </c>
      <c r="M246" s="3" t="str">
        <f>HYPERLINK(склад2въезд14[[#This Row],[RelativePath]])</f>
        <v>2 Пилорама поката\E33149364_7_20260129T112116Z.jpg</v>
      </c>
    </row>
    <row r="247" spans="1:13" x14ac:dyDescent="0.25">
      <c r="A247" s="2" t="s">
        <v>16</v>
      </c>
      <c r="B247" s="4">
        <v>46051</v>
      </c>
      <c r="C247" s="5">
        <v>0.47327546296296297</v>
      </c>
      <c r="D247" s="9" t="s">
        <v>261</v>
      </c>
      <c r="E247" s="9" t="s">
        <v>10752</v>
      </c>
      <c r="F247" s="9" t="s">
        <v>2884</v>
      </c>
      <c r="G247">
        <v>1</v>
      </c>
      <c r="H247" s="9" t="s">
        <v>2891</v>
      </c>
      <c r="I247" s="9" t="s">
        <v>10526</v>
      </c>
      <c r="J247" s="9" t="s">
        <v>2944</v>
      </c>
      <c r="K247" t="s">
        <v>10527</v>
      </c>
      <c r="L247" t="s">
        <v>10528</v>
      </c>
      <c r="M247" s="3" t="str">
        <f>HYPERLINK(склад2въезд14[[#This Row],[RelativePath]])</f>
        <v>2 Пилорама поката\E33149364_7_20260129T112131Z.jpg</v>
      </c>
    </row>
    <row r="248" spans="1:13" x14ac:dyDescent="0.25">
      <c r="A248" s="2" t="s">
        <v>16</v>
      </c>
      <c r="B248" s="4">
        <v>46051</v>
      </c>
      <c r="C248" s="5">
        <v>0.47359953703703705</v>
      </c>
      <c r="D248" s="9" t="s">
        <v>261</v>
      </c>
      <c r="E248" s="9" t="s">
        <v>10752</v>
      </c>
      <c r="F248" s="9" t="s">
        <v>2884</v>
      </c>
      <c r="G248">
        <v>1</v>
      </c>
      <c r="H248" s="9" t="s">
        <v>2891</v>
      </c>
      <c r="I248" s="9" t="s">
        <v>10529</v>
      </c>
      <c r="J248" s="9" t="s">
        <v>2944</v>
      </c>
      <c r="K248" t="s">
        <v>10530</v>
      </c>
      <c r="L248" t="s">
        <v>10531</v>
      </c>
      <c r="M248" s="3" t="str">
        <f>HYPERLINK(склад2въезд14[[#This Row],[RelativePath]])</f>
        <v>2 Пилорама поката\E33149364_7_20260129T112159Z.jpg</v>
      </c>
    </row>
    <row r="249" spans="1:13" x14ac:dyDescent="0.25">
      <c r="A249" s="2" t="s">
        <v>16</v>
      </c>
      <c r="B249" s="4">
        <v>46051</v>
      </c>
      <c r="C249" s="5">
        <v>0.4737615740740741</v>
      </c>
      <c r="D249" s="9" t="s">
        <v>261</v>
      </c>
      <c r="E249" s="9" t="s">
        <v>10752</v>
      </c>
      <c r="F249" s="9" t="s">
        <v>2884</v>
      </c>
      <c r="G249">
        <v>1</v>
      </c>
      <c r="H249" s="9" t="s">
        <v>2891</v>
      </c>
      <c r="I249" s="9" t="s">
        <v>10532</v>
      </c>
      <c r="J249" s="9" t="s">
        <v>2944</v>
      </c>
      <c r="K249" t="s">
        <v>10533</v>
      </c>
      <c r="L249" t="s">
        <v>10534</v>
      </c>
      <c r="M249" s="3" t="str">
        <f>HYPERLINK(склад2въезд14[[#This Row],[RelativePath]])</f>
        <v>2 Пилорама поката\E33149364_7_20260129T112213Z.jpg</v>
      </c>
    </row>
    <row r="250" spans="1:13" x14ac:dyDescent="0.25">
      <c r="A250" s="2" t="s">
        <v>16</v>
      </c>
      <c r="B250" s="4">
        <v>46051</v>
      </c>
      <c r="C250" s="5">
        <v>0.47636574074074073</v>
      </c>
      <c r="D250" s="9" t="s">
        <v>622</v>
      </c>
      <c r="E250" s="9" t="s">
        <v>10752</v>
      </c>
      <c r="F250" s="9" t="s">
        <v>58</v>
      </c>
      <c r="H250" s="9" t="s">
        <v>9221</v>
      </c>
      <c r="I250" s="9" t="s">
        <v>10535</v>
      </c>
      <c r="J250" s="9" t="s">
        <v>2944</v>
      </c>
      <c r="K250" t="s">
        <v>10536</v>
      </c>
      <c r="L250" t="s">
        <v>10537</v>
      </c>
      <c r="M250" s="3" t="str">
        <f>HYPERLINK(склад2въезд14[[#This Row],[RelativePath]])</f>
        <v>2 Пилорама поката\E33149364_7_20260129T112558Z.jpg</v>
      </c>
    </row>
    <row r="251" spans="1:13" x14ac:dyDescent="0.25">
      <c r="A251" s="2" t="s">
        <v>16</v>
      </c>
      <c r="B251" s="4">
        <v>46051</v>
      </c>
      <c r="C251" s="5">
        <v>0.53287037037037033</v>
      </c>
      <c r="D251" s="9" t="s">
        <v>158</v>
      </c>
      <c r="E251" s="9" t="s">
        <v>1570</v>
      </c>
      <c r="F251" s="9" t="s">
        <v>2884</v>
      </c>
      <c r="G251">
        <v>1</v>
      </c>
      <c r="H251" s="9" t="s">
        <v>3030</v>
      </c>
      <c r="I251" s="9" t="s">
        <v>10538</v>
      </c>
      <c r="J251" s="9" t="s">
        <v>2944</v>
      </c>
      <c r="K251" t="s">
        <v>10539</v>
      </c>
      <c r="L251" t="s">
        <v>10540</v>
      </c>
      <c r="M251" s="3" t="str">
        <f>HYPERLINK(склад2въезд14[[#This Row],[RelativePath]])</f>
        <v>2 Пилорама поката\E33149364_7_20260129T124720Z.jpg</v>
      </c>
    </row>
    <row r="252" spans="1:13" x14ac:dyDescent="0.25">
      <c r="A252" s="2" t="s">
        <v>16</v>
      </c>
      <c r="B252" s="4">
        <v>46051</v>
      </c>
      <c r="C252" s="5">
        <v>0.58918981481481481</v>
      </c>
      <c r="D252" s="9" t="s">
        <v>158</v>
      </c>
      <c r="E252" s="9" t="s">
        <v>1570</v>
      </c>
      <c r="F252" s="9" t="s">
        <v>2884</v>
      </c>
      <c r="G252">
        <v>2</v>
      </c>
      <c r="H252" s="9" t="s">
        <v>3030</v>
      </c>
      <c r="I252" s="9" t="s">
        <v>10541</v>
      </c>
      <c r="J252" s="9" t="s">
        <v>2944</v>
      </c>
      <c r="K252" t="s">
        <v>10542</v>
      </c>
      <c r="L252" t="s">
        <v>10543</v>
      </c>
      <c r="M252" s="3" t="str">
        <f>HYPERLINK(склад2въезд14[[#This Row],[RelativePath]])</f>
        <v>2 Пилорама поката\E33149364_7_20260129T140826Z.jpg</v>
      </c>
    </row>
    <row r="253" spans="1:13" x14ac:dyDescent="0.25">
      <c r="A253" s="2" t="s">
        <v>16</v>
      </c>
      <c r="B253" s="4">
        <v>46051</v>
      </c>
      <c r="C253" s="5">
        <v>0.58928240740740745</v>
      </c>
      <c r="D253" s="9" t="s">
        <v>158</v>
      </c>
      <c r="E253" s="9" t="s">
        <v>1570</v>
      </c>
      <c r="F253" s="9" t="s">
        <v>2884</v>
      </c>
      <c r="G253">
        <v>2</v>
      </c>
      <c r="H253" s="9" t="s">
        <v>3030</v>
      </c>
      <c r="I253" s="9" t="s">
        <v>10544</v>
      </c>
      <c r="J253" s="9" t="s">
        <v>2944</v>
      </c>
      <c r="K253" t="s">
        <v>10545</v>
      </c>
      <c r="L253" t="s">
        <v>10546</v>
      </c>
      <c r="M253" s="3" t="str">
        <f>HYPERLINK(склад2въезд14[[#This Row],[RelativePath]])</f>
        <v>2 Пилорама поката\E33149364_7_20260129T140834Z.jpg</v>
      </c>
    </row>
    <row r="254" spans="1:13" x14ac:dyDescent="0.25">
      <c r="A254" s="2" t="s">
        <v>16</v>
      </c>
      <c r="B254" s="4">
        <v>46051</v>
      </c>
      <c r="C254" s="5">
        <v>0.59119212962962964</v>
      </c>
      <c r="D254" s="9" t="s">
        <v>158</v>
      </c>
      <c r="E254" s="9" t="s">
        <v>1570</v>
      </c>
      <c r="F254" s="9" t="s">
        <v>2884</v>
      </c>
      <c r="G254">
        <v>2</v>
      </c>
      <c r="H254" s="9" t="s">
        <v>3030</v>
      </c>
      <c r="I254" s="9" t="s">
        <v>10547</v>
      </c>
      <c r="J254" s="9" t="s">
        <v>2944</v>
      </c>
      <c r="K254" t="s">
        <v>10548</v>
      </c>
      <c r="L254" t="s">
        <v>10549</v>
      </c>
      <c r="M254" s="3" t="str">
        <f>HYPERLINK(склад2въезд14[[#This Row],[RelativePath]])</f>
        <v>2 Пилорама поката\E33149364_7_20260129T141119Z.jpg</v>
      </c>
    </row>
    <row r="255" spans="1:13" x14ac:dyDescent="0.25">
      <c r="A255" s="2" t="s">
        <v>16</v>
      </c>
      <c r="B255" s="4">
        <v>46051</v>
      </c>
      <c r="C255" s="5">
        <v>0.6272106481481482</v>
      </c>
      <c r="D255" s="9" t="s">
        <v>505</v>
      </c>
      <c r="E255" s="9" t="s">
        <v>503</v>
      </c>
      <c r="F255" s="9" t="s">
        <v>2884</v>
      </c>
      <c r="H255" s="9" t="s">
        <v>10753</v>
      </c>
      <c r="I255" s="9" t="s">
        <v>10553</v>
      </c>
      <c r="J255" s="9" t="s">
        <v>2944</v>
      </c>
      <c r="K255" t="s">
        <v>10554</v>
      </c>
      <c r="L255" t="s">
        <v>10555</v>
      </c>
      <c r="M255" s="3" t="str">
        <f>HYPERLINK(склад2въезд14[[#This Row],[RelativePath]])</f>
        <v>2 Пилорама поката\E33149364_7_20260129T150311Z.jpg</v>
      </c>
    </row>
    <row r="256" spans="1:13" x14ac:dyDescent="0.25">
      <c r="A256" s="2" t="s">
        <v>16</v>
      </c>
      <c r="B256" s="4">
        <v>46051</v>
      </c>
      <c r="C256" s="5">
        <v>0.6338773148148148</v>
      </c>
      <c r="D256" s="9" t="s">
        <v>505</v>
      </c>
      <c r="E256" s="9" t="s">
        <v>503</v>
      </c>
      <c r="F256" s="9" t="s">
        <v>2884</v>
      </c>
      <c r="H256" s="9" t="s">
        <v>10753</v>
      </c>
      <c r="I256" s="9" t="s">
        <v>10559</v>
      </c>
      <c r="J256" s="9" t="s">
        <v>2944</v>
      </c>
      <c r="K256" t="s">
        <v>10560</v>
      </c>
      <c r="L256" t="s">
        <v>10561</v>
      </c>
      <c r="M256" s="3" t="str">
        <f>HYPERLINK(склад2въезд14[[#This Row],[RelativePath]])</f>
        <v>2 Пилорама поката\E33149364_7_20260129T151247Z.jpg</v>
      </c>
    </row>
    <row r="257" spans="1:13" x14ac:dyDescent="0.25">
      <c r="A257" s="2" t="s">
        <v>16</v>
      </c>
      <c r="B257" s="4">
        <v>46051</v>
      </c>
      <c r="C257" s="5">
        <v>0.65055555555555555</v>
      </c>
      <c r="D257" s="9" t="s">
        <v>505</v>
      </c>
      <c r="E257" s="9" t="s">
        <v>503</v>
      </c>
      <c r="F257" s="9" t="s">
        <v>2884</v>
      </c>
      <c r="H257" s="9" t="s">
        <v>10753</v>
      </c>
      <c r="I257" s="9" t="s">
        <v>10562</v>
      </c>
      <c r="J257" s="9" t="s">
        <v>2944</v>
      </c>
      <c r="K257" t="s">
        <v>10563</v>
      </c>
      <c r="L257" t="s">
        <v>10564</v>
      </c>
      <c r="M257" s="3" t="str">
        <f>HYPERLINK(склад2въезд14[[#This Row],[RelativePath]])</f>
        <v>2 Пилорама поката\E33149364_7_20260129T153648Z.jpg</v>
      </c>
    </row>
    <row r="258" spans="1:13" x14ac:dyDescent="0.25">
      <c r="A258" s="2" t="s">
        <v>16</v>
      </c>
      <c r="B258" s="4">
        <v>46051</v>
      </c>
      <c r="C258" s="5">
        <v>0.66958333333333331</v>
      </c>
      <c r="D258" s="9" t="s">
        <v>505</v>
      </c>
      <c r="E258" s="9" t="s">
        <v>503</v>
      </c>
      <c r="F258" s="9" t="s">
        <v>2884</v>
      </c>
      <c r="H258" s="9" t="s">
        <v>10753</v>
      </c>
      <c r="I258" s="9" t="s">
        <v>10568</v>
      </c>
      <c r="J258" s="9" t="s">
        <v>2944</v>
      </c>
      <c r="K258" t="s">
        <v>10569</v>
      </c>
      <c r="L258" t="s">
        <v>10570</v>
      </c>
      <c r="M258" s="3" t="str">
        <f>HYPERLINK(склад2въезд14[[#This Row],[RelativePath]])</f>
        <v>2 Пилорама поката\E33149364_7_20260129T160412Z.jpg</v>
      </c>
    </row>
    <row r="259" spans="1:13" x14ac:dyDescent="0.25">
      <c r="A259" s="2" t="s">
        <v>16</v>
      </c>
      <c r="B259" s="4">
        <v>46051</v>
      </c>
      <c r="C259" s="5">
        <v>0.69520833333333332</v>
      </c>
      <c r="D259" s="9" t="s">
        <v>505</v>
      </c>
      <c r="E259" s="9" t="s">
        <v>503</v>
      </c>
      <c r="F259" s="9" t="s">
        <v>2884</v>
      </c>
      <c r="H259" s="9" t="s">
        <v>10753</v>
      </c>
      <c r="I259" s="9" t="s">
        <v>10571</v>
      </c>
      <c r="J259" s="9" t="s">
        <v>2944</v>
      </c>
      <c r="K259" t="s">
        <v>10572</v>
      </c>
      <c r="L259" t="s">
        <v>10573</v>
      </c>
      <c r="M259" s="3" t="str">
        <f>HYPERLINK(склад2въезд14[[#This Row],[RelativePath]])</f>
        <v>2 Пилорама поката\E33149364_7_20260129T164106Z.jpg</v>
      </c>
    </row>
    <row r="260" spans="1:13" x14ac:dyDescent="0.25">
      <c r="A260" s="2" t="s">
        <v>16</v>
      </c>
      <c r="B260" s="4">
        <v>46051</v>
      </c>
      <c r="C260" s="5">
        <v>0.69732638888888887</v>
      </c>
      <c r="D260" s="9" t="s">
        <v>505</v>
      </c>
      <c r="E260" s="9" t="s">
        <v>503</v>
      </c>
      <c r="F260" s="9" t="s">
        <v>2884</v>
      </c>
      <c r="H260" s="9" t="s">
        <v>10753</v>
      </c>
      <c r="I260" s="9" t="s">
        <v>10577</v>
      </c>
      <c r="J260" s="9" t="s">
        <v>2944</v>
      </c>
      <c r="K260" t="s">
        <v>10578</v>
      </c>
      <c r="L260" t="s">
        <v>10579</v>
      </c>
      <c r="M260" s="3" t="str">
        <f>HYPERLINK(склад2въезд14[[#This Row],[RelativePath]])</f>
        <v>2 Пилорама поката\E33149364_7_20260129T164409Z.jpg</v>
      </c>
    </row>
    <row r="261" spans="1:13" x14ac:dyDescent="0.25">
      <c r="A261" s="2" t="s">
        <v>16</v>
      </c>
      <c r="B261" s="4">
        <v>46051</v>
      </c>
      <c r="C261" s="5">
        <v>0.62516203703703699</v>
      </c>
      <c r="D261" s="9" t="s">
        <v>505</v>
      </c>
      <c r="E261" s="9" t="s">
        <v>503</v>
      </c>
      <c r="F261" s="9" t="s">
        <v>2884</v>
      </c>
      <c r="H261" s="9" t="s">
        <v>10753</v>
      </c>
      <c r="I261" s="9" t="s">
        <v>10550</v>
      </c>
      <c r="J261" s="9" t="s">
        <v>2944</v>
      </c>
      <c r="K261" t="s">
        <v>10551</v>
      </c>
      <c r="L261" t="s">
        <v>10552</v>
      </c>
      <c r="M261" s="3" t="str">
        <f>HYPERLINK(склад2въезд14[[#This Row],[RelativePath]])</f>
        <v>2 Пилорама поката\E33149364_7_20260129T150014Z.jpg</v>
      </c>
    </row>
    <row r="262" spans="1:13" x14ac:dyDescent="0.25">
      <c r="A262" s="2" t="s">
        <v>16</v>
      </c>
      <c r="B262" s="4">
        <v>46051</v>
      </c>
      <c r="C262" s="5">
        <v>0.63146990740740738</v>
      </c>
      <c r="D262" s="9" t="s">
        <v>505</v>
      </c>
      <c r="E262" s="9" t="s">
        <v>503</v>
      </c>
      <c r="F262" s="9" t="s">
        <v>2884</v>
      </c>
      <c r="H262" s="9" t="s">
        <v>10753</v>
      </c>
      <c r="I262" s="9" t="s">
        <v>10556</v>
      </c>
      <c r="J262" s="9" t="s">
        <v>2944</v>
      </c>
      <c r="K262" t="s">
        <v>10557</v>
      </c>
      <c r="L262" t="s">
        <v>10558</v>
      </c>
      <c r="M262" s="3" t="str">
        <f>HYPERLINK(склад2въезд14[[#This Row],[RelativePath]])</f>
        <v>2 Пилорама поката\E33149364_7_20260129T150919Z.jpg</v>
      </c>
    </row>
    <row r="263" spans="1:13" x14ac:dyDescent="0.25">
      <c r="A263" s="2" t="s">
        <v>16</v>
      </c>
      <c r="B263" s="4">
        <v>46051</v>
      </c>
      <c r="C263" s="5">
        <v>0.66751157407407402</v>
      </c>
      <c r="D263" s="9" t="s">
        <v>505</v>
      </c>
      <c r="E263" s="9" t="s">
        <v>503</v>
      </c>
      <c r="F263" s="9" t="s">
        <v>2884</v>
      </c>
      <c r="H263" s="9" t="s">
        <v>10753</v>
      </c>
      <c r="I263" s="9" t="s">
        <v>10565</v>
      </c>
      <c r="J263" s="9" t="s">
        <v>2944</v>
      </c>
      <c r="K263" t="s">
        <v>10566</v>
      </c>
      <c r="L263" t="s">
        <v>10567</v>
      </c>
      <c r="M263" s="3" t="str">
        <f>HYPERLINK(склад2въезд14[[#This Row],[RelativePath]])</f>
        <v>2 Пилорама поката\E33149364_7_20260129T160113Z.jpg</v>
      </c>
    </row>
    <row r="264" spans="1:13" x14ac:dyDescent="0.25">
      <c r="A264" s="2" t="s">
        <v>16</v>
      </c>
      <c r="B264" s="4">
        <v>46051</v>
      </c>
      <c r="C264" s="5">
        <v>0.69696759259259256</v>
      </c>
      <c r="D264" s="9" t="s">
        <v>505</v>
      </c>
      <c r="E264" s="9" t="s">
        <v>503</v>
      </c>
      <c r="F264" s="9" t="s">
        <v>2884</v>
      </c>
      <c r="H264" s="9" t="s">
        <v>10753</v>
      </c>
      <c r="I264" s="9" t="s">
        <v>10574</v>
      </c>
      <c r="J264" s="9" t="s">
        <v>2944</v>
      </c>
      <c r="K264" t="s">
        <v>10575</v>
      </c>
      <c r="L264" t="s">
        <v>10576</v>
      </c>
      <c r="M264" s="3" t="str">
        <f>HYPERLINK(склад2въезд14[[#This Row],[RelativePath]])</f>
        <v>2 Пилорама поката\E33149364_7_20260129T164338Z.jpg</v>
      </c>
    </row>
    <row r="265" spans="1:13" x14ac:dyDescent="0.25">
      <c r="A265" s="2" t="s">
        <v>17</v>
      </c>
      <c r="B265" s="4">
        <v>46052</v>
      </c>
      <c r="C265" s="5">
        <v>0.57103009259259263</v>
      </c>
      <c r="D265" s="9" t="s">
        <v>1569</v>
      </c>
      <c r="E265" s="9" t="s">
        <v>10015</v>
      </c>
      <c r="F265" s="9"/>
      <c r="H265" s="9"/>
      <c r="I265" s="9" t="s">
        <v>10758</v>
      </c>
      <c r="J265" s="9" t="s">
        <v>2944</v>
      </c>
      <c r="K265" t="s">
        <v>10759</v>
      </c>
      <c r="L265" t="s">
        <v>10760</v>
      </c>
      <c r="M265" s="3" t="str">
        <f>HYPERLINK(склад2въезд14[[#This Row],[RelativePath]])</f>
        <v>2 Пилорама поката\E33149364_7_20260130T134217Z.jpg</v>
      </c>
    </row>
    <row r="266" spans="1:13" x14ac:dyDescent="0.25">
      <c r="A266" s="2" t="s">
        <v>17</v>
      </c>
      <c r="B266" s="4">
        <v>46052</v>
      </c>
      <c r="C266" s="5">
        <v>0.5745717592592593</v>
      </c>
      <c r="D266" s="9" t="s">
        <v>622</v>
      </c>
      <c r="E266" s="9" t="s">
        <v>10015</v>
      </c>
      <c r="F266" s="9"/>
      <c r="H266" s="9"/>
      <c r="I266" s="9" t="s">
        <v>10761</v>
      </c>
      <c r="J266" s="9" t="s">
        <v>2944</v>
      </c>
      <c r="K266" t="s">
        <v>10762</v>
      </c>
      <c r="L266" t="s">
        <v>10763</v>
      </c>
      <c r="M266" s="3" t="str">
        <f>HYPERLINK(склад2въезд14[[#This Row],[RelativePath]])</f>
        <v>2 Пилорама поката\E33149364_7_20260130T134723Z.jpg</v>
      </c>
    </row>
    <row r="267" spans="1:13" x14ac:dyDescent="0.25">
      <c r="A267" s="2" t="s">
        <v>18</v>
      </c>
      <c r="B267" s="4">
        <v>46053</v>
      </c>
      <c r="C267" s="5">
        <v>0.36234953703703704</v>
      </c>
      <c r="D267" s="9" t="s">
        <v>1967</v>
      </c>
      <c r="E267" s="9" t="s">
        <v>8</v>
      </c>
      <c r="F267" s="9"/>
      <c r="H267" s="9"/>
      <c r="I267" s="9" t="s">
        <v>10888</v>
      </c>
      <c r="J267" s="9" t="s">
        <v>2944</v>
      </c>
      <c r="K267" t="s">
        <v>10889</v>
      </c>
      <c r="L267" t="s">
        <v>10890</v>
      </c>
      <c r="M267" s="3" t="str">
        <f>HYPERLINK(склад2въезд14[[#This Row],[RelativePath]])</f>
        <v>2 Пилорама поката\E33149364_7_20260131T084147Z.jpg</v>
      </c>
    </row>
    <row r="268" spans="1:13" x14ac:dyDescent="0.25">
      <c r="A268" s="2" t="s">
        <v>22</v>
      </c>
      <c r="B268" s="4">
        <v>46054</v>
      </c>
      <c r="C268" s="5">
        <v>0.72409722222222217</v>
      </c>
      <c r="D268" s="9" t="s">
        <v>1967</v>
      </c>
      <c r="E268" s="9" t="s">
        <v>8</v>
      </c>
      <c r="F268" s="9"/>
      <c r="H268" s="9"/>
      <c r="I268" s="9" t="s">
        <v>10891</v>
      </c>
      <c r="J268" s="9" t="s">
        <v>2944</v>
      </c>
      <c r="K268" t="s">
        <v>10892</v>
      </c>
      <c r="L268" t="s">
        <v>10893</v>
      </c>
      <c r="M268" s="3" t="str">
        <f>HYPERLINK(склад2въезд14[[#This Row],[RelativePath]])</f>
        <v>2 Пилорама поката\E33149364_7_20260201T172242Z.jpg</v>
      </c>
    </row>
    <row r="269" spans="1:13" x14ac:dyDescent="0.25">
      <c r="A269" s="2" t="s">
        <v>13</v>
      </c>
      <c r="B269" s="4">
        <v>46055</v>
      </c>
      <c r="C269" s="5">
        <v>0.66637731481481477</v>
      </c>
      <c r="D269" s="9" t="s">
        <v>1967</v>
      </c>
      <c r="E269" s="9" t="s">
        <v>8</v>
      </c>
      <c r="F269" s="9"/>
      <c r="H269" s="9"/>
      <c r="I269" s="9" t="s">
        <v>11003</v>
      </c>
      <c r="J269" s="9" t="s">
        <v>2944</v>
      </c>
      <c r="K269" t="s">
        <v>11004</v>
      </c>
      <c r="L269" t="s">
        <v>11005</v>
      </c>
      <c r="M269" s="3" t="str">
        <f>HYPERLINK(склад2въезд14[[#This Row],[RelativePath]])</f>
        <v>2 Пилорама поката\E33149364_7_20260202T155935Z.jpg</v>
      </c>
    </row>
    <row r="270" spans="1:13" x14ac:dyDescent="0.25">
      <c r="A270" s="2" t="s">
        <v>14</v>
      </c>
      <c r="B270" s="4">
        <v>46056</v>
      </c>
      <c r="C270" s="5">
        <v>0.61488425925925927</v>
      </c>
      <c r="D270" s="9" t="s">
        <v>4</v>
      </c>
      <c r="E270" s="9" t="s">
        <v>10015</v>
      </c>
      <c r="F270" s="9"/>
      <c r="H270" s="9"/>
      <c r="I270" s="9" t="s">
        <v>11006</v>
      </c>
      <c r="J270" s="9" t="s">
        <v>2944</v>
      </c>
      <c r="K270" t="s">
        <v>11007</v>
      </c>
      <c r="L270" t="s">
        <v>11008</v>
      </c>
      <c r="M270" s="3" t="str">
        <f>HYPERLINK(склад2въезд14[[#This Row],[RelativePath]])</f>
        <v>2 Пилорама поката\E33149364_7_20260203T144526Z.jpg</v>
      </c>
    </row>
    <row r="271" spans="1:13" x14ac:dyDescent="0.25">
      <c r="A271" s="2" t="s">
        <v>15</v>
      </c>
      <c r="B271" s="4">
        <v>46057</v>
      </c>
      <c r="C271" s="5">
        <v>0.60766203703703703</v>
      </c>
      <c r="D271" s="9" t="s">
        <v>158</v>
      </c>
      <c r="E271" s="9" t="s">
        <v>86</v>
      </c>
      <c r="F271" s="9" t="s">
        <v>60</v>
      </c>
      <c r="G271">
        <v>1</v>
      </c>
      <c r="H271" s="9" t="s">
        <v>3030</v>
      </c>
      <c r="I271" s="9" t="s">
        <v>11288</v>
      </c>
      <c r="J271" s="9" t="s">
        <v>2944</v>
      </c>
      <c r="K271" t="s">
        <v>11289</v>
      </c>
      <c r="L271" t="s">
        <v>11290</v>
      </c>
      <c r="M271" s="3" t="str">
        <f>HYPERLINK(склад2въезд14[[#This Row],[RelativePath]])</f>
        <v>2 Пилорама поката\E33149364_7_20260204T143502Z.jpg</v>
      </c>
    </row>
    <row r="272" spans="1:13" x14ac:dyDescent="0.25">
      <c r="A272" s="2" t="s">
        <v>16</v>
      </c>
      <c r="B272" s="4">
        <v>46058</v>
      </c>
      <c r="C272" s="5">
        <v>0.71621527777777783</v>
      </c>
      <c r="D272" s="9" t="s">
        <v>158</v>
      </c>
      <c r="E272" s="9" t="s">
        <v>86</v>
      </c>
      <c r="F272" s="9" t="s">
        <v>58</v>
      </c>
      <c r="H272" s="9" t="s">
        <v>3030</v>
      </c>
      <c r="I272" s="9" t="s">
        <v>11291</v>
      </c>
      <c r="J272" s="9" t="s">
        <v>2944</v>
      </c>
      <c r="K272" t="s">
        <v>11292</v>
      </c>
      <c r="L272" t="s">
        <v>11293</v>
      </c>
      <c r="M272" s="3" t="str">
        <f>HYPERLINK(склад2въезд14[[#This Row],[RelativePath]])</f>
        <v>2 Пилорама поката\E33149364_7_20260205T171121Z.jpg</v>
      </c>
    </row>
    <row r="273" spans="1:13" x14ac:dyDescent="0.25">
      <c r="A273" s="2" t="s">
        <v>17</v>
      </c>
      <c r="B273" s="4">
        <v>46059</v>
      </c>
      <c r="C273" s="5">
        <v>0.45594907407407409</v>
      </c>
      <c r="D273" s="9" t="s">
        <v>158</v>
      </c>
      <c r="E273" s="9" t="s">
        <v>86</v>
      </c>
      <c r="F273" s="9" t="s">
        <v>58</v>
      </c>
      <c r="H273" s="9" t="s">
        <v>3030</v>
      </c>
      <c r="I273" s="9" t="s">
        <v>11294</v>
      </c>
      <c r="J273" s="9" t="s">
        <v>2944</v>
      </c>
      <c r="K273" t="s">
        <v>11295</v>
      </c>
      <c r="L273" t="s">
        <v>11296</v>
      </c>
      <c r="M273" s="3" t="str">
        <f>HYPERLINK(склад2въезд14[[#This Row],[RelativePath]])</f>
        <v>2 Пилорама поката\E33149364_7_20260206T105634Z.jpg</v>
      </c>
    </row>
    <row r="274" spans="1:13" x14ac:dyDescent="0.25">
      <c r="A274" s="2" t="s">
        <v>17</v>
      </c>
      <c r="B274" s="4">
        <v>46059</v>
      </c>
      <c r="C274" s="5">
        <v>0.51763888888888887</v>
      </c>
      <c r="D274" s="9" t="s">
        <v>505</v>
      </c>
      <c r="E274" s="9" t="s">
        <v>503</v>
      </c>
      <c r="F274" s="9" t="s">
        <v>2884</v>
      </c>
      <c r="H274" s="9" t="s">
        <v>10753</v>
      </c>
      <c r="I274" s="9" t="s">
        <v>11297</v>
      </c>
      <c r="J274" s="9" t="s">
        <v>2944</v>
      </c>
      <c r="K274" t="s">
        <v>11298</v>
      </c>
      <c r="L274" t="s">
        <v>11299</v>
      </c>
      <c r="M274" s="3" t="str">
        <f>HYPERLINK(склад2въезд14[[#This Row],[RelativePath]])</f>
        <v>2 Пилорама поката\E33149364_7_20260206T122524Z.jpg</v>
      </c>
    </row>
    <row r="275" spans="1:13" x14ac:dyDescent="0.25">
      <c r="A275" s="2" t="s">
        <v>17</v>
      </c>
      <c r="B275" s="4">
        <v>46059</v>
      </c>
      <c r="C275" s="5">
        <v>0.5181365740740741</v>
      </c>
      <c r="D275" s="9" t="s">
        <v>505</v>
      </c>
      <c r="E275" s="9" t="s">
        <v>503</v>
      </c>
      <c r="F275" s="9" t="s">
        <v>2884</v>
      </c>
      <c r="H275" s="9" t="s">
        <v>10753</v>
      </c>
      <c r="I275" s="9" t="s">
        <v>11300</v>
      </c>
      <c r="J275" s="9" t="s">
        <v>2944</v>
      </c>
      <c r="K275" t="s">
        <v>11301</v>
      </c>
      <c r="L275" t="s">
        <v>11302</v>
      </c>
      <c r="M275" s="3" t="str">
        <f>HYPERLINK(склад2въезд14[[#This Row],[RelativePath]])</f>
        <v>2 Пилорама поката\E33149364_7_20260206T122607Z.jpg</v>
      </c>
    </row>
    <row r="276" spans="1:13" x14ac:dyDescent="0.25">
      <c r="A276" s="2" t="s">
        <v>17</v>
      </c>
      <c r="B276" s="4">
        <v>46059</v>
      </c>
      <c r="C276" s="5">
        <v>0.51836805555555554</v>
      </c>
      <c r="D276" s="9" t="s">
        <v>505</v>
      </c>
      <c r="E276" s="9" t="s">
        <v>503</v>
      </c>
      <c r="F276" s="9" t="s">
        <v>2884</v>
      </c>
      <c r="H276" s="9" t="s">
        <v>10753</v>
      </c>
      <c r="I276" s="9" t="s">
        <v>11303</v>
      </c>
      <c r="J276" s="9" t="s">
        <v>2944</v>
      </c>
      <c r="K276" t="s">
        <v>11304</v>
      </c>
      <c r="L276" t="s">
        <v>11305</v>
      </c>
      <c r="M276" s="3" t="str">
        <f>HYPERLINK(склад2въезд14[[#This Row],[RelativePath]])</f>
        <v>2 Пилорама поката\E33149364_7_20260206T122627Z.jpg</v>
      </c>
    </row>
    <row r="277" spans="1:13" x14ac:dyDescent="0.25">
      <c r="A277" s="2" t="s">
        <v>17</v>
      </c>
      <c r="B277" s="4">
        <v>46059</v>
      </c>
      <c r="C277" s="5">
        <v>0.60797453703703708</v>
      </c>
      <c r="D277" s="9" t="s">
        <v>505</v>
      </c>
      <c r="E277" s="9" t="s">
        <v>503</v>
      </c>
      <c r="F277" s="9" t="s">
        <v>2884</v>
      </c>
      <c r="H277" s="9" t="s">
        <v>10753</v>
      </c>
      <c r="I277" s="9" t="s">
        <v>11306</v>
      </c>
      <c r="J277" s="9" t="s">
        <v>2944</v>
      </c>
      <c r="K277" t="s">
        <v>11307</v>
      </c>
      <c r="L277" t="s">
        <v>11308</v>
      </c>
      <c r="M277" s="3" t="str">
        <f>HYPERLINK(склад2въезд14[[#This Row],[RelativePath]])</f>
        <v>2 Пилорама поката\E33149364_7_20260206T143529Z.jpg</v>
      </c>
    </row>
    <row r="278" spans="1:13" x14ac:dyDescent="0.25">
      <c r="A278" s="2" t="s">
        <v>18</v>
      </c>
      <c r="B278" s="4">
        <v>46060</v>
      </c>
      <c r="C278" s="5">
        <v>0.35494212962962962</v>
      </c>
      <c r="D278" s="9" t="s">
        <v>1967</v>
      </c>
      <c r="E278" s="9" t="s">
        <v>8</v>
      </c>
      <c r="F278" s="9"/>
      <c r="H278" s="9"/>
      <c r="I278" s="9" t="s">
        <v>11513</v>
      </c>
      <c r="J278" s="9" t="s">
        <v>2944</v>
      </c>
      <c r="K278" t="s">
        <v>11514</v>
      </c>
      <c r="L278" t="s">
        <v>11515</v>
      </c>
      <c r="M278" s="3" t="str">
        <f>HYPERLINK(склад2въезд14[[#This Row],[RelativePath]])</f>
        <v>2 Пилорама поката\E33149364_7_20260207T083107Z.jpg</v>
      </c>
    </row>
    <row r="279" spans="1:13" x14ac:dyDescent="0.25">
      <c r="A279" s="2" t="s">
        <v>22</v>
      </c>
      <c r="B279" s="4">
        <v>46061</v>
      </c>
      <c r="C279" s="5">
        <v>0.705474537037037</v>
      </c>
      <c r="D279" s="9" t="s">
        <v>1967</v>
      </c>
      <c r="E279" s="9" t="s">
        <v>8</v>
      </c>
      <c r="F279" s="9"/>
      <c r="H279" s="9"/>
      <c r="I279" s="9" t="s">
        <v>11623</v>
      </c>
      <c r="J279" s="9" t="s">
        <v>2944</v>
      </c>
      <c r="K279" t="s">
        <v>11624</v>
      </c>
      <c r="L279" t="s">
        <v>11625</v>
      </c>
      <c r="M279" s="3" t="str">
        <f>HYPERLINK(склад2въезд14[[#This Row],[RelativePath]])</f>
        <v>2 Пилорама поката\E33149364_7_20260208T165553Z.jpg</v>
      </c>
    </row>
    <row r="280" spans="1:13" x14ac:dyDescent="0.25">
      <c r="A280" s="2" t="s">
        <v>14</v>
      </c>
      <c r="B280" s="4">
        <v>46077</v>
      </c>
      <c r="C280" s="5">
        <v>0.65474537037037039</v>
      </c>
      <c r="D280" s="9" t="s">
        <v>1967</v>
      </c>
      <c r="E280" s="9" t="s">
        <v>8</v>
      </c>
      <c r="F280" s="9"/>
      <c r="H280" s="9"/>
      <c r="I280" s="9" t="s">
        <v>12834</v>
      </c>
      <c r="J280" s="9" t="s">
        <v>2944</v>
      </c>
      <c r="K280" t="s">
        <v>12835</v>
      </c>
      <c r="L280" t="s">
        <v>12836</v>
      </c>
      <c r="M280" s="3" t="str">
        <f>HYPERLINK(склад2въезд14[[#This Row],[RelativePath]])</f>
        <v>2 Пилорама поката\GA3948333_8_20260224T154250Z.jpg</v>
      </c>
    </row>
    <row r="281" spans="1:13" x14ac:dyDescent="0.25">
      <c r="A281" s="2" t="s">
        <v>15</v>
      </c>
      <c r="B281" s="4">
        <v>46078</v>
      </c>
      <c r="C281" s="5">
        <v>0.75190972222222219</v>
      </c>
      <c r="D281" s="9" t="s">
        <v>1967</v>
      </c>
      <c r="E281" s="9" t="s">
        <v>8</v>
      </c>
      <c r="F281" s="9"/>
      <c r="H281" s="9"/>
      <c r="I281" s="9" t="s">
        <v>12837</v>
      </c>
      <c r="J281" s="9" t="s">
        <v>2944</v>
      </c>
      <c r="K281" t="s">
        <v>12838</v>
      </c>
      <c r="L281" t="s">
        <v>12839</v>
      </c>
      <c r="M281" s="3" t="str">
        <f>HYPERLINK(склад2въезд14[[#This Row],[RelativePath]])</f>
        <v>2 Пилорама поката\GA3948333_8_20260225T180245Z.jpg</v>
      </c>
    </row>
  </sheetData>
  <conditionalFormatting sqref="D282:D292 E282:E295 G2:H281 D2:E281">
    <cfRule type="containsText" dxfId="975" priority="14" operator="containsText" text="Выезд с территории">
      <formula>NOT(ISERROR(SEARCH("Выезд с территории",D2)))</formula>
    </cfRule>
  </conditionalFormatting>
  <conditionalFormatting sqref="F2:F281">
    <cfRule type="notContainsText" dxfId="974" priority="13" operator="notContains" text="порожний">
      <formula>ISERROR(SEARCH("порожний",F2))</formula>
    </cfRule>
  </conditionalFormatting>
  <conditionalFormatting sqref="E2:E295">
    <cfRule type="containsText" dxfId="973" priority="11" operator="containsText" text="Газель базы">
      <formula>NOT(ISERROR(SEARCH("Газель базы",E2)))</formula>
    </cfRule>
    <cfRule type="containsText" dxfId="972" priority="12" operator="containsText" text="Погрузчик базы">
      <formula>NOT(ISERROR(SEARCH("Погрузчик базы",E2)))</formula>
    </cfRule>
  </conditionalFormatting>
  <conditionalFormatting sqref="E2:E295">
    <cfRule type="containsText" dxfId="971" priority="10" operator="containsText" text="Трактор базы">
      <formula>NOT(ISERROR(SEARCH("Трактор базы",E2)))</formula>
    </cfRule>
  </conditionalFormatting>
  <conditionalFormatting sqref="A2:C281">
    <cfRule type="expression" dxfId="970" priority="9">
      <formula>$A2="пн"</formula>
    </cfRule>
  </conditionalFormatting>
  <conditionalFormatting sqref="A2:C283">
    <cfRule type="expression" dxfId="969" priority="3">
      <formula>$A2="вс"</formula>
    </cfRule>
    <cfRule type="expression" dxfId="968" priority="4">
      <formula>$A2="сб"</formula>
    </cfRule>
    <cfRule type="expression" dxfId="967" priority="5">
      <formula>$A2="пт"</formula>
    </cfRule>
    <cfRule type="expression" dxfId="966" priority="6">
      <formula>$A2="чт"</formula>
    </cfRule>
    <cfRule type="expression" dxfId="965" priority="7">
      <formula>$A2="ср"</formula>
    </cfRule>
    <cfRule type="expression" dxfId="964" priority="8">
      <formula>$A2="вт"</formula>
    </cfRule>
  </conditionalFormatting>
  <conditionalFormatting sqref="D2:D292">
    <cfRule type="containsText" dxfId="963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92">
    <cfRule type="containsText" dxfId="962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27EE-C400-47AD-BE4A-C39CED0B3B36}">
  <sheetPr>
    <tabColor theme="0" tint="-0.499984740745262"/>
  </sheetPr>
  <dimension ref="A1:M163"/>
  <sheetViews>
    <sheetView tabSelected="1" zoomScale="90" zoomScaleNormal="90" workbookViewId="0">
      <pane ySplit="1" topLeftCell="A155" activePane="bottomLeft" state="frozen"/>
      <selection pane="bottomLeft" activeCell="I162" sqref="I162:I164"/>
    </sheetView>
  </sheetViews>
  <sheetFormatPr defaultRowHeight="15" x14ac:dyDescent="0.25"/>
  <cols>
    <col min="1" max="1" width="14.7109375" style="2" bestFit="1" customWidth="1"/>
    <col min="2" max="2" width="11" style="2" bestFit="1" customWidth="1"/>
    <col min="3" max="3" width="11.85546875" style="2" bestFit="1" customWidth="1"/>
    <col min="4" max="4" width="17.28515625" bestFit="1" customWidth="1"/>
    <col min="5" max="5" width="39.28515625" bestFit="1" customWidth="1"/>
    <col min="6" max="6" width="19.42578125" bestFit="1" customWidth="1"/>
    <col min="7" max="7" width="9.7109375" bestFit="1" customWidth="1"/>
    <col min="8" max="8" width="45.5703125" bestFit="1" customWidth="1"/>
    <col min="9" max="9" width="35.7109375" bestFit="1" customWidth="1"/>
    <col min="10" max="10" width="39.5703125" hidden="1" customWidth="1"/>
    <col min="11" max="11" width="50.7109375" hidden="1" customWidth="1"/>
    <col min="12" max="12" width="24.5703125" hidden="1" customWidth="1"/>
    <col min="13" max="13" width="50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0.35270833333333335</v>
      </c>
      <c r="D2" s="9" t="s">
        <v>4</v>
      </c>
      <c r="E2" s="9" t="s">
        <v>8</v>
      </c>
      <c r="F2" s="9"/>
      <c r="H2" s="9"/>
      <c r="I2" s="9" t="s">
        <v>203</v>
      </c>
      <c r="J2" s="9" t="s">
        <v>13256</v>
      </c>
      <c r="K2" t="s">
        <v>13257</v>
      </c>
      <c r="L2" t="s">
        <v>205</v>
      </c>
      <c r="M2" s="3" t="str">
        <f>HYPERLINK(склад2въезд18[[#This Row],[RelativePath]])</f>
        <v>3 Парковка офиса\E33149364_8_20251110T082754Z.jpg</v>
      </c>
    </row>
    <row r="3" spans="1:13" x14ac:dyDescent="0.25">
      <c r="A3" s="2" t="s">
        <v>13</v>
      </c>
      <c r="B3" s="4">
        <v>45971</v>
      </c>
      <c r="C3" s="5">
        <v>0.37762731481481482</v>
      </c>
      <c r="D3" s="9" t="s">
        <v>4</v>
      </c>
      <c r="E3" s="9" t="s">
        <v>8</v>
      </c>
      <c r="F3" s="9"/>
      <c r="H3" s="9"/>
      <c r="I3" s="9" t="s">
        <v>206</v>
      </c>
      <c r="J3" s="9" t="s">
        <v>13256</v>
      </c>
      <c r="K3" t="s">
        <v>13258</v>
      </c>
      <c r="L3" t="s">
        <v>207</v>
      </c>
      <c r="M3" s="3" t="str">
        <f>HYPERLINK(склад2въезд18[[#This Row],[RelativePath]])</f>
        <v>3 Парковка офиса\E33149364_8_20251110T090347Z.jpg</v>
      </c>
    </row>
    <row r="4" spans="1:13" x14ac:dyDescent="0.25">
      <c r="A4" s="2" t="s">
        <v>13</v>
      </c>
      <c r="B4" s="4">
        <v>45971</v>
      </c>
      <c r="C4" s="5">
        <v>0.4864236111111111</v>
      </c>
      <c r="D4" s="9" t="s">
        <v>4</v>
      </c>
      <c r="E4" s="9" t="s">
        <v>8</v>
      </c>
      <c r="F4" s="9"/>
      <c r="H4" s="9"/>
      <c r="I4" s="9" t="s">
        <v>208</v>
      </c>
      <c r="J4" s="9" t="s">
        <v>13256</v>
      </c>
      <c r="K4" t="s">
        <v>13259</v>
      </c>
      <c r="L4" t="s">
        <v>209</v>
      </c>
      <c r="M4" s="3" t="str">
        <f>HYPERLINK(склад2въезд18[[#This Row],[RelativePath]])</f>
        <v>3 Парковка офиса\E33149364_8_20251110T114027Z.jpg</v>
      </c>
    </row>
    <row r="5" spans="1:13" x14ac:dyDescent="0.25">
      <c r="A5" s="2" t="s">
        <v>13</v>
      </c>
      <c r="B5" s="4">
        <v>45971</v>
      </c>
      <c r="C5" s="5">
        <v>0.50173611111111116</v>
      </c>
      <c r="D5" s="9" t="s">
        <v>4</v>
      </c>
      <c r="E5" s="9" t="s">
        <v>8</v>
      </c>
      <c r="F5" s="9"/>
      <c r="H5" s="9"/>
      <c r="I5" s="9" t="s">
        <v>210</v>
      </c>
      <c r="J5" s="9" t="s">
        <v>13256</v>
      </c>
      <c r="K5" t="s">
        <v>13260</v>
      </c>
      <c r="L5" t="s">
        <v>211</v>
      </c>
      <c r="M5" s="3" t="str">
        <f>HYPERLINK(склад2въезд18[[#This Row],[RelativePath]])</f>
        <v>3 Парковка офиса\E33149364_8_20251110T120230Z.jpg</v>
      </c>
    </row>
    <row r="6" spans="1:13" x14ac:dyDescent="0.25">
      <c r="A6" s="2" t="s">
        <v>13</v>
      </c>
      <c r="B6" s="4">
        <v>45971</v>
      </c>
      <c r="C6" s="5">
        <v>0.56997685185185187</v>
      </c>
      <c r="D6" s="9" t="s">
        <v>4</v>
      </c>
      <c r="E6" s="9" t="s">
        <v>8</v>
      </c>
      <c r="F6" s="9"/>
      <c r="H6" s="9"/>
      <c r="I6" s="9" t="s">
        <v>212</v>
      </c>
      <c r="J6" s="9" t="s">
        <v>13256</v>
      </c>
      <c r="K6" t="s">
        <v>13261</v>
      </c>
      <c r="L6" t="s">
        <v>213</v>
      </c>
      <c r="M6" s="3" t="str">
        <f>HYPERLINK(склад2въезд18[[#This Row],[RelativePath]])</f>
        <v>3 Парковка офиса\E33149364_8_20251110T134046Z.jpg</v>
      </c>
    </row>
    <row r="7" spans="1:13" x14ac:dyDescent="0.25">
      <c r="A7" s="2" t="s">
        <v>13</v>
      </c>
      <c r="B7" s="4">
        <v>45971</v>
      </c>
      <c r="C7" s="5">
        <v>0.71843749999999995</v>
      </c>
      <c r="D7" s="9" t="s">
        <v>4</v>
      </c>
      <c r="E7" s="9" t="s">
        <v>8</v>
      </c>
      <c r="F7" s="9"/>
      <c r="H7" s="9"/>
      <c r="I7" s="9" t="s">
        <v>214</v>
      </c>
      <c r="J7" s="9" t="s">
        <v>13256</v>
      </c>
      <c r="K7" t="s">
        <v>13262</v>
      </c>
      <c r="L7" t="s">
        <v>215</v>
      </c>
      <c r="M7" s="3" t="str">
        <f>HYPERLINK(склад2въезд18[[#This Row],[RelativePath]])</f>
        <v>3 Парковка офиса\E33149364_8_20251110T171433Z.jpg</v>
      </c>
    </row>
    <row r="8" spans="1:13" x14ac:dyDescent="0.25">
      <c r="A8" s="2" t="s">
        <v>14</v>
      </c>
      <c r="B8" s="4">
        <v>45972</v>
      </c>
      <c r="C8" s="5">
        <v>0.39150462962962962</v>
      </c>
      <c r="D8" s="9" t="s">
        <v>4</v>
      </c>
      <c r="E8" s="9" t="s">
        <v>8</v>
      </c>
      <c r="F8" s="9"/>
      <c r="H8" s="9"/>
      <c r="I8" s="9" t="s">
        <v>216</v>
      </c>
      <c r="J8" s="9" t="s">
        <v>13256</v>
      </c>
      <c r="K8" t="s">
        <v>13263</v>
      </c>
      <c r="L8" t="s">
        <v>217</v>
      </c>
      <c r="M8" s="3" t="str">
        <f>HYPERLINK(склад2въезд18[[#This Row],[RelativePath]])</f>
        <v>3 Парковка офиса\E33149364_8_20251111T092346Z.jpg</v>
      </c>
    </row>
    <row r="9" spans="1:13" x14ac:dyDescent="0.25">
      <c r="A9" s="2" t="s">
        <v>14</v>
      </c>
      <c r="B9" s="4">
        <v>45972</v>
      </c>
      <c r="C9" s="5">
        <v>0.44740740740740742</v>
      </c>
      <c r="D9" s="9" t="s">
        <v>4</v>
      </c>
      <c r="E9" s="9" t="s">
        <v>8</v>
      </c>
      <c r="F9" s="9"/>
      <c r="H9" s="9"/>
      <c r="I9" s="9" t="s">
        <v>218</v>
      </c>
      <c r="J9" s="9" t="s">
        <v>13256</v>
      </c>
      <c r="K9" t="s">
        <v>13264</v>
      </c>
      <c r="L9" t="s">
        <v>219</v>
      </c>
      <c r="M9" s="3" t="str">
        <f>HYPERLINK(склад2въезд18[[#This Row],[RelativePath]])</f>
        <v>3 Парковка офиса\E33149364_8_20251111T104416Z.jpg</v>
      </c>
    </row>
    <row r="10" spans="1:13" x14ac:dyDescent="0.25">
      <c r="A10" s="2" t="s">
        <v>14</v>
      </c>
      <c r="B10" s="4">
        <v>45972</v>
      </c>
      <c r="C10" s="5">
        <v>0.45055555555555554</v>
      </c>
      <c r="D10" s="9" t="s">
        <v>4</v>
      </c>
      <c r="E10" s="9" t="s">
        <v>8</v>
      </c>
      <c r="F10" s="9"/>
      <c r="H10" s="9"/>
      <c r="I10" s="9" t="s">
        <v>220</v>
      </c>
      <c r="J10" s="9" t="s">
        <v>13256</v>
      </c>
      <c r="K10" t="s">
        <v>13265</v>
      </c>
      <c r="L10" t="s">
        <v>221</v>
      </c>
      <c r="M10" s="3" t="str">
        <f>HYPERLINK(склад2въезд18[[#This Row],[RelativePath]])</f>
        <v>3 Парковка офиса\E33149364_8_20251111T104848Z.jpg</v>
      </c>
    </row>
    <row r="11" spans="1:13" x14ac:dyDescent="0.25">
      <c r="A11" s="2" t="s">
        <v>14</v>
      </c>
      <c r="B11" s="4">
        <v>45972</v>
      </c>
      <c r="C11" s="5">
        <v>0.48456018518518518</v>
      </c>
      <c r="D11" s="9" t="s">
        <v>4</v>
      </c>
      <c r="E11" s="9" t="s">
        <v>8</v>
      </c>
      <c r="F11" s="9"/>
      <c r="H11" s="9"/>
      <c r="I11" s="9" t="s">
        <v>222</v>
      </c>
      <c r="J11" s="9" t="s">
        <v>13256</v>
      </c>
      <c r="K11" t="s">
        <v>13266</v>
      </c>
      <c r="L11" t="s">
        <v>223</v>
      </c>
      <c r="M11" s="3" t="str">
        <f>HYPERLINK(склад2въезд18[[#This Row],[RelativePath]])</f>
        <v>3 Парковка офиса\E33149364_8_20251111T113746Z.jpg</v>
      </c>
    </row>
    <row r="12" spans="1:13" x14ac:dyDescent="0.25">
      <c r="A12" s="2" t="s">
        <v>14</v>
      </c>
      <c r="B12" s="4">
        <v>45972</v>
      </c>
      <c r="C12" s="5">
        <v>0.48466435185185186</v>
      </c>
      <c r="D12" s="9" t="s">
        <v>4</v>
      </c>
      <c r="E12" s="9" t="s">
        <v>8</v>
      </c>
      <c r="F12" s="9"/>
      <c r="H12" s="9"/>
      <c r="I12" s="9" t="s">
        <v>224</v>
      </c>
      <c r="J12" s="9" t="s">
        <v>13256</v>
      </c>
      <c r="K12" t="s">
        <v>13267</v>
      </c>
      <c r="L12" t="s">
        <v>225</v>
      </c>
      <c r="M12" s="3" t="str">
        <f>HYPERLINK(склад2въезд18[[#This Row],[RelativePath]])</f>
        <v>3 Парковка офиса\E33149364_8_20251111T113755Z.jpg</v>
      </c>
    </row>
    <row r="13" spans="1:13" x14ac:dyDescent="0.25">
      <c r="A13" s="2" t="s">
        <v>14</v>
      </c>
      <c r="B13" s="4">
        <v>45972</v>
      </c>
      <c r="C13" s="5">
        <v>0.53394675925925927</v>
      </c>
      <c r="D13" s="9" t="s">
        <v>4</v>
      </c>
      <c r="E13" s="9" t="s">
        <v>8</v>
      </c>
      <c r="F13" s="9"/>
      <c r="H13" s="9"/>
      <c r="I13" s="9" t="s">
        <v>226</v>
      </c>
      <c r="J13" s="9" t="s">
        <v>13256</v>
      </c>
      <c r="K13" t="s">
        <v>13268</v>
      </c>
      <c r="L13" t="s">
        <v>227</v>
      </c>
      <c r="M13" s="3" t="str">
        <f>HYPERLINK(склад2въезд18[[#This Row],[RelativePath]])</f>
        <v>3 Парковка офиса\E33149364_8_20251111T124853Z.jpg</v>
      </c>
    </row>
    <row r="14" spans="1:13" x14ac:dyDescent="0.25">
      <c r="A14" s="2" t="s">
        <v>14</v>
      </c>
      <c r="B14" s="4">
        <v>45972</v>
      </c>
      <c r="C14" s="5">
        <v>0.53635416666666669</v>
      </c>
      <c r="D14" s="9" t="s">
        <v>4</v>
      </c>
      <c r="E14" s="9" t="s">
        <v>8</v>
      </c>
      <c r="F14" s="9"/>
      <c r="H14" s="9"/>
      <c r="I14" s="9" t="s">
        <v>228</v>
      </c>
      <c r="J14" s="9" t="s">
        <v>13256</v>
      </c>
      <c r="K14" t="s">
        <v>13269</v>
      </c>
      <c r="L14" t="s">
        <v>229</v>
      </c>
      <c r="M14" s="3" t="str">
        <f>HYPERLINK(склад2въезд18[[#This Row],[RelativePath]])</f>
        <v>3 Парковка офиса\E33149364_8_20251111T125221Z.jpg</v>
      </c>
    </row>
    <row r="15" spans="1:13" x14ac:dyDescent="0.25">
      <c r="A15" s="2" t="s">
        <v>14</v>
      </c>
      <c r="B15" s="4">
        <v>45972</v>
      </c>
      <c r="C15" s="5">
        <v>0.63995370370370375</v>
      </c>
      <c r="D15" s="9" t="s">
        <v>4</v>
      </c>
      <c r="E15" s="9" t="s">
        <v>8</v>
      </c>
      <c r="F15" s="9"/>
      <c r="H15" s="9"/>
      <c r="I15" s="9" t="s">
        <v>230</v>
      </c>
      <c r="J15" s="9" t="s">
        <v>13256</v>
      </c>
      <c r="K15" t="s">
        <v>13270</v>
      </c>
      <c r="L15" t="s">
        <v>231</v>
      </c>
      <c r="M15" s="3" t="str">
        <f>HYPERLINK(склад2въезд18[[#This Row],[RelativePath]])</f>
        <v>3 Парковка офиса\E33149364_8_20251111T152132Z.jpg</v>
      </c>
    </row>
    <row r="16" spans="1:13" x14ac:dyDescent="0.25">
      <c r="A16" s="2" t="s">
        <v>15</v>
      </c>
      <c r="B16" s="4">
        <v>45973</v>
      </c>
      <c r="C16" s="5">
        <v>0.67754629629629626</v>
      </c>
      <c r="D16" s="9" t="s">
        <v>4</v>
      </c>
      <c r="E16" s="9" t="s">
        <v>8</v>
      </c>
      <c r="F16" s="9"/>
      <c r="H16" s="9"/>
      <c r="I16" s="9" t="s">
        <v>232</v>
      </c>
      <c r="J16" s="9" t="s">
        <v>13256</v>
      </c>
      <c r="K16" t="s">
        <v>13271</v>
      </c>
      <c r="L16" t="s">
        <v>233</v>
      </c>
      <c r="M16" s="3" t="str">
        <f>HYPERLINK(склад2въезд18[[#This Row],[RelativePath]])</f>
        <v>3 Парковка офиса\E33149364_8_20251112T161540Z.jpg</v>
      </c>
    </row>
    <row r="17" spans="1:13" x14ac:dyDescent="0.25">
      <c r="A17" s="2" t="s">
        <v>15</v>
      </c>
      <c r="B17" s="4">
        <v>45973</v>
      </c>
      <c r="C17" s="5">
        <v>0.6857523148148148</v>
      </c>
      <c r="D17" s="9" t="s">
        <v>261</v>
      </c>
      <c r="E17" s="9" t="s">
        <v>66</v>
      </c>
      <c r="F17" s="9" t="s">
        <v>260</v>
      </c>
      <c r="H17" s="9"/>
      <c r="I17" s="9" t="s">
        <v>234</v>
      </c>
      <c r="J17" s="9" t="s">
        <v>13256</v>
      </c>
      <c r="K17" t="s">
        <v>13272</v>
      </c>
      <c r="L17" t="s">
        <v>235</v>
      </c>
      <c r="M17" s="3" t="str">
        <f>HYPERLINK(склад2въезд18[[#This Row],[RelativePath]])</f>
        <v>3 Парковка офиса\E33149364_8_20251112T162729Z.jpg</v>
      </c>
    </row>
    <row r="18" spans="1:13" x14ac:dyDescent="0.25">
      <c r="A18" s="2" t="s">
        <v>15</v>
      </c>
      <c r="B18" s="4">
        <v>45973</v>
      </c>
      <c r="C18" s="5">
        <v>0.71013888888888888</v>
      </c>
      <c r="D18" s="9" t="s">
        <v>4</v>
      </c>
      <c r="E18" s="9" t="s">
        <v>8</v>
      </c>
      <c r="F18" s="9"/>
      <c r="H18" s="9"/>
      <c r="I18" s="9" t="s">
        <v>236</v>
      </c>
      <c r="J18" s="9" t="s">
        <v>13256</v>
      </c>
      <c r="K18" t="s">
        <v>13273</v>
      </c>
      <c r="L18" t="s">
        <v>237</v>
      </c>
      <c r="M18" s="3" t="str">
        <f>HYPERLINK(склад2въезд18[[#This Row],[RelativePath]])</f>
        <v>3 Парковка офиса\E33149364_8_20251112T170236Z.jpg</v>
      </c>
    </row>
    <row r="19" spans="1:13" x14ac:dyDescent="0.25">
      <c r="A19" s="2" t="s">
        <v>15</v>
      </c>
      <c r="B19" s="4">
        <v>45973</v>
      </c>
      <c r="C19" s="5">
        <v>0.73420138888888886</v>
      </c>
      <c r="D19" s="9" t="s">
        <v>4</v>
      </c>
      <c r="E19" s="9" t="s">
        <v>8</v>
      </c>
      <c r="F19" s="9"/>
      <c r="H19" s="9"/>
      <c r="I19" s="9" t="s">
        <v>238</v>
      </c>
      <c r="J19" s="9" t="s">
        <v>13256</v>
      </c>
      <c r="K19" t="s">
        <v>13274</v>
      </c>
      <c r="L19" t="s">
        <v>239</v>
      </c>
      <c r="M19" s="3" t="str">
        <f>HYPERLINK(склад2въезд18[[#This Row],[RelativePath]])</f>
        <v>3 Парковка офиса\E33149364_8_20251112T173715Z.jpg</v>
      </c>
    </row>
    <row r="20" spans="1:13" x14ac:dyDescent="0.25">
      <c r="A20" s="2" t="s">
        <v>16</v>
      </c>
      <c r="B20" s="4">
        <v>45974</v>
      </c>
      <c r="C20" s="5">
        <v>0.37181712962962965</v>
      </c>
      <c r="D20" s="9" t="s">
        <v>4</v>
      </c>
      <c r="E20" s="9" t="s">
        <v>8</v>
      </c>
      <c r="F20" s="9"/>
      <c r="H20" s="9"/>
      <c r="I20" s="9" t="s">
        <v>240</v>
      </c>
      <c r="J20" s="9" t="s">
        <v>13256</v>
      </c>
      <c r="K20" t="s">
        <v>13275</v>
      </c>
      <c r="L20" t="s">
        <v>241</v>
      </c>
      <c r="M20" s="3" t="str">
        <f>HYPERLINK(склад2въезд18[[#This Row],[RelativePath]])</f>
        <v>3 Парковка офиса\E33149364_8_20251113T085525Z.jpg</v>
      </c>
    </row>
    <row r="21" spans="1:13" x14ac:dyDescent="0.25">
      <c r="A21" s="2" t="s">
        <v>16</v>
      </c>
      <c r="B21" s="4">
        <v>45974</v>
      </c>
      <c r="C21" s="5">
        <v>0.3961689814814815</v>
      </c>
      <c r="D21" s="9" t="s">
        <v>4</v>
      </c>
      <c r="E21" s="9" t="s">
        <v>8</v>
      </c>
      <c r="F21" s="9"/>
      <c r="H21" s="9"/>
      <c r="I21" s="9" t="s">
        <v>242</v>
      </c>
      <c r="J21" s="9" t="s">
        <v>13256</v>
      </c>
      <c r="K21" t="s">
        <v>13276</v>
      </c>
      <c r="L21" t="s">
        <v>243</v>
      </c>
      <c r="M21" s="3" t="str">
        <f>HYPERLINK(склад2въезд18[[#This Row],[RelativePath]])</f>
        <v>3 Парковка офиса\E33149364_8_20251113T093029Z.jpg</v>
      </c>
    </row>
    <row r="22" spans="1:13" x14ac:dyDescent="0.25">
      <c r="A22" s="2" t="s">
        <v>16</v>
      </c>
      <c r="B22" s="4">
        <v>45974</v>
      </c>
      <c r="C22" s="5">
        <v>0.39884259259259258</v>
      </c>
      <c r="D22" s="9" t="s">
        <v>4</v>
      </c>
      <c r="E22" s="9" t="s">
        <v>8</v>
      </c>
      <c r="F22" s="9"/>
      <c r="H22" s="9"/>
      <c r="I22" s="9" t="s">
        <v>244</v>
      </c>
      <c r="J22" s="9" t="s">
        <v>13256</v>
      </c>
      <c r="K22" t="s">
        <v>13277</v>
      </c>
      <c r="L22" t="s">
        <v>245</v>
      </c>
      <c r="M22" s="3" t="str">
        <f>HYPERLINK(склад2въезд18[[#This Row],[RelativePath]])</f>
        <v>3 Парковка офиса\E33149364_8_20251113T093420Z.jpg</v>
      </c>
    </row>
    <row r="23" spans="1:13" x14ac:dyDescent="0.25">
      <c r="A23" s="2" t="s">
        <v>16</v>
      </c>
      <c r="B23" s="4">
        <v>45974</v>
      </c>
      <c r="C23" s="5">
        <v>0.52461805555555552</v>
      </c>
      <c r="D23" s="9" t="s">
        <v>4</v>
      </c>
      <c r="E23" s="9" t="s">
        <v>8</v>
      </c>
      <c r="F23" s="9"/>
      <c r="H23" s="9"/>
      <c r="I23" s="9" t="s">
        <v>246</v>
      </c>
      <c r="J23" s="9" t="s">
        <v>13256</v>
      </c>
      <c r="K23" t="s">
        <v>13278</v>
      </c>
      <c r="L23" t="s">
        <v>247</v>
      </c>
      <c r="M23" s="3" t="str">
        <f>HYPERLINK(склад2въезд18[[#This Row],[RelativePath]])</f>
        <v>3 Парковка офиса\E33149364_8_20251113T123527Z.jpg</v>
      </c>
    </row>
    <row r="24" spans="1:13" x14ac:dyDescent="0.25">
      <c r="A24" s="2" t="s">
        <v>16</v>
      </c>
      <c r="B24" s="4">
        <v>45974</v>
      </c>
      <c r="C24" s="5">
        <v>0.60538194444444449</v>
      </c>
      <c r="D24" s="9" t="s">
        <v>4</v>
      </c>
      <c r="E24" s="9" t="s">
        <v>8</v>
      </c>
      <c r="F24" s="9"/>
      <c r="H24" s="9"/>
      <c r="I24" s="9" t="s">
        <v>248</v>
      </c>
      <c r="J24" s="9" t="s">
        <v>13256</v>
      </c>
      <c r="K24" t="s">
        <v>13279</v>
      </c>
      <c r="L24" t="s">
        <v>249</v>
      </c>
      <c r="M24" s="3" t="str">
        <f>HYPERLINK(склад2въезд18[[#This Row],[RelativePath]])</f>
        <v>3 Парковка офиса\E33149364_8_20251113T143145Z.jpg</v>
      </c>
    </row>
    <row r="25" spans="1:13" x14ac:dyDescent="0.25">
      <c r="A25" s="2" t="s">
        <v>16</v>
      </c>
      <c r="B25" s="4">
        <v>45974</v>
      </c>
      <c r="C25" s="5">
        <v>0.72965277777777782</v>
      </c>
      <c r="D25" s="9" t="s">
        <v>4</v>
      </c>
      <c r="E25" s="9" t="s">
        <v>8</v>
      </c>
      <c r="F25" s="9"/>
      <c r="H25" s="9"/>
      <c r="I25" s="9" t="s">
        <v>250</v>
      </c>
      <c r="J25" s="9" t="s">
        <v>13256</v>
      </c>
      <c r="K25" t="s">
        <v>13280</v>
      </c>
      <c r="L25" t="s">
        <v>251</v>
      </c>
      <c r="M25" s="3" t="str">
        <f>HYPERLINK(склад2въезд18[[#This Row],[RelativePath]])</f>
        <v>3 Парковка офиса\E33149364_8_20251113T173042Z.jpg</v>
      </c>
    </row>
    <row r="26" spans="1:13" x14ac:dyDescent="0.25">
      <c r="A26" s="2" t="s">
        <v>17</v>
      </c>
      <c r="B26" s="4">
        <v>45975</v>
      </c>
      <c r="C26" s="5">
        <v>0.39704861111111112</v>
      </c>
      <c r="D26" s="9" t="s">
        <v>4</v>
      </c>
      <c r="E26" s="9" t="s">
        <v>8</v>
      </c>
      <c r="F26" s="9"/>
      <c r="H26" s="9"/>
      <c r="I26" s="9" t="s">
        <v>252</v>
      </c>
      <c r="J26" s="9" t="s">
        <v>13256</v>
      </c>
      <c r="K26" t="s">
        <v>13281</v>
      </c>
      <c r="L26" t="s">
        <v>253</v>
      </c>
      <c r="M26" s="3" t="str">
        <f>HYPERLINK(склад2въезд18[[#This Row],[RelativePath]])</f>
        <v>3 Парковка офиса\E33149364_8_20251114T093145Z.jpg</v>
      </c>
    </row>
    <row r="27" spans="1:13" x14ac:dyDescent="0.25">
      <c r="A27" s="2" t="s">
        <v>17</v>
      </c>
      <c r="B27" s="4">
        <v>45975</v>
      </c>
      <c r="C27" s="5">
        <v>0.5526388888888889</v>
      </c>
      <c r="D27" s="9" t="s">
        <v>262</v>
      </c>
      <c r="E27" s="9" t="s">
        <v>66</v>
      </c>
      <c r="F27" s="9" t="s">
        <v>88</v>
      </c>
      <c r="H27" s="9"/>
      <c r="I27" s="9" t="s">
        <v>254</v>
      </c>
      <c r="J27" s="9" t="s">
        <v>13256</v>
      </c>
      <c r="K27" t="s">
        <v>13282</v>
      </c>
      <c r="L27" t="s">
        <v>255</v>
      </c>
      <c r="M27" s="3" t="str">
        <f>HYPERLINK(склад2въезд18[[#This Row],[RelativePath]])</f>
        <v>3 Парковка офиса\E33149364_8_20251114T131548Z.jpg</v>
      </c>
    </row>
    <row r="28" spans="1:13" x14ac:dyDescent="0.25">
      <c r="A28" s="2" t="s">
        <v>17</v>
      </c>
      <c r="B28" s="4">
        <v>45975</v>
      </c>
      <c r="C28" s="5">
        <v>0.57384259259259263</v>
      </c>
      <c r="D28" s="9" t="s">
        <v>4</v>
      </c>
      <c r="E28" s="9" t="s">
        <v>8</v>
      </c>
      <c r="F28" s="9"/>
      <c r="H28" s="9"/>
      <c r="I28" s="9" t="s">
        <v>256</v>
      </c>
      <c r="J28" s="9" t="s">
        <v>13256</v>
      </c>
      <c r="K28" t="s">
        <v>13283</v>
      </c>
      <c r="L28" t="s">
        <v>257</v>
      </c>
      <c r="M28" s="3" t="str">
        <f>HYPERLINK(склад2въезд18[[#This Row],[RelativePath]])</f>
        <v>3 Парковка офиса\E33149364_8_20251114T134620Z.jpg</v>
      </c>
    </row>
    <row r="29" spans="1:13" x14ac:dyDescent="0.25">
      <c r="A29" s="2" t="s">
        <v>17</v>
      </c>
      <c r="B29" s="4">
        <v>45975</v>
      </c>
      <c r="C29" s="5">
        <v>0.72843749999999996</v>
      </c>
      <c r="D29" s="9" t="s">
        <v>4</v>
      </c>
      <c r="E29" s="9" t="s">
        <v>8</v>
      </c>
      <c r="F29" s="9"/>
      <c r="H29" s="9"/>
      <c r="I29" s="9" t="s">
        <v>258</v>
      </c>
      <c r="J29" s="9" t="s">
        <v>13256</v>
      </c>
      <c r="K29" t="s">
        <v>13284</v>
      </c>
      <c r="L29" t="s">
        <v>259</v>
      </c>
      <c r="M29" s="3" t="str">
        <f>HYPERLINK(склад2въезд18[[#This Row],[RelativePath]])</f>
        <v>3 Парковка офиса\E33149364_8_20251114T172857Z.jpg</v>
      </c>
    </row>
    <row r="30" spans="1:13" x14ac:dyDescent="0.25">
      <c r="A30" s="2" t="s">
        <v>18</v>
      </c>
      <c r="B30" s="4">
        <v>45976</v>
      </c>
      <c r="C30" s="5">
        <v>0.4364351851851852</v>
      </c>
      <c r="D30" s="9" t="s">
        <v>4</v>
      </c>
      <c r="E30" s="9" t="s">
        <v>8</v>
      </c>
      <c r="F30" s="9"/>
      <c r="H30" s="9"/>
      <c r="I30" s="9" t="s">
        <v>1183</v>
      </c>
      <c r="J30" s="9" t="s">
        <v>13256</v>
      </c>
      <c r="K30" t="s">
        <v>13285</v>
      </c>
      <c r="L30" t="s">
        <v>1184</v>
      </c>
      <c r="M30" s="3" t="str">
        <f>HYPERLINK(склад2въезд18[[#This Row],[RelativePath]])</f>
        <v>3 Парковка офиса\E33149364_8_20251115T102828Z.jpg</v>
      </c>
    </row>
    <row r="31" spans="1:13" x14ac:dyDescent="0.25">
      <c r="A31" s="2" t="s">
        <v>18</v>
      </c>
      <c r="B31" s="4">
        <v>45976</v>
      </c>
      <c r="C31" s="5">
        <v>0.46833333333333332</v>
      </c>
      <c r="D31" s="9" t="s">
        <v>4</v>
      </c>
      <c r="E31" s="9" t="s">
        <v>1968</v>
      </c>
      <c r="F31" s="9"/>
      <c r="H31" s="9" t="s">
        <v>1969</v>
      </c>
      <c r="I31" s="9" t="s">
        <v>1185</v>
      </c>
      <c r="J31" s="9" t="s">
        <v>13256</v>
      </c>
      <c r="K31" t="s">
        <v>13286</v>
      </c>
      <c r="L31" t="s">
        <v>1186</v>
      </c>
      <c r="M31" s="3" t="str">
        <f>HYPERLINK(склад2въезд18[[#This Row],[RelativePath]])</f>
        <v>3 Парковка офиса\E33149364_8_20251115T111424Z.jpg</v>
      </c>
    </row>
    <row r="32" spans="1:13" x14ac:dyDescent="0.25">
      <c r="A32" s="2" t="s">
        <v>18</v>
      </c>
      <c r="B32" s="4">
        <v>45976</v>
      </c>
      <c r="C32" s="5">
        <v>0.4975</v>
      </c>
      <c r="D32" s="9" t="s">
        <v>4</v>
      </c>
      <c r="E32" s="9" t="s">
        <v>1968</v>
      </c>
      <c r="F32" s="9"/>
      <c r="H32" s="9" t="s">
        <v>1970</v>
      </c>
      <c r="I32" s="9" t="s">
        <v>1187</v>
      </c>
      <c r="J32" s="9" t="s">
        <v>13256</v>
      </c>
      <c r="K32" t="s">
        <v>13287</v>
      </c>
      <c r="L32" t="s">
        <v>1188</v>
      </c>
      <c r="M32" s="3" t="str">
        <f>HYPERLINK(склад2въезд18[[#This Row],[RelativePath]])</f>
        <v>3 Парковка офиса\E33149364_8_20251115T115624Z.jpg</v>
      </c>
    </row>
    <row r="33" spans="1:13" x14ac:dyDescent="0.25">
      <c r="A33" s="2" t="s">
        <v>18</v>
      </c>
      <c r="B33" s="4">
        <v>45976</v>
      </c>
      <c r="C33" s="5">
        <v>0.63564814814814818</v>
      </c>
      <c r="D33" s="9" t="s">
        <v>4</v>
      </c>
      <c r="E33" s="9" t="s">
        <v>56</v>
      </c>
      <c r="F33" s="9"/>
      <c r="H33" s="9" t="s">
        <v>1971</v>
      </c>
      <c r="I33" s="9" t="s">
        <v>1189</v>
      </c>
      <c r="J33" s="9" t="s">
        <v>13256</v>
      </c>
      <c r="K33" t="s">
        <v>13288</v>
      </c>
      <c r="L33" t="s">
        <v>1190</v>
      </c>
      <c r="M33" s="3" t="str">
        <f>HYPERLINK(склад2въезд18[[#This Row],[RelativePath]])</f>
        <v>3 Парковка офиса\E33149364_8_20251115T151520Z.jpg</v>
      </c>
    </row>
    <row r="34" spans="1:13" x14ac:dyDescent="0.25">
      <c r="A34" s="2" t="s">
        <v>18</v>
      </c>
      <c r="B34" s="4">
        <v>45976</v>
      </c>
      <c r="C34" s="5">
        <v>0.64347222222222222</v>
      </c>
      <c r="D34" s="9" t="s">
        <v>4</v>
      </c>
      <c r="E34" s="9" t="s">
        <v>8</v>
      </c>
      <c r="F34" s="9"/>
      <c r="H34" s="9"/>
      <c r="I34" s="9" t="s">
        <v>1191</v>
      </c>
      <c r="J34" s="9" t="s">
        <v>13256</v>
      </c>
      <c r="K34" t="s">
        <v>13289</v>
      </c>
      <c r="L34" t="s">
        <v>1192</v>
      </c>
      <c r="M34" s="3" t="str">
        <f>HYPERLINK(склад2въезд18[[#This Row],[RelativePath]])</f>
        <v>3 Парковка офиса\E33149364_8_20251115T152636Z.jpg</v>
      </c>
    </row>
    <row r="35" spans="1:13" x14ac:dyDescent="0.25">
      <c r="A35" s="2" t="s">
        <v>18</v>
      </c>
      <c r="B35" s="4">
        <v>45976</v>
      </c>
      <c r="C35" s="5">
        <v>0.72960648148148144</v>
      </c>
      <c r="D35" s="9" t="s">
        <v>4</v>
      </c>
      <c r="E35" s="9" t="s">
        <v>8</v>
      </c>
      <c r="F35" s="9"/>
      <c r="H35" s="9" t="s">
        <v>1588</v>
      </c>
      <c r="I35" s="9" t="s">
        <v>1193</v>
      </c>
      <c r="J35" s="9" t="s">
        <v>13256</v>
      </c>
      <c r="K35" t="s">
        <v>13290</v>
      </c>
      <c r="L35" t="s">
        <v>1194</v>
      </c>
      <c r="M35" s="3" t="str">
        <f>HYPERLINK(склад2въезд18[[#This Row],[RelativePath]])</f>
        <v>3 Парковка офиса\E33149364_8_20251115T173038Z.jpg</v>
      </c>
    </row>
    <row r="36" spans="1:13" x14ac:dyDescent="0.25">
      <c r="A36" s="2" t="s">
        <v>22</v>
      </c>
      <c r="B36" s="4">
        <v>45977</v>
      </c>
      <c r="C36" s="5">
        <v>0.36952546296296296</v>
      </c>
      <c r="D36" s="9" t="s">
        <v>4</v>
      </c>
      <c r="E36" s="9" t="s">
        <v>8</v>
      </c>
      <c r="F36" s="9"/>
      <c r="H36" s="9" t="s">
        <v>1972</v>
      </c>
      <c r="I36" s="9" t="s">
        <v>1195</v>
      </c>
      <c r="J36" s="9" t="s">
        <v>13256</v>
      </c>
      <c r="K36" t="s">
        <v>13291</v>
      </c>
      <c r="L36" t="s">
        <v>1196</v>
      </c>
      <c r="M36" s="3" t="str">
        <f>HYPERLINK(склад2въезд18[[#This Row],[RelativePath]])</f>
        <v>3 Парковка офиса\E33149364_8_20251116T085207Z.jpg</v>
      </c>
    </row>
    <row r="37" spans="1:13" x14ac:dyDescent="0.25">
      <c r="A37" s="2" t="s">
        <v>22</v>
      </c>
      <c r="B37" s="4">
        <v>45977</v>
      </c>
      <c r="C37" s="5">
        <v>0.59351851851851856</v>
      </c>
      <c r="D37" s="9" t="s">
        <v>4</v>
      </c>
      <c r="E37" s="9" t="s">
        <v>8</v>
      </c>
      <c r="F37" s="9"/>
      <c r="H37" s="9" t="s">
        <v>1967</v>
      </c>
      <c r="I37" s="9" t="s">
        <v>1197</v>
      </c>
      <c r="J37" s="9" t="s">
        <v>13256</v>
      </c>
      <c r="K37" t="s">
        <v>13292</v>
      </c>
      <c r="L37" t="s">
        <v>1198</v>
      </c>
      <c r="M37" s="3" t="str">
        <f>HYPERLINK(склад2въезд18[[#This Row],[RelativePath]])</f>
        <v>3 Парковка офиса\E33149364_8_20251116T141440Z.jpg</v>
      </c>
    </row>
    <row r="38" spans="1:13" x14ac:dyDescent="0.25">
      <c r="A38" s="2" t="s">
        <v>22</v>
      </c>
      <c r="B38" s="4">
        <v>45977</v>
      </c>
      <c r="C38" s="5">
        <v>0.71975694444444449</v>
      </c>
      <c r="D38" s="9" t="s">
        <v>4</v>
      </c>
      <c r="E38" s="9" t="s">
        <v>8</v>
      </c>
      <c r="F38" s="9"/>
      <c r="H38" s="9" t="s">
        <v>1588</v>
      </c>
      <c r="I38" s="9" t="s">
        <v>1199</v>
      </c>
      <c r="J38" s="9" t="s">
        <v>13256</v>
      </c>
      <c r="K38" t="s">
        <v>13293</v>
      </c>
      <c r="L38" t="s">
        <v>1200</v>
      </c>
      <c r="M38" s="3" t="str">
        <f>HYPERLINK(склад2въезд18[[#This Row],[RelativePath]])</f>
        <v>3 Парковка офиса\E33149364_8_20251116T171627Z.jpg</v>
      </c>
    </row>
    <row r="39" spans="1:13" x14ac:dyDescent="0.25">
      <c r="A39" s="2" t="s">
        <v>13</v>
      </c>
      <c r="B39" s="4">
        <v>45978</v>
      </c>
      <c r="C39" s="5">
        <v>0.72520833333333334</v>
      </c>
      <c r="D39" s="9" t="s">
        <v>1967</v>
      </c>
      <c r="E39" s="9"/>
      <c r="F39" s="9"/>
      <c r="H39" s="9"/>
      <c r="I39" s="9" t="s">
        <v>2027</v>
      </c>
      <c r="J39" s="9" t="s">
        <v>13256</v>
      </c>
      <c r="K39" t="s">
        <v>13294</v>
      </c>
      <c r="L39" t="s">
        <v>2028</v>
      </c>
      <c r="M39" s="3" t="str">
        <f>HYPERLINK(склад2въезд18[[#This Row],[RelativePath]])</f>
        <v>3 Парковка офиса\E33149364_8_20251117T172418Z.jpg</v>
      </c>
    </row>
    <row r="40" spans="1:13" x14ac:dyDescent="0.25">
      <c r="A40" s="2" t="s">
        <v>14</v>
      </c>
      <c r="B40" s="4">
        <v>45979</v>
      </c>
      <c r="C40" s="5">
        <v>0.37560185185185185</v>
      </c>
      <c r="D40" s="9" t="s">
        <v>4</v>
      </c>
      <c r="E40" s="9" t="s">
        <v>8</v>
      </c>
      <c r="F40" s="9"/>
      <c r="H40" s="9"/>
      <c r="I40" s="9" t="s">
        <v>2029</v>
      </c>
      <c r="J40" s="9" t="s">
        <v>13256</v>
      </c>
      <c r="K40" t="s">
        <v>13295</v>
      </c>
      <c r="L40" t="s">
        <v>2030</v>
      </c>
      <c r="M40" s="3" t="str">
        <f>HYPERLINK(склад2въезд18[[#This Row],[RelativePath]])</f>
        <v>3 Парковка офиса\E33149364_8_20251118T090052Z.jpg</v>
      </c>
    </row>
    <row r="41" spans="1:13" x14ac:dyDescent="0.25">
      <c r="A41" s="2" t="s">
        <v>14</v>
      </c>
      <c r="B41" s="4">
        <v>45979</v>
      </c>
      <c r="C41" s="5">
        <v>0.58296296296296302</v>
      </c>
      <c r="D41" s="9" t="s">
        <v>261</v>
      </c>
      <c r="E41" s="9" t="s">
        <v>2882</v>
      </c>
      <c r="F41" s="9" t="s">
        <v>58</v>
      </c>
      <c r="H41" s="9" t="s">
        <v>2883</v>
      </c>
      <c r="I41" s="9" t="s">
        <v>2031</v>
      </c>
      <c r="J41" s="9" t="s">
        <v>13256</v>
      </c>
      <c r="K41" t="s">
        <v>13296</v>
      </c>
      <c r="L41" t="s">
        <v>2033</v>
      </c>
      <c r="M41" s="3" t="str">
        <f>HYPERLINK(склад2въезд18[[#This Row],[RelativePath]])</f>
        <v>3 Парковка офиса\E33149364_8_20251118T135928Z.jpg</v>
      </c>
    </row>
    <row r="42" spans="1:13" x14ac:dyDescent="0.25">
      <c r="A42" s="2" t="s">
        <v>15</v>
      </c>
      <c r="B42" s="4">
        <v>45980</v>
      </c>
      <c r="C42" s="5">
        <v>0.49180555555555555</v>
      </c>
      <c r="D42" s="9" t="s">
        <v>4</v>
      </c>
      <c r="E42" s="9" t="s">
        <v>8</v>
      </c>
      <c r="F42" s="9"/>
      <c r="H42" s="9"/>
      <c r="I42" s="9" t="s">
        <v>2034</v>
      </c>
      <c r="J42" s="9" t="s">
        <v>13256</v>
      </c>
      <c r="K42" t="s">
        <v>13297</v>
      </c>
      <c r="L42" t="s">
        <v>2035</v>
      </c>
      <c r="M42" s="3" t="str">
        <f>HYPERLINK(склад2въезд18[[#This Row],[RelativePath]])</f>
        <v>3 Парковка офиса\E33149364_8_20251119T114812Z.jpg</v>
      </c>
    </row>
    <row r="43" spans="1:13" x14ac:dyDescent="0.25">
      <c r="A43" s="2" t="s">
        <v>16</v>
      </c>
      <c r="B43" s="4">
        <v>45981</v>
      </c>
      <c r="C43" s="5">
        <v>0.60149305555555554</v>
      </c>
      <c r="D43" s="9" t="s">
        <v>4</v>
      </c>
      <c r="E43" s="9" t="s">
        <v>8</v>
      </c>
      <c r="F43" s="9"/>
      <c r="H43" s="9"/>
      <c r="I43" s="9" t="s">
        <v>2036</v>
      </c>
      <c r="J43" s="9" t="s">
        <v>13256</v>
      </c>
      <c r="K43" t="s">
        <v>13298</v>
      </c>
      <c r="L43" t="s">
        <v>2037</v>
      </c>
      <c r="M43" s="3" t="str">
        <f>HYPERLINK(склад2въезд18[[#This Row],[RelativePath]])</f>
        <v>3 Парковка офиса\E33149364_8_20251120T142609Z.jpg</v>
      </c>
    </row>
    <row r="44" spans="1:13" x14ac:dyDescent="0.25">
      <c r="A44" s="2" t="s">
        <v>16</v>
      </c>
      <c r="B44" s="4">
        <v>45981</v>
      </c>
      <c r="C44" s="5">
        <v>0.72138888888888886</v>
      </c>
      <c r="D44" s="9" t="s">
        <v>4</v>
      </c>
      <c r="E44" s="9" t="s">
        <v>8</v>
      </c>
      <c r="F44" s="9"/>
      <c r="H44" s="9"/>
      <c r="I44" s="9" t="s">
        <v>2038</v>
      </c>
      <c r="J44" s="9" t="s">
        <v>13256</v>
      </c>
      <c r="K44" t="s">
        <v>13299</v>
      </c>
      <c r="L44" t="s">
        <v>2039</v>
      </c>
      <c r="M44" s="3" t="str">
        <f>HYPERLINK(склад2въезд18[[#This Row],[RelativePath]])</f>
        <v>3 Парковка офиса\E33149364_8_20251120T171848Z.jpg</v>
      </c>
    </row>
    <row r="45" spans="1:13" x14ac:dyDescent="0.25">
      <c r="A45" s="2" t="s">
        <v>17</v>
      </c>
      <c r="B45" s="4">
        <v>45982</v>
      </c>
      <c r="C45" s="5">
        <v>0.44034722222222222</v>
      </c>
      <c r="D45" s="9" t="s">
        <v>261</v>
      </c>
      <c r="E45" s="9" t="s">
        <v>2882</v>
      </c>
      <c r="F45" s="9" t="s">
        <v>2884</v>
      </c>
      <c r="H45" s="9" t="s">
        <v>4144</v>
      </c>
      <c r="I45" s="9" t="s">
        <v>2040</v>
      </c>
      <c r="J45" s="9" t="s">
        <v>13256</v>
      </c>
      <c r="K45" t="s">
        <v>13300</v>
      </c>
      <c r="L45" t="s">
        <v>2042</v>
      </c>
      <c r="M45" s="3" t="str">
        <f>HYPERLINK(склад2въезд18[[#This Row],[RelativePath]])</f>
        <v>3 Парковка офиса\E33149364_8_20251121T103406Z.jpg</v>
      </c>
    </row>
    <row r="46" spans="1:13" x14ac:dyDescent="0.25">
      <c r="A46" s="2" t="s">
        <v>17</v>
      </c>
      <c r="B46" s="4">
        <v>45982</v>
      </c>
      <c r="C46" s="5">
        <v>0.72569444444444442</v>
      </c>
      <c r="D46" s="9" t="s">
        <v>4</v>
      </c>
      <c r="E46" s="9" t="s">
        <v>8</v>
      </c>
      <c r="F46" s="9"/>
      <c r="H46" s="9"/>
      <c r="I46" s="9" t="s">
        <v>2043</v>
      </c>
      <c r="J46" s="9" t="s">
        <v>13256</v>
      </c>
      <c r="K46" t="s">
        <v>13301</v>
      </c>
      <c r="L46" t="s">
        <v>2044</v>
      </c>
      <c r="M46" s="3" t="str">
        <f>HYPERLINK(склад2въезд18[[#This Row],[RelativePath]])</f>
        <v>3 Парковка офиса\E33149364_8_20251121T172500Z.jpg</v>
      </c>
    </row>
    <row r="47" spans="1:13" x14ac:dyDescent="0.25">
      <c r="A47" s="2" t="s">
        <v>18</v>
      </c>
      <c r="B47" s="4">
        <v>45983</v>
      </c>
      <c r="C47" s="5">
        <v>0.72243055555555558</v>
      </c>
      <c r="D47" s="9" t="s">
        <v>1967</v>
      </c>
      <c r="E47" s="9"/>
      <c r="F47" s="9"/>
      <c r="H47" s="9"/>
      <c r="I47" s="9" t="s">
        <v>2045</v>
      </c>
      <c r="J47" s="9" t="s">
        <v>13256</v>
      </c>
      <c r="K47" t="s">
        <v>13302</v>
      </c>
      <c r="L47" t="s">
        <v>2046</v>
      </c>
      <c r="M47" s="3" t="str">
        <f>HYPERLINK(склад2въезд18[[#This Row],[RelativePath]])</f>
        <v>3 Парковка офиса\E33149364_8_20251122T172018Z.jpg</v>
      </c>
    </row>
    <row r="48" spans="1:13" x14ac:dyDescent="0.25">
      <c r="A48" s="2" t="s">
        <v>22</v>
      </c>
      <c r="B48" s="4">
        <v>45984</v>
      </c>
      <c r="C48" s="5">
        <v>0.67787037037037035</v>
      </c>
      <c r="D48" s="9" t="s">
        <v>1967</v>
      </c>
      <c r="E48" s="9"/>
      <c r="F48" s="9"/>
      <c r="H48" s="9"/>
      <c r="I48" s="9" t="s">
        <v>2047</v>
      </c>
      <c r="J48" s="9" t="s">
        <v>13256</v>
      </c>
      <c r="K48" t="s">
        <v>13303</v>
      </c>
      <c r="L48" t="s">
        <v>2048</v>
      </c>
      <c r="M48" s="3" t="str">
        <f>HYPERLINK(склад2въезд18[[#This Row],[RelativePath]])</f>
        <v>3 Парковка офиса\E33149364_8_20251123T161608Z.jpg</v>
      </c>
    </row>
    <row r="49" spans="1:13" x14ac:dyDescent="0.25">
      <c r="A49" s="2" t="s">
        <v>13</v>
      </c>
      <c r="B49" s="4">
        <v>45985</v>
      </c>
      <c r="C49" s="5">
        <v>0.44565972222222222</v>
      </c>
      <c r="D49" s="9" t="s">
        <v>4</v>
      </c>
      <c r="E49" s="9" t="s">
        <v>8</v>
      </c>
      <c r="F49" s="9"/>
      <c r="H49" s="9"/>
      <c r="I49" s="9" t="s">
        <v>3291</v>
      </c>
      <c r="J49" s="9" t="s">
        <v>13256</v>
      </c>
      <c r="K49" t="s">
        <v>13304</v>
      </c>
      <c r="L49" t="s">
        <v>3292</v>
      </c>
      <c r="M49" s="3" t="str">
        <f>HYPERLINK(склад2въезд18[[#This Row],[RelativePath]])</f>
        <v>3 Парковка офиса\E33149364_8_20251124T104145Z.jpg</v>
      </c>
    </row>
    <row r="50" spans="1:13" x14ac:dyDescent="0.25">
      <c r="A50" s="2" t="s">
        <v>13</v>
      </c>
      <c r="B50" s="4">
        <v>45985</v>
      </c>
      <c r="C50" s="5">
        <v>0.56355324074074076</v>
      </c>
      <c r="D50" s="9" t="s">
        <v>4</v>
      </c>
      <c r="E50" s="9" t="s">
        <v>8</v>
      </c>
      <c r="F50" s="9"/>
      <c r="H50" s="9"/>
      <c r="I50" s="9" t="s">
        <v>3293</v>
      </c>
      <c r="J50" s="9" t="s">
        <v>13256</v>
      </c>
      <c r="K50" t="s">
        <v>13305</v>
      </c>
      <c r="L50" t="s">
        <v>3294</v>
      </c>
      <c r="M50" s="3" t="str">
        <f>HYPERLINK(склад2въезд18[[#This Row],[RelativePath]])</f>
        <v>3 Парковка офиса\E33149364_8_20251124T133131Z.jpg</v>
      </c>
    </row>
    <row r="51" spans="1:13" x14ac:dyDescent="0.25">
      <c r="A51" s="2" t="s">
        <v>13</v>
      </c>
      <c r="B51" s="4">
        <v>45985</v>
      </c>
      <c r="C51" s="5">
        <v>0.73635416666666664</v>
      </c>
      <c r="D51" s="9" t="s">
        <v>4</v>
      </c>
      <c r="E51" s="9" t="s">
        <v>70</v>
      </c>
      <c r="F51" s="9" t="s">
        <v>58</v>
      </c>
      <c r="H51" s="9"/>
      <c r="I51" s="9" t="s">
        <v>3295</v>
      </c>
      <c r="J51" s="9" t="s">
        <v>13256</v>
      </c>
      <c r="K51" t="s">
        <v>13306</v>
      </c>
      <c r="L51" t="s">
        <v>3296</v>
      </c>
      <c r="M51" s="3" t="str">
        <f>HYPERLINK(склад2въезд18[[#This Row],[RelativePath]])</f>
        <v>3 Парковка офиса\E33149364_8_20251124T174021Z.jpg</v>
      </c>
    </row>
    <row r="52" spans="1:13" x14ac:dyDescent="0.25">
      <c r="A52" s="2" t="s">
        <v>13</v>
      </c>
      <c r="B52" s="4">
        <v>45985</v>
      </c>
      <c r="C52" s="5">
        <v>0.75795138888888891</v>
      </c>
      <c r="D52" s="9" t="s">
        <v>4</v>
      </c>
      <c r="E52" s="9" t="s">
        <v>70</v>
      </c>
      <c r="F52" s="9" t="s">
        <v>51</v>
      </c>
      <c r="H52" s="9" t="s">
        <v>4145</v>
      </c>
      <c r="I52" s="9" t="s">
        <v>3297</v>
      </c>
      <c r="J52" s="9" t="s">
        <v>13256</v>
      </c>
      <c r="K52" t="s">
        <v>13307</v>
      </c>
      <c r="L52" t="s">
        <v>3298</v>
      </c>
      <c r="M52" s="3" t="str">
        <f>HYPERLINK(склад2въезд18[[#This Row],[RelativePath]])</f>
        <v>3 Парковка офиса\E33149364_8_20251124T181127Z.jpg</v>
      </c>
    </row>
    <row r="53" spans="1:13" x14ac:dyDescent="0.25">
      <c r="A53" s="2" t="s">
        <v>14</v>
      </c>
      <c r="B53" s="4">
        <v>45986</v>
      </c>
      <c r="C53" s="5">
        <v>0.5118287037037037</v>
      </c>
      <c r="D53" s="9" t="s">
        <v>4</v>
      </c>
      <c r="E53" s="9" t="s">
        <v>8</v>
      </c>
      <c r="F53" s="9"/>
      <c r="H53" s="9"/>
      <c r="I53" s="9" t="s">
        <v>3299</v>
      </c>
      <c r="J53" s="9" t="s">
        <v>13256</v>
      </c>
      <c r="K53" t="s">
        <v>13308</v>
      </c>
      <c r="L53" t="s">
        <v>3300</v>
      </c>
      <c r="M53" s="3" t="str">
        <f>HYPERLINK(склад2въезд18[[#This Row],[RelativePath]])</f>
        <v>3 Парковка офиса\E33149364_8_20251125T121702Z.jpg</v>
      </c>
    </row>
    <row r="54" spans="1:13" x14ac:dyDescent="0.25">
      <c r="A54" s="2" t="s">
        <v>14</v>
      </c>
      <c r="B54" s="4">
        <v>45986</v>
      </c>
      <c r="C54" s="5">
        <v>0.69212962962962965</v>
      </c>
      <c r="D54" s="9" t="s">
        <v>1967</v>
      </c>
      <c r="E54" s="9"/>
      <c r="F54" s="9"/>
      <c r="H54" s="9"/>
      <c r="I54" s="9" t="s">
        <v>3301</v>
      </c>
      <c r="J54" s="9" t="s">
        <v>13256</v>
      </c>
      <c r="K54" t="s">
        <v>13309</v>
      </c>
      <c r="L54" t="s">
        <v>3302</v>
      </c>
      <c r="M54" s="3" t="str">
        <f>HYPERLINK(склад2въезд18[[#This Row],[RelativePath]])</f>
        <v>3 Парковка офиса\E33149364_8_20251125T163640Z.jpg</v>
      </c>
    </row>
    <row r="55" spans="1:13" x14ac:dyDescent="0.25">
      <c r="A55" s="2" t="s">
        <v>15</v>
      </c>
      <c r="B55" s="4">
        <v>45987</v>
      </c>
      <c r="C55" s="5">
        <v>0.45251157407407405</v>
      </c>
      <c r="D55" s="9" t="s">
        <v>4</v>
      </c>
      <c r="E55" s="9" t="s">
        <v>4133</v>
      </c>
      <c r="F55" s="9" t="s">
        <v>58</v>
      </c>
      <c r="H55" s="9"/>
      <c r="I55" s="9" t="s">
        <v>3303</v>
      </c>
      <c r="J55" s="9" t="s">
        <v>13256</v>
      </c>
      <c r="K55" t="s">
        <v>13310</v>
      </c>
      <c r="L55" t="s">
        <v>3304</v>
      </c>
      <c r="M55" s="3" t="str">
        <f>HYPERLINK(склад2въезд18[[#This Row],[RelativePath]])</f>
        <v>3 Парковка офиса\E33149364_8_20251126T105137Z.jpg</v>
      </c>
    </row>
    <row r="56" spans="1:13" x14ac:dyDescent="0.25">
      <c r="A56" s="2" t="s">
        <v>15</v>
      </c>
      <c r="B56" s="4">
        <v>45987</v>
      </c>
      <c r="C56" s="5">
        <v>0.51675925925925925</v>
      </c>
      <c r="D56" s="9" t="s">
        <v>4</v>
      </c>
      <c r="E56" s="9" t="s">
        <v>8</v>
      </c>
      <c r="F56" s="9"/>
      <c r="H56" s="9"/>
      <c r="I56" s="9" t="s">
        <v>3305</v>
      </c>
      <c r="J56" s="9" t="s">
        <v>13256</v>
      </c>
      <c r="K56" t="s">
        <v>13311</v>
      </c>
      <c r="L56" t="s">
        <v>3306</v>
      </c>
      <c r="M56" s="3" t="str">
        <f>HYPERLINK(склад2въезд18[[#This Row],[RelativePath]])</f>
        <v>3 Парковка офиса\E33149364_8_20251126T122408Z.jpg</v>
      </c>
    </row>
    <row r="57" spans="1:13" x14ac:dyDescent="0.25">
      <c r="A57" s="2" t="s">
        <v>16</v>
      </c>
      <c r="B57" s="4">
        <v>45988</v>
      </c>
      <c r="C57" s="5">
        <v>0.48026620370370371</v>
      </c>
      <c r="D57" s="9" t="s">
        <v>4</v>
      </c>
      <c r="E57" s="9" t="s">
        <v>8</v>
      </c>
      <c r="F57" s="9"/>
      <c r="H57" s="9"/>
      <c r="I57" s="9" t="s">
        <v>3307</v>
      </c>
      <c r="J57" s="9" t="s">
        <v>13256</v>
      </c>
      <c r="K57" t="s">
        <v>13312</v>
      </c>
      <c r="L57" t="s">
        <v>3308</v>
      </c>
      <c r="M57" s="3" t="str">
        <f>HYPERLINK(склад2въезд18[[#This Row],[RelativePath]])</f>
        <v>3 Парковка офиса\E33149364_8_20251127T113135Z.jpg</v>
      </c>
    </row>
    <row r="58" spans="1:13" x14ac:dyDescent="0.25">
      <c r="A58" s="2" t="s">
        <v>16</v>
      </c>
      <c r="B58" s="4">
        <v>45988</v>
      </c>
      <c r="C58" s="5">
        <v>0.69488425925925923</v>
      </c>
      <c r="D58" s="9" t="s">
        <v>1967</v>
      </c>
      <c r="E58" s="9"/>
      <c r="F58" s="9"/>
      <c r="H58" s="9"/>
      <c r="I58" s="9" t="s">
        <v>3309</v>
      </c>
      <c r="J58" s="9" t="s">
        <v>13256</v>
      </c>
      <c r="K58" t="s">
        <v>13313</v>
      </c>
      <c r="L58" t="s">
        <v>3310</v>
      </c>
      <c r="M58" s="3" t="str">
        <f>HYPERLINK(склад2въезд18[[#This Row],[RelativePath]])</f>
        <v>3 Парковка офиса\E33149364_8_20251127T164038Z.jpg</v>
      </c>
    </row>
    <row r="59" spans="1:13" x14ac:dyDescent="0.25">
      <c r="A59" s="2" t="s">
        <v>17</v>
      </c>
      <c r="B59" s="4">
        <v>45989</v>
      </c>
      <c r="C59" s="5">
        <v>0.46827546296296296</v>
      </c>
      <c r="D59" s="9" t="s">
        <v>4</v>
      </c>
      <c r="E59" s="9" t="s">
        <v>8</v>
      </c>
      <c r="F59" s="9"/>
      <c r="H59" s="9"/>
      <c r="I59" s="9" t="s">
        <v>3311</v>
      </c>
      <c r="J59" s="9" t="s">
        <v>13256</v>
      </c>
      <c r="K59" t="s">
        <v>13314</v>
      </c>
      <c r="L59" t="s">
        <v>3312</v>
      </c>
      <c r="M59" s="3" t="str">
        <f>HYPERLINK(склад2въезд18[[#This Row],[RelativePath]])</f>
        <v>3 Парковка офиса\E33149364_8_20251128T111419Z.jpg</v>
      </c>
    </row>
    <row r="60" spans="1:13" x14ac:dyDescent="0.25">
      <c r="A60" s="2" t="s">
        <v>17</v>
      </c>
      <c r="B60" s="4">
        <v>45989</v>
      </c>
      <c r="C60" s="5">
        <v>0.70848379629629632</v>
      </c>
      <c r="D60" s="9" t="s">
        <v>1967</v>
      </c>
      <c r="E60" s="9"/>
      <c r="F60" s="9"/>
      <c r="H60" s="9"/>
      <c r="I60" s="9" t="s">
        <v>3313</v>
      </c>
      <c r="J60" s="9" t="s">
        <v>13256</v>
      </c>
      <c r="K60" t="s">
        <v>13315</v>
      </c>
      <c r="L60" t="s">
        <v>3314</v>
      </c>
      <c r="M60" s="3" t="str">
        <f>HYPERLINK(склад2въезд18[[#This Row],[RelativePath]])</f>
        <v>3 Парковка офиса\E33149364_8_20251128T170013Z.jpg</v>
      </c>
    </row>
    <row r="61" spans="1:13" x14ac:dyDescent="0.25">
      <c r="A61" s="2" t="s">
        <v>18</v>
      </c>
      <c r="B61" s="4">
        <v>45990</v>
      </c>
      <c r="C61" s="5">
        <v>0.52615740740740746</v>
      </c>
      <c r="D61" s="9" t="s">
        <v>4</v>
      </c>
      <c r="E61" s="9" t="s">
        <v>8</v>
      </c>
      <c r="F61" s="9"/>
      <c r="H61" s="9"/>
      <c r="I61" s="9" t="s">
        <v>3315</v>
      </c>
      <c r="J61" s="9" t="s">
        <v>13256</v>
      </c>
      <c r="K61" t="s">
        <v>13316</v>
      </c>
      <c r="L61" t="s">
        <v>3316</v>
      </c>
      <c r="M61" s="3" t="str">
        <f>HYPERLINK(склад2въезд18[[#This Row],[RelativePath]])</f>
        <v>3 Парковка офиса\E33149364_8_20251129T123740Z.jpg</v>
      </c>
    </row>
    <row r="62" spans="1:13" x14ac:dyDescent="0.25">
      <c r="A62" s="2" t="s">
        <v>18</v>
      </c>
      <c r="B62" s="4">
        <v>45990</v>
      </c>
      <c r="C62" s="5">
        <v>0.64961805555555552</v>
      </c>
      <c r="D62" s="9" t="s">
        <v>261</v>
      </c>
      <c r="E62" s="9" t="s">
        <v>2882</v>
      </c>
      <c r="F62" s="9" t="s">
        <v>53</v>
      </c>
      <c r="G62">
        <v>4</v>
      </c>
      <c r="H62" s="9"/>
      <c r="I62" s="9" t="s">
        <v>3317</v>
      </c>
      <c r="J62" s="9" t="s">
        <v>13256</v>
      </c>
      <c r="K62" t="s">
        <v>13317</v>
      </c>
      <c r="L62" t="s">
        <v>3319</v>
      </c>
      <c r="M62" s="3" t="str">
        <f>HYPERLINK(склад2въезд18[[#This Row],[RelativePath]])</f>
        <v>3 Парковка офиса\E33149364_8_20251129T153527Z.jpg</v>
      </c>
    </row>
    <row r="63" spans="1:13" x14ac:dyDescent="0.25">
      <c r="A63" s="2" t="s">
        <v>18</v>
      </c>
      <c r="B63" s="4">
        <v>45990</v>
      </c>
      <c r="C63" s="5">
        <v>0.71567129629629633</v>
      </c>
      <c r="D63" s="9" t="s">
        <v>4</v>
      </c>
      <c r="E63" s="9" t="s">
        <v>4135</v>
      </c>
      <c r="F63" s="9" t="s">
        <v>4137</v>
      </c>
      <c r="H63" s="9"/>
      <c r="I63" s="9" t="s">
        <v>3320</v>
      </c>
      <c r="J63" s="9" t="s">
        <v>13256</v>
      </c>
      <c r="K63" t="s">
        <v>13318</v>
      </c>
      <c r="L63" t="s">
        <v>3321</v>
      </c>
      <c r="M63" s="3" t="str">
        <f>HYPERLINK(склад2въезд18[[#This Row],[RelativePath]])</f>
        <v>3 Парковка офиса\E33149364_8_20251129T171034Z.jpg</v>
      </c>
    </row>
    <row r="64" spans="1:13" x14ac:dyDescent="0.25">
      <c r="A64" s="2" t="s">
        <v>22</v>
      </c>
      <c r="B64" s="4">
        <v>45991</v>
      </c>
      <c r="C64" s="5">
        <v>0.69825231481481487</v>
      </c>
      <c r="D64" s="9" t="s">
        <v>1967</v>
      </c>
      <c r="E64" s="9"/>
      <c r="F64" s="9"/>
      <c r="H64" s="9"/>
      <c r="I64" s="9" t="s">
        <v>4202</v>
      </c>
      <c r="J64" s="9" t="s">
        <v>13256</v>
      </c>
      <c r="K64" t="s">
        <v>13319</v>
      </c>
      <c r="L64" t="s">
        <v>4203</v>
      </c>
      <c r="M64" s="3" t="str">
        <f>HYPERLINK(склад2въезд18[[#This Row],[RelativePath]])</f>
        <v>3 Парковка офиса\E33149364_8_20251130T164529Z.jpg</v>
      </c>
    </row>
    <row r="65" spans="1:13" x14ac:dyDescent="0.25">
      <c r="A65" s="2" t="s">
        <v>13</v>
      </c>
      <c r="B65" s="4">
        <v>45992</v>
      </c>
      <c r="C65" s="5">
        <v>0.44055555555555553</v>
      </c>
      <c r="D65" s="9" t="s">
        <v>4</v>
      </c>
      <c r="E65" s="9" t="s">
        <v>8</v>
      </c>
      <c r="F65" s="9"/>
      <c r="H65" s="9"/>
      <c r="I65" s="9" t="s">
        <v>4498</v>
      </c>
      <c r="J65" s="9" t="s">
        <v>13256</v>
      </c>
      <c r="K65" t="s">
        <v>13320</v>
      </c>
      <c r="L65" t="s">
        <v>4499</v>
      </c>
      <c r="M65" s="3" t="str">
        <f>HYPERLINK(склад2въезд18[[#This Row],[RelativePath]])</f>
        <v>3 Парковка офиса\E33149364_8_20251201T103424Z.jpg</v>
      </c>
    </row>
    <row r="66" spans="1:13" x14ac:dyDescent="0.25">
      <c r="A66" s="2" t="s">
        <v>13</v>
      </c>
      <c r="B66" s="4">
        <v>45992</v>
      </c>
      <c r="C66" s="5">
        <v>0.86937500000000001</v>
      </c>
      <c r="D66" s="9" t="s">
        <v>4</v>
      </c>
      <c r="E66" s="9" t="s">
        <v>4135</v>
      </c>
      <c r="F66" s="9"/>
      <c r="H66" s="9" t="s">
        <v>5023</v>
      </c>
      <c r="I66" s="9" t="s">
        <v>4500</v>
      </c>
      <c r="J66" s="9" t="s">
        <v>13256</v>
      </c>
      <c r="K66" t="s">
        <v>13321</v>
      </c>
      <c r="L66" t="s">
        <v>4501</v>
      </c>
      <c r="M66" s="3" t="str">
        <f>HYPERLINK(склад2въезд18[[#This Row],[RelativePath]])</f>
        <v>3 Парковка офиса\E33149364_8_20251201T205154Z.jpg</v>
      </c>
    </row>
    <row r="67" spans="1:13" x14ac:dyDescent="0.25">
      <c r="A67" s="2" t="s">
        <v>14</v>
      </c>
      <c r="B67" s="4">
        <v>45993</v>
      </c>
      <c r="C67" s="5">
        <v>0.59391203703703699</v>
      </c>
      <c r="D67" s="9" t="s">
        <v>4</v>
      </c>
      <c r="E67" s="9" t="s">
        <v>8</v>
      </c>
      <c r="F67" s="9"/>
      <c r="H67" s="9"/>
      <c r="I67" s="9" t="s">
        <v>4502</v>
      </c>
      <c r="J67" s="9" t="s">
        <v>13256</v>
      </c>
      <c r="K67" t="s">
        <v>13322</v>
      </c>
      <c r="L67" t="s">
        <v>4503</v>
      </c>
      <c r="M67" s="3" t="str">
        <f>HYPERLINK(склад2въезд18[[#This Row],[RelativePath]])</f>
        <v>3 Парковка офиса\E33149364_8_20251202T141514Z.jpg</v>
      </c>
    </row>
    <row r="68" spans="1:13" x14ac:dyDescent="0.25">
      <c r="A68" s="2" t="s">
        <v>15</v>
      </c>
      <c r="B68" s="4">
        <v>45994</v>
      </c>
      <c r="C68" s="5">
        <v>0.63190972222222219</v>
      </c>
      <c r="D68" s="9" t="s">
        <v>4</v>
      </c>
      <c r="E68" s="9" t="s">
        <v>8</v>
      </c>
      <c r="F68" s="9"/>
      <c r="H68" s="9"/>
      <c r="I68" s="9" t="s">
        <v>4504</v>
      </c>
      <c r="J68" s="9" t="s">
        <v>13256</v>
      </c>
      <c r="K68" t="s">
        <v>13323</v>
      </c>
      <c r="L68" t="s">
        <v>4505</v>
      </c>
      <c r="M68" s="3" t="str">
        <f>HYPERLINK(склад2въезд18[[#This Row],[RelativePath]])</f>
        <v>3 Парковка офиса\E33149364_8_20251203T150957Z.jpg</v>
      </c>
    </row>
    <row r="69" spans="1:13" x14ac:dyDescent="0.25">
      <c r="A69" s="2" t="s">
        <v>16</v>
      </c>
      <c r="B69" s="4">
        <v>45995</v>
      </c>
      <c r="C69" s="5">
        <v>0.5186574074074074</v>
      </c>
      <c r="D69" s="9" t="s">
        <v>261</v>
      </c>
      <c r="E69" s="9" t="s">
        <v>2882</v>
      </c>
      <c r="F69" s="9" t="s">
        <v>53</v>
      </c>
      <c r="G69">
        <v>3</v>
      </c>
      <c r="H69" s="9"/>
      <c r="I69" s="9" t="s">
        <v>5020</v>
      </c>
      <c r="J69" s="9" t="s">
        <v>13256</v>
      </c>
      <c r="K69" t="s">
        <v>13324</v>
      </c>
      <c r="L69" t="s">
        <v>5022</v>
      </c>
      <c r="M69" s="3" t="str">
        <f>HYPERLINK(склад2въезд18[[#This Row],[RelativePath]])</f>
        <v>3 Парковка офиса\E33149364_8_20251204T122652Z.jpg</v>
      </c>
    </row>
    <row r="70" spans="1:13" x14ac:dyDescent="0.25">
      <c r="A70" s="2" t="s">
        <v>17</v>
      </c>
      <c r="B70" s="4">
        <v>45996</v>
      </c>
      <c r="C70" s="5">
        <v>0.5995138888888889</v>
      </c>
      <c r="D70" s="9" t="s">
        <v>4</v>
      </c>
      <c r="E70" s="9" t="s">
        <v>8</v>
      </c>
      <c r="F70" s="9"/>
      <c r="H70" s="9"/>
      <c r="I70" s="9" t="s">
        <v>4506</v>
      </c>
      <c r="J70" s="9" t="s">
        <v>13256</v>
      </c>
      <c r="K70" t="s">
        <v>13325</v>
      </c>
      <c r="L70" t="s">
        <v>4507</v>
      </c>
      <c r="M70" s="3" t="str">
        <f>HYPERLINK(склад2въезд18[[#This Row],[RelativePath]])</f>
        <v>3 Парковка офиса\E33149364_8_20251205T142318Z.jpg</v>
      </c>
    </row>
    <row r="71" spans="1:13" x14ac:dyDescent="0.25">
      <c r="A71" s="2" t="s">
        <v>18</v>
      </c>
      <c r="B71" s="4">
        <v>45997</v>
      </c>
      <c r="C71" s="5">
        <v>0.65668981481481481</v>
      </c>
      <c r="D71" s="9" t="s">
        <v>1967</v>
      </c>
      <c r="E71" s="9"/>
      <c r="F71" s="9"/>
      <c r="H71" s="9"/>
      <c r="I71" s="9" t="s">
        <v>4508</v>
      </c>
      <c r="J71" s="9" t="s">
        <v>13256</v>
      </c>
      <c r="K71" t="s">
        <v>13326</v>
      </c>
      <c r="L71" t="s">
        <v>4509</v>
      </c>
      <c r="M71" s="3" t="str">
        <f>HYPERLINK(склад2въезд18[[#This Row],[RelativePath]])</f>
        <v>3 Парковка офиса\E33149364_8_20251206T154538Z.jpg</v>
      </c>
    </row>
    <row r="72" spans="1:13" x14ac:dyDescent="0.25">
      <c r="A72" s="2" t="s">
        <v>22</v>
      </c>
      <c r="B72" s="4">
        <v>45998</v>
      </c>
      <c r="C72" s="5">
        <v>0.6731597222222222</v>
      </c>
      <c r="D72" s="9" t="s">
        <v>4</v>
      </c>
      <c r="E72" s="9" t="s">
        <v>5195</v>
      </c>
      <c r="F72" s="9" t="s">
        <v>1572</v>
      </c>
      <c r="H72" s="9"/>
      <c r="I72" s="9" t="s">
        <v>5075</v>
      </c>
      <c r="J72" s="9" t="s">
        <v>13256</v>
      </c>
      <c r="K72" t="s">
        <v>13327</v>
      </c>
      <c r="L72" t="s">
        <v>5076</v>
      </c>
      <c r="M72" s="3" t="str">
        <f>HYPERLINK(склад2въезд18[[#This Row],[RelativePath]])</f>
        <v>3 Парковка офиса\E33149364_8_20251207T160921Z.jpg</v>
      </c>
    </row>
    <row r="73" spans="1:13" x14ac:dyDescent="0.25">
      <c r="A73" s="2" t="s">
        <v>13</v>
      </c>
      <c r="B73" s="4">
        <v>45999</v>
      </c>
      <c r="C73" s="5">
        <v>0.49609953703703702</v>
      </c>
      <c r="D73" s="9" t="s">
        <v>4</v>
      </c>
      <c r="E73" s="9" t="s">
        <v>8</v>
      </c>
      <c r="F73" s="9"/>
      <c r="H73" s="9"/>
      <c r="I73" s="9" t="s">
        <v>5209</v>
      </c>
      <c r="J73" s="9" t="s">
        <v>13256</v>
      </c>
      <c r="K73" t="s">
        <v>13328</v>
      </c>
      <c r="L73" t="s">
        <v>5210</v>
      </c>
      <c r="M73" s="3" t="str">
        <f>HYPERLINK(склад2въезд18[[#This Row],[RelativePath]])</f>
        <v>3 Парковка офиса\E33149364_8_20251208T115423Z.jpg</v>
      </c>
    </row>
    <row r="74" spans="1:13" x14ac:dyDescent="0.25">
      <c r="A74" s="2" t="s">
        <v>13</v>
      </c>
      <c r="B74" s="4">
        <v>45999</v>
      </c>
      <c r="C74" s="5">
        <v>0.69165509259259261</v>
      </c>
      <c r="D74" s="9" t="s">
        <v>1967</v>
      </c>
      <c r="E74" s="9"/>
      <c r="F74" s="9"/>
      <c r="H74" s="9"/>
      <c r="I74" s="9" t="s">
        <v>5211</v>
      </c>
      <c r="J74" s="9" t="s">
        <v>13256</v>
      </c>
      <c r="K74" t="s">
        <v>13329</v>
      </c>
      <c r="L74" t="s">
        <v>5212</v>
      </c>
      <c r="M74" s="3" t="str">
        <f>HYPERLINK(склад2въезд18[[#This Row],[RelativePath]])</f>
        <v>3 Парковка офиса\E33149364_8_20251208T163559Z.jpg</v>
      </c>
    </row>
    <row r="75" spans="1:13" x14ac:dyDescent="0.25">
      <c r="A75" s="2" t="s">
        <v>14</v>
      </c>
      <c r="B75" s="4">
        <v>46000</v>
      </c>
      <c r="C75" s="5">
        <v>0.51105324074074077</v>
      </c>
      <c r="D75" s="9" t="s">
        <v>4</v>
      </c>
      <c r="E75" s="9" t="s">
        <v>8</v>
      </c>
      <c r="F75" s="9"/>
      <c r="H75" s="9"/>
      <c r="I75" s="9" t="s">
        <v>5615</v>
      </c>
      <c r="J75" s="9" t="s">
        <v>13256</v>
      </c>
      <c r="K75" t="s">
        <v>13330</v>
      </c>
      <c r="L75" t="s">
        <v>5616</v>
      </c>
      <c r="M75" s="3" t="str">
        <f>HYPERLINK(склад2въезд18[[#This Row],[RelativePath]])</f>
        <v>3 Парковка офиса\E33149364_8_20251209T121555Z.jpg</v>
      </c>
    </row>
    <row r="76" spans="1:13" x14ac:dyDescent="0.25">
      <c r="A76" s="2" t="s">
        <v>14</v>
      </c>
      <c r="B76" s="4">
        <v>46000</v>
      </c>
      <c r="C76" s="5">
        <v>0.54031249999999997</v>
      </c>
      <c r="D76" s="9" t="s">
        <v>4</v>
      </c>
      <c r="E76" s="9" t="s">
        <v>8</v>
      </c>
      <c r="F76" s="9"/>
      <c r="H76" s="9"/>
      <c r="I76" s="9" t="s">
        <v>5617</v>
      </c>
      <c r="J76" s="9" t="s">
        <v>13256</v>
      </c>
      <c r="K76" t="s">
        <v>13331</v>
      </c>
      <c r="L76" t="s">
        <v>5618</v>
      </c>
      <c r="M76" s="3" t="str">
        <f>HYPERLINK(склад2въезд18[[#This Row],[RelativePath]])</f>
        <v>3 Парковка офиса\E33149364_8_20251209T125803Z.jpg</v>
      </c>
    </row>
    <row r="77" spans="1:13" x14ac:dyDescent="0.25">
      <c r="A77" s="2" t="s">
        <v>14</v>
      </c>
      <c r="B77" s="4">
        <v>46000</v>
      </c>
      <c r="C77" s="5">
        <v>0.71246527777777779</v>
      </c>
      <c r="D77" s="9" t="s">
        <v>4</v>
      </c>
      <c r="E77" s="9" t="s">
        <v>8</v>
      </c>
      <c r="F77" s="9"/>
      <c r="H77" s="9"/>
      <c r="I77" s="9" t="s">
        <v>5619</v>
      </c>
      <c r="J77" s="9" t="s">
        <v>13256</v>
      </c>
      <c r="K77" t="s">
        <v>13332</v>
      </c>
      <c r="L77" t="s">
        <v>5620</v>
      </c>
      <c r="M77" s="3" t="str">
        <f>HYPERLINK(склад2въезд18[[#This Row],[RelativePath]])</f>
        <v>3 Парковка офиса\E33149364_8_20251209T170557Z.jpg</v>
      </c>
    </row>
    <row r="78" spans="1:13" x14ac:dyDescent="0.25">
      <c r="A78" s="2" t="s">
        <v>15</v>
      </c>
      <c r="B78" s="4">
        <v>46001</v>
      </c>
      <c r="C78" s="5">
        <v>0.63738425925925923</v>
      </c>
      <c r="D78" s="9" t="s">
        <v>1967</v>
      </c>
      <c r="E78" s="9" t="s">
        <v>8</v>
      </c>
      <c r="F78" s="9"/>
      <c r="H78" s="9"/>
      <c r="I78" s="9" t="s">
        <v>5621</v>
      </c>
      <c r="J78" s="9" t="s">
        <v>13256</v>
      </c>
      <c r="K78" t="s">
        <v>13333</v>
      </c>
      <c r="L78" t="s">
        <v>5622</v>
      </c>
      <c r="M78" s="3" t="str">
        <f>HYPERLINK(склад2въезд18[[#This Row],[RelativePath]])</f>
        <v>3 Парковка офиса\E33149364_8_20251210T151750Z.jpg</v>
      </c>
    </row>
    <row r="79" spans="1:13" x14ac:dyDescent="0.25">
      <c r="A79" s="2" t="s">
        <v>16</v>
      </c>
      <c r="B79" s="4">
        <v>46002</v>
      </c>
      <c r="C79" s="5">
        <v>0.56204861111111115</v>
      </c>
      <c r="D79" s="9" t="s">
        <v>4</v>
      </c>
      <c r="E79" s="9" t="s">
        <v>8</v>
      </c>
      <c r="F79" s="9"/>
      <c r="H79" s="9"/>
      <c r="I79" s="9" t="s">
        <v>5773</v>
      </c>
      <c r="J79" s="9" t="s">
        <v>13256</v>
      </c>
      <c r="K79" t="s">
        <v>13334</v>
      </c>
      <c r="L79" t="s">
        <v>5774</v>
      </c>
      <c r="M79" s="3" t="str">
        <f>HYPERLINK(склад2въезд18[[#This Row],[RelativePath]])</f>
        <v>3 Парковка офиса\E33149364_8_20251211T132921Z.jpg</v>
      </c>
    </row>
    <row r="80" spans="1:13" x14ac:dyDescent="0.25">
      <c r="A80" s="2" t="s">
        <v>16</v>
      </c>
      <c r="B80" s="4">
        <v>46002</v>
      </c>
      <c r="C80" s="5">
        <v>0.67108796296296291</v>
      </c>
      <c r="D80" s="9" t="s">
        <v>1967</v>
      </c>
      <c r="E80" s="9" t="s">
        <v>8</v>
      </c>
      <c r="F80" s="9"/>
      <c r="H80" s="9"/>
      <c r="I80" s="9" t="s">
        <v>5775</v>
      </c>
      <c r="J80" s="9" t="s">
        <v>13256</v>
      </c>
      <c r="K80" t="s">
        <v>13335</v>
      </c>
      <c r="L80" t="s">
        <v>5776</v>
      </c>
      <c r="M80" s="3" t="str">
        <f>HYPERLINK(склад2въезд18[[#This Row],[RelativePath]])</f>
        <v>3 Парковка офиса\E33149364_8_20251211T160622Z.jpg</v>
      </c>
    </row>
    <row r="81" spans="1:13" x14ac:dyDescent="0.25">
      <c r="A81" s="2" t="s">
        <v>17</v>
      </c>
      <c r="B81" s="4">
        <v>46003</v>
      </c>
      <c r="C81" s="5">
        <v>0.48292824074074076</v>
      </c>
      <c r="D81" s="9" t="s">
        <v>1967</v>
      </c>
      <c r="E81" s="9" t="s">
        <v>8</v>
      </c>
      <c r="F81" s="9"/>
      <c r="H81" s="9"/>
      <c r="I81" s="9" t="s">
        <v>5777</v>
      </c>
      <c r="J81" s="9" t="s">
        <v>13256</v>
      </c>
      <c r="K81" t="s">
        <v>13336</v>
      </c>
      <c r="L81" t="s">
        <v>5778</v>
      </c>
      <c r="M81" s="3" t="str">
        <f>HYPERLINK(склад2въезд18[[#This Row],[RelativePath]])</f>
        <v>3 Парковка офиса\E33149364_8_20251212T113525Z.jpg</v>
      </c>
    </row>
    <row r="82" spans="1:13" x14ac:dyDescent="0.25">
      <c r="A82" s="2" t="s">
        <v>18</v>
      </c>
      <c r="B82" s="4">
        <v>46004</v>
      </c>
      <c r="C82" s="5">
        <v>0.40824074074074074</v>
      </c>
      <c r="D82" s="9" t="s">
        <v>4</v>
      </c>
      <c r="E82" s="9" t="s">
        <v>8</v>
      </c>
      <c r="F82" s="9"/>
      <c r="H82" s="9"/>
      <c r="I82" s="9" t="s">
        <v>5989</v>
      </c>
      <c r="J82" s="9" t="s">
        <v>13256</v>
      </c>
      <c r="K82" t="s">
        <v>13337</v>
      </c>
      <c r="L82" t="s">
        <v>5990</v>
      </c>
      <c r="M82" s="3" t="str">
        <f>HYPERLINK(склад2въезд18[[#This Row],[RelativePath]])</f>
        <v>3 Парковка офиса\E33149364_8_20251213T094752Z.jpg</v>
      </c>
    </row>
    <row r="83" spans="1:13" x14ac:dyDescent="0.25">
      <c r="A83" s="2" t="s">
        <v>18</v>
      </c>
      <c r="B83" s="4">
        <v>46004</v>
      </c>
      <c r="C83" s="5">
        <v>0.53307870370370369</v>
      </c>
      <c r="D83" s="9" t="s">
        <v>4</v>
      </c>
      <c r="E83" s="9" t="s">
        <v>8</v>
      </c>
      <c r="F83" s="9"/>
      <c r="H83" s="9"/>
      <c r="I83" s="9" t="s">
        <v>5991</v>
      </c>
      <c r="J83" s="9" t="s">
        <v>13256</v>
      </c>
      <c r="K83" t="s">
        <v>13338</v>
      </c>
      <c r="L83" t="s">
        <v>5992</v>
      </c>
      <c r="M83" s="3" t="str">
        <f>HYPERLINK(склад2въезд18[[#This Row],[RelativePath]])</f>
        <v>3 Парковка офиса\E33149364_8_20251213T124738Z.jpg</v>
      </c>
    </row>
    <row r="84" spans="1:13" x14ac:dyDescent="0.25">
      <c r="A84" s="2" t="s">
        <v>18</v>
      </c>
      <c r="B84" s="4">
        <v>46004</v>
      </c>
      <c r="C84" s="5">
        <v>0.71127314814814813</v>
      </c>
      <c r="D84" s="9" t="s">
        <v>4</v>
      </c>
      <c r="E84" s="9" t="s">
        <v>8</v>
      </c>
      <c r="F84" s="9"/>
      <c r="H84" s="9"/>
      <c r="I84" s="9" t="s">
        <v>5993</v>
      </c>
      <c r="J84" s="9" t="s">
        <v>13256</v>
      </c>
      <c r="K84" t="s">
        <v>13339</v>
      </c>
      <c r="L84" t="s">
        <v>5994</v>
      </c>
      <c r="M84" s="3" t="str">
        <f>HYPERLINK(склад2въезд18[[#This Row],[RelativePath]])</f>
        <v>3 Парковка офиса\E33149364_8_20251213T170414Z.jpg</v>
      </c>
    </row>
    <row r="85" spans="1:13" x14ac:dyDescent="0.25">
      <c r="A85" s="2" t="s">
        <v>22</v>
      </c>
      <c r="B85" s="4">
        <v>46005</v>
      </c>
      <c r="C85" s="5">
        <v>0.6847685185185185</v>
      </c>
      <c r="D85" s="9" t="s">
        <v>1967</v>
      </c>
      <c r="E85" s="9" t="s">
        <v>8</v>
      </c>
      <c r="F85" s="9"/>
      <c r="H85" s="9"/>
      <c r="I85" s="9" t="s">
        <v>6116</v>
      </c>
      <c r="J85" s="9" t="s">
        <v>13256</v>
      </c>
      <c r="K85" t="s">
        <v>13340</v>
      </c>
      <c r="L85" t="s">
        <v>6117</v>
      </c>
      <c r="M85" s="3" t="str">
        <f>HYPERLINK(склад2въезд18[[#This Row],[RelativePath]])</f>
        <v>3 Парковка офиса\E33149364_8_20251214T162604Z.jpg</v>
      </c>
    </row>
    <row r="86" spans="1:13" x14ac:dyDescent="0.25">
      <c r="A86" s="2" t="s">
        <v>13</v>
      </c>
      <c r="B86" s="4">
        <v>46006</v>
      </c>
      <c r="C86" s="5">
        <v>0.51256944444444441</v>
      </c>
      <c r="D86" s="9" t="s">
        <v>4</v>
      </c>
      <c r="E86" s="9" t="s">
        <v>8</v>
      </c>
      <c r="F86" s="9"/>
      <c r="H86" s="9"/>
      <c r="I86" s="9" t="s">
        <v>6243</v>
      </c>
      <c r="J86" s="9" t="s">
        <v>13256</v>
      </c>
      <c r="K86" t="s">
        <v>13341</v>
      </c>
      <c r="L86" t="s">
        <v>6244</v>
      </c>
      <c r="M86" s="3" t="str">
        <f>HYPERLINK(склад2въезд18[[#This Row],[RelativePath]])</f>
        <v>3 Парковка офиса\E33149364_8_20251215T121806Z.jpg</v>
      </c>
    </row>
    <row r="87" spans="1:13" x14ac:dyDescent="0.25">
      <c r="A87" s="2" t="s">
        <v>14</v>
      </c>
      <c r="B87" s="4">
        <v>46007</v>
      </c>
      <c r="C87" s="5">
        <v>0.46141203703703704</v>
      </c>
      <c r="D87" s="9" t="s">
        <v>4</v>
      </c>
      <c r="E87" s="9" t="s">
        <v>8</v>
      </c>
      <c r="F87" s="9"/>
      <c r="H87" s="9"/>
      <c r="I87" s="9" t="s">
        <v>6476</v>
      </c>
      <c r="J87" s="9" t="s">
        <v>13256</v>
      </c>
      <c r="K87" t="s">
        <v>13342</v>
      </c>
      <c r="L87" t="s">
        <v>6477</v>
      </c>
      <c r="M87" s="3" t="str">
        <f>HYPERLINK(склад2въезд18[[#This Row],[RelativePath]])</f>
        <v>3 Парковка офиса\E33149364_8_20251216T110426Z.jpg</v>
      </c>
    </row>
    <row r="88" spans="1:13" x14ac:dyDescent="0.25">
      <c r="A88" s="2" t="s">
        <v>15</v>
      </c>
      <c r="B88" s="4">
        <v>46008</v>
      </c>
      <c r="C88" s="5">
        <v>0.62752314814814814</v>
      </c>
      <c r="D88" s="9" t="s">
        <v>1967</v>
      </c>
      <c r="E88" s="9" t="s">
        <v>8</v>
      </c>
      <c r="F88" s="9"/>
      <c r="H88" s="9"/>
      <c r="I88" s="9" t="s">
        <v>6576</v>
      </c>
      <c r="J88" s="9" t="s">
        <v>13256</v>
      </c>
      <c r="K88" t="s">
        <v>13343</v>
      </c>
      <c r="L88" t="s">
        <v>6577</v>
      </c>
      <c r="M88" s="3" t="str">
        <f>HYPERLINK(склад2въезд18[[#This Row],[RelativePath]])</f>
        <v>3 Парковка офиса\E33149364_8_20251217T150338Z.jpg</v>
      </c>
    </row>
    <row r="89" spans="1:13" x14ac:dyDescent="0.25">
      <c r="A89" s="2" t="s">
        <v>16</v>
      </c>
      <c r="B89" s="4">
        <v>46009</v>
      </c>
      <c r="C89" s="5">
        <v>0.60905092592592591</v>
      </c>
      <c r="D89" s="9" t="s">
        <v>1967</v>
      </c>
      <c r="E89" s="9" t="s">
        <v>8</v>
      </c>
      <c r="F89" s="9"/>
      <c r="H89" s="9"/>
      <c r="I89" s="9" t="s">
        <v>6578</v>
      </c>
      <c r="J89" s="9" t="s">
        <v>13256</v>
      </c>
      <c r="K89" t="s">
        <v>13344</v>
      </c>
      <c r="L89" t="s">
        <v>6579</v>
      </c>
      <c r="M89" s="3" t="str">
        <f>HYPERLINK(склад2въезд18[[#This Row],[RelativePath]])</f>
        <v>3 Парковка офиса\E33149364_8_20251218T143702Z.jpg</v>
      </c>
    </row>
    <row r="90" spans="1:13" x14ac:dyDescent="0.25">
      <c r="A90" s="2" t="s">
        <v>17</v>
      </c>
      <c r="B90" s="4">
        <v>46010</v>
      </c>
      <c r="C90" s="5">
        <v>0.67592592592592593</v>
      </c>
      <c r="D90" s="9" t="s">
        <v>1967</v>
      </c>
      <c r="E90" s="9" t="s">
        <v>8</v>
      </c>
      <c r="F90" s="9"/>
      <c r="H90" s="9"/>
      <c r="I90" s="9" t="s">
        <v>6827</v>
      </c>
      <c r="J90" s="9" t="s">
        <v>13256</v>
      </c>
      <c r="K90" t="s">
        <v>13345</v>
      </c>
      <c r="L90" t="s">
        <v>6828</v>
      </c>
      <c r="M90" s="3" t="str">
        <f>HYPERLINK(склад2въезд18[[#This Row],[RelativePath]])</f>
        <v>3 Парковка офиса\E33149364_8_20251219T161320Z.jpg</v>
      </c>
    </row>
    <row r="91" spans="1:13" x14ac:dyDescent="0.25">
      <c r="A91" s="2" t="s">
        <v>18</v>
      </c>
      <c r="B91" s="4">
        <v>46011</v>
      </c>
      <c r="C91" s="5">
        <v>0.68274305555555559</v>
      </c>
      <c r="D91" s="9" t="s">
        <v>1967</v>
      </c>
      <c r="E91" s="9" t="s">
        <v>8</v>
      </c>
      <c r="F91" s="9"/>
      <c r="H91" s="9"/>
      <c r="I91" s="9" t="s">
        <v>6829</v>
      </c>
      <c r="J91" s="9" t="s">
        <v>13256</v>
      </c>
      <c r="K91" t="s">
        <v>13346</v>
      </c>
      <c r="L91" t="s">
        <v>6830</v>
      </c>
      <c r="M91" s="3" t="str">
        <f>HYPERLINK(склад2въезд18[[#This Row],[RelativePath]])</f>
        <v>3 Парковка офиса\E33149364_8_20251220T162309Z.jpg</v>
      </c>
    </row>
    <row r="92" spans="1:13" x14ac:dyDescent="0.25">
      <c r="A92" s="2" t="s">
        <v>22</v>
      </c>
      <c r="B92" s="4">
        <v>46012</v>
      </c>
      <c r="C92" s="5">
        <v>0.70972222222222225</v>
      </c>
      <c r="D92" s="9" t="s">
        <v>1967</v>
      </c>
      <c r="E92" s="9" t="s">
        <v>8</v>
      </c>
      <c r="F92" s="9"/>
      <c r="H92" s="9"/>
      <c r="I92" s="9" t="s">
        <v>7095</v>
      </c>
      <c r="J92" s="9" t="s">
        <v>13256</v>
      </c>
      <c r="K92" t="s">
        <v>13347</v>
      </c>
      <c r="L92" t="s">
        <v>7096</v>
      </c>
      <c r="M92" s="3" t="str">
        <f>HYPERLINK(склад2въезд18[[#This Row],[RelativePath]])</f>
        <v>3 Парковка офиса\E33149364_8_20251221T170200Z.jpg</v>
      </c>
    </row>
    <row r="93" spans="1:13" x14ac:dyDescent="0.25">
      <c r="A93" s="2" t="s">
        <v>13</v>
      </c>
      <c r="B93" s="4">
        <v>46013</v>
      </c>
      <c r="C93" s="5">
        <v>0.68888888888888888</v>
      </c>
      <c r="D93" s="9" t="s">
        <v>1967</v>
      </c>
      <c r="E93" s="9" t="s">
        <v>8</v>
      </c>
      <c r="F93" s="9"/>
      <c r="H93" s="9"/>
      <c r="I93" s="9" t="s">
        <v>7173</v>
      </c>
      <c r="J93" s="9" t="s">
        <v>13256</v>
      </c>
      <c r="K93" t="s">
        <v>13348</v>
      </c>
      <c r="L93" t="s">
        <v>7174</v>
      </c>
      <c r="M93" s="3" t="str">
        <f>HYPERLINK(склад2въезд18[[#This Row],[RelativePath]])</f>
        <v>3 Парковка офиса\E33149364_8_20251222T163200Z.jpg</v>
      </c>
    </row>
    <row r="94" spans="1:13" x14ac:dyDescent="0.25">
      <c r="A94" s="2" t="s">
        <v>14</v>
      </c>
      <c r="B94" s="4">
        <v>46014</v>
      </c>
      <c r="C94" s="5">
        <v>0.71491898148148147</v>
      </c>
      <c r="D94" s="9" t="s">
        <v>4</v>
      </c>
      <c r="E94" s="9" t="s">
        <v>8</v>
      </c>
      <c r="F94" s="9"/>
      <c r="H94" s="9"/>
      <c r="I94" s="9" t="s">
        <v>7175</v>
      </c>
      <c r="J94" s="9" t="s">
        <v>13256</v>
      </c>
      <c r="K94" t="s">
        <v>13349</v>
      </c>
      <c r="L94" t="s">
        <v>7176</v>
      </c>
      <c r="M94" s="3" t="str">
        <f>HYPERLINK(склад2въезд18[[#This Row],[RelativePath]])</f>
        <v>3 Парковка офиса\E33149364_8_20251223T170929Z.jpg</v>
      </c>
    </row>
    <row r="95" spans="1:13" x14ac:dyDescent="0.25">
      <c r="A95" s="2" t="s">
        <v>14</v>
      </c>
      <c r="B95" s="4">
        <v>46014</v>
      </c>
      <c r="C95" s="5">
        <v>0.81587962962962968</v>
      </c>
      <c r="D95" s="9" t="s">
        <v>4</v>
      </c>
      <c r="E95" s="9" t="s">
        <v>7320</v>
      </c>
      <c r="F95" s="9" t="s">
        <v>51</v>
      </c>
      <c r="H95" s="9"/>
      <c r="I95" s="9" t="s">
        <v>7177</v>
      </c>
      <c r="J95" s="9" t="s">
        <v>13256</v>
      </c>
      <c r="K95" t="s">
        <v>13350</v>
      </c>
      <c r="L95" t="s">
        <v>7178</v>
      </c>
      <c r="M95" s="3" t="str">
        <f>HYPERLINK(склад2въезд18[[#This Row],[RelativePath]])</f>
        <v>3 Парковка офиса\E33149364_8_20251223T193452Z.jpg</v>
      </c>
    </row>
    <row r="96" spans="1:13" x14ac:dyDescent="0.25">
      <c r="A96" s="2" t="s">
        <v>15</v>
      </c>
      <c r="B96" s="4">
        <v>46015</v>
      </c>
      <c r="C96" s="5">
        <v>0.50621527777777775</v>
      </c>
      <c r="D96" s="9" t="s">
        <v>1967</v>
      </c>
      <c r="E96" s="9" t="s">
        <v>8</v>
      </c>
      <c r="F96" s="9"/>
      <c r="H96" s="9"/>
      <c r="I96" s="9" t="s">
        <v>7388</v>
      </c>
      <c r="J96" s="9" t="s">
        <v>13256</v>
      </c>
      <c r="K96" t="s">
        <v>13351</v>
      </c>
      <c r="L96" t="s">
        <v>7389</v>
      </c>
      <c r="M96" s="3" t="str">
        <f>HYPERLINK(склад2въезд18[[#This Row],[RelativePath]])</f>
        <v>3 Парковка офиса\E33149364_8_20251224T120857Z.jpg</v>
      </c>
    </row>
    <row r="97" spans="1:13" x14ac:dyDescent="0.25">
      <c r="A97" s="2" t="s">
        <v>16</v>
      </c>
      <c r="B97" s="4">
        <v>46016</v>
      </c>
      <c r="C97" s="5">
        <v>0.38068287037037035</v>
      </c>
      <c r="D97" s="9" t="s">
        <v>4</v>
      </c>
      <c r="E97" s="9" t="s">
        <v>7612</v>
      </c>
      <c r="F97" s="9" t="s">
        <v>60</v>
      </c>
      <c r="H97" s="9"/>
      <c r="I97" s="9" t="s">
        <v>7390</v>
      </c>
      <c r="J97" s="9" t="s">
        <v>13256</v>
      </c>
      <c r="K97" t="s">
        <v>13352</v>
      </c>
      <c r="L97" t="s">
        <v>7391</v>
      </c>
      <c r="M97" s="3" t="str">
        <f>HYPERLINK(склад2въезд18[[#This Row],[RelativePath]])</f>
        <v>3 Парковка офиса\E33149364_8_20251225T090811Z.jpg</v>
      </c>
    </row>
    <row r="98" spans="1:13" x14ac:dyDescent="0.25">
      <c r="A98" s="2" t="s">
        <v>16</v>
      </c>
      <c r="B98" s="4">
        <v>46016</v>
      </c>
      <c r="C98" s="5">
        <v>0.4659490740740741</v>
      </c>
      <c r="D98" s="9" t="s">
        <v>4</v>
      </c>
      <c r="E98" s="9" t="s">
        <v>7612</v>
      </c>
      <c r="F98" s="9" t="s">
        <v>51</v>
      </c>
      <c r="H98" s="9"/>
      <c r="I98" s="9" t="s">
        <v>7392</v>
      </c>
      <c r="J98" s="9" t="s">
        <v>13256</v>
      </c>
      <c r="K98" t="s">
        <v>13353</v>
      </c>
      <c r="L98" t="s">
        <v>7393</v>
      </c>
      <c r="M98" s="3" t="str">
        <f>HYPERLINK(склад2въезд18[[#This Row],[RelativePath]])</f>
        <v>3 Парковка офиса\E33149364_8_20251225T111058Z.jpg</v>
      </c>
    </row>
    <row r="99" spans="1:13" x14ac:dyDescent="0.25">
      <c r="A99" s="2" t="s">
        <v>16</v>
      </c>
      <c r="B99" s="4">
        <v>46016</v>
      </c>
      <c r="C99" s="5">
        <v>0.68556712962962962</v>
      </c>
      <c r="D99" s="9" t="s">
        <v>1967</v>
      </c>
      <c r="E99" s="9" t="s">
        <v>8</v>
      </c>
      <c r="F99" s="9"/>
      <c r="H99" s="9"/>
      <c r="I99" s="9" t="s">
        <v>7394</v>
      </c>
      <c r="J99" s="9" t="s">
        <v>13256</v>
      </c>
      <c r="K99" t="s">
        <v>13354</v>
      </c>
      <c r="L99" t="s">
        <v>7395</v>
      </c>
      <c r="M99" s="3" t="str">
        <f>HYPERLINK(склад2въезд18[[#This Row],[RelativePath]])</f>
        <v>3 Парковка офиса\E33149364_8_20251225T162713Z.jpg</v>
      </c>
    </row>
    <row r="100" spans="1:13" x14ac:dyDescent="0.25">
      <c r="A100" s="2" t="s">
        <v>17</v>
      </c>
      <c r="B100" s="4">
        <v>46017</v>
      </c>
      <c r="C100" s="5">
        <v>0.40710648148148149</v>
      </c>
      <c r="D100" s="9" t="s">
        <v>261</v>
      </c>
      <c r="E100" s="9" t="s">
        <v>2882</v>
      </c>
      <c r="F100" s="9" t="s">
        <v>7083</v>
      </c>
      <c r="H100" s="9"/>
      <c r="I100" s="9" t="s">
        <v>7725</v>
      </c>
      <c r="J100" s="9" t="s">
        <v>13256</v>
      </c>
      <c r="K100" t="s">
        <v>13355</v>
      </c>
      <c r="L100" t="s">
        <v>7727</v>
      </c>
      <c r="M100" s="3" t="str">
        <f>HYPERLINK(склад2въезд18[[#This Row],[RelativePath]])</f>
        <v>3 Парковка офиса\E33149364_8_20251226T094614Z.jpg</v>
      </c>
    </row>
    <row r="101" spans="1:13" x14ac:dyDescent="0.25">
      <c r="A101" s="2" t="s">
        <v>17</v>
      </c>
      <c r="B101" s="4">
        <v>46017</v>
      </c>
      <c r="C101" s="5">
        <v>0.40766203703703702</v>
      </c>
      <c r="D101" s="9" t="s">
        <v>261</v>
      </c>
      <c r="E101" s="9" t="s">
        <v>2882</v>
      </c>
      <c r="F101" s="9" t="s">
        <v>7083</v>
      </c>
      <c r="H101" s="9" t="s">
        <v>2891</v>
      </c>
      <c r="I101" s="9" t="s">
        <v>7728</v>
      </c>
      <c r="J101" s="9" t="s">
        <v>13256</v>
      </c>
      <c r="K101" t="s">
        <v>13356</v>
      </c>
      <c r="L101" t="s">
        <v>7730</v>
      </c>
      <c r="M101" s="3" t="str">
        <f>HYPERLINK(склад2въезд18[[#This Row],[RelativePath]])</f>
        <v>3 Парковка офиса\E33149364_8_20251226T094702Z.jpg</v>
      </c>
    </row>
    <row r="102" spans="1:13" x14ac:dyDescent="0.25">
      <c r="A102" s="2" t="s">
        <v>17</v>
      </c>
      <c r="B102" s="4">
        <v>46017</v>
      </c>
      <c r="C102" s="5">
        <v>0.40768518518518521</v>
      </c>
      <c r="D102" s="9" t="s">
        <v>261</v>
      </c>
      <c r="E102" s="9" t="s">
        <v>2882</v>
      </c>
      <c r="F102" s="9" t="s">
        <v>7083</v>
      </c>
      <c r="H102" s="9" t="s">
        <v>2891</v>
      </c>
      <c r="I102" s="9" t="s">
        <v>7731</v>
      </c>
      <c r="J102" s="9" t="s">
        <v>13256</v>
      </c>
      <c r="K102" t="s">
        <v>13357</v>
      </c>
      <c r="L102" t="s">
        <v>7733</v>
      </c>
      <c r="M102" s="3" t="str">
        <f>HYPERLINK(склад2въезд18[[#This Row],[RelativePath]])</f>
        <v>3 Парковка офиса\E33149364_8_20251226T094704Z.jpg</v>
      </c>
    </row>
    <row r="103" spans="1:13" x14ac:dyDescent="0.25">
      <c r="A103" s="2" t="s">
        <v>18</v>
      </c>
      <c r="B103" s="4">
        <v>46018</v>
      </c>
      <c r="C103" s="5">
        <v>0.4912037037037037</v>
      </c>
      <c r="D103" s="9" t="s">
        <v>1967</v>
      </c>
      <c r="E103" s="9" t="s">
        <v>8</v>
      </c>
      <c r="F103" s="9"/>
      <c r="H103" s="9"/>
      <c r="I103" s="9" t="s">
        <v>7850</v>
      </c>
      <c r="J103" s="9" t="s">
        <v>13256</v>
      </c>
      <c r="K103" t="s">
        <v>13358</v>
      </c>
      <c r="L103" t="s">
        <v>7851</v>
      </c>
      <c r="M103" s="3" t="str">
        <f>HYPERLINK(склад2въезд18[[#This Row],[RelativePath]])</f>
        <v>3 Парковка офиса\E33149364_8_20251227T114720Z.jpg</v>
      </c>
    </row>
    <row r="104" spans="1:13" x14ac:dyDescent="0.25">
      <c r="A104" s="2" t="s">
        <v>18</v>
      </c>
      <c r="B104" s="4">
        <v>46018</v>
      </c>
      <c r="C104" s="5">
        <v>0.57578703703703704</v>
      </c>
      <c r="D104" s="9" t="s">
        <v>1967</v>
      </c>
      <c r="E104" s="9" t="s">
        <v>8</v>
      </c>
      <c r="F104" s="9"/>
      <c r="H104" s="9"/>
      <c r="I104" s="9" t="s">
        <v>7852</v>
      </c>
      <c r="J104" s="9" t="s">
        <v>13256</v>
      </c>
      <c r="K104" t="s">
        <v>13359</v>
      </c>
      <c r="L104" t="s">
        <v>7853</v>
      </c>
      <c r="M104" s="3" t="str">
        <f>HYPERLINK(склад2въезд18[[#This Row],[RelativePath]])</f>
        <v>3 Парковка офиса\E33149364_8_20251227T134908Z.jpg</v>
      </c>
    </row>
    <row r="105" spans="1:13" x14ac:dyDescent="0.25">
      <c r="A105" s="2" t="s">
        <v>22</v>
      </c>
      <c r="B105" s="4">
        <v>46019</v>
      </c>
      <c r="C105" s="5">
        <v>0.53828703703703706</v>
      </c>
      <c r="D105" s="9" t="s">
        <v>4</v>
      </c>
      <c r="E105" s="9" t="s">
        <v>503</v>
      </c>
      <c r="F105" s="9"/>
      <c r="H105" s="9"/>
      <c r="I105" s="9" t="s">
        <v>7854</v>
      </c>
      <c r="J105" s="9" t="s">
        <v>13256</v>
      </c>
      <c r="K105" t="s">
        <v>13360</v>
      </c>
      <c r="L105" t="s">
        <v>7855</v>
      </c>
      <c r="M105" s="3" t="str">
        <f>HYPERLINK(склад2въезд18[[#This Row],[RelativePath]])</f>
        <v>3 Парковка офиса\E33149364_8_20251228T125508Z.jpg</v>
      </c>
    </row>
    <row r="106" spans="1:13" x14ac:dyDescent="0.25">
      <c r="A106" s="2" t="s">
        <v>22</v>
      </c>
      <c r="B106" s="4">
        <v>46019</v>
      </c>
      <c r="C106" s="5">
        <v>0.70148148148148148</v>
      </c>
      <c r="D106" s="9" t="s">
        <v>1967</v>
      </c>
      <c r="E106" s="9" t="s">
        <v>8</v>
      </c>
      <c r="F106" s="9"/>
      <c r="H106" s="9"/>
      <c r="I106" s="9" t="s">
        <v>7856</v>
      </c>
      <c r="J106" s="9" t="s">
        <v>13256</v>
      </c>
      <c r="K106" t="s">
        <v>13361</v>
      </c>
      <c r="L106" t="s">
        <v>7857</v>
      </c>
      <c r="M106" s="3" t="str">
        <f>HYPERLINK(склад2въезд18[[#This Row],[RelativePath]])</f>
        <v>3 Парковка офиса\E33149364_8_20251228T165008Z.jpg</v>
      </c>
    </row>
    <row r="107" spans="1:13" x14ac:dyDescent="0.25">
      <c r="A107" s="2" t="s">
        <v>13</v>
      </c>
      <c r="B107" s="4">
        <v>46020</v>
      </c>
      <c r="C107" s="5">
        <v>0.65512731481481479</v>
      </c>
      <c r="D107" s="9" t="s">
        <v>1967</v>
      </c>
      <c r="E107" s="9" t="s">
        <v>8</v>
      </c>
      <c r="F107" s="9"/>
      <c r="H107" s="9"/>
      <c r="I107" s="9" t="s">
        <v>8010</v>
      </c>
      <c r="J107" s="9" t="s">
        <v>13256</v>
      </c>
      <c r="K107" t="s">
        <v>13362</v>
      </c>
      <c r="L107" t="s">
        <v>8011</v>
      </c>
      <c r="M107" s="3" t="str">
        <f>HYPERLINK(склад2въезд18[[#This Row],[RelativePath]])</f>
        <v>3 Парковка офиса\E33149364_8_20251229T154323Z.jpg</v>
      </c>
    </row>
    <row r="108" spans="1:13" x14ac:dyDescent="0.25">
      <c r="A108" s="2" t="s">
        <v>14</v>
      </c>
      <c r="B108" s="4">
        <v>46021</v>
      </c>
      <c r="C108" s="5">
        <v>0.71135416666666662</v>
      </c>
      <c r="D108" s="9" t="s">
        <v>1967</v>
      </c>
      <c r="E108" s="9" t="s">
        <v>8</v>
      </c>
      <c r="F108" s="9"/>
      <c r="H108" s="9"/>
      <c r="I108" s="9" t="s">
        <v>8012</v>
      </c>
      <c r="J108" s="9" t="s">
        <v>13256</v>
      </c>
      <c r="K108" t="s">
        <v>13363</v>
      </c>
      <c r="L108" t="s">
        <v>8013</v>
      </c>
      <c r="M108" s="3" t="str">
        <f>HYPERLINK(склад2въезд18[[#This Row],[RelativePath]])</f>
        <v>3 Парковка офиса\E33149364_8_20251230T170421Z.jpg</v>
      </c>
    </row>
    <row r="109" spans="1:13" x14ac:dyDescent="0.25">
      <c r="A109" s="2" t="s">
        <v>15</v>
      </c>
      <c r="B109" s="4">
        <v>46022</v>
      </c>
      <c r="C109" s="5">
        <v>0.69041666666666668</v>
      </c>
      <c r="D109" s="9" t="s">
        <v>1967</v>
      </c>
      <c r="E109" s="9" t="s">
        <v>8</v>
      </c>
      <c r="F109" s="9"/>
      <c r="H109" s="9"/>
      <c r="I109" s="9" t="s">
        <v>8014</v>
      </c>
      <c r="J109" s="9" t="s">
        <v>13256</v>
      </c>
      <c r="K109" t="s">
        <v>13364</v>
      </c>
      <c r="L109" t="s">
        <v>8015</v>
      </c>
      <c r="M109" s="3" t="str">
        <f>HYPERLINK(склад2въезд18[[#This Row],[RelativePath]])</f>
        <v>3 Парковка офиса\E33149364_8_20251231T163412Z.jpg</v>
      </c>
    </row>
    <row r="110" spans="1:13" x14ac:dyDescent="0.25">
      <c r="A110" s="2" t="s">
        <v>16</v>
      </c>
      <c r="B110" s="4">
        <v>46023</v>
      </c>
      <c r="C110" s="5">
        <v>0.7181481481481482</v>
      </c>
      <c r="D110" s="9" t="s">
        <v>1967</v>
      </c>
      <c r="E110" s="9" t="s">
        <v>8</v>
      </c>
      <c r="F110" s="9"/>
      <c r="H110" s="9"/>
      <c r="I110" s="9" t="s">
        <v>8016</v>
      </c>
      <c r="J110" s="9" t="s">
        <v>13256</v>
      </c>
      <c r="K110" t="s">
        <v>13365</v>
      </c>
      <c r="L110" t="s">
        <v>8017</v>
      </c>
      <c r="M110" s="3" t="str">
        <f>HYPERLINK(склад2въезд18[[#This Row],[RelativePath]])</f>
        <v>3 Парковка офиса\E33149364_8_20260101T171408Z.jpg</v>
      </c>
    </row>
    <row r="111" spans="1:13" x14ac:dyDescent="0.25">
      <c r="A111" s="2" t="s">
        <v>17</v>
      </c>
      <c r="B111" s="4">
        <v>46024</v>
      </c>
      <c r="C111" s="5">
        <v>0.58773148148148147</v>
      </c>
      <c r="D111" s="9" t="s">
        <v>1967</v>
      </c>
      <c r="E111" s="9" t="s">
        <v>8</v>
      </c>
      <c r="F111" s="9"/>
      <c r="H111" s="9"/>
      <c r="I111" s="9" t="s">
        <v>8282</v>
      </c>
      <c r="J111" s="9" t="s">
        <v>13256</v>
      </c>
      <c r="K111" t="s">
        <v>13366</v>
      </c>
      <c r="L111" t="s">
        <v>8283</v>
      </c>
      <c r="M111" s="3" t="str">
        <f>HYPERLINK(склад2въезд18[[#This Row],[RelativePath]])</f>
        <v>3 Парковка офиса\E33149364_8_20260102T140620Z.jpg</v>
      </c>
    </row>
    <row r="112" spans="1:13" x14ac:dyDescent="0.25">
      <c r="A112" s="2" t="s">
        <v>18</v>
      </c>
      <c r="B112" s="4">
        <v>46025</v>
      </c>
      <c r="C112" s="5">
        <v>0.67395833333333333</v>
      </c>
      <c r="D112" s="9" t="s">
        <v>1967</v>
      </c>
      <c r="E112" s="9" t="s">
        <v>8</v>
      </c>
      <c r="F112" s="9"/>
      <c r="H112" s="9"/>
      <c r="I112" s="9" t="s">
        <v>8284</v>
      </c>
      <c r="J112" s="9" t="s">
        <v>13256</v>
      </c>
      <c r="K112" t="s">
        <v>13367</v>
      </c>
      <c r="L112" t="s">
        <v>8285</v>
      </c>
      <c r="M112" s="3" t="str">
        <f>HYPERLINK(склад2въезд18[[#This Row],[RelativePath]])</f>
        <v>3 Парковка офиса\E33149364_8_20260103T161030Z.jpg</v>
      </c>
    </row>
    <row r="113" spans="1:13" x14ac:dyDescent="0.25">
      <c r="A113" s="2" t="s">
        <v>22</v>
      </c>
      <c r="B113" s="4">
        <v>46026</v>
      </c>
      <c r="C113" s="5">
        <v>0.66596064814814815</v>
      </c>
      <c r="D113" s="9" t="s">
        <v>1967</v>
      </c>
      <c r="E113" s="9" t="s">
        <v>8</v>
      </c>
      <c r="F113" s="9"/>
      <c r="H113" s="9"/>
      <c r="I113" s="9" t="s">
        <v>8286</v>
      </c>
      <c r="J113" s="9" t="s">
        <v>13256</v>
      </c>
      <c r="K113" t="s">
        <v>13368</v>
      </c>
      <c r="L113" t="s">
        <v>8287</v>
      </c>
      <c r="M113" s="3" t="str">
        <f>HYPERLINK(склад2въезд18[[#This Row],[RelativePath]])</f>
        <v>3 Парковка офиса\E33149364_8_20260104T155859Z.jpg</v>
      </c>
    </row>
    <row r="114" spans="1:13" x14ac:dyDescent="0.25">
      <c r="A114" s="2" t="s">
        <v>13</v>
      </c>
      <c r="B114" s="4">
        <v>46027</v>
      </c>
      <c r="C114" s="5">
        <v>0.68270833333333336</v>
      </c>
      <c r="D114" s="9" t="s">
        <v>1967</v>
      </c>
      <c r="E114" s="9" t="s">
        <v>8</v>
      </c>
      <c r="F114" s="9"/>
      <c r="H114" s="9"/>
      <c r="I114" s="9" t="s">
        <v>8514</v>
      </c>
      <c r="J114" s="9" t="s">
        <v>13256</v>
      </c>
      <c r="K114" t="s">
        <v>13369</v>
      </c>
      <c r="L114" t="s">
        <v>8515</v>
      </c>
      <c r="M114" s="3" t="str">
        <f>HYPERLINK(склад2въезд18[[#This Row],[RelativePath]])</f>
        <v>3 Парковка офиса\E33149364_8_20260105T162306Z.jpg</v>
      </c>
    </row>
    <row r="115" spans="1:13" x14ac:dyDescent="0.25">
      <c r="A115" s="2" t="s">
        <v>14</v>
      </c>
      <c r="B115" s="4">
        <v>46028</v>
      </c>
      <c r="C115" s="5">
        <v>0.5844907407407407</v>
      </c>
      <c r="D115" s="9" t="s">
        <v>4</v>
      </c>
      <c r="E115" s="9" t="s">
        <v>8691</v>
      </c>
      <c r="F115" s="9"/>
      <c r="H115" s="9"/>
      <c r="I115" s="9" t="s">
        <v>8516</v>
      </c>
      <c r="J115" s="9" t="s">
        <v>13256</v>
      </c>
      <c r="K115" t="s">
        <v>13370</v>
      </c>
      <c r="L115" t="s">
        <v>8517</v>
      </c>
      <c r="M115" s="3" t="str">
        <f>HYPERLINK(склад2въезд18[[#This Row],[RelativePath]])</f>
        <v>3 Парковка офиса\E33149364_8_20260106T140140Z.jpg</v>
      </c>
    </row>
    <row r="116" spans="1:13" x14ac:dyDescent="0.25">
      <c r="A116" s="2" t="s">
        <v>15</v>
      </c>
      <c r="B116" s="4">
        <v>46029</v>
      </c>
      <c r="C116" s="5">
        <v>0.55185185185185182</v>
      </c>
      <c r="D116" s="9" t="s">
        <v>4</v>
      </c>
      <c r="E116" s="9" t="s">
        <v>8691</v>
      </c>
      <c r="F116" s="9"/>
      <c r="H116" s="9"/>
      <c r="I116" s="9" t="s">
        <v>8518</v>
      </c>
      <c r="J116" s="9" t="s">
        <v>13256</v>
      </c>
      <c r="K116" t="s">
        <v>13371</v>
      </c>
      <c r="L116" t="s">
        <v>8519</v>
      </c>
      <c r="M116" s="3" t="str">
        <f>HYPERLINK(склад2въезд18[[#This Row],[RelativePath]])</f>
        <v>3 Парковка офиса\E33149364_8_20260107T131440Z.jpg</v>
      </c>
    </row>
    <row r="117" spans="1:13" x14ac:dyDescent="0.25">
      <c r="A117" s="2" t="s">
        <v>16</v>
      </c>
      <c r="B117" s="4">
        <v>46030</v>
      </c>
      <c r="C117" s="5">
        <v>0.5615162037037037</v>
      </c>
      <c r="D117" s="9" t="s">
        <v>4</v>
      </c>
      <c r="E117" s="9" t="s">
        <v>8691</v>
      </c>
      <c r="F117" s="9"/>
      <c r="H117" s="9"/>
      <c r="I117" s="9" t="s">
        <v>8520</v>
      </c>
      <c r="J117" s="9" t="s">
        <v>13256</v>
      </c>
      <c r="K117" t="s">
        <v>13372</v>
      </c>
      <c r="L117" t="s">
        <v>8521</v>
      </c>
      <c r="M117" s="3" t="str">
        <f>HYPERLINK(склад2въезд18[[#This Row],[RelativePath]])</f>
        <v>3 Парковка офиса\E33149364_8_20260108T132835Z.jpg</v>
      </c>
    </row>
    <row r="118" spans="1:13" x14ac:dyDescent="0.25">
      <c r="A118" s="2" t="s">
        <v>17</v>
      </c>
      <c r="B118" s="4">
        <v>46031</v>
      </c>
      <c r="C118" s="5">
        <v>0.66920138888888892</v>
      </c>
      <c r="D118" s="9" t="s">
        <v>4</v>
      </c>
      <c r="E118" s="9" t="s">
        <v>8691</v>
      </c>
      <c r="F118" s="9"/>
      <c r="H118" s="9"/>
      <c r="I118" s="9" t="s">
        <v>8522</v>
      </c>
      <c r="J118" s="9" t="s">
        <v>13256</v>
      </c>
      <c r="K118" t="s">
        <v>13373</v>
      </c>
      <c r="L118" t="s">
        <v>8523</v>
      </c>
      <c r="M118" s="3" t="str">
        <f>HYPERLINK(склад2въезд18[[#This Row],[RelativePath]])</f>
        <v>3 Парковка офиса\E33149364_8_20260109T160339Z.jpg</v>
      </c>
    </row>
    <row r="119" spans="1:13" x14ac:dyDescent="0.25">
      <c r="A119" s="2" t="s">
        <v>18</v>
      </c>
      <c r="B119" s="4">
        <v>46032</v>
      </c>
      <c r="C119" s="5">
        <v>0.54787037037037034</v>
      </c>
      <c r="D119" s="9" t="s">
        <v>4</v>
      </c>
      <c r="E119" s="9" t="s">
        <v>8691</v>
      </c>
      <c r="F119" s="9"/>
      <c r="H119" s="9"/>
      <c r="I119" s="9" t="s">
        <v>8524</v>
      </c>
      <c r="J119" s="9" t="s">
        <v>13256</v>
      </c>
      <c r="K119" t="s">
        <v>13374</v>
      </c>
      <c r="L119" t="s">
        <v>8525</v>
      </c>
      <c r="M119" s="3" t="str">
        <f>HYPERLINK(склад2въезд18[[#This Row],[RelativePath]])</f>
        <v>3 Парковка офиса\E33149364_8_20260110T130856Z.jpg</v>
      </c>
    </row>
    <row r="120" spans="1:13" x14ac:dyDescent="0.25">
      <c r="A120" s="2" t="s">
        <v>22</v>
      </c>
      <c r="B120" s="4">
        <v>46033</v>
      </c>
      <c r="C120" s="5">
        <v>0.69499999999999995</v>
      </c>
      <c r="D120" s="9" t="s">
        <v>1967</v>
      </c>
      <c r="E120" s="9" t="s">
        <v>8</v>
      </c>
      <c r="F120" s="9"/>
      <c r="H120" s="9"/>
      <c r="I120" s="9" t="s">
        <v>8526</v>
      </c>
      <c r="J120" s="9" t="s">
        <v>13256</v>
      </c>
      <c r="K120" t="s">
        <v>13375</v>
      </c>
      <c r="L120" t="s">
        <v>8527</v>
      </c>
      <c r="M120" s="3" t="str">
        <f>HYPERLINK(склад2въезд18[[#This Row],[RelativePath]])</f>
        <v>3 Парковка офиса\E33149364_8_20260111T164048Z.jpg</v>
      </c>
    </row>
    <row r="121" spans="1:13" x14ac:dyDescent="0.25">
      <c r="A121" s="2" t="s">
        <v>13</v>
      </c>
      <c r="B121" s="4">
        <v>46034</v>
      </c>
      <c r="C121" s="5">
        <v>0.43590277777777775</v>
      </c>
      <c r="D121" s="9" t="s">
        <v>4</v>
      </c>
      <c r="E121" s="9" t="s">
        <v>8691</v>
      </c>
      <c r="F121" s="9"/>
      <c r="H121" s="9"/>
      <c r="I121" s="9" t="s">
        <v>8863</v>
      </c>
      <c r="J121" s="9" t="s">
        <v>13256</v>
      </c>
      <c r="K121" t="s">
        <v>13376</v>
      </c>
      <c r="L121" t="s">
        <v>8865</v>
      </c>
      <c r="M121" s="3" t="str">
        <f>HYPERLINK(склад2въезд18[[#This Row],[RelativePath]])</f>
        <v>3 Парковка офиса\E33149364_8_20260112T102742Z.jpg</v>
      </c>
    </row>
    <row r="122" spans="1:13" x14ac:dyDescent="0.25">
      <c r="A122" s="2" t="s">
        <v>14</v>
      </c>
      <c r="B122" s="4">
        <v>46035</v>
      </c>
      <c r="C122" s="5">
        <v>0.41223379629629631</v>
      </c>
      <c r="D122" s="9" t="s">
        <v>261</v>
      </c>
      <c r="E122" s="9" t="s">
        <v>9073</v>
      </c>
      <c r="F122" s="9" t="s">
        <v>9074</v>
      </c>
      <c r="H122" s="9"/>
      <c r="I122" s="9" t="s">
        <v>8866</v>
      </c>
      <c r="J122" s="9" t="s">
        <v>13256</v>
      </c>
      <c r="K122" t="s">
        <v>13377</v>
      </c>
      <c r="L122" t="s">
        <v>8868</v>
      </c>
      <c r="M122" s="3" t="str">
        <f>HYPERLINK(склад2въезд18[[#This Row],[RelativePath]])</f>
        <v>3 Парковка офиса\E33149364_8_20260113T095337Z.jpg</v>
      </c>
    </row>
    <row r="123" spans="1:13" x14ac:dyDescent="0.25">
      <c r="A123" s="2" t="s">
        <v>14</v>
      </c>
      <c r="B123" s="4">
        <v>46035</v>
      </c>
      <c r="C123" s="5">
        <v>0.41230324074074076</v>
      </c>
      <c r="D123" s="9" t="s">
        <v>261</v>
      </c>
      <c r="E123" s="9" t="s">
        <v>9073</v>
      </c>
      <c r="F123" s="9" t="s">
        <v>9074</v>
      </c>
      <c r="H123" s="9" t="s">
        <v>2891</v>
      </c>
      <c r="I123" s="9" t="s">
        <v>8869</v>
      </c>
      <c r="J123" s="9" t="s">
        <v>13256</v>
      </c>
      <c r="K123" t="s">
        <v>13378</v>
      </c>
      <c r="L123" t="s">
        <v>8871</v>
      </c>
      <c r="M123" s="3" t="str">
        <f>HYPERLINK(склад2въезд18[[#This Row],[RelativePath]])</f>
        <v>3 Парковка офиса\E33149364_8_20260113T095343Z.jpg</v>
      </c>
    </row>
    <row r="124" spans="1:13" x14ac:dyDescent="0.25">
      <c r="A124" s="2" t="s">
        <v>14</v>
      </c>
      <c r="B124" s="4">
        <v>46035</v>
      </c>
      <c r="C124" s="5">
        <v>0.48733796296296295</v>
      </c>
      <c r="D124" s="9" t="s">
        <v>4</v>
      </c>
      <c r="E124" s="9" t="s">
        <v>8691</v>
      </c>
      <c r="F124" s="9"/>
      <c r="H124" s="9"/>
      <c r="I124" s="9" t="s">
        <v>8872</v>
      </c>
      <c r="J124" s="9" t="s">
        <v>13256</v>
      </c>
      <c r="K124" t="s">
        <v>13379</v>
      </c>
      <c r="L124" t="s">
        <v>8873</v>
      </c>
      <c r="M124" s="3" t="str">
        <f>HYPERLINK(склад2въезд18[[#This Row],[RelativePath]])</f>
        <v>3 Парковка офиса\E33149364_8_20260113T114146Z.jpg</v>
      </c>
    </row>
    <row r="125" spans="1:13" x14ac:dyDescent="0.25">
      <c r="A125" s="2" t="s">
        <v>15</v>
      </c>
      <c r="B125" s="4">
        <v>46036</v>
      </c>
      <c r="C125" s="5">
        <v>0.64038194444444441</v>
      </c>
      <c r="D125" s="9" t="s">
        <v>4</v>
      </c>
      <c r="E125" s="9" t="s">
        <v>8691</v>
      </c>
      <c r="F125" s="9"/>
      <c r="H125" s="9"/>
      <c r="I125" s="9" t="s">
        <v>9126</v>
      </c>
      <c r="J125" s="9" t="s">
        <v>13256</v>
      </c>
      <c r="K125" t="s">
        <v>13380</v>
      </c>
      <c r="L125" t="s">
        <v>9127</v>
      </c>
      <c r="M125" s="3" t="str">
        <f>HYPERLINK(склад2въезд18[[#This Row],[RelativePath]])</f>
        <v>3 Парковка офиса\E33149364_8_20260114T152209Z.jpg</v>
      </c>
    </row>
    <row r="126" spans="1:13" x14ac:dyDescent="0.25">
      <c r="A126" s="2" t="s">
        <v>16</v>
      </c>
      <c r="B126" s="4">
        <v>46037</v>
      </c>
      <c r="C126" s="5">
        <v>0.43679398148148146</v>
      </c>
      <c r="D126" s="9" t="s">
        <v>4</v>
      </c>
      <c r="E126" s="9" t="s">
        <v>8691</v>
      </c>
      <c r="F126" s="9"/>
      <c r="H126" s="9"/>
      <c r="I126" s="9" t="s">
        <v>9228</v>
      </c>
      <c r="J126" s="9" t="s">
        <v>13256</v>
      </c>
      <c r="K126" t="s">
        <v>13381</v>
      </c>
      <c r="L126" t="s">
        <v>9229</v>
      </c>
      <c r="M126" s="3" t="str">
        <f>HYPERLINK(склад2въезд18[[#This Row],[RelativePath]])</f>
        <v>3 Парковка офиса\E33149364_8_20260115T102859Z.jpg</v>
      </c>
    </row>
    <row r="127" spans="1:13" x14ac:dyDescent="0.25">
      <c r="A127" s="2" t="s">
        <v>16</v>
      </c>
      <c r="B127" s="4">
        <v>46037</v>
      </c>
      <c r="C127" s="5">
        <v>0.67011574074074076</v>
      </c>
      <c r="D127" s="9" t="s">
        <v>4</v>
      </c>
      <c r="E127" s="9" t="s">
        <v>8691</v>
      </c>
      <c r="F127" s="9"/>
      <c r="H127" s="9"/>
      <c r="I127" s="9" t="s">
        <v>9230</v>
      </c>
      <c r="J127" s="9" t="s">
        <v>13256</v>
      </c>
      <c r="K127" t="s">
        <v>13382</v>
      </c>
      <c r="L127" t="s">
        <v>9231</v>
      </c>
      <c r="M127" s="3" t="str">
        <f>HYPERLINK(склад2въезд18[[#This Row],[RelativePath]])</f>
        <v>3 Парковка офиса\E33149364_8_20260115T160458Z.jpg</v>
      </c>
    </row>
    <row r="128" spans="1:13" x14ac:dyDescent="0.25">
      <c r="A128" s="2" t="s">
        <v>17</v>
      </c>
      <c r="B128" s="4">
        <v>46038</v>
      </c>
      <c r="C128" s="5">
        <v>0.57848379629629632</v>
      </c>
      <c r="D128" s="9" t="s">
        <v>4</v>
      </c>
      <c r="E128" s="9" t="s">
        <v>8691</v>
      </c>
      <c r="F128" s="9"/>
      <c r="H128" s="9"/>
      <c r="I128" s="9" t="s">
        <v>9232</v>
      </c>
      <c r="J128" s="9" t="s">
        <v>13256</v>
      </c>
      <c r="K128" t="s">
        <v>13383</v>
      </c>
      <c r="L128" t="s">
        <v>9233</v>
      </c>
      <c r="M128" s="3" t="str">
        <f>HYPERLINK(склад2въезд18[[#This Row],[RelativePath]])</f>
        <v>3 Парковка офиса\E33149364_8_20260116T135301Z.jpg</v>
      </c>
    </row>
    <row r="129" spans="1:13" x14ac:dyDescent="0.25">
      <c r="A129" s="2" t="s">
        <v>18</v>
      </c>
      <c r="B129" s="4">
        <v>46039</v>
      </c>
      <c r="C129" s="5">
        <v>0.62723379629629628</v>
      </c>
      <c r="D129" s="9" t="s">
        <v>4</v>
      </c>
      <c r="E129" s="9" t="s">
        <v>9565</v>
      </c>
      <c r="F129" s="9"/>
      <c r="H129" s="9"/>
      <c r="I129" s="9" t="s">
        <v>9467</v>
      </c>
      <c r="J129" s="9" t="s">
        <v>13256</v>
      </c>
      <c r="K129" t="s">
        <v>13384</v>
      </c>
      <c r="L129" t="s">
        <v>9468</v>
      </c>
      <c r="M129" s="3" t="str">
        <f>HYPERLINK(склад2въезд18[[#This Row],[RelativePath]])</f>
        <v>3 Парковка офиса\E33149364_8_20260117T150313Z.jpg</v>
      </c>
    </row>
    <row r="130" spans="1:13" x14ac:dyDescent="0.25">
      <c r="A130" s="2" t="s">
        <v>22</v>
      </c>
      <c r="B130" s="4">
        <v>46040</v>
      </c>
      <c r="C130" s="5">
        <v>0.68995370370370368</v>
      </c>
      <c r="D130" s="9" t="s">
        <v>1967</v>
      </c>
      <c r="E130" s="9" t="s">
        <v>8</v>
      </c>
      <c r="F130" s="9"/>
      <c r="H130" s="9"/>
      <c r="I130" s="9" t="s">
        <v>9469</v>
      </c>
      <c r="J130" s="9" t="s">
        <v>13256</v>
      </c>
      <c r="K130" t="s">
        <v>13385</v>
      </c>
      <c r="L130" t="s">
        <v>9470</v>
      </c>
      <c r="M130" s="3" t="str">
        <f>HYPERLINK(склад2въезд18[[#This Row],[RelativePath]])</f>
        <v>3 Парковка офиса\E33149364_8_20260118T163332Z.jpg</v>
      </c>
    </row>
    <row r="131" spans="1:13" x14ac:dyDescent="0.25">
      <c r="A131" s="2" t="s">
        <v>13</v>
      </c>
      <c r="B131" s="4">
        <v>46041</v>
      </c>
      <c r="C131" s="5">
        <v>0.6799884259259259</v>
      </c>
      <c r="D131" s="9" t="s">
        <v>4</v>
      </c>
      <c r="E131" s="9" t="s">
        <v>8691</v>
      </c>
      <c r="F131" s="9"/>
      <c r="H131" s="9"/>
      <c r="I131" s="9" t="s">
        <v>9600</v>
      </c>
      <c r="J131" s="9" t="s">
        <v>13256</v>
      </c>
      <c r="K131" t="s">
        <v>13386</v>
      </c>
      <c r="L131" t="s">
        <v>9601</v>
      </c>
      <c r="M131" s="3" t="str">
        <f>HYPERLINK(склад2въезд18[[#This Row],[RelativePath]])</f>
        <v>3 Парковка офиса\E33149364_8_20260119T161911Z.jpg</v>
      </c>
    </row>
    <row r="132" spans="1:13" x14ac:dyDescent="0.25">
      <c r="A132" s="2" t="s">
        <v>14</v>
      </c>
      <c r="B132" s="4">
        <v>46042</v>
      </c>
      <c r="C132" s="5">
        <v>0.57337962962962963</v>
      </c>
      <c r="D132" s="9" t="s">
        <v>4</v>
      </c>
      <c r="E132" s="9" t="s">
        <v>8691</v>
      </c>
      <c r="F132" s="9"/>
      <c r="H132" s="9"/>
      <c r="I132" s="9" t="s">
        <v>9602</v>
      </c>
      <c r="J132" s="9" t="s">
        <v>13256</v>
      </c>
      <c r="K132" t="s">
        <v>13387</v>
      </c>
      <c r="L132" t="s">
        <v>9603</v>
      </c>
      <c r="M132" s="3" t="str">
        <f>HYPERLINK(склад2въезд18[[#This Row],[RelativePath]])</f>
        <v>3 Парковка офиса\E33149364_8_20260120T134540Z.jpg</v>
      </c>
    </row>
    <row r="133" spans="1:13" x14ac:dyDescent="0.25">
      <c r="A133" s="2" t="s">
        <v>15</v>
      </c>
      <c r="B133" s="4">
        <v>46043</v>
      </c>
      <c r="C133" s="5">
        <v>0.52468749999999997</v>
      </c>
      <c r="D133" s="9" t="s">
        <v>4</v>
      </c>
      <c r="E133" s="9" t="s">
        <v>8691</v>
      </c>
      <c r="F133" s="9"/>
      <c r="H133" s="9"/>
      <c r="I133" s="9" t="s">
        <v>9829</v>
      </c>
      <c r="J133" s="9" t="s">
        <v>13256</v>
      </c>
      <c r="K133" t="s">
        <v>13388</v>
      </c>
      <c r="L133" t="s">
        <v>9830</v>
      </c>
      <c r="M133" s="3" t="str">
        <f>HYPERLINK(склад2въезд18[[#This Row],[RelativePath]])</f>
        <v>3 Парковка офиса\E33149364_8_20260121T123533Z.jpg</v>
      </c>
    </row>
    <row r="134" spans="1:13" x14ac:dyDescent="0.25">
      <c r="A134" s="2" t="s">
        <v>15</v>
      </c>
      <c r="B134" s="4">
        <v>46043</v>
      </c>
      <c r="C134" s="5">
        <v>0.69549768518518518</v>
      </c>
      <c r="D134" s="9" t="s">
        <v>4</v>
      </c>
      <c r="E134" s="9" t="s">
        <v>8691</v>
      </c>
      <c r="F134" s="9"/>
      <c r="H134" s="9"/>
      <c r="I134" s="9" t="s">
        <v>9831</v>
      </c>
      <c r="J134" s="9" t="s">
        <v>13256</v>
      </c>
      <c r="K134" t="s">
        <v>13389</v>
      </c>
      <c r="L134" t="s">
        <v>9832</v>
      </c>
      <c r="M134" s="3" t="str">
        <f>HYPERLINK(склад2въезд18[[#This Row],[RelativePath]])</f>
        <v>3 Парковка офиса\E33149364_8_20260121T164131Z.jpg</v>
      </c>
    </row>
    <row r="135" spans="1:13" x14ac:dyDescent="0.25">
      <c r="A135" s="2" t="s">
        <v>16</v>
      </c>
      <c r="B135" s="4">
        <v>46044</v>
      </c>
      <c r="C135" s="5">
        <v>0.48153935185185187</v>
      </c>
      <c r="D135" s="9" t="s">
        <v>4</v>
      </c>
      <c r="E135" s="9" t="s">
        <v>8691</v>
      </c>
      <c r="F135" s="9"/>
      <c r="H135" s="9"/>
      <c r="I135" s="9" t="s">
        <v>9833</v>
      </c>
      <c r="J135" s="9" t="s">
        <v>13256</v>
      </c>
      <c r="K135" t="s">
        <v>13390</v>
      </c>
      <c r="L135" t="s">
        <v>9834</v>
      </c>
      <c r="M135" s="3" t="str">
        <f>HYPERLINK(склад2въезд18[[#This Row],[RelativePath]])</f>
        <v>3 Парковка офиса\E33149364_8_20260122T113325Z.jpg</v>
      </c>
    </row>
    <row r="136" spans="1:13" x14ac:dyDescent="0.25">
      <c r="A136" s="2" t="s">
        <v>17</v>
      </c>
      <c r="B136" s="4">
        <v>46045</v>
      </c>
      <c r="C136" s="5">
        <v>0.45531250000000001</v>
      </c>
      <c r="D136" s="9" t="s">
        <v>4</v>
      </c>
      <c r="E136" s="9" t="s">
        <v>8691</v>
      </c>
      <c r="F136" s="9"/>
      <c r="H136" s="9"/>
      <c r="I136" s="9" t="s">
        <v>10052</v>
      </c>
      <c r="J136" s="9" t="s">
        <v>13256</v>
      </c>
      <c r="K136" t="s">
        <v>13391</v>
      </c>
      <c r="L136" t="s">
        <v>10053</v>
      </c>
      <c r="M136" s="3" t="str">
        <f>HYPERLINK(склад2въезд18[[#This Row],[RelativePath]])</f>
        <v>3 Парковка офиса\E33149364_8_20260123T105539Z.jpg</v>
      </c>
    </row>
    <row r="137" spans="1:13" x14ac:dyDescent="0.25">
      <c r="A137" s="2" t="s">
        <v>18</v>
      </c>
      <c r="B137" s="4">
        <v>46046</v>
      </c>
      <c r="C137" s="5">
        <v>0.67290509259259257</v>
      </c>
      <c r="D137" s="9" t="s">
        <v>1967</v>
      </c>
      <c r="E137" s="9" t="s">
        <v>8</v>
      </c>
      <c r="F137" s="9"/>
      <c r="H137" s="9"/>
      <c r="I137" s="9" t="s">
        <v>10398</v>
      </c>
      <c r="J137" s="9" t="s">
        <v>13256</v>
      </c>
      <c r="K137" t="s">
        <v>13392</v>
      </c>
      <c r="L137" t="s">
        <v>10399</v>
      </c>
      <c r="M137" s="3" t="str">
        <f>HYPERLINK(склад2въезд18[[#This Row],[RelativePath]])</f>
        <v>3 Парковка офиса\E33149364_8_20260124T160859Z.jpg</v>
      </c>
    </row>
    <row r="138" spans="1:13" x14ac:dyDescent="0.25">
      <c r="A138" s="2" t="s">
        <v>22</v>
      </c>
      <c r="B138" s="4">
        <v>46047</v>
      </c>
      <c r="C138" s="5">
        <v>0.70944444444444443</v>
      </c>
      <c r="D138" s="9" t="s">
        <v>1967</v>
      </c>
      <c r="E138" s="9" t="s">
        <v>8</v>
      </c>
      <c r="F138" s="9"/>
      <c r="H138" s="9"/>
      <c r="I138" s="9" t="s">
        <v>10365</v>
      </c>
      <c r="J138" s="9" t="s">
        <v>13256</v>
      </c>
      <c r="K138" t="s">
        <v>13393</v>
      </c>
      <c r="L138" t="s">
        <v>10366</v>
      </c>
      <c r="M138" s="3" t="str">
        <f>HYPERLINK(склад2въезд18[[#This Row],[RelativePath]])</f>
        <v>3 Парковка офиса\E33149364_8_20260125T170136Z.jpg</v>
      </c>
    </row>
    <row r="139" spans="1:13" x14ac:dyDescent="0.25">
      <c r="A139" s="2" t="s">
        <v>13</v>
      </c>
      <c r="B139" s="4">
        <v>46048</v>
      </c>
      <c r="C139" s="5">
        <v>0.64296296296296296</v>
      </c>
      <c r="D139" s="9" t="s">
        <v>4</v>
      </c>
      <c r="E139" s="9" t="s">
        <v>8691</v>
      </c>
      <c r="F139" s="9"/>
      <c r="H139" s="9"/>
      <c r="I139" s="9" t="s">
        <v>10430</v>
      </c>
      <c r="J139" s="9" t="s">
        <v>13256</v>
      </c>
      <c r="K139" t="s">
        <v>13394</v>
      </c>
      <c r="L139" t="s">
        <v>10431</v>
      </c>
      <c r="M139" s="3" t="str">
        <f>HYPERLINK(склад2въезд18[[#This Row],[RelativePath]])</f>
        <v>3 Парковка офиса\E33149364_8_20260126T152552Z.jpg</v>
      </c>
    </row>
    <row r="140" spans="1:13" x14ac:dyDescent="0.25">
      <c r="A140" s="2" t="s">
        <v>14</v>
      </c>
      <c r="B140" s="4">
        <v>46049</v>
      </c>
      <c r="C140" s="5">
        <v>0.6885648148148148</v>
      </c>
      <c r="D140" s="9" t="s">
        <v>4</v>
      </c>
      <c r="E140" s="9" t="s">
        <v>8691</v>
      </c>
      <c r="F140" s="9"/>
      <c r="H140" s="9"/>
      <c r="I140" s="9" t="s">
        <v>10432</v>
      </c>
      <c r="J140" s="9" t="s">
        <v>13256</v>
      </c>
      <c r="K140" t="s">
        <v>13395</v>
      </c>
      <c r="L140" t="s">
        <v>10433</v>
      </c>
      <c r="M140" s="3" t="str">
        <f>HYPERLINK(склад2въезд18[[#This Row],[RelativePath]])</f>
        <v>3 Парковка офиса\E33149364_8_20260127T163132Z.jpg</v>
      </c>
    </row>
    <row r="141" spans="1:13" x14ac:dyDescent="0.25">
      <c r="A141" s="2" t="s">
        <v>15</v>
      </c>
      <c r="B141" s="4">
        <v>46050</v>
      </c>
      <c r="C141" s="5">
        <v>0.54774305555555558</v>
      </c>
      <c r="D141" s="9" t="s">
        <v>4</v>
      </c>
      <c r="E141" s="9" t="s">
        <v>8691</v>
      </c>
      <c r="F141" s="9"/>
      <c r="H141" s="9"/>
      <c r="I141" s="9" t="s">
        <v>10607</v>
      </c>
      <c r="J141" s="9" t="s">
        <v>13256</v>
      </c>
      <c r="K141" t="s">
        <v>13396</v>
      </c>
      <c r="L141" t="s">
        <v>10608</v>
      </c>
      <c r="M141" s="3" t="str">
        <f>HYPERLINK(склад2въезд18[[#This Row],[RelativePath]])</f>
        <v>3 Парковка офиса\E33149364_8_20260128T130845Z.jpg</v>
      </c>
    </row>
    <row r="142" spans="1:13" x14ac:dyDescent="0.25">
      <c r="A142" s="2" t="s">
        <v>16</v>
      </c>
      <c r="B142" s="4">
        <v>46051</v>
      </c>
      <c r="C142" s="5">
        <v>0.51204861111111111</v>
      </c>
      <c r="D142" s="9" t="s">
        <v>4</v>
      </c>
      <c r="E142" s="9" t="s">
        <v>8691</v>
      </c>
      <c r="F142" s="9"/>
      <c r="H142" s="9"/>
      <c r="I142" s="9" t="s">
        <v>10609</v>
      </c>
      <c r="J142" s="9" t="s">
        <v>13256</v>
      </c>
      <c r="K142" t="s">
        <v>13397</v>
      </c>
      <c r="L142" t="s">
        <v>10610</v>
      </c>
      <c r="M142" s="3" t="str">
        <f>HYPERLINK(склад2въезд18[[#This Row],[RelativePath]])</f>
        <v>3 Парковка офиса\E33149364_8_20260129T121721Z.jpg</v>
      </c>
    </row>
    <row r="143" spans="1:13" x14ac:dyDescent="0.25">
      <c r="A143" s="2" t="s">
        <v>17</v>
      </c>
      <c r="B143" s="4">
        <v>46052</v>
      </c>
      <c r="C143" s="5">
        <v>0.4430324074074074</v>
      </c>
      <c r="D143" s="9" t="s">
        <v>4</v>
      </c>
      <c r="E143" s="9" t="s">
        <v>8691</v>
      </c>
      <c r="F143" s="9"/>
      <c r="H143" s="9"/>
      <c r="I143" s="9" t="s">
        <v>10764</v>
      </c>
      <c r="J143" s="9" t="s">
        <v>13256</v>
      </c>
      <c r="K143" t="s">
        <v>13398</v>
      </c>
      <c r="L143" t="s">
        <v>10765</v>
      </c>
      <c r="M143" s="3" t="str">
        <f>HYPERLINK(склад2въезд18[[#This Row],[RelativePath]])</f>
        <v>3 Парковка офиса\E33149364_8_20260130T103758Z.jpg</v>
      </c>
    </row>
    <row r="144" spans="1:13" x14ac:dyDescent="0.25">
      <c r="A144" s="2" t="s">
        <v>17</v>
      </c>
      <c r="B144" s="4">
        <v>46052</v>
      </c>
      <c r="C144" s="5">
        <v>0.74435185185185182</v>
      </c>
      <c r="D144" s="9" t="s">
        <v>4</v>
      </c>
      <c r="E144" s="9" t="s">
        <v>8691</v>
      </c>
      <c r="F144" s="9"/>
      <c r="H144" s="9"/>
      <c r="I144" s="9" t="s">
        <v>10766</v>
      </c>
      <c r="J144" s="9" t="s">
        <v>13256</v>
      </c>
      <c r="K144" t="s">
        <v>13399</v>
      </c>
      <c r="L144" t="s">
        <v>10767</v>
      </c>
      <c r="M144" s="3" t="str">
        <f>HYPERLINK(склад2въезд18[[#This Row],[RelativePath]])</f>
        <v>3 Парковка офиса\E33149364_8_20260130T175152Z.jpg</v>
      </c>
    </row>
    <row r="145" spans="1:13" x14ac:dyDescent="0.25">
      <c r="A145" s="2" t="s">
        <v>18</v>
      </c>
      <c r="B145" s="4">
        <v>46053</v>
      </c>
      <c r="C145" s="5">
        <v>0.4876388888888889</v>
      </c>
      <c r="D145" s="9" t="s">
        <v>4</v>
      </c>
      <c r="E145" s="9" t="s">
        <v>10988</v>
      </c>
      <c r="F145" s="9"/>
      <c r="H145" s="9"/>
      <c r="I145" s="9" t="s">
        <v>10927</v>
      </c>
      <c r="J145" s="9" t="s">
        <v>13256</v>
      </c>
      <c r="K145" t="s">
        <v>13400</v>
      </c>
      <c r="L145" t="s">
        <v>10928</v>
      </c>
      <c r="M145" s="3" t="str">
        <f>HYPERLINK(склад2въезд18[[#This Row],[RelativePath]])</f>
        <v>3 Парковка офиса\E33149364_8_20260131T114212Z.jpg</v>
      </c>
    </row>
    <row r="146" spans="1:13" x14ac:dyDescent="0.25">
      <c r="A146" s="2" t="s">
        <v>22</v>
      </c>
      <c r="B146" s="4">
        <v>46054</v>
      </c>
      <c r="C146" s="5">
        <v>0.72483796296296299</v>
      </c>
      <c r="D146" s="9" t="s">
        <v>1967</v>
      </c>
      <c r="E146" s="9" t="s">
        <v>8</v>
      </c>
      <c r="F146" s="9"/>
      <c r="H146" s="9"/>
      <c r="I146" s="9" t="s">
        <v>10929</v>
      </c>
      <c r="J146" s="9" t="s">
        <v>13256</v>
      </c>
      <c r="K146" t="s">
        <v>13401</v>
      </c>
      <c r="L146" t="s">
        <v>10930</v>
      </c>
      <c r="M146" s="3" t="str">
        <f>HYPERLINK(склад2въезд18[[#This Row],[RelativePath]])</f>
        <v>3 Парковка офиса\E33149364_8_20260201T172346Z.jpg</v>
      </c>
    </row>
    <row r="147" spans="1:13" x14ac:dyDescent="0.25">
      <c r="A147" s="2" t="s">
        <v>13</v>
      </c>
      <c r="B147" s="4">
        <v>46055</v>
      </c>
      <c r="C147" s="5">
        <v>0.42758101851851854</v>
      </c>
      <c r="D147" s="9" t="s">
        <v>4</v>
      </c>
      <c r="E147" s="9" t="s">
        <v>8691</v>
      </c>
      <c r="F147" s="9"/>
      <c r="H147" s="9"/>
      <c r="I147" s="9" t="s">
        <v>11036</v>
      </c>
      <c r="J147" s="9" t="s">
        <v>13256</v>
      </c>
      <c r="K147" t="s">
        <v>13402</v>
      </c>
      <c r="L147" t="s">
        <v>11037</v>
      </c>
      <c r="M147" s="3" t="str">
        <f>HYPERLINK(склад2въезд18[[#This Row],[RelativePath]])</f>
        <v>3 Парковка офиса\E33149364_8_20260202T101543Z.jpg</v>
      </c>
    </row>
    <row r="148" spans="1:13" x14ac:dyDescent="0.25">
      <c r="A148" s="2" t="s">
        <v>14</v>
      </c>
      <c r="B148" s="4">
        <v>46056</v>
      </c>
      <c r="C148" s="5">
        <v>0.44574074074074072</v>
      </c>
      <c r="D148" s="9" t="s">
        <v>4</v>
      </c>
      <c r="E148" s="9" t="s">
        <v>8691</v>
      </c>
      <c r="F148" s="9"/>
      <c r="H148" s="9"/>
      <c r="I148" s="9" t="s">
        <v>11038</v>
      </c>
      <c r="J148" s="9" t="s">
        <v>13256</v>
      </c>
      <c r="K148" t="s">
        <v>13403</v>
      </c>
      <c r="L148" t="s">
        <v>11039</v>
      </c>
      <c r="M148" s="3" t="str">
        <f>HYPERLINK(склад2въезд18[[#This Row],[RelativePath]])</f>
        <v>3 Парковка офиса\E33149364_8_20260203T104152Z.jpg</v>
      </c>
    </row>
    <row r="149" spans="1:13" x14ac:dyDescent="0.25">
      <c r="A149" s="2" t="s">
        <v>14</v>
      </c>
      <c r="B149" s="4">
        <v>46056</v>
      </c>
      <c r="C149" s="5">
        <v>0.70100694444444445</v>
      </c>
      <c r="D149" s="9" t="s">
        <v>4</v>
      </c>
      <c r="E149" s="9" t="s">
        <v>8691</v>
      </c>
      <c r="F149" s="9"/>
      <c r="H149" s="9"/>
      <c r="I149" s="9" t="s">
        <v>11040</v>
      </c>
      <c r="J149" s="9" t="s">
        <v>13256</v>
      </c>
      <c r="K149" t="s">
        <v>13404</v>
      </c>
      <c r="L149" t="s">
        <v>11041</v>
      </c>
      <c r="M149" s="3" t="str">
        <f>HYPERLINK(склад2въезд18[[#This Row],[RelativePath]])</f>
        <v>3 Парковка офиса\E33149364_8_20260203T164927Z.jpg</v>
      </c>
    </row>
    <row r="150" spans="1:13" x14ac:dyDescent="0.25">
      <c r="A150" s="2" t="s">
        <v>15</v>
      </c>
      <c r="B150" s="4">
        <v>46057</v>
      </c>
      <c r="C150" s="5">
        <v>0.52627314814814818</v>
      </c>
      <c r="D150" s="9" t="s">
        <v>4</v>
      </c>
      <c r="E150" s="9" t="s">
        <v>8691</v>
      </c>
      <c r="F150" s="9"/>
      <c r="H150" s="9"/>
      <c r="I150" s="9" t="s">
        <v>11435</v>
      </c>
      <c r="J150" s="9" t="s">
        <v>13256</v>
      </c>
      <c r="K150" t="s">
        <v>13405</v>
      </c>
      <c r="L150" t="s">
        <v>11436</v>
      </c>
      <c r="M150" s="3" t="str">
        <f>HYPERLINK(склад2въезд18[[#This Row],[RelativePath]])</f>
        <v>3 Парковка офиса\E33149364_8_20260204T123750Z.jpg</v>
      </c>
    </row>
    <row r="151" spans="1:13" x14ac:dyDescent="0.25">
      <c r="A151" s="2" t="s">
        <v>16</v>
      </c>
      <c r="B151" s="4">
        <v>46058</v>
      </c>
      <c r="C151" s="5">
        <v>0.54972222222222222</v>
      </c>
      <c r="D151" s="9" t="s">
        <v>261</v>
      </c>
      <c r="E151" s="9" t="s">
        <v>70</v>
      </c>
      <c r="F151" s="9" t="s">
        <v>11489</v>
      </c>
      <c r="G151">
        <v>2</v>
      </c>
      <c r="H151" s="9"/>
      <c r="I151" s="9" t="s">
        <v>11437</v>
      </c>
      <c r="J151" s="9" t="s">
        <v>13256</v>
      </c>
      <c r="K151" t="s">
        <v>13406</v>
      </c>
      <c r="L151" t="s">
        <v>11439</v>
      </c>
      <c r="M151" s="3" t="str">
        <f>HYPERLINK(склад2въезд18[[#This Row],[RelativePath]])</f>
        <v>3 Парковка офиса\E33149364_8_20260205T131136Z.jpg</v>
      </c>
    </row>
    <row r="152" spans="1:13" x14ac:dyDescent="0.25">
      <c r="A152" s="2" t="s">
        <v>16</v>
      </c>
      <c r="B152" s="4">
        <v>46058</v>
      </c>
      <c r="C152" s="5">
        <v>0.55296296296296299</v>
      </c>
      <c r="D152" s="9" t="s">
        <v>622</v>
      </c>
      <c r="E152" s="9" t="s">
        <v>70</v>
      </c>
      <c r="F152" s="9" t="s">
        <v>11489</v>
      </c>
      <c r="H152" s="9"/>
      <c r="I152" s="9" t="s">
        <v>11440</v>
      </c>
      <c r="J152" s="9" t="s">
        <v>13256</v>
      </c>
      <c r="K152" t="s">
        <v>13407</v>
      </c>
      <c r="L152" t="s">
        <v>11441</v>
      </c>
      <c r="M152" s="3" t="str">
        <f>HYPERLINK(склад2въезд18[[#This Row],[RelativePath]])</f>
        <v>3 Парковка офиса\E33149364_8_20260205T131616Z.jpg</v>
      </c>
    </row>
    <row r="153" spans="1:13" x14ac:dyDescent="0.25">
      <c r="A153" s="2" t="s">
        <v>16</v>
      </c>
      <c r="B153" s="4">
        <v>46058</v>
      </c>
      <c r="C153" s="5">
        <v>0.58545138888888892</v>
      </c>
      <c r="D153" s="9" t="s">
        <v>1569</v>
      </c>
      <c r="E153" s="9" t="s">
        <v>70</v>
      </c>
      <c r="F153" s="9"/>
      <c r="H153" s="9"/>
      <c r="I153" s="9" t="s">
        <v>11442</v>
      </c>
      <c r="J153" s="9" t="s">
        <v>13256</v>
      </c>
      <c r="K153" t="s">
        <v>13408</v>
      </c>
      <c r="L153" t="s">
        <v>11443</v>
      </c>
      <c r="M153" s="3" t="str">
        <f>HYPERLINK(склад2въезд18[[#This Row],[RelativePath]])</f>
        <v>3 Парковка офиса\E33149364_8_20260205T140303Z.jpg</v>
      </c>
    </row>
    <row r="154" spans="1:13" x14ac:dyDescent="0.25">
      <c r="A154" s="2" t="s">
        <v>16</v>
      </c>
      <c r="B154" s="4">
        <v>46058</v>
      </c>
      <c r="C154" s="5">
        <v>0.58771990740740743</v>
      </c>
      <c r="D154" s="9" t="s">
        <v>262</v>
      </c>
      <c r="E154" s="9" t="s">
        <v>70</v>
      </c>
      <c r="F154" s="9" t="s">
        <v>11489</v>
      </c>
      <c r="G154">
        <v>2</v>
      </c>
      <c r="H154" s="9"/>
      <c r="I154" s="9" t="s">
        <v>11444</v>
      </c>
      <c r="J154" s="9" t="s">
        <v>13256</v>
      </c>
      <c r="K154" t="s">
        <v>13409</v>
      </c>
      <c r="L154" t="s">
        <v>11445</v>
      </c>
      <c r="M154" s="3" t="str">
        <f>HYPERLINK(склад2въезд18[[#This Row],[RelativePath]])</f>
        <v>3 Парковка офиса\E33149364_8_20260205T140619Z.jpg</v>
      </c>
    </row>
    <row r="155" spans="1:13" x14ac:dyDescent="0.25">
      <c r="A155" s="2" t="s">
        <v>16</v>
      </c>
      <c r="B155" s="4">
        <v>46058</v>
      </c>
      <c r="C155" s="5">
        <v>0.60358796296296291</v>
      </c>
      <c r="D155" s="9" t="s">
        <v>622</v>
      </c>
      <c r="E155" s="9" t="s">
        <v>70</v>
      </c>
      <c r="F155" s="9"/>
      <c r="H155" s="9"/>
      <c r="I155" s="9" t="s">
        <v>11446</v>
      </c>
      <c r="J155" s="9" t="s">
        <v>13256</v>
      </c>
      <c r="K155" t="s">
        <v>13410</v>
      </c>
      <c r="L155" t="s">
        <v>11447</v>
      </c>
      <c r="M155" s="3" t="str">
        <f>HYPERLINK(склад2въезд18[[#This Row],[RelativePath]])</f>
        <v>3 Парковка офиса\E33149364_8_20260205T142910Z.jpg</v>
      </c>
    </row>
    <row r="156" spans="1:13" x14ac:dyDescent="0.25">
      <c r="A156" s="2" t="s">
        <v>16</v>
      </c>
      <c r="B156" s="4">
        <v>46058</v>
      </c>
      <c r="C156" s="5">
        <v>0.69644675925925925</v>
      </c>
      <c r="D156" s="9" t="s">
        <v>1569</v>
      </c>
      <c r="E156" s="9" t="s">
        <v>66</v>
      </c>
      <c r="F156" s="9"/>
      <c r="H156" s="9"/>
      <c r="I156" s="9" t="s">
        <v>11448</v>
      </c>
      <c r="J156" s="9" t="s">
        <v>13256</v>
      </c>
      <c r="K156" t="s">
        <v>13411</v>
      </c>
      <c r="L156" t="s">
        <v>11449</v>
      </c>
      <c r="M156" s="3" t="str">
        <f>HYPERLINK(склад2въезд18[[#This Row],[RelativePath]])</f>
        <v>3 Парковка офиса\E33149364_8_20260205T164253Z.jpg</v>
      </c>
    </row>
    <row r="157" spans="1:13" x14ac:dyDescent="0.25">
      <c r="A157" s="2" t="s">
        <v>16</v>
      </c>
      <c r="B157" s="4">
        <v>46058</v>
      </c>
      <c r="C157" s="5">
        <v>0.69665509259259262</v>
      </c>
      <c r="D157" s="9" t="s">
        <v>6092</v>
      </c>
      <c r="E157" s="9" t="s">
        <v>66</v>
      </c>
      <c r="F157" s="9"/>
      <c r="H157" s="9"/>
      <c r="I157" s="9" t="s">
        <v>11450</v>
      </c>
      <c r="J157" s="9" t="s">
        <v>13256</v>
      </c>
      <c r="K157" t="s">
        <v>13412</v>
      </c>
      <c r="L157" t="s">
        <v>11451</v>
      </c>
      <c r="M157" s="3" t="str">
        <f>HYPERLINK(склад2въезд18[[#This Row],[RelativePath]])</f>
        <v>3 Парковка офиса\E33149364_8_20260205T164311Z.jpg</v>
      </c>
    </row>
    <row r="158" spans="1:13" x14ac:dyDescent="0.25">
      <c r="A158" s="2" t="s">
        <v>16</v>
      </c>
      <c r="B158" s="4">
        <v>46058</v>
      </c>
      <c r="C158" s="5">
        <v>0.69680555555555557</v>
      </c>
      <c r="D158" s="9" t="s">
        <v>622</v>
      </c>
      <c r="E158" s="9" t="s">
        <v>66</v>
      </c>
      <c r="F158" s="9"/>
      <c r="H158" s="9"/>
      <c r="I158" s="9" t="s">
        <v>11452</v>
      </c>
      <c r="J158" s="9" t="s">
        <v>13256</v>
      </c>
      <c r="K158" t="s">
        <v>13413</v>
      </c>
      <c r="L158" t="s">
        <v>11453</v>
      </c>
      <c r="M158" s="3" t="str">
        <f>HYPERLINK(склад2въезд18[[#This Row],[RelativePath]])</f>
        <v>3 Парковка офиса\E33149364_8_20260205T164324Z.jpg</v>
      </c>
    </row>
    <row r="159" spans="1:13" x14ac:dyDescent="0.25">
      <c r="A159" s="2" t="s">
        <v>17</v>
      </c>
      <c r="B159" s="4">
        <v>46059</v>
      </c>
      <c r="C159" s="5">
        <v>0.55505787037037035</v>
      </c>
      <c r="D159" s="9" t="s">
        <v>4</v>
      </c>
      <c r="E159" s="9" t="s">
        <v>8691</v>
      </c>
      <c r="F159" s="9"/>
      <c r="H159" s="9"/>
      <c r="I159" s="9" t="s">
        <v>11454</v>
      </c>
      <c r="J159" s="9" t="s">
        <v>13256</v>
      </c>
      <c r="K159" t="s">
        <v>13414</v>
      </c>
      <c r="L159" t="s">
        <v>11455</v>
      </c>
      <c r="M159" s="3" t="str">
        <f>HYPERLINK(склад2въезд18[[#This Row],[RelativePath]])</f>
        <v>3 Парковка офиса\E33149364_8_20260206T131917Z.jpg</v>
      </c>
    </row>
    <row r="160" spans="1:13" x14ac:dyDescent="0.25">
      <c r="A160" s="2" t="s">
        <v>18</v>
      </c>
      <c r="B160" s="4">
        <v>46060</v>
      </c>
      <c r="C160" s="5">
        <v>0.66696759259259264</v>
      </c>
      <c r="D160" s="9" t="s">
        <v>6092</v>
      </c>
      <c r="E160" s="9" t="s">
        <v>11632</v>
      </c>
      <c r="F160" s="9"/>
      <c r="H160" s="9"/>
      <c r="I160" s="9" t="s">
        <v>11516</v>
      </c>
      <c r="J160" s="9" t="s">
        <v>13256</v>
      </c>
      <c r="K160" t="s">
        <v>13415</v>
      </c>
      <c r="L160" t="s">
        <v>11517</v>
      </c>
      <c r="M160" s="3" t="str">
        <f>HYPERLINK(склад2въезд18[[#This Row],[RelativePath]])</f>
        <v>3 Парковка офиса\E33149364_8_20260207T160026Z.jpg</v>
      </c>
    </row>
    <row r="161" spans="1:13" x14ac:dyDescent="0.25">
      <c r="A161" s="2" t="s">
        <v>22</v>
      </c>
      <c r="B161" s="4">
        <v>46061</v>
      </c>
      <c r="C161" s="5">
        <v>0.72521990740740738</v>
      </c>
      <c r="D161" s="9" t="s">
        <v>1967</v>
      </c>
      <c r="E161" s="9" t="s">
        <v>8</v>
      </c>
      <c r="F161" s="9"/>
      <c r="H161" s="9"/>
      <c r="I161" s="9" t="s">
        <v>11518</v>
      </c>
      <c r="J161" s="9" t="s">
        <v>13256</v>
      </c>
      <c r="K161" t="s">
        <v>13416</v>
      </c>
      <c r="L161" t="s">
        <v>11519</v>
      </c>
      <c r="M161" s="3" t="str">
        <f>HYPERLINK(склад2въезд18[[#This Row],[RelativePath]])</f>
        <v>3 Парковка офиса\E33149364_8_20260208T172419Z.jpg</v>
      </c>
    </row>
    <row r="162" spans="1:13" x14ac:dyDescent="0.25">
      <c r="A162" s="2" t="s">
        <v>14</v>
      </c>
      <c r="B162" s="4">
        <v>46077</v>
      </c>
      <c r="C162" s="5">
        <v>0.63555555555555554</v>
      </c>
      <c r="D162" s="9" t="s">
        <v>4</v>
      </c>
      <c r="E162" s="9" t="s">
        <v>8691</v>
      </c>
      <c r="F162" s="9"/>
      <c r="H162" s="9"/>
      <c r="I162" s="9" t="s">
        <v>12830</v>
      </c>
      <c r="J162" s="9" t="s">
        <v>13417</v>
      </c>
      <c r="K162" t="s">
        <v>13418</v>
      </c>
      <c r="L162" t="s">
        <v>12831</v>
      </c>
      <c r="M162" s="3" t="str">
        <f>HYPERLINK(склад2въезд18[[#This Row],[RelativePath]])</f>
        <v>3 Парковка офиса\GA3948333_3_20260224T151512Z.jpg</v>
      </c>
    </row>
    <row r="163" spans="1:13" x14ac:dyDescent="0.25">
      <c r="A163" s="2" t="s">
        <v>15</v>
      </c>
      <c r="B163" s="4">
        <v>46078</v>
      </c>
      <c r="C163" s="5">
        <v>0.54074074074074074</v>
      </c>
      <c r="D163" s="9" t="s">
        <v>4</v>
      </c>
      <c r="E163" s="9" t="s">
        <v>8691</v>
      </c>
      <c r="F163" s="9"/>
      <c r="H163" s="9"/>
      <c r="I163" s="9" t="s">
        <v>12832</v>
      </c>
      <c r="J163" s="9" t="s">
        <v>13417</v>
      </c>
      <c r="K163" t="s">
        <v>13419</v>
      </c>
      <c r="L163" t="s">
        <v>12833</v>
      </c>
      <c r="M163" s="3" t="str">
        <f>HYPERLINK(склад2въезд18[[#This Row],[RelativePath]])</f>
        <v>3 Парковка офиса\GA3948333_3_20260225T125840Z.jpg</v>
      </c>
    </row>
  </sheetData>
  <conditionalFormatting sqref="D164:D174 E164:E177 G2:H163 D2:E163">
    <cfRule type="containsText" dxfId="961" priority="14" operator="containsText" text="Выезд с территории">
      <formula>NOT(ISERROR(SEARCH("Выезд с территории",D2)))</formula>
    </cfRule>
  </conditionalFormatting>
  <conditionalFormatting sqref="F2:F163">
    <cfRule type="notContainsText" dxfId="960" priority="13" operator="notContains" text="порожний">
      <formula>ISERROR(SEARCH("порожний",F2))</formula>
    </cfRule>
  </conditionalFormatting>
  <conditionalFormatting sqref="E2:E177">
    <cfRule type="containsText" dxfId="959" priority="11" operator="containsText" text="Газель базы">
      <formula>NOT(ISERROR(SEARCH("Газель базы",E2)))</formula>
    </cfRule>
    <cfRule type="containsText" dxfId="958" priority="12" operator="containsText" text="Погрузчик базы">
      <formula>NOT(ISERROR(SEARCH("Погрузчик базы",E2)))</formula>
    </cfRule>
  </conditionalFormatting>
  <conditionalFormatting sqref="E2:E177">
    <cfRule type="containsText" dxfId="957" priority="10" operator="containsText" text="Трактор базы">
      <formula>NOT(ISERROR(SEARCH("Трактор базы",E2)))</formula>
    </cfRule>
  </conditionalFormatting>
  <conditionalFormatting sqref="A2:C163">
    <cfRule type="expression" dxfId="956" priority="9">
      <formula>$A2="пн"</formula>
    </cfRule>
  </conditionalFormatting>
  <conditionalFormatting sqref="A2:C165">
    <cfRule type="expression" dxfId="955" priority="3">
      <formula>$A2="вс"</formula>
    </cfRule>
    <cfRule type="expression" dxfId="954" priority="4">
      <formula>$A2="сб"</formula>
    </cfRule>
    <cfRule type="expression" dxfId="953" priority="5">
      <formula>$A2="пт"</formula>
    </cfRule>
    <cfRule type="expression" dxfId="952" priority="6">
      <formula>$A2="чт"</formula>
    </cfRule>
    <cfRule type="expression" dxfId="951" priority="7">
      <formula>$A2="ср"</formula>
    </cfRule>
    <cfRule type="expression" dxfId="950" priority="8">
      <formula>$A2="вт"</formula>
    </cfRule>
  </conditionalFormatting>
  <conditionalFormatting sqref="D2:D174">
    <cfRule type="containsText" dxfId="949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74">
    <cfRule type="containsText" dxfId="948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A3D7-7F17-4CA8-8D19-9F09478AD351}">
  <dimension ref="A1:G4121"/>
  <sheetViews>
    <sheetView topLeftCell="A3651" zoomScale="90" zoomScaleNormal="90" workbookViewId="0">
      <selection activeCell="D4124" sqref="D4124"/>
    </sheetView>
  </sheetViews>
  <sheetFormatPr defaultRowHeight="15" x14ac:dyDescent="0.25"/>
  <cols>
    <col min="1" max="1" width="34.28515625" customWidth="1"/>
    <col min="2" max="2" width="32.28515625" customWidth="1"/>
    <col min="3" max="3" width="30.28515625" customWidth="1"/>
    <col min="4" max="4" width="17.7109375" customWidth="1"/>
    <col min="5" max="5" width="19.140625" customWidth="1"/>
    <col min="6" max="6" width="35.5703125" customWidth="1"/>
    <col min="7" max="7" width="36" customWidth="1"/>
    <col min="8" max="8" width="15.28515625" customWidth="1"/>
    <col min="9" max="9" width="14.140625" customWidth="1"/>
  </cols>
  <sheetData>
    <row r="1" spans="1:7" x14ac:dyDescent="0.25">
      <c r="A1" t="s">
        <v>2</v>
      </c>
      <c r="B1" t="s">
        <v>3</v>
      </c>
      <c r="C1" t="s">
        <v>52</v>
      </c>
      <c r="D1" t="s">
        <v>54</v>
      </c>
      <c r="E1" t="s">
        <v>57</v>
      </c>
      <c r="F1" t="s">
        <v>25</v>
      </c>
      <c r="G1" t="s">
        <v>1073</v>
      </c>
    </row>
    <row r="2" spans="1:7" hidden="1" x14ac:dyDescent="0.25">
      <c r="A2" t="s">
        <v>62</v>
      </c>
      <c r="B2" t="s">
        <v>55</v>
      </c>
      <c r="C2" t="s">
        <v>51</v>
      </c>
      <c r="F2" t="s">
        <v>26</v>
      </c>
      <c r="G2" t="s">
        <v>1074</v>
      </c>
    </row>
    <row r="3" spans="1:7" hidden="1" x14ac:dyDescent="0.25">
      <c r="A3" t="s">
        <v>91</v>
      </c>
      <c r="B3" t="s">
        <v>56</v>
      </c>
      <c r="C3" t="s">
        <v>51</v>
      </c>
      <c r="F3" t="s">
        <v>27</v>
      </c>
      <c r="G3" t="s">
        <v>1074</v>
      </c>
    </row>
    <row r="4" spans="1:7" hidden="1" x14ac:dyDescent="0.25">
      <c r="A4" t="s">
        <v>91</v>
      </c>
      <c r="B4" t="s">
        <v>56</v>
      </c>
      <c r="C4" t="s">
        <v>51</v>
      </c>
      <c r="F4" t="s">
        <v>28</v>
      </c>
      <c r="G4" t="s">
        <v>1074</v>
      </c>
    </row>
    <row r="5" spans="1:7" hidden="1" x14ac:dyDescent="0.25">
      <c r="A5" t="s">
        <v>62</v>
      </c>
      <c r="B5" t="s">
        <v>56</v>
      </c>
      <c r="C5" t="s">
        <v>53</v>
      </c>
      <c r="D5">
        <v>3</v>
      </c>
      <c r="F5" t="s">
        <v>29</v>
      </c>
      <c r="G5" t="s">
        <v>1074</v>
      </c>
    </row>
    <row r="6" spans="1:7" hidden="1" x14ac:dyDescent="0.25">
      <c r="A6" t="s">
        <v>91</v>
      </c>
      <c r="B6" t="s">
        <v>55</v>
      </c>
      <c r="C6" t="s">
        <v>58</v>
      </c>
      <c r="F6" t="s">
        <v>30</v>
      </c>
      <c r="G6" t="s">
        <v>1074</v>
      </c>
    </row>
    <row r="7" spans="1:7" hidden="1" x14ac:dyDescent="0.25">
      <c r="A7" t="s">
        <v>62</v>
      </c>
      <c r="B7" t="s">
        <v>55</v>
      </c>
      <c r="C7" t="s">
        <v>58</v>
      </c>
      <c r="E7" t="s">
        <v>59</v>
      </c>
      <c r="F7" t="s">
        <v>31</v>
      </c>
      <c r="G7" t="s">
        <v>1074</v>
      </c>
    </row>
    <row r="8" spans="1:7" hidden="1" x14ac:dyDescent="0.25">
      <c r="A8" t="s">
        <v>91</v>
      </c>
      <c r="B8" t="s">
        <v>55</v>
      </c>
      <c r="C8" t="s">
        <v>58</v>
      </c>
      <c r="E8" t="s">
        <v>59</v>
      </c>
      <c r="F8" t="s">
        <v>32</v>
      </c>
      <c r="G8" t="s">
        <v>1074</v>
      </c>
    </row>
    <row r="9" spans="1:7" hidden="1" x14ac:dyDescent="0.25">
      <c r="A9" t="s">
        <v>91</v>
      </c>
      <c r="B9" t="s">
        <v>67</v>
      </c>
      <c r="C9" t="s">
        <v>51</v>
      </c>
      <c r="F9" t="s">
        <v>33</v>
      </c>
      <c r="G9" t="s">
        <v>1074</v>
      </c>
    </row>
    <row r="10" spans="1:7" hidden="1" x14ac:dyDescent="0.25">
      <c r="A10" t="s">
        <v>62</v>
      </c>
      <c r="B10" t="s">
        <v>67</v>
      </c>
      <c r="C10" t="s">
        <v>440</v>
      </c>
      <c r="F10" t="s">
        <v>34</v>
      </c>
      <c r="G10" t="s">
        <v>1074</v>
      </c>
    </row>
    <row r="11" spans="1:7" hidden="1" x14ac:dyDescent="0.25">
      <c r="A11" t="s">
        <v>91</v>
      </c>
      <c r="B11" t="s">
        <v>63</v>
      </c>
      <c r="C11" t="s">
        <v>51</v>
      </c>
      <c r="F11" t="s">
        <v>35</v>
      </c>
      <c r="G11" t="s">
        <v>1074</v>
      </c>
    </row>
    <row r="12" spans="1:7" hidden="1" x14ac:dyDescent="0.25">
      <c r="A12" t="s">
        <v>89</v>
      </c>
      <c r="B12" t="s">
        <v>63</v>
      </c>
      <c r="C12" t="s">
        <v>51</v>
      </c>
      <c r="F12" t="s">
        <v>36</v>
      </c>
      <c r="G12" t="s">
        <v>1074</v>
      </c>
    </row>
    <row r="13" spans="1:7" hidden="1" x14ac:dyDescent="0.25">
      <c r="A13" t="s">
        <v>64</v>
      </c>
      <c r="B13" t="s">
        <v>63</v>
      </c>
      <c r="C13" t="s">
        <v>51</v>
      </c>
      <c r="F13" t="s">
        <v>37</v>
      </c>
      <c r="G13" t="s">
        <v>1074</v>
      </c>
    </row>
    <row r="14" spans="1:7" hidden="1" x14ac:dyDescent="0.25">
      <c r="A14" t="s">
        <v>62</v>
      </c>
      <c r="B14" t="s">
        <v>63</v>
      </c>
      <c r="C14" t="s">
        <v>58</v>
      </c>
      <c r="F14" t="s">
        <v>38</v>
      </c>
      <c r="G14" t="s">
        <v>1074</v>
      </c>
    </row>
    <row r="15" spans="1:7" hidden="1" x14ac:dyDescent="0.25">
      <c r="A15" t="s">
        <v>62</v>
      </c>
      <c r="B15" t="s">
        <v>55</v>
      </c>
      <c r="C15" t="s">
        <v>65</v>
      </c>
      <c r="F15" t="s">
        <v>39</v>
      </c>
      <c r="G15" t="s">
        <v>1074</v>
      </c>
    </row>
    <row r="16" spans="1:7" hidden="1" x14ac:dyDescent="0.25">
      <c r="A16" t="s">
        <v>91</v>
      </c>
      <c r="B16" s="1" t="s">
        <v>55</v>
      </c>
      <c r="C16" s="1" t="s">
        <v>51</v>
      </c>
      <c r="D16" s="1"/>
      <c r="E16" s="1"/>
      <c r="F16" s="1" t="s">
        <v>40</v>
      </c>
      <c r="G16" t="s">
        <v>1074</v>
      </c>
    </row>
    <row r="17" spans="1:7" hidden="1" x14ac:dyDescent="0.25">
      <c r="A17" t="s">
        <v>91</v>
      </c>
      <c r="B17" t="s">
        <v>66</v>
      </c>
      <c r="C17" t="s">
        <v>68</v>
      </c>
      <c r="F17" t="s">
        <v>41</v>
      </c>
      <c r="G17" t="s">
        <v>1074</v>
      </c>
    </row>
    <row r="18" spans="1:7" hidden="1" x14ac:dyDescent="0.25">
      <c r="A18" s="1" t="s">
        <v>62</v>
      </c>
      <c r="B18" s="1" t="s">
        <v>66</v>
      </c>
      <c r="C18" s="1" t="s">
        <v>69</v>
      </c>
      <c r="D18" s="1"/>
      <c r="E18" s="1"/>
      <c r="F18" s="1" t="s">
        <v>42</v>
      </c>
      <c r="G18" t="s">
        <v>1074</v>
      </c>
    </row>
    <row r="19" spans="1:7" hidden="1" x14ac:dyDescent="0.25">
      <c r="A19" t="s">
        <v>62</v>
      </c>
      <c r="B19" t="s">
        <v>55</v>
      </c>
      <c r="C19" t="s">
        <v>51</v>
      </c>
      <c r="F19" t="s">
        <v>44</v>
      </c>
      <c r="G19" t="s">
        <v>1074</v>
      </c>
    </row>
    <row r="20" spans="1:7" hidden="1" x14ac:dyDescent="0.25">
      <c r="A20" t="s">
        <v>91</v>
      </c>
      <c r="B20" t="s">
        <v>70</v>
      </c>
      <c r="C20" t="s">
        <v>51</v>
      </c>
      <c r="F20" t="s">
        <v>45</v>
      </c>
      <c r="G20" t="s">
        <v>1074</v>
      </c>
    </row>
    <row r="21" spans="1:7" hidden="1" x14ac:dyDescent="0.25">
      <c r="A21" t="s">
        <v>62</v>
      </c>
      <c r="B21" t="s">
        <v>70</v>
      </c>
      <c r="C21" t="s">
        <v>51</v>
      </c>
      <c r="F21" t="s">
        <v>46</v>
      </c>
      <c r="G21" t="s">
        <v>1074</v>
      </c>
    </row>
    <row r="22" spans="1:7" hidden="1" x14ac:dyDescent="0.25">
      <c r="A22" t="s">
        <v>64</v>
      </c>
      <c r="B22" t="s">
        <v>70</v>
      </c>
      <c r="C22" t="s">
        <v>51</v>
      </c>
      <c r="F22" t="s">
        <v>47</v>
      </c>
      <c r="G22" t="s">
        <v>1074</v>
      </c>
    </row>
    <row r="23" spans="1:7" hidden="1" x14ac:dyDescent="0.25">
      <c r="A23" t="s">
        <v>91</v>
      </c>
      <c r="B23" t="s">
        <v>70</v>
      </c>
      <c r="C23" t="s">
        <v>58</v>
      </c>
      <c r="F23" t="s">
        <v>48</v>
      </c>
      <c r="G23" t="s">
        <v>1074</v>
      </c>
    </row>
    <row r="24" spans="1:7" hidden="1" x14ac:dyDescent="0.25">
      <c r="A24" t="s">
        <v>62</v>
      </c>
      <c r="B24" t="s">
        <v>70</v>
      </c>
      <c r="C24" t="s">
        <v>58</v>
      </c>
      <c r="F24" t="s">
        <v>49</v>
      </c>
      <c r="G24" t="s">
        <v>1074</v>
      </c>
    </row>
    <row r="25" spans="1:7" hidden="1" x14ac:dyDescent="0.25">
      <c r="A25" t="s">
        <v>91</v>
      </c>
      <c r="B25" s="1" t="s">
        <v>55</v>
      </c>
      <c r="C25" s="1" t="s">
        <v>51</v>
      </c>
      <c r="D25" s="1"/>
      <c r="E25" s="1"/>
      <c r="F25" s="1" t="s">
        <v>50</v>
      </c>
      <c r="G25" t="s">
        <v>1074</v>
      </c>
    </row>
    <row r="26" spans="1:7" hidden="1" x14ac:dyDescent="0.25">
      <c r="A26" t="s">
        <v>62</v>
      </c>
      <c r="B26" t="s">
        <v>55</v>
      </c>
      <c r="C26" t="s">
        <v>51</v>
      </c>
      <c r="F26" t="s">
        <v>71</v>
      </c>
      <c r="G26" t="s">
        <v>1074</v>
      </c>
    </row>
    <row r="27" spans="1:7" hidden="1" x14ac:dyDescent="0.25">
      <c r="A27" t="s">
        <v>85</v>
      </c>
      <c r="B27" t="s">
        <v>86</v>
      </c>
      <c r="C27" t="s">
        <v>51</v>
      </c>
      <c r="F27" t="s">
        <v>72</v>
      </c>
      <c r="G27" t="s">
        <v>1074</v>
      </c>
    </row>
    <row r="28" spans="1:7" hidden="1" x14ac:dyDescent="0.25">
      <c r="A28" t="s">
        <v>91</v>
      </c>
      <c r="B28" t="s">
        <v>86</v>
      </c>
      <c r="C28" t="s">
        <v>87</v>
      </c>
      <c r="D28">
        <v>1</v>
      </c>
      <c r="F28" t="s">
        <v>73</v>
      </c>
      <c r="G28" t="s">
        <v>1074</v>
      </c>
    </row>
    <row r="29" spans="1:7" hidden="1" x14ac:dyDescent="0.25">
      <c r="A29" t="s">
        <v>62</v>
      </c>
      <c r="B29" t="s">
        <v>86</v>
      </c>
      <c r="C29" t="s">
        <v>51</v>
      </c>
      <c r="F29" t="s">
        <v>74</v>
      </c>
      <c r="G29" t="s">
        <v>1074</v>
      </c>
    </row>
    <row r="30" spans="1:7" hidden="1" x14ac:dyDescent="0.25">
      <c r="A30" t="s">
        <v>89</v>
      </c>
      <c r="B30" t="s">
        <v>66</v>
      </c>
      <c r="C30" t="s">
        <v>88</v>
      </c>
      <c r="D30">
        <v>1</v>
      </c>
      <c r="F30" t="s">
        <v>75</v>
      </c>
      <c r="G30" t="s">
        <v>1074</v>
      </c>
    </row>
    <row r="31" spans="1:7" hidden="1" x14ac:dyDescent="0.25">
      <c r="A31" t="s">
        <v>64</v>
      </c>
      <c r="B31" t="s">
        <v>86</v>
      </c>
      <c r="C31" t="s">
        <v>87</v>
      </c>
      <c r="D31">
        <v>1</v>
      </c>
      <c r="F31" t="s">
        <v>76</v>
      </c>
      <c r="G31" t="s">
        <v>1074</v>
      </c>
    </row>
    <row r="32" spans="1:7" hidden="1" x14ac:dyDescent="0.25">
      <c r="A32" t="s">
        <v>62</v>
      </c>
      <c r="B32" t="s">
        <v>66</v>
      </c>
      <c r="C32" t="s">
        <v>51</v>
      </c>
      <c r="F32" t="s">
        <v>77</v>
      </c>
      <c r="G32" t="s">
        <v>1074</v>
      </c>
    </row>
    <row r="33" spans="1:7" hidden="1" x14ac:dyDescent="0.25">
      <c r="A33" t="s">
        <v>89</v>
      </c>
      <c r="B33" t="s">
        <v>66</v>
      </c>
      <c r="C33" t="s">
        <v>88</v>
      </c>
      <c r="D33">
        <v>1</v>
      </c>
      <c r="F33" t="s">
        <v>78</v>
      </c>
      <c r="G33" t="s">
        <v>1074</v>
      </c>
    </row>
    <row r="34" spans="1:7" hidden="1" x14ac:dyDescent="0.25">
      <c r="A34" t="s">
        <v>62</v>
      </c>
      <c r="B34" t="s">
        <v>66</v>
      </c>
      <c r="C34" t="s">
        <v>51</v>
      </c>
      <c r="F34" t="s">
        <v>79</v>
      </c>
      <c r="G34" t="s">
        <v>1074</v>
      </c>
    </row>
    <row r="35" spans="1:7" hidden="1" x14ac:dyDescent="0.25">
      <c r="A35" t="s">
        <v>89</v>
      </c>
      <c r="B35" t="s">
        <v>66</v>
      </c>
      <c r="C35" t="s">
        <v>88</v>
      </c>
      <c r="D35">
        <v>1</v>
      </c>
      <c r="F35" t="s">
        <v>80</v>
      </c>
      <c r="G35" t="s">
        <v>1074</v>
      </c>
    </row>
    <row r="36" spans="1:7" hidden="1" x14ac:dyDescent="0.25">
      <c r="A36" t="s">
        <v>62</v>
      </c>
      <c r="B36" t="s">
        <v>66</v>
      </c>
      <c r="C36" t="s">
        <v>51</v>
      </c>
      <c r="F36" t="s">
        <v>81</v>
      </c>
      <c r="G36" t="s">
        <v>1074</v>
      </c>
    </row>
    <row r="37" spans="1:7" hidden="1" x14ac:dyDescent="0.25">
      <c r="A37" t="s">
        <v>89</v>
      </c>
      <c r="B37" t="s">
        <v>66</v>
      </c>
      <c r="C37" t="s">
        <v>88</v>
      </c>
      <c r="D37">
        <v>1</v>
      </c>
      <c r="F37" t="s">
        <v>82</v>
      </c>
      <c r="G37" t="s">
        <v>1074</v>
      </c>
    </row>
    <row r="38" spans="1:7" hidden="1" x14ac:dyDescent="0.25">
      <c r="A38" t="s">
        <v>62</v>
      </c>
      <c r="B38" t="s">
        <v>66</v>
      </c>
      <c r="C38" t="s">
        <v>51</v>
      </c>
      <c r="F38" t="s">
        <v>83</v>
      </c>
      <c r="G38" t="s">
        <v>1074</v>
      </c>
    </row>
    <row r="39" spans="1:7" hidden="1" x14ac:dyDescent="0.25">
      <c r="A39" t="s">
        <v>91</v>
      </c>
      <c r="B39" s="1" t="s">
        <v>55</v>
      </c>
      <c r="C39" s="1" t="s">
        <v>51</v>
      </c>
      <c r="D39" s="1"/>
      <c r="E39" s="1"/>
      <c r="F39" s="1" t="s">
        <v>84</v>
      </c>
      <c r="G39" t="s">
        <v>1074</v>
      </c>
    </row>
    <row r="40" spans="1:7" hidden="1" x14ac:dyDescent="0.25">
      <c r="A40" t="s">
        <v>4</v>
      </c>
      <c r="B40" t="s">
        <v>8</v>
      </c>
      <c r="F40" t="s">
        <v>92</v>
      </c>
      <c r="G40" t="s">
        <v>1075</v>
      </c>
    </row>
    <row r="41" spans="1:7" hidden="1" x14ac:dyDescent="0.25">
      <c r="A41" t="s">
        <v>158</v>
      </c>
      <c r="B41" t="s">
        <v>86</v>
      </c>
      <c r="C41" t="s">
        <v>60</v>
      </c>
      <c r="D41">
        <v>2</v>
      </c>
      <c r="F41" t="s">
        <v>94</v>
      </c>
      <c r="G41" t="s">
        <v>1075</v>
      </c>
    </row>
    <row r="42" spans="1:7" hidden="1" x14ac:dyDescent="0.25">
      <c r="A42" t="s">
        <v>158</v>
      </c>
      <c r="B42" t="s">
        <v>86</v>
      </c>
      <c r="C42" t="s">
        <v>60</v>
      </c>
      <c r="D42">
        <v>1</v>
      </c>
      <c r="F42" t="s">
        <v>96</v>
      </c>
      <c r="G42" t="s">
        <v>1075</v>
      </c>
    </row>
    <row r="43" spans="1:7" hidden="1" x14ac:dyDescent="0.25">
      <c r="A43" t="s">
        <v>158</v>
      </c>
      <c r="B43" t="s">
        <v>86</v>
      </c>
      <c r="C43" t="s">
        <v>60</v>
      </c>
      <c r="D43">
        <v>2</v>
      </c>
      <c r="F43" t="s">
        <v>98</v>
      </c>
      <c r="G43" t="s">
        <v>1075</v>
      </c>
    </row>
    <row r="44" spans="1:7" hidden="1" x14ac:dyDescent="0.25">
      <c r="A44" t="s">
        <v>158</v>
      </c>
      <c r="B44" t="s">
        <v>86</v>
      </c>
      <c r="C44" t="s">
        <v>60</v>
      </c>
      <c r="D44">
        <v>2</v>
      </c>
      <c r="F44" t="s">
        <v>100</v>
      </c>
      <c r="G44" t="s">
        <v>1075</v>
      </c>
    </row>
    <row r="45" spans="1:7" hidden="1" x14ac:dyDescent="0.25">
      <c r="A45" t="s">
        <v>158</v>
      </c>
      <c r="B45" t="s">
        <v>86</v>
      </c>
      <c r="C45" t="s">
        <v>60</v>
      </c>
      <c r="D45">
        <v>1</v>
      </c>
      <c r="F45" t="s">
        <v>102</v>
      </c>
      <c r="G45" t="s">
        <v>1075</v>
      </c>
    </row>
    <row r="46" spans="1:7" hidden="1" x14ac:dyDescent="0.25">
      <c r="A46" t="s">
        <v>158</v>
      </c>
      <c r="B46" t="s">
        <v>86</v>
      </c>
      <c r="C46" t="s">
        <v>60</v>
      </c>
      <c r="D46">
        <v>2</v>
      </c>
      <c r="F46" t="s">
        <v>104</v>
      </c>
      <c r="G46" t="s">
        <v>1075</v>
      </c>
    </row>
    <row r="47" spans="1:7" hidden="1" x14ac:dyDescent="0.25">
      <c r="A47" t="s">
        <v>158</v>
      </c>
      <c r="B47" t="s">
        <v>86</v>
      </c>
      <c r="C47" t="s">
        <v>60</v>
      </c>
      <c r="D47">
        <v>1</v>
      </c>
      <c r="F47" t="s">
        <v>106</v>
      </c>
      <c r="G47" t="s">
        <v>1075</v>
      </c>
    </row>
    <row r="48" spans="1:7" hidden="1" x14ac:dyDescent="0.25">
      <c r="A48" t="s">
        <v>4</v>
      </c>
      <c r="B48" t="s">
        <v>8</v>
      </c>
      <c r="F48" t="s">
        <v>108</v>
      </c>
      <c r="G48" t="s">
        <v>1075</v>
      </c>
    </row>
    <row r="49" spans="1:7" hidden="1" x14ac:dyDescent="0.25">
      <c r="A49" t="s">
        <v>4</v>
      </c>
      <c r="B49" t="s">
        <v>8</v>
      </c>
      <c r="F49" t="s">
        <v>110</v>
      </c>
      <c r="G49" t="s">
        <v>1075</v>
      </c>
    </row>
    <row r="50" spans="1:7" hidden="1" x14ac:dyDescent="0.25">
      <c r="A50" t="s">
        <v>159</v>
      </c>
      <c r="B50" t="s">
        <v>63</v>
      </c>
      <c r="C50" t="s">
        <v>51</v>
      </c>
      <c r="F50" t="s">
        <v>112</v>
      </c>
      <c r="G50" t="s">
        <v>1075</v>
      </c>
    </row>
    <row r="51" spans="1:7" hidden="1" x14ac:dyDescent="0.25">
      <c r="A51" t="s">
        <v>158</v>
      </c>
      <c r="B51" t="s">
        <v>86</v>
      </c>
      <c r="C51" t="s">
        <v>60</v>
      </c>
      <c r="D51">
        <v>1</v>
      </c>
      <c r="F51" t="s">
        <v>114</v>
      </c>
      <c r="G51" t="s">
        <v>1075</v>
      </c>
    </row>
    <row r="52" spans="1:7" hidden="1" x14ac:dyDescent="0.25">
      <c r="A52" t="s">
        <v>158</v>
      </c>
      <c r="B52" t="s">
        <v>86</v>
      </c>
      <c r="C52" t="s">
        <v>60</v>
      </c>
      <c r="D52">
        <v>1</v>
      </c>
      <c r="F52" t="s">
        <v>116</v>
      </c>
      <c r="G52" t="s">
        <v>1075</v>
      </c>
    </row>
    <row r="53" spans="1:7" hidden="1" x14ac:dyDescent="0.25">
      <c r="A53" t="s">
        <v>158</v>
      </c>
      <c r="B53" t="s">
        <v>86</v>
      </c>
      <c r="C53" t="s">
        <v>60</v>
      </c>
      <c r="D53">
        <v>1</v>
      </c>
      <c r="F53" t="s">
        <v>118</v>
      </c>
      <c r="G53" t="s">
        <v>1075</v>
      </c>
    </row>
    <row r="54" spans="1:7" hidden="1" x14ac:dyDescent="0.25">
      <c r="A54" t="s">
        <v>158</v>
      </c>
      <c r="B54" t="s">
        <v>86</v>
      </c>
      <c r="C54" t="s">
        <v>60</v>
      </c>
      <c r="D54">
        <v>2</v>
      </c>
      <c r="F54" t="s">
        <v>120</v>
      </c>
      <c r="G54" t="s">
        <v>1075</v>
      </c>
    </row>
    <row r="55" spans="1:7" hidden="1" x14ac:dyDescent="0.25">
      <c r="A55" t="s">
        <v>158</v>
      </c>
      <c r="B55" t="s">
        <v>86</v>
      </c>
      <c r="C55" t="s">
        <v>60</v>
      </c>
      <c r="D55">
        <v>1</v>
      </c>
      <c r="F55" t="s">
        <v>122</v>
      </c>
      <c r="G55" t="s">
        <v>1075</v>
      </c>
    </row>
    <row r="56" spans="1:7" hidden="1" x14ac:dyDescent="0.25">
      <c r="A56" t="s">
        <v>4</v>
      </c>
      <c r="B56" t="s">
        <v>8</v>
      </c>
      <c r="F56" t="s">
        <v>124</v>
      </c>
      <c r="G56" t="s">
        <v>1075</v>
      </c>
    </row>
    <row r="57" spans="1:7" hidden="1" x14ac:dyDescent="0.25">
      <c r="A57" t="s">
        <v>4</v>
      </c>
      <c r="B57" t="s">
        <v>8</v>
      </c>
      <c r="F57" t="s">
        <v>126</v>
      </c>
      <c r="G57" t="s">
        <v>1075</v>
      </c>
    </row>
    <row r="58" spans="1:7" hidden="1" x14ac:dyDescent="0.25">
      <c r="A58" t="s">
        <v>159</v>
      </c>
      <c r="B58" t="s">
        <v>70</v>
      </c>
      <c r="F58" t="s">
        <v>128</v>
      </c>
      <c r="G58" t="s">
        <v>1075</v>
      </c>
    </row>
    <row r="59" spans="1:7" hidden="1" x14ac:dyDescent="0.25">
      <c r="A59" t="s">
        <v>158</v>
      </c>
      <c r="B59" t="s">
        <v>86</v>
      </c>
      <c r="C59" t="s">
        <v>60</v>
      </c>
      <c r="D59">
        <v>1</v>
      </c>
      <c r="F59" t="s">
        <v>130</v>
      </c>
      <c r="G59" t="s">
        <v>1075</v>
      </c>
    </row>
    <row r="60" spans="1:7" hidden="1" x14ac:dyDescent="0.25">
      <c r="A60" t="s">
        <v>4</v>
      </c>
      <c r="B60" t="s">
        <v>160</v>
      </c>
      <c r="F60" t="s">
        <v>132</v>
      </c>
      <c r="G60" t="s">
        <v>1075</v>
      </c>
    </row>
    <row r="61" spans="1:7" hidden="1" x14ac:dyDescent="0.25">
      <c r="A61" t="s">
        <v>4</v>
      </c>
      <c r="B61" t="s">
        <v>8</v>
      </c>
      <c r="F61" t="s">
        <v>134</v>
      </c>
      <c r="G61" t="s">
        <v>1075</v>
      </c>
    </row>
    <row r="62" spans="1:7" hidden="1" x14ac:dyDescent="0.25">
      <c r="A62" t="s">
        <v>4</v>
      </c>
      <c r="B62" t="s">
        <v>8</v>
      </c>
      <c r="F62" t="s">
        <v>161</v>
      </c>
      <c r="G62" t="s">
        <v>1075</v>
      </c>
    </row>
    <row r="63" spans="1:7" hidden="1" x14ac:dyDescent="0.25">
      <c r="A63" t="s">
        <v>159</v>
      </c>
      <c r="B63" t="s">
        <v>86</v>
      </c>
      <c r="C63" t="s">
        <v>200</v>
      </c>
      <c r="F63" t="s">
        <v>164</v>
      </c>
      <c r="G63" t="s">
        <v>1075</v>
      </c>
    </row>
    <row r="64" spans="1:7" hidden="1" x14ac:dyDescent="0.25">
      <c r="A64" t="s">
        <v>159</v>
      </c>
      <c r="B64" t="s">
        <v>86</v>
      </c>
      <c r="C64" t="s">
        <v>200</v>
      </c>
      <c r="F64" t="s">
        <v>167</v>
      </c>
      <c r="G64" t="s">
        <v>1075</v>
      </c>
    </row>
    <row r="65" spans="1:7" hidden="1" x14ac:dyDescent="0.25">
      <c r="A65" t="s">
        <v>201</v>
      </c>
      <c r="B65" t="s">
        <v>86</v>
      </c>
      <c r="C65" t="s">
        <v>51</v>
      </c>
      <c r="F65" t="s">
        <v>170</v>
      </c>
      <c r="G65" t="s">
        <v>1075</v>
      </c>
    </row>
    <row r="66" spans="1:7" hidden="1" x14ac:dyDescent="0.25">
      <c r="A66" t="s">
        <v>159</v>
      </c>
      <c r="B66" t="s">
        <v>86</v>
      </c>
      <c r="C66" t="s">
        <v>200</v>
      </c>
      <c r="F66" t="s">
        <v>173</v>
      </c>
      <c r="G66" t="s">
        <v>1075</v>
      </c>
    </row>
    <row r="67" spans="1:7" hidden="1" x14ac:dyDescent="0.25">
      <c r="A67" t="s">
        <v>159</v>
      </c>
      <c r="B67" t="s">
        <v>86</v>
      </c>
      <c r="C67" t="s">
        <v>200</v>
      </c>
      <c r="F67" t="s">
        <v>176</v>
      </c>
      <c r="G67" t="s">
        <v>1075</v>
      </c>
    </row>
    <row r="68" spans="1:7" hidden="1" x14ac:dyDescent="0.25">
      <c r="A68" t="s">
        <v>158</v>
      </c>
      <c r="B68" t="s">
        <v>86</v>
      </c>
      <c r="C68" t="s">
        <v>60</v>
      </c>
      <c r="D68">
        <v>1</v>
      </c>
      <c r="F68" t="s">
        <v>179</v>
      </c>
      <c r="G68" t="s">
        <v>1075</v>
      </c>
    </row>
    <row r="69" spans="1:7" hidden="1" x14ac:dyDescent="0.25">
      <c r="A69" t="s">
        <v>159</v>
      </c>
      <c r="B69" t="s">
        <v>86</v>
      </c>
      <c r="C69" t="s">
        <v>200</v>
      </c>
      <c r="F69" t="s">
        <v>182</v>
      </c>
      <c r="G69" t="s">
        <v>1075</v>
      </c>
    </row>
    <row r="70" spans="1:7" hidden="1" x14ac:dyDescent="0.25">
      <c r="A70" t="s">
        <v>159</v>
      </c>
      <c r="B70" t="s">
        <v>86</v>
      </c>
      <c r="C70" t="s">
        <v>200</v>
      </c>
      <c r="F70" t="s">
        <v>185</v>
      </c>
      <c r="G70" t="s">
        <v>1075</v>
      </c>
    </row>
    <row r="71" spans="1:7" hidden="1" x14ac:dyDescent="0.25">
      <c r="A71" t="s">
        <v>159</v>
      </c>
      <c r="B71" t="s">
        <v>86</v>
      </c>
      <c r="C71" t="s">
        <v>200</v>
      </c>
      <c r="F71" t="s">
        <v>188</v>
      </c>
      <c r="G71" t="s">
        <v>1075</v>
      </c>
    </row>
    <row r="72" spans="1:7" hidden="1" x14ac:dyDescent="0.25">
      <c r="A72" t="s">
        <v>202</v>
      </c>
      <c r="B72" t="s">
        <v>86</v>
      </c>
      <c r="C72" t="s">
        <v>51</v>
      </c>
      <c r="F72" t="s">
        <v>191</v>
      </c>
      <c r="G72" t="s">
        <v>1075</v>
      </c>
    </row>
    <row r="73" spans="1:7" hidden="1" x14ac:dyDescent="0.25">
      <c r="A73" t="s">
        <v>159</v>
      </c>
      <c r="B73" t="s">
        <v>86</v>
      </c>
      <c r="C73" t="s">
        <v>87</v>
      </c>
      <c r="F73" t="s">
        <v>194</v>
      </c>
      <c r="G73" t="s">
        <v>1075</v>
      </c>
    </row>
    <row r="74" spans="1:7" hidden="1" x14ac:dyDescent="0.25">
      <c r="A74" t="s">
        <v>4</v>
      </c>
      <c r="B74" t="s">
        <v>8</v>
      </c>
      <c r="F74" t="s">
        <v>197</v>
      </c>
      <c r="G74" t="s">
        <v>1075</v>
      </c>
    </row>
    <row r="75" spans="1:7" x14ac:dyDescent="0.25">
      <c r="A75" t="s">
        <v>4</v>
      </c>
      <c r="B75" t="s">
        <v>8</v>
      </c>
      <c r="F75" t="s">
        <v>203</v>
      </c>
      <c r="G75" t="s">
        <v>13425</v>
      </c>
    </row>
    <row r="76" spans="1:7" x14ac:dyDescent="0.25">
      <c r="A76" t="s">
        <v>4</v>
      </c>
      <c r="B76" t="s">
        <v>8</v>
      </c>
      <c r="F76" t="s">
        <v>206</v>
      </c>
      <c r="G76" t="s">
        <v>13425</v>
      </c>
    </row>
    <row r="77" spans="1:7" x14ac:dyDescent="0.25">
      <c r="A77" t="s">
        <v>4</v>
      </c>
      <c r="B77" t="s">
        <v>8</v>
      </c>
      <c r="F77" t="s">
        <v>208</v>
      </c>
      <c r="G77" t="s">
        <v>13425</v>
      </c>
    </row>
    <row r="78" spans="1:7" x14ac:dyDescent="0.25">
      <c r="A78" t="s">
        <v>4</v>
      </c>
      <c r="B78" t="s">
        <v>8</v>
      </c>
      <c r="F78" t="s">
        <v>210</v>
      </c>
      <c r="G78" t="s">
        <v>13425</v>
      </c>
    </row>
    <row r="79" spans="1:7" x14ac:dyDescent="0.25">
      <c r="A79" t="s">
        <v>4</v>
      </c>
      <c r="B79" t="s">
        <v>8</v>
      </c>
      <c r="F79" t="s">
        <v>212</v>
      </c>
      <c r="G79" t="s">
        <v>13425</v>
      </c>
    </row>
    <row r="80" spans="1:7" x14ac:dyDescent="0.25">
      <c r="A80" t="s">
        <v>4</v>
      </c>
      <c r="B80" t="s">
        <v>8</v>
      </c>
      <c r="F80" t="s">
        <v>214</v>
      </c>
      <c r="G80" t="s">
        <v>13425</v>
      </c>
    </row>
    <row r="81" spans="1:7" x14ac:dyDescent="0.25">
      <c r="A81" t="s">
        <v>4</v>
      </c>
      <c r="B81" t="s">
        <v>8</v>
      </c>
      <c r="F81" t="s">
        <v>216</v>
      </c>
      <c r="G81" t="s">
        <v>13425</v>
      </c>
    </row>
    <row r="82" spans="1:7" x14ac:dyDescent="0.25">
      <c r="A82" t="s">
        <v>4</v>
      </c>
      <c r="B82" t="s">
        <v>8</v>
      </c>
      <c r="F82" t="s">
        <v>218</v>
      </c>
      <c r="G82" t="s">
        <v>13425</v>
      </c>
    </row>
    <row r="83" spans="1:7" x14ac:dyDescent="0.25">
      <c r="A83" t="s">
        <v>4</v>
      </c>
      <c r="B83" t="s">
        <v>8</v>
      </c>
      <c r="F83" t="s">
        <v>220</v>
      </c>
      <c r="G83" t="s">
        <v>13425</v>
      </c>
    </row>
    <row r="84" spans="1:7" x14ac:dyDescent="0.25">
      <c r="A84" t="s">
        <v>4</v>
      </c>
      <c r="B84" t="s">
        <v>8</v>
      </c>
      <c r="F84" t="s">
        <v>222</v>
      </c>
      <c r="G84" t="s">
        <v>13425</v>
      </c>
    </row>
    <row r="85" spans="1:7" x14ac:dyDescent="0.25">
      <c r="A85" t="s">
        <v>4</v>
      </c>
      <c r="B85" t="s">
        <v>8</v>
      </c>
      <c r="F85" t="s">
        <v>224</v>
      </c>
      <c r="G85" t="s">
        <v>13425</v>
      </c>
    </row>
    <row r="86" spans="1:7" x14ac:dyDescent="0.25">
      <c r="A86" t="s">
        <v>4</v>
      </c>
      <c r="B86" t="s">
        <v>8</v>
      </c>
      <c r="F86" t="s">
        <v>226</v>
      </c>
      <c r="G86" t="s">
        <v>13425</v>
      </c>
    </row>
    <row r="87" spans="1:7" x14ac:dyDescent="0.25">
      <c r="A87" t="s">
        <v>4</v>
      </c>
      <c r="B87" t="s">
        <v>8</v>
      </c>
      <c r="F87" t="s">
        <v>228</v>
      </c>
      <c r="G87" t="s">
        <v>13425</v>
      </c>
    </row>
    <row r="88" spans="1:7" x14ac:dyDescent="0.25">
      <c r="A88" t="s">
        <v>4</v>
      </c>
      <c r="B88" t="s">
        <v>8</v>
      </c>
      <c r="F88" t="s">
        <v>230</v>
      </c>
      <c r="G88" t="s">
        <v>13425</v>
      </c>
    </row>
    <row r="89" spans="1:7" x14ac:dyDescent="0.25">
      <c r="A89" t="s">
        <v>4</v>
      </c>
      <c r="B89" t="s">
        <v>8</v>
      </c>
      <c r="F89" t="s">
        <v>232</v>
      </c>
      <c r="G89" t="s">
        <v>13425</v>
      </c>
    </row>
    <row r="90" spans="1:7" x14ac:dyDescent="0.25">
      <c r="A90" t="s">
        <v>261</v>
      </c>
      <c r="B90" t="s">
        <v>66</v>
      </c>
      <c r="C90" t="s">
        <v>260</v>
      </c>
      <c r="F90" t="s">
        <v>234</v>
      </c>
      <c r="G90" t="s">
        <v>13425</v>
      </c>
    </row>
    <row r="91" spans="1:7" x14ac:dyDescent="0.25">
      <c r="A91" t="s">
        <v>4</v>
      </c>
      <c r="B91" t="s">
        <v>8</v>
      </c>
      <c r="F91" t="s">
        <v>236</v>
      </c>
      <c r="G91" t="s">
        <v>13425</v>
      </c>
    </row>
    <row r="92" spans="1:7" x14ac:dyDescent="0.25">
      <c r="A92" t="s">
        <v>4</v>
      </c>
      <c r="B92" t="s">
        <v>8</v>
      </c>
      <c r="F92" t="s">
        <v>238</v>
      </c>
      <c r="G92" t="s">
        <v>13425</v>
      </c>
    </row>
    <row r="93" spans="1:7" x14ac:dyDescent="0.25">
      <c r="A93" t="s">
        <v>4</v>
      </c>
      <c r="B93" t="s">
        <v>8</v>
      </c>
      <c r="F93" t="s">
        <v>240</v>
      </c>
      <c r="G93" t="s">
        <v>13425</v>
      </c>
    </row>
    <row r="94" spans="1:7" x14ac:dyDescent="0.25">
      <c r="A94" t="s">
        <v>4</v>
      </c>
      <c r="B94" t="s">
        <v>8</v>
      </c>
      <c r="F94" t="s">
        <v>242</v>
      </c>
      <c r="G94" t="s">
        <v>13425</v>
      </c>
    </row>
    <row r="95" spans="1:7" x14ac:dyDescent="0.25">
      <c r="A95" t="s">
        <v>4</v>
      </c>
      <c r="B95" t="s">
        <v>8</v>
      </c>
      <c r="F95" t="s">
        <v>244</v>
      </c>
      <c r="G95" t="s">
        <v>13425</v>
      </c>
    </row>
    <row r="96" spans="1:7" x14ac:dyDescent="0.25">
      <c r="A96" t="s">
        <v>4</v>
      </c>
      <c r="B96" t="s">
        <v>8</v>
      </c>
      <c r="F96" t="s">
        <v>246</v>
      </c>
      <c r="G96" t="s">
        <v>13425</v>
      </c>
    </row>
    <row r="97" spans="1:7" x14ac:dyDescent="0.25">
      <c r="A97" t="s">
        <v>4</v>
      </c>
      <c r="B97" t="s">
        <v>8</v>
      </c>
      <c r="F97" t="s">
        <v>248</v>
      </c>
      <c r="G97" t="s">
        <v>13425</v>
      </c>
    </row>
    <row r="98" spans="1:7" x14ac:dyDescent="0.25">
      <c r="A98" t="s">
        <v>4</v>
      </c>
      <c r="B98" t="s">
        <v>8</v>
      </c>
      <c r="F98" t="s">
        <v>250</v>
      </c>
      <c r="G98" t="s">
        <v>13425</v>
      </c>
    </row>
    <row r="99" spans="1:7" x14ac:dyDescent="0.25">
      <c r="A99" t="s">
        <v>4</v>
      </c>
      <c r="B99" t="s">
        <v>8</v>
      </c>
      <c r="F99" t="s">
        <v>252</v>
      </c>
      <c r="G99" t="s">
        <v>13425</v>
      </c>
    </row>
    <row r="100" spans="1:7" x14ac:dyDescent="0.25">
      <c r="A100" t="s">
        <v>262</v>
      </c>
      <c r="B100" t="s">
        <v>66</v>
      </c>
      <c r="C100" t="s">
        <v>88</v>
      </c>
      <c r="F100" t="s">
        <v>254</v>
      </c>
      <c r="G100" t="s">
        <v>13425</v>
      </c>
    </row>
    <row r="101" spans="1:7" x14ac:dyDescent="0.25">
      <c r="A101" t="s">
        <v>4</v>
      </c>
      <c r="B101" t="s">
        <v>8</v>
      </c>
      <c r="F101" t="s">
        <v>256</v>
      </c>
      <c r="G101" t="s">
        <v>13425</v>
      </c>
    </row>
    <row r="102" spans="1:7" x14ac:dyDescent="0.25">
      <c r="A102" t="s">
        <v>4</v>
      </c>
      <c r="B102" t="s">
        <v>8</v>
      </c>
      <c r="F102" t="s">
        <v>258</v>
      </c>
      <c r="G102" t="s">
        <v>13425</v>
      </c>
    </row>
    <row r="103" spans="1:7" hidden="1" x14ac:dyDescent="0.25">
      <c r="A103" t="s">
        <v>4</v>
      </c>
      <c r="B103" t="s">
        <v>8</v>
      </c>
      <c r="E103" t="s">
        <v>5</v>
      </c>
      <c r="F103" t="s">
        <v>263</v>
      </c>
      <c r="G103" t="s">
        <v>1076</v>
      </c>
    </row>
    <row r="104" spans="1:7" hidden="1" x14ac:dyDescent="0.25">
      <c r="A104" t="s">
        <v>4</v>
      </c>
      <c r="B104" t="s">
        <v>8</v>
      </c>
      <c r="E104" t="s">
        <v>6</v>
      </c>
      <c r="F104" t="s">
        <v>267</v>
      </c>
      <c r="G104" t="s">
        <v>1076</v>
      </c>
    </row>
    <row r="105" spans="1:7" hidden="1" x14ac:dyDescent="0.25">
      <c r="A105" t="s">
        <v>4</v>
      </c>
      <c r="B105" t="s">
        <v>8</v>
      </c>
      <c r="E105" t="s">
        <v>5</v>
      </c>
      <c r="F105" t="s">
        <v>270</v>
      </c>
      <c r="G105" t="s">
        <v>1076</v>
      </c>
    </row>
    <row r="106" spans="1:7" hidden="1" x14ac:dyDescent="0.25">
      <c r="A106" t="s">
        <v>4</v>
      </c>
      <c r="B106" t="s">
        <v>8</v>
      </c>
      <c r="E106" t="s">
        <v>6</v>
      </c>
      <c r="F106" t="s">
        <v>273</v>
      </c>
      <c r="G106" t="s">
        <v>1076</v>
      </c>
    </row>
    <row r="107" spans="1:7" hidden="1" x14ac:dyDescent="0.25">
      <c r="A107" t="s">
        <v>4</v>
      </c>
      <c r="B107" t="s">
        <v>8</v>
      </c>
      <c r="E107" t="s">
        <v>303</v>
      </c>
      <c r="F107" t="s">
        <v>276</v>
      </c>
      <c r="G107" t="s">
        <v>1076</v>
      </c>
    </row>
    <row r="108" spans="1:7" hidden="1" x14ac:dyDescent="0.25">
      <c r="A108" t="s">
        <v>4</v>
      </c>
      <c r="B108" t="s">
        <v>8</v>
      </c>
      <c r="E108" t="s">
        <v>303</v>
      </c>
      <c r="F108" t="s">
        <v>279</v>
      </c>
      <c r="G108" t="s">
        <v>1076</v>
      </c>
    </row>
    <row r="109" spans="1:7" hidden="1" x14ac:dyDescent="0.25">
      <c r="A109" t="s">
        <v>4</v>
      </c>
      <c r="B109" t="s">
        <v>8</v>
      </c>
      <c r="E109" t="s">
        <v>304</v>
      </c>
      <c r="F109" t="s">
        <v>282</v>
      </c>
      <c r="G109" t="s">
        <v>1076</v>
      </c>
    </row>
    <row r="110" spans="1:7" hidden="1" x14ac:dyDescent="0.25">
      <c r="A110" t="s">
        <v>4</v>
      </c>
      <c r="B110" t="s">
        <v>8</v>
      </c>
      <c r="E110" t="s">
        <v>6</v>
      </c>
      <c r="F110" t="s">
        <v>285</v>
      </c>
      <c r="G110" t="s">
        <v>1076</v>
      </c>
    </row>
    <row r="111" spans="1:7" hidden="1" x14ac:dyDescent="0.25">
      <c r="A111" t="s">
        <v>4</v>
      </c>
      <c r="B111" t="s">
        <v>8</v>
      </c>
      <c r="E111" t="s">
        <v>5</v>
      </c>
      <c r="F111" t="s">
        <v>288</v>
      </c>
      <c r="G111" t="s">
        <v>1076</v>
      </c>
    </row>
    <row r="112" spans="1:7" hidden="1" x14ac:dyDescent="0.25">
      <c r="A112" t="s">
        <v>4</v>
      </c>
      <c r="B112" t="s">
        <v>8</v>
      </c>
      <c r="E112" t="s">
        <v>303</v>
      </c>
      <c r="F112" t="s">
        <v>291</v>
      </c>
      <c r="G112" t="s">
        <v>1076</v>
      </c>
    </row>
    <row r="113" spans="1:7" hidden="1" x14ac:dyDescent="0.25">
      <c r="A113" t="s">
        <v>4</v>
      </c>
      <c r="B113" t="s">
        <v>8</v>
      </c>
      <c r="E113" t="s">
        <v>6</v>
      </c>
      <c r="F113" t="s">
        <v>294</v>
      </c>
      <c r="G113" t="s">
        <v>1076</v>
      </c>
    </row>
    <row r="114" spans="1:7" hidden="1" x14ac:dyDescent="0.25">
      <c r="A114" t="s">
        <v>4</v>
      </c>
      <c r="B114" t="s">
        <v>8</v>
      </c>
      <c r="E114" t="s">
        <v>5</v>
      </c>
      <c r="F114" t="s">
        <v>297</v>
      </c>
      <c r="G114" t="s">
        <v>1076</v>
      </c>
    </row>
    <row r="115" spans="1:7" hidden="1" x14ac:dyDescent="0.25">
      <c r="A115" s="1" t="s">
        <v>4</v>
      </c>
      <c r="B115" s="1" t="s">
        <v>8</v>
      </c>
      <c r="C115" s="1"/>
      <c r="D115" s="1"/>
      <c r="E115" s="1" t="s">
        <v>6</v>
      </c>
      <c r="F115" s="1" t="s">
        <v>300</v>
      </c>
      <c r="G115" t="s">
        <v>1076</v>
      </c>
    </row>
    <row r="116" spans="1:7" hidden="1" x14ac:dyDescent="0.25">
      <c r="A116" t="s">
        <v>4</v>
      </c>
      <c r="B116" t="s">
        <v>8</v>
      </c>
      <c r="E116" t="s">
        <v>5</v>
      </c>
      <c r="F116" t="s">
        <v>305</v>
      </c>
      <c r="G116" t="s">
        <v>1077</v>
      </c>
    </row>
    <row r="117" spans="1:7" hidden="1" x14ac:dyDescent="0.25">
      <c r="A117" t="s">
        <v>432</v>
      </c>
      <c r="B117" t="s">
        <v>433</v>
      </c>
      <c r="F117" t="s">
        <v>309</v>
      </c>
      <c r="G117" t="s">
        <v>1077</v>
      </c>
    </row>
    <row r="118" spans="1:7" hidden="1" x14ac:dyDescent="0.25">
      <c r="A118" t="s">
        <v>7</v>
      </c>
      <c r="B118" t="s">
        <v>433</v>
      </c>
      <c r="F118" t="s">
        <v>312</v>
      </c>
      <c r="G118" t="s">
        <v>1077</v>
      </c>
    </row>
    <row r="119" spans="1:7" hidden="1" x14ac:dyDescent="0.25">
      <c r="A119" t="s">
        <v>4</v>
      </c>
      <c r="B119" t="s">
        <v>435</v>
      </c>
      <c r="F119" t="s">
        <v>315</v>
      </c>
      <c r="G119" t="s">
        <v>1077</v>
      </c>
    </row>
    <row r="120" spans="1:7" hidden="1" x14ac:dyDescent="0.25">
      <c r="A120" t="s">
        <v>4</v>
      </c>
      <c r="B120" t="s">
        <v>434</v>
      </c>
      <c r="F120" t="s">
        <v>318</v>
      </c>
      <c r="G120" t="s">
        <v>1077</v>
      </c>
    </row>
    <row r="121" spans="1:7" hidden="1" x14ac:dyDescent="0.25">
      <c r="A121" t="s">
        <v>4</v>
      </c>
      <c r="B121" t="s">
        <v>434</v>
      </c>
      <c r="F121" t="s">
        <v>321</v>
      </c>
      <c r="G121" t="s">
        <v>1077</v>
      </c>
    </row>
    <row r="122" spans="1:7" hidden="1" x14ac:dyDescent="0.25">
      <c r="A122" t="s">
        <v>4</v>
      </c>
      <c r="B122" t="s">
        <v>435</v>
      </c>
      <c r="F122" t="s">
        <v>324</v>
      </c>
      <c r="G122" t="s">
        <v>1077</v>
      </c>
    </row>
    <row r="123" spans="1:7" hidden="1" x14ac:dyDescent="0.25">
      <c r="A123" t="s">
        <v>4</v>
      </c>
      <c r="B123" t="s">
        <v>436</v>
      </c>
      <c r="F123" t="s">
        <v>327</v>
      </c>
      <c r="G123" t="s">
        <v>1077</v>
      </c>
    </row>
    <row r="124" spans="1:7" hidden="1" x14ac:dyDescent="0.25">
      <c r="A124" t="s">
        <v>4</v>
      </c>
      <c r="B124" t="s">
        <v>8</v>
      </c>
      <c r="E124" t="s">
        <v>5</v>
      </c>
      <c r="F124" t="s">
        <v>330</v>
      </c>
      <c r="G124" t="s">
        <v>1077</v>
      </c>
    </row>
    <row r="125" spans="1:7" hidden="1" x14ac:dyDescent="0.25">
      <c r="A125" t="s">
        <v>4</v>
      </c>
      <c r="B125" t="s">
        <v>437</v>
      </c>
      <c r="F125" t="s">
        <v>333</v>
      </c>
      <c r="G125" t="s">
        <v>1077</v>
      </c>
    </row>
    <row r="126" spans="1:7" hidden="1" x14ac:dyDescent="0.25">
      <c r="A126" t="s">
        <v>439</v>
      </c>
      <c r="B126" t="s">
        <v>67</v>
      </c>
      <c r="F126" t="s">
        <v>336</v>
      </c>
      <c r="G126" t="s">
        <v>1077</v>
      </c>
    </row>
    <row r="127" spans="1:7" hidden="1" x14ac:dyDescent="0.25">
      <c r="A127" t="s">
        <v>261</v>
      </c>
      <c r="B127" t="s">
        <v>67</v>
      </c>
      <c r="C127" t="s">
        <v>440</v>
      </c>
      <c r="F127" t="s">
        <v>339</v>
      </c>
      <c r="G127" t="s">
        <v>1077</v>
      </c>
    </row>
    <row r="128" spans="1:7" hidden="1" x14ac:dyDescent="0.25">
      <c r="A128" t="s">
        <v>261</v>
      </c>
      <c r="B128" t="s">
        <v>67</v>
      </c>
      <c r="C128" t="s">
        <v>440</v>
      </c>
      <c r="F128" t="s">
        <v>342</v>
      </c>
      <c r="G128" t="s">
        <v>1077</v>
      </c>
    </row>
    <row r="129" spans="1:7" hidden="1" x14ac:dyDescent="0.25">
      <c r="A129" t="s">
        <v>261</v>
      </c>
      <c r="B129" t="s">
        <v>67</v>
      </c>
      <c r="C129" t="s">
        <v>440</v>
      </c>
      <c r="F129" t="s">
        <v>345</v>
      </c>
      <c r="G129" t="s">
        <v>1077</v>
      </c>
    </row>
    <row r="130" spans="1:7" hidden="1" x14ac:dyDescent="0.25">
      <c r="A130" t="s">
        <v>261</v>
      </c>
      <c r="B130" t="s">
        <v>67</v>
      </c>
      <c r="C130" t="s">
        <v>440</v>
      </c>
      <c r="F130" t="s">
        <v>348</v>
      </c>
      <c r="G130" t="s">
        <v>1077</v>
      </c>
    </row>
    <row r="131" spans="1:7" hidden="1" x14ac:dyDescent="0.25">
      <c r="A131" t="s">
        <v>261</v>
      </c>
      <c r="B131" t="s">
        <v>67</v>
      </c>
      <c r="C131" t="s">
        <v>440</v>
      </c>
      <c r="F131" t="s">
        <v>351</v>
      </c>
      <c r="G131" t="s">
        <v>1077</v>
      </c>
    </row>
    <row r="132" spans="1:7" hidden="1" x14ac:dyDescent="0.25">
      <c r="A132" t="s">
        <v>261</v>
      </c>
      <c r="B132" t="s">
        <v>67</v>
      </c>
      <c r="C132" t="s">
        <v>440</v>
      </c>
      <c r="F132" t="s">
        <v>354</v>
      </c>
      <c r="G132" t="s">
        <v>1077</v>
      </c>
    </row>
    <row r="133" spans="1:7" hidden="1" x14ac:dyDescent="0.25">
      <c r="A133" t="s">
        <v>261</v>
      </c>
      <c r="B133" t="s">
        <v>67</v>
      </c>
      <c r="C133" t="s">
        <v>440</v>
      </c>
      <c r="F133" t="s">
        <v>357</v>
      </c>
      <c r="G133" t="s">
        <v>1077</v>
      </c>
    </row>
    <row r="134" spans="1:7" hidden="1" x14ac:dyDescent="0.25">
      <c r="A134" t="s">
        <v>261</v>
      </c>
      <c r="B134" t="s">
        <v>67</v>
      </c>
      <c r="C134" t="s">
        <v>440</v>
      </c>
      <c r="F134" t="s">
        <v>360</v>
      </c>
      <c r="G134" t="s">
        <v>1077</v>
      </c>
    </row>
    <row r="135" spans="1:7" hidden="1" x14ac:dyDescent="0.25">
      <c r="A135" t="s">
        <v>261</v>
      </c>
      <c r="B135" t="s">
        <v>67</v>
      </c>
      <c r="C135" t="s">
        <v>440</v>
      </c>
      <c r="F135" t="s">
        <v>363</v>
      </c>
      <c r="G135" t="s">
        <v>1077</v>
      </c>
    </row>
    <row r="136" spans="1:7" hidden="1" x14ac:dyDescent="0.25">
      <c r="A136" t="s">
        <v>261</v>
      </c>
      <c r="B136" t="s">
        <v>67</v>
      </c>
      <c r="C136" t="s">
        <v>440</v>
      </c>
      <c r="F136" t="s">
        <v>366</v>
      </c>
      <c r="G136" t="s">
        <v>1077</v>
      </c>
    </row>
    <row r="137" spans="1:7" hidden="1" x14ac:dyDescent="0.25">
      <c r="A137" t="s">
        <v>261</v>
      </c>
      <c r="B137" t="s">
        <v>67</v>
      </c>
      <c r="C137" t="s">
        <v>440</v>
      </c>
      <c r="F137" t="s">
        <v>369</v>
      </c>
      <c r="G137" t="s">
        <v>1077</v>
      </c>
    </row>
    <row r="138" spans="1:7" hidden="1" x14ac:dyDescent="0.25">
      <c r="A138" t="s">
        <v>261</v>
      </c>
      <c r="B138" t="s">
        <v>67</v>
      </c>
      <c r="C138" t="s">
        <v>440</v>
      </c>
      <c r="F138" t="s">
        <v>372</v>
      </c>
      <c r="G138" t="s">
        <v>1077</v>
      </c>
    </row>
    <row r="139" spans="1:7" hidden="1" x14ac:dyDescent="0.25">
      <c r="A139" t="s">
        <v>261</v>
      </c>
      <c r="B139" t="s">
        <v>67</v>
      </c>
      <c r="C139" t="s">
        <v>440</v>
      </c>
      <c r="F139" t="s">
        <v>375</v>
      </c>
      <c r="G139" t="s">
        <v>1077</v>
      </c>
    </row>
    <row r="140" spans="1:7" hidden="1" x14ac:dyDescent="0.25">
      <c r="A140" t="s">
        <v>261</v>
      </c>
      <c r="B140" t="s">
        <v>67</v>
      </c>
      <c r="C140" t="s">
        <v>440</v>
      </c>
      <c r="F140" t="s">
        <v>378</v>
      </c>
      <c r="G140" t="s">
        <v>1077</v>
      </c>
    </row>
    <row r="141" spans="1:7" hidden="1" x14ac:dyDescent="0.25">
      <c r="A141" t="s">
        <v>261</v>
      </c>
      <c r="B141" t="s">
        <v>67</v>
      </c>
      <c r="C141" t="s">
        <v>441</v>
      </c>
      <c r="E141" t="s">
        <v>442</v>
      </c>
      <c r="F141" t="s">
        <v>381</v>
      </c>
      <c r="G141" t="s">
        <v>1077</v>
      </c>
    </row>
    <row r="142" spans="1:7" hidden="1" x14ac:dyDescent="0.25">
      <c r="A142" t="s">
        <v>443</v>
      </c>
      <c r="B142" t="s">
        <v>67</v>
      </c>
      <c r="C142" t="s">
        <v>440</v>
      </c>
      <c r="F142" t="s">
        <v>384</v>
      </c>
      <c r="G142" t="s">
        <v>1077</v>
      </c>
    </row>
    <row r="143" spans="1:7" hidden="1" x14ac:dyDescent="0.25">
      <c r="A143" t="s">
        <v>444</v>
      </c>
      <c r="B143" t="s">
        <v>67</v>
      </c>
      <c r="C143" t="s">
        <v>440</v>
      </c>
      <c r="F143" t="s">
        <v>387</v>
      </c>
      <c r="G143" t="s">
        <v>1077</v>
      </c>
    </row>
    <row r="144" spans="1:7" hidden="1" x14ac:dyDescent="0.25">
      <c r="A144" t="s">
        <v>4</v>
      </c>
      <c r="B144" t="s">
        <v>445</v>
      </c>
      <c r="F144" t="s">
        <v>390</v>
      </c>
      <c r="G144" t="s">
        <v>1077</v>
      </c>
    </row>
    <row r="145" spans="1:7" hidden="1" x14ac:dyDescent="0.25">
      <c r="A145" t="s">
        <v>4</v>
      </c>
      <c r="B145" t="s">
        <v>8</v>
      </c>
      <c r="E145" t="s">
        <v>5</v>
      </c>
      <c r="F145" t="s">
        <v>393</v>
      </c>
      <c r="G145" t="s">
        <v>1077</v>
      </c>
    </row>
    <row r="146" spans="1:7" hidden="1" x14ac:dyDescent="0.25">
      <c r="A146" t="s">
        <v>4</v>
      </c>
      <c r="B146" t="s">
        <v>8</v>
      </c>
      <c r="F146" t="s">
        <v>396</v>
      </c>
      <c r="G146" t="s">
        <v>1077</v>
      </c>
    </row>
    <row r="147" spans="1:7" hidden="1" x14ac:dyDescent="0.25">
      <c r="A147" t="s">
        <v>4</v>
      </c>
      <c r="B147" t="s">
        <v>449</v>
      </c>
      <c r="E147" t="s">
        <v>450</v>
      </c>
      <c r="F147" t="s">
        <v>399</v>
      </c>
      <c r="G147" t="s">
        <v>1077</v>
      </c>
    </row>
    <row r="148" spans="1:7" hidden="1" x14ac:dyDescent="0.25">
      <c r="A148" t="s">
        <v>4</v>
      </c>
      <c r="B148" t="s">
        <v>8</v>
      </c>
      <c r="E148" t="s">
        <v>5</v>
      </c>
      <c r="F148" t="s">
        <v>402</v>
      </c>
      <c r="G148" t="s">
        <v>1077</v>
      </c>
    </row>
    <row r="149" spans="1:7" hidden="1" x14ac:dyDescent="0.25">
      <c r="A149" t="s">
        <v>4</v>
      </c>
      <c r="B149" t="s">
        <v>8</v>
      </c>
      <c r="E149" t="s">
        <v>446</v>
      </c>
      <c r="F149" t="s">
        <v>405</v>
      </c>
      <c r="G149" t="s">
        <v>1077</v>
      </c>
    </row>
    <row r="150" spans="1:7" hidden="1" x14ac:dyDescent="0.25">
      <c r="A150" t="s">
        <v>4</v>
      </c>
      <c r="B150" t="s">
        <v>8</v>
      </c>
      <c r="F150" t="s">
        <v>408</v>
      </c>
      <c r="G150" t="s">
        <v>1077</v>
      </c>
    </row>
    <row r="151" spans="1:7" hidden="1" x14ac:dyDescent="0.25">
      <c r="A151" t="s">
        <v>4</v>
      </c>
      <c r="B151" t="s">
        <v>8</v>
      </c>
      <c r="E151" t="s">
        <v>6</v>
      </c>
      <c r="F151" t="s">
        <v>411</v>
      </c>
      <c r="G151" t="s">
        <v>1077</v>
      </c>
    </row>
    <row r="152" spans="1:7" hidden="1" x14ac:dyDescent="0.25">
      <c r="A152" t="s">
        <v>4</v>
      </c>
      <c r="B152" t="s">
        <v>8</v>
      </c>
      <c r="E152" t="s">
        <v>5</v>
      </c>
      <c r="F152" t="s">
        <v>414</v>
      </c>
      <c r="G152" t="s">
        <v>1077</v>
      </c>
    </row>
    <row r="153" spans="1:7" hidden="1" x14ac:dyDescent="0.25">
      <c r="A153" t="s">
        <v>4</v>
      </c>
      <c r="B153" t="s">
        <v>447</v>
      </c>
      <c r="F153" t="s">
        <v>417</v>
      </c>
      <c r="G153" t="s">
        <v>1077</v>
      </c>
    </row>
    <row r="154" spans="1:7" hidden="1" x14ac:dyDescent="0.25">
      <c r="A154" t="s">
        <v>4</v>
      </c>
      <c r="B154" t="s">
        <v>447</v>
      </c>
      <c r="F154" t="s">
        <v>420</v>
      </c>
      <c r="G154" t="s">
        <v>1077</v>
      </c>
    </row>
    <row r="155" spans="1:7" hidden="1" x14ac:dyDescent="0.25">
      <c r="A155" t="s">
        <v>4</v>
      </c>
      <c r="B155" t="s">
        <v>451</v>
      </c>
      <c r="E155" t="s">
        <v>448</v>
      </c>
      <c r="F155" t="s">
        <v>423</v>
      </c>
      <c r="G155" t="s">
        <v>1077</v>
      </c>
    </row>
    <row r="156" spans="1:7" hidden="1" x14ac:dyDescent="0.25">
      <c r="A156" t="s">
        <v>4</v>
      </c>
      <c r="B156" t="s">
        <v>8</v>
      </c>
      <c r="F156" t="s">
        <v>426</v>
      </c>
      <c r="G156" t="s">
        <v>1077</v>
      </c>
    </row>
    <row r="157" spans="1:7" hidden="1" x14ac:dyDescent="0.25">
      <c r="A157" s="1" t="s">
        <v>4</v>
      </c>
      <c r="B157" s="1" t="s">
        <v>8</v>
      </c>
      <c r="C157" s="1"/>
      <c r="D157" s="1"/>
      <c r="E157" s="1" t="s">
        <v>6</v>
      </c>
      <c r="F157" s="1" t="s">
        <v>429</v>
      </c>
      <c r="G157" t="s">
        <v>1077</v>
      </c>
    </row>
    <row r="158" spans="1:7" hidden="1" x14ac:dyDescent="0.25">
      <c r="A158" t="s">
        <v>4</v>
      </c>
      <c r="B158" t="s">
        <v>8</v>
      </c>
      <c r="E158" t="s">
        <v>5</v>
      </c>
      <c r="F158" t="s">
        <v>452</v>
      </c>
      <c r="G158" t="s">
        <v>1078</v>
      </c>
    </row>
    <row r="159" spans="1:7" hidden="1" x14ac:dyDescent="0.25">
      <c r="A159" t="s">
        <v>4</v>
      </c>
      <c r="B159" t="s">
        <v>8</v>
      </c>
      <c r="E159" t="s">
        <v>6</v>
      </c>
      <c r="F159" t="s">
        <v>455</v>
      </c>
      <c r="G159" t="s">
        <v>1078</v>
      </c>
    </row>
    <row r="160" spans="1:7" hidden="1" x14ac:dyDescent="0.25">
      <c r="A160" t="s">
        <v>4</v>
      </c>
      <c r="B160" t="s">
        <v>8</v>
      </c>
      <c r="E160" t="s">
        <v>5</v>
      </c>
      <c r="F160" t="s">
        <v>458</v>
      </c>
      <c r="G160" t="s">
        <v>1078</v>
      </c>
    </row>
    <row r="161" spans="1:7" hidden="1" x14ac:dyDescent="0.25">
      <c r="A161" t="s">
        <v>261</v>
      </c>
      <c r="B161" t="s">
        <v>86</v>
      </c>
      <c r="C161" t="s">
        <v>500</v>
      </c>
      <c r="F161" t="s">
        <v>461</v>
      </c>
      <c r="G161" t="s">
        <v>1078</v>
      </c>
    </row>
    <row r="162" spans="1:7" hidden="1" x14ac:dyDescent="0.25">
      <c r="A162" t="s">
        <v>159</v>
      </c>
      <c r="B162" t="s">
        <v>86</v>
      </c>
      <c r="C162" t="s">
        <v>500</v>
      </c>
      <c r="F162" t="s">
        <v>464</v>
      </c>
      <c r="G162" t="s">
        <v>1078</v>
      </c>
    </row>
    <row r="163" spans="1:7" hidden="1" x14ac:dyDescent="0.25">
      <c r="A163" t="s">
        <v>4</v>
      </c>
      <c r="B163" t="s">
        <v>8</v>
      </c>
      <c r="F163" t="s">
        <v>467</v>
      </c>
      <c r="G163" t="s">
        <v>1078</v>
      </c>
    </row>
    <row r="164" spans="1:7" hidden="1" x14ac:dyDescent="0.25">
      <c r="A164" t="s">
        <v>4</v>
      </c>
      <c r="B164" t="s">
        <v>8</v>
      </c>
      <c r="F164" t="s">
        <v>470</v>
      </c>
      <c r="G164" t="s">
        <v>1078</v>
      </c>
    </row>
    <row r="165" spans="1:7" hidden="1" x14ac:dyDescent="0.25">
      <c r="A165" t="s">
        <v>4</v>
      </c>
      <c r="B165" t="s">
        <v>501</v>
      </c>
      <c r="F165" t="s">
        <v>473</v>
      </c>
      <c r="G165" t="s">
        <v>1078</v>
      </c>
    </row>
    <row r="166" spans="1:7" hidden="1" x14ac:dyDescent="0.25">
      <c r="A166" t="s">
        <v>4</v>
      </c>
      <c r="B166" t="s">
        <v>8</v>
      </c>
      <c r="E166" t="s">
        <v>6</v>
      </c>
      <c r="F166" t="s">
        <v>476</v>
      </c>
      <c r="G166" t="s">
        <v>1078</v>
      </c>
    </row>
    <row r="167" spans="1:7" hidden="1" x14ac:dyDescent="0.25">
      <c r="A167" t="s">
        <v>4</v>
      </c>
      <c r="B167" t="s">
        <v>8</v>
      </c>
      <c r="E167" t="s">
        <v>5</v>
      </c>
      <c r="F167" t="s">
        <v>479</v>
      </c>
      <c r="G167" t="s">
        <v>1078</v>
      </c>
    </row>
    <row r="168" spans="1:7" hidden="1" x14ac:dyDescent="0.25">
      <c r="A168" t="s">
        <v>261</v>
      </c>
      <c r="B168" t="s">
        <v>86</v>
      </c>
      <c r="C168" t="s">
        <v>502</v>
      </c>
      <c r="F168" t="s">
        <v>482</v>
      </c>
      <c r="G168" t="s">
        <v>1078</v>
      </c>
    </row>
    <row r="169" spans="1:7" hidden="1" x14ac:dyDescent="0.25">
      <c r="A169" t="s">
        <v>261</v>
      </c>
      <c r="B169" t="s">
        <v>86</v>
      </c>
      <c r="C169" t="s">
        <v>502</v>
      </c>
      <c r="F169" t="s">
        <v>485</v>
      </c>
      <c r="G169" t="s">
        <v>1078</v>
      </c>
    </row>
    <row r="170" spans="1:7" hidden="1" x14ac:dyDescent="0.25">
      <c r="A170" t="s">
        <v>505</v>
      </c>
      <c r="B170" t="s">
        <v>503</v>
      </c>
      <c r="C170" t="s">
        <v>506</v>
      </c>
      <c r="F170" t="s">
        <v>488</v>
      </c>
      <c r="G170" t="s">
        <v>1078</v>
      </c>
    </row>
    <row r="171" spans="1:7" hidden="1" x14ac:dyDescent="0.25">
      <c r="A171" t="s">
        <v>261</v>
      </c>
      <c r="B171" t="s">
        <v>86</v>
      </c>
      <c r="C171" t="s">
        <v>504</v>
      </c>
      <c r="F171" t="s">
        <v>491</v>
      </c>
      <c r="G171" t="s">
        <v>1078</v>
      </c>
    </row>
    <row r="172" spans="1:7" hidden="1" x14ac:dyDescent="0.25">
      <c r="A172" t="s">
        <v>261</v>
      </c>
      <c r="B172" t="s">
        <v>86</v>
      </c>
      <c r="C172" t="s">
        <v>504</v>
      </c>
      <c r="F172" t="s">
        <v>494</v>
      </c>
      <c r="G172" t="s">
        <v>1078</v>
      </c>
    </row>
    <row r="173" spans="1:7" hidden="1" x14ac:dyDescent="0.25">
      <c r="A173" s="1" t="s">
        <v>4</v>
      </c>
      <c r="B173" s="1" t="s">
        <v>8</v>
      </c>
      <c r="C173" s="1"/>
      <c r="D173" s="1"/>
      <c r="E173" s="1" t="s">
        <v>6</v>
      </c>
      <c r="F173" s="1" t="s">
        <v>497</v>
      </c>
      <c r="G173" t="s">
        <v>1078</v>
      </c>
    </row>
    <row r="174" spans="1:7" hidden="1" x14ac:dyDescent="0.25">
      <c r="A174" t="s">
        <v>4</v>
      </c>
      <c r="B174" t="s">
        <v>8</v>
      </c>
      <c r="E174" t="s">
        <v>5</v>
      </c>
      <c r="F174" t="s">
        <v>507</v>
      </c>
      <c r="G174" t="s">
        <v>1079</v>
      </c>
    </row>
    <row r="175" spans="1:7" hidden="1" x14ac:dyDescent="0.25">
      <c r="A175" t="s">
        <v>4</v>
      </c>
      <c r="B175" t="s">
        <v>11</v>
      </c>
      <c r="F175" t="s">
        <v>510</v>
      </c>
      <c r="G175" t="s">
        <v>1079</v>
      </c>
    </row>
    <row r="176" spans="1:7" hidden="1" x14ac:dyDescent="0.25">
      <c r="A176" t="s">
        <v>4</v>
      </c>
      <c r="B176" t="s">
        <v>19</v>
      </c>
      <c r="F176" t="s">
        <v>513</v>
      </c>
      <c r="G176" t="s">
        <v>1079</v>
      </c>
    </row>
    <row r="177" spans="1:7" hidden="1" x14ac:dyDescent="0.25">
      <c r="A177" t="s">
        <v>4</v>
      </c>
      <c r="B177" t="s">
        <v>19</v>
      </c>
      <c r="F177" t="s">
        <v>516</v>
      </c>
      <c r="G177" t="s">
        <v>1079</v>
      </c>
    </row>
    <row r="178" spans="1:7" hidden="1" x14ac:dyDescent="0.25">
      <c r="A178" t="s">
        <v>4</v>
      </c>
      <c r="B178" t="s">
        <v>8</v>
      </c>
      <c r="E178" t="s">
        <v>6</v>
      </c>
      <c r="F178" t="s">
        <v>519</v>
      </c>
      <c r="G178" t="s">
        <v>1079</v>
      </c>
    </row>
    <row r="179" spans="1:7" hidden="1" x14ac:dyDescent="0.25">
      <c r="A179" t="s">
        <v>4</v>
      </c>
      <c r="B179" t="s">
        <v>8</v>
      </c>
      <c r="E179" t="s">
        <v>5</v>
      </c>
      <c r="F179" t="s">
        <v>522</v>
      </c>
      <c r="G179" t="s">
        <v>1079</v>
      </c>
    </row>
    <row r="180" spans="1:7" hidden="1" x14ac:dyDescent="0.25">
      <c r="A180" t="s">
        <v>4</v>
      </c>
      <c r="B180" t="s">
        <v>19</v>
      </c>
      <c r="F180" t="s">
        <v>525</v>
      </c>
      <c r="G180" t="s">
        <v>1079</v>
      </c>
    </row>
    <row r="181" spans="1:7" hidden="1" x14ac:dyDescent="0.25">
      <c r="A181" t="s">
        <v>4</v>
      </c>
      <c r="B181" t="s">
        <v>19</v>
      </c>
      <c r="F181" t="s">
        <v>528</v>
      </c>
      <c r="G181" t="s">
        <v>1079</v>
      </c>
    </row>
    <row r="182" spans="1:7" hidden="1" x14ac:dyDescent="0.25">
      <c r="A182" t="s">
        <v>620</v>
      </c>
      <c r="B182" t="s">
        <v>86</v>
      </c>
      <c r="C182" t="s">
        <v>500</v>
      </c>
      <c r="F182" t="s">
        <v>531</v>
      </c>
      <c r="G182" t="s">
        <v>1079</v>
      </c>
    </row>
    <row r="183" spans="1:7" hidden="1" x14ac:dyDescent="0.25">
      <c r="A183" t="s">
        <v>4</v>
      </c>
      <c r="B183" t="s">
        <v>19</v>
      </c>
      <c r="F183" t="s">
        <v>534</v>
      </c>
      <c r="G183" t="s">
        <v>1079</v>
      </c>
    </row>
    <row r="184" spans="1:7" hidden="1" x14ac:dyDescent="0.25">
      <c r="A184" t="s">
        <v>158</v>
      </c>
      <c r="B184" t="s">
        <v>86</v>
      </c>
      <c r="C184" t="s">
        <v>621</v>
      </c>
      <c r="F184" t="s">
        <v>537</v>
      </c>
      <c r="G184" t="s">
        <v>1079</v>
      </c>
    </row>
    <row r="185" spans="1:7" hidden="1" x14ac:dyDescent="0.25">
      <c r="A185" t="s">
        <v>262</v>
      </c>
      <c r="B185" t="s">
        <v>86</v>
      </c>
      <c r="C185" t="s">
        <v>621</v>
      </c>
      <c r="F185" t="s">
        <v>540</v>
      </c>
      <c r="G185" t="s">
        <v>1079</v>
      </c>
    </row>
    <row r="186" spans="1:7" hidden="1" x14ac:dyDescent="0.25">
      <c r="A186" t="s">
        <v>261</v>
      </c>
      <c r="B186" t="s">
        <v>86</v>
      </c>
      <c r="C186" t="s">
        <v>60</v>
      </c>
      <c r="D186">
        <v>2</v>
      </c>
      <c r="F186" t="s">
        <v>543</v>
      </c>
      <c r="G186" t="s">
        <v>1079</v>
      </c>
    </row>
    <row r="187" spans="1:7" hidden="1" x14ac:dyDescent="0.25">
      <c r="A187" t="s">
        <v>622</v>
      </c>
      <c r="B187" t="s">
        <v>86</v>
      </c>
      <c r="C187" t="s">
        <v>60</v>
      </c>
      <c r="F187" t="s">
        <v>546</v>
      </c>
      <c r="G187" t="s">
        <v>1079</v>
      </c>
    </row>
    <row r="188" spans="1:7" hidden="1" x14ac:dyDescent="0.25">
      <c r="A188" t="s">
        <v>4</v>
      </c>
      <c r="B188" t="s">
        <v>12</v>
      </c>
      <c r="F188" t="s">
        <v>549</v>
      </c>
      <c r="G188" t="s">
        <v>1079</v>
      </c>
    </row>
    <row r="189" spans="1:7" hidden="1" x14ac:dyDescent="0.25">
      <c r="A189" t="s">
        <v>4</v>
      </c>
      <c r="B189" t="s">
        <v>623</v>
      </c>
      <c r="F189" t="s">
        <v>552</v>
      </c>
      <c r="G189" t="s">
        <v>1079</v>
      </c>
    </row>
    <row r="190" spans="1:7" hidden="1" x14ac:dyDescent="0.25">
      <c r="A190" t="s">
        <v>4</v>
      </c>
      <c r="B190" t="s">
        <v>8</v>
      </c>
      <c r="E190" t="s">
        <v>6</v>
      </c>
      <c r="F190" t="s">
        <v>555</v>
      </c>
      <c r="G190" t="s">
        <v>1079</v>
      </c>
    </row>
    <row r="191" spans="1:7" hidden="1" x14ac:dyDescent="0.25">
      <c r="A191" t="s">
        <v>4</v>
      </c>
      <c r="B191" t="s">
        <v>624</v>
      </c>
      <c r="F191" t="s">
        <v>558</v>
      </c>
      <c r="G191" t="s">
        <v>1079</v>
      </c>
    </row>
    <row r="192" spans="1:7" hidden="1" x14ac:dyDescent="0.25">
      <c r="A192" t="s">
        <v>4</v>
      </c>
      <c r="B192" t="s">
        <v>624</v>
      </c>
      <c r="F192" t="s">
        <v>561</v>
      </c>
      <c r="G192" t="s">
        <v>1079</v>
      </c>
    </row>
    <row r="193" spans="1:7" hidden="1" x14ac:dyDescent="0.25">
      <c r="A193" t="s">
        <v>4</v>
      </c>
      <c r="B193" t="s">
        <v>7</v>
      </c>
      <c r="F193" t="s">
        <v>564</v>
      </c>
      <c r="G193" t="s">
        <v>1079</v>
      </c>
    </row>
    <row r="194" spans="1:7" hidden="1" x14ac:dyDescent="0.25">
      <c r="A194" t="s">
        <v>4</v>
      </c>
      <c r="B194" t="s">
        <v>624</v>
      </c>
      <c r="F194" t="s">
        <v>567</v>
      </c>
      <c r="G194" t="s">
        <v>1079</v>
      </c>
    </row>
    <row r="195" spans="1:7" hidden="1" x14ac:dyDescent="0.25">
      <c r="A195" t="s">
        <v>4</v>
      </c>
      <c r="B195" t="s">
        <v>8</v>
      </c>
      <c r="E195" t="s">
        <v>5</v>
      </c>
      <c r="F195" t="s">
        <v>570</v>
      </c>
      <c r="G195" t="s">
        <v>1079</v>
      </c>
    </row>
    <row r="196" spans="1:7" hidden="1" x14ac:dyDescent="0.25">
      <c r="A196" t="s">
        <v>4</v>
      </c>
      <c r="B196" t="s">
        <v>624</v>
      </c>
      <c r="F196" t="s">
        <v>573</v>
      </c>
      <c r="G196" t="s">
        <v>1079</v>
      </c>
    </row>
    <row r="197" spans="1:7" hidden="1" x14ac:dyDescent="0.25">
      <c r="A197" t="s">
        <v>4</v>
      </c>
      <c r="B197" t="s">
        <v>7</v>
      </c>
      <c r="F197" t="s">
        <v>575</v>
      </c>
      <c r="G197" t="s">
        <v>1079</v>
      </c>
    </row>
    <row r="198" spans="1:7" hidden="1" x14ac:dyDescent="0.25">
      <c r="A198" t="s">
        <v>4</v>
      </c>
      <c r="B198" t="s">
        <v>7</v>
      </c>
      <c r="F198" t="s">
        <v>578</v>
      </c>
      <c r="G198" t="s">
        <v>1079</v>
      </c>
    </row>
    <row r="199" spans="1:7" hidden="1" x14ac:dyDescent="0.25">
      <c r="A199" t="s">
        <v>4</v>
      </c>
      <c r="B199" t="s">
        <v>624</v>
      </c>
      <c r="F199" t="s">
        <v>581</v>
      </c>
      <c r="G199" t="s">
        <v>1079</v>
      </c>
    </row>
    <row r="200" spans="1:7" hidden="1" x14ac:dyDescent="0.25">
      <c r="A200" t="s">
        <v>4</v>
      </c>
      <c r="B200" t="s">
        <v>624</v>
      </c>
      <c r="F200" t="s">
        <v>584</v>
      </c>
      <c r="G200" t="s">
        <v>1079</v>
      </c>
    </row>
    <row r="201" spans="1:7" hidden="1" x14ac:dyDescent="0.25">
      <c r="A201" t="s">
        <v>4</v>
      </c>
      <c r="B201" t="s">
        <v>8</v>
      </c>
      <c r="E201" t="s">
        <v>6</v>
      </c>
      <c r="F201" t="s">
        <v>587</v>
      </c>
      <c r="G201" t="s">
        <v>1079</v>
      </c>
    </row>
    <row r="202" spans="1:7" hidden="1" x14ac:dyDescent="0.25">
      <c r="A202" t="s">
        <v>4</v>
      </c>
      <c r="B202" t="s">
        <v>12</v>
      </c>
      <c r="F202" t="s">
        <v>590</v>
      </c>
      <c r="G202" t="s">
        <v>1079</v>
      </c>
    </row>
    <row r="203" spans="1:7" hidden="1" x14ac:dyDescent="0.25">
      <c r="A203" t="s">
        <v>4</v>
      </c>
      <c r="B203" t="s">
        <v>11</v>
      </c>
      <c r="F203" t="s">
        <v>593</v>
      </c>
      <c r="G203" t="s">
        <v>1079</v>
      </c>
    </row>
    <row r="204" spans="1:7" hidden="1" x14ac:dyDescent="0.25">
      <c r="A204" t="s">
        <v>4</v>
      </c>
      <c r="B204" t="s">
        <v>11</v>
      </c>
      <c r="F204" t="s">
        <v>596</v>
      </c>
      <c r="G204" t="s">
        <v>1079</v>
      </c>
    </row>
    <row r="205" spans="1:7" hidden="1" x14ac:dyDescent="0.25">
      <c r="A205" t="s">
        <v>261</v>
      </c>
      <c r="B205" t="s">
        <v>86</v>
      </c>
      <c r="C205" t="s">
        <v>60</v>
      </c>
      <c r="D205">
        <v>1</v>
      </c>
      <c r="F205" t="s">
        <v>599</v>
      </c>
      <c r="G205" t="s">
        <v>1079</v>
      </c>
    </row>
    <row r="206" spans="1:7" hidden="1" x14ac:dyDescent="0.25">
      <c r="A206" t="s">
        <v>625</v>
      </c>
      <c r="B206" t="s">
        <v>86</v>
      </c>
      <c r="C206" t="s">
        <v>200</v>
      </c>
      <c r="F206" t="s">
        <v>602</v>
      </c>
      <c r="G206" t="s">
        <v>1079</v>
      </c>
    </row>
    <row r="207" spans="1:7" hidden="1" x14ac:dyDescent="0.25">
      <c r="A207" t="s">
        <v>622</v>
      </c>
      <c r="B207" t="s">
        <v>86</v>
      </c>
      <c r="C207" t="s">
        <v>200</v>
      </c>
      <c r="F207" t="s">
        <v>605</v>
      </c>
      <c r="G207" t="s">
        <v>1079</v>
      </c>
    </row>
    <row r="208" spans="1:7" hidden="1" x14ac:dyDescent="0.25">
      <c r="A208" t="s">
        <v>261</v>
      </c>
      <c r="B208" t="s">
        <v>86</v>
      </c>
      <c r="C208" t="s">
        <v>200</v>
      </c>
      <c r="F208" t="s">
        <v>608</v>
      </c>
      <c r="G208" t="s">
        <v>1079</v>
      </c>
    </row>
    <row r="209" spans="1:7" hidden="1" x14ac:dyDescent="0.25">
      <c r="A209" t="s">
        <v>622</v>
      </c>
      <c r="B209" t="s">
        <v>86</v>
      </c>
      <c r="C209" t="s">
        <v>200</v>
      </c>
      <c r="F209" t="s">
        <v>611</v>
      </c>
      <c r="G209" t="s">
        <v>1079</v>
      </c>
    </row>
    <row r="210" spans="1:7" hidden="1" x14ac:dyDescent="0.25">
      <c r="A210" t="s">
        <v>4</v>
      </c>
      <c r="B210" t="s">
        <v>11</v>
      </c>
      <c r="F210" t="s">
        <v>614</v>
      </c>
      <c r="G210" t="s">
        <v>1079</v>
      </c>
    </row>
    <row r="211" spans="1:7" hidden="1" x14ac:dyDescent="0.25">
      <c r="A211" s="1" t="s">
        <v>4</v>
      </c>
      <c r="B211" s="1" t="s">
        <v>8</v>
      </c>
      <c r="C211" s="1"/>
      <c r="D211" s="1"/>
      <c r="E211" s="1" t="s">
        <v>6</v>
      </c>
      <c r="F211" s="1" t="s">
        <v>617</v>
      </c>
      <c r="G211" t="s">
        <v>1079</v>
      </c>
    </row>
    <row r="212" spans="1:7" hidden="1" x14ac:dyDescent="0.25">
      <c r="A212" t="s">
        <v>4</v>
      </c>
      <c r="B212" t="s">
        <v>9</v>
      </c>
      <c r="F212" t="s">
        <v>626</v>
      </c>
      <c r="G212" t="s">
        <v>768</v>
      </c>
    </row>
    <row r="213" spans="1:7" hidden="1" x14ac:dyDescent="0.25">
      <c r="A213" t="s">
        <v>1064</v>
      </c>
      <c r="B213" t="s">
        <v>1065</v>
      </c>
      <c r="F213" t="s">
        <v>629</v>
      </c>
      <c r="G213" t="s">
        <v>768</v>
      </c>
    </row>
    <row r="214" spans="1:7" hidden="1" x14ac:dyDescent="0.25">
      <c r="A214" t="s">
        <v>1064</v>
      </c>
      <c r="B214" t="s">
        <v>1065</v>
      </c>
      <c r="F214" t="s">
        <v>632</v>
      </c>
      <c r="G214" t="s">
        <v>768</v>
      </c>
    </row>
    <row r="215" spans="1:7" hidden="1" x14ac:dyDescent="0.25">
      <c r="A215" t="s">
        <v>4</v>
      </c>
      <c r="B215" t="s">
        <v>764</v>
      </c>
      <c r="F215" t="s">
        <v>635</v>
      </c>
      <c r="G215" t="s">
        <v>768</v>
      </c>
    </row>
    <row r="216" spans="1:7" hidden="1" x14ac:dyDescent="0.25">
      <c r="A216" t="s">
        <v>4</v>
      </c>
      <c r="B216" t="s">
        <v>9</v>
      </c>
      <c r="F216" t="s">
        <v>638</v>
      </c>
      <c r="G216" t="s">
        <v>768</v>
      </c>
    </row>
    <row r="217" spans="1:7" hidden="1" x14ac:dyDescent="0.25">
      <c r="A217" t="s">
        <v>765</v>
      </c>
      <c r="B217" t="s">
        <v>503</v>
      </c>
      <c r="F217" t="s">
        <v>641</v>
      </c>
      <c r="G217" t="s">
        <v>768</v>
      </c>
    </row>
    <row r="218" spans="1:7" hidden="1" x14ac:dyDescent="0.25">
      <c r="A218" t="s">
        <v>765</v>
      </c>
      <c r="B218" t="s">
        <v>503</v>
      </c>
      <c r="F218" t="s">
        <v>644</v>
      </c>
      <c r="G218" t="s">
        <v>768</v>
      </c>
    </row>
    <row r="219" spans="1:7" hidden="1" x14ac:dyDescent="0.25">
      <c r="A219" t="s">
        <v>4</v>
      </c>
      <c r="B219" t="s">
        <v>9</v>
      </c>
      <c r="F219" t="s">
        <v>647</v>
      </c>
      <c r="G219" t="s">
        <v>768</v>
      </c>
    </row>
    <row r="220" spans="1:7" hidden="1" x14ac:dyDescent="0.25">
      <c r="A220" t="s">
        <v>766</v>
      </c>
      <c r="F220" t="s">
        <v>650</v>
      </c>
      <c r="G220" t="s">
        <v>768</v>
      </c>
    </row>
    <row r="221" spans="1:7" hidden="1" x14ac:dyDescent="0.25">
      <c r="A221" t="s">
        <v>1068</v>
      </c>
      <c r="B221" t="s">
        <v>503</v>
      </c>
      <c r="F221" t="s">
        <v>653</v>
      </c>
      <c r="G221" t="s">
        <v>768</v>
      </c>
    </row>
    <row r="222" spans="1:7" hidden="1" x14ac:dyDescent="0.25">
      <c r="A222" t="s">
        <v>4</v>
      </c>
      <c r="B222" t="s">
        <v>9</v>
      </c>
      <c r="F222" t="s">
        <v>656</v>
      </c>
      <c r="G222" t="s">
        <v>768</v>
      </c>
    </row>
    <row r="223" spans="1:7" hidden="1" x14ac:dyDescent="0.25">
      <c r="A223" t="s">
        <v>4</v>
      </c>
      <c r="B223" t="s">
        <v>9</v>
      </c>
      <c r="F223" t="s">
        <v>659</v>
      </c>
      <c r="G223" t="s">
        <v>768</v>
      </c>
    </row>
    <row r="224" spans="1:7" hidden="1" x14ac:dyDescent="0.25">
      <c r="A224" t="s">
        <v>767</v>
      </c>
      <c r="B224" t="s">
        <v>768</v>
      </c>
      <c r="F224" t="s">
        <v>662</v>
      </c>
      <c r="G224" t="s">
        <v>768</v>
      </c>
    </row>
    <row r="225" spans="1:7" hidden="1" x14ac:dyDescent="0.25">
      <c r="A225" t="s">
        <v>767</v>
      </c>
      <c r="B225" t="s">
        <v>768</v>
      </c>
      <c r="F225" t="s">
        <v>665</v>
      </c>
      <c r="G225" t="s">
        <v>768</v>
      </c>
    </row>
    <row r="226" spans="1:7" hidden="1" x14ac:dyDescent="0.25">
      <c r="A226" t="s">
        <v>767</v>
      </c>
      <c r="B226" t="s">
        <v>768</v>
      </c>
      <c r="F226" t="s">
        <v>668</v>
      </c>
      <c r="G226" t="s">
        <v>768</v>
      </c>
    </row>
    <row r="227" spans="1:7" hidden="1" x14ac:dyDescent="0.25">
      <c r="A227" t="s">
        <v>4</v>
      </c>
      <c r="B227" t="s">
        <v>9</v>
      </c>
      <c r="F227" t="s">
        <v>671</v>
      </c>
      <c r="G227" t="s">
        <v>768</v>
      </c>
    </row>
    <row r="228" spans="1:7" hidden="1" x14ac:dyDescent="0.25">
      <c r="A228" t="s">
        <v>4</v>
      </c>
      <c r="B228" t="s">
        <v>9</v>
      </c>
      <c r="F228" t="s">
        <v>674</v>
      </c>
      <c r="G228" t="s">
        <v>768</v>
      </c>
    </row>
    <row r="229" spans="1:7" hidden="1" x14ac:dyDescent="0.25">
      <c r="A229" t="s">
        <v>4</v>
      </c>
      <c r="B229" t="s">
        <v>9</v>
      </c>
      <c r="F229" t="s">
        <v>677</v>
      </c>
      <c r="G229" t="s">
        <v>768</v>
      </c>
    </row>
    <row r="230" spans="1:7" hidden="1" x14ac:dyDescent="0.25">
      <c r="A230" t="s">
        <v>4</v>
      </c>
      <c r="B230" t="s">
        <v>9</v>
      </c>
      <c r="F230" t="s">
        <v>680</v>
      </c>
      <c r="G230" t="s">
        <v>768</v>
      </c>
    </row>
    <row r="231" spans="1:7" hidden="1" x14ac:dyDescent="0.25">
      <c r="A231" t="s">
        <v>4</v>
      </c>
      <c r="B231" t="s">
        <v>9</v>
      </c>
      <c r="F231" t="s">
        <v>683</v>
      </c>
      <c r="G231" t="s">
        <v>768</v>
      </c>
    </row>
    <row r="232" spans="1:7" hidden="1" x14ac:dyDescent="0.25">
      <c r="A232" t="s">
        <v>4</v>
      </c>
      <c r="B232" t="s">
        <v>9</v>
      </c>
      <c r="F232" t="s">
        <v>686</v>
      </c>
      <c r="G232" t="s">
        <v>768</v>
      </c>
    </row>
    <row r="233" spans="1:7" hidden="1" x14ac:dyDescent="0.25">
      <c r="A233" t="s">
        <v>767</v>
      </c>
      <c r="B233" t="s">
        <v>768</v>
      </c>
      <c r="F233" t="s">
        <v>689</v>
      </c>
      <c r="G233" t="s">
        <v>768</v>
      </c>
    </row>
    <row r="234" spans="1:7" hidden="1" x14ac:dyDescent="0.25">
      <c r="A234" t="s">
        <v>4</v>
      </c>
      <c r="B234" t="s">
        <v>9</v>
      </c>
      <c r="F234" t="s">
        <v>692</v>
      </c>
      <c r="G234" t="s">
        <v>768</v>
      </c>
    </row>
    <row r="235" spans="1:7" hidden="1" x14ac:dyDescent="0.25">
      <c r="A235" t="s">
        <v>4</v>
      </c>
      <c r="B235" t="s">
        <v>9</v>
      </c>
      <c r="F235" t="s">
        <v>695</v>
      </c>
      <c r="G235" t="s">
        <v>768</v>
      </c>
    </row>
    <row r="236" spans="1:7" hidden="1" x14ac:dyDescent="0.25">
      <c r="A236" t="s">
        <v>4</v>
      </c>
      <c r="B236" t="s">
        <v>9</v>
      </c>
      <c r="F236" t="s">
        <v>698</v>
      </c>
      <c r="G236" t="s">
        <v>768</v>
      </c>
    </row>
    <row r="237" spans="1:7" hidden="1" x14ac:dyDescent="0.25">
      <c r="A237" t="s">
        <v>4</v>
      </c>
      <c r="B237" t="s">
        <v>9</v>
      </c>
      <c r="F237" t="s">
        <v>701</v>
      </c>
      <c r="G237" t="s">
        <v>768</v>
      </c>
    </row>
    <row r="238" spans="1:7" hidden="1" x14ac:dyDescent="0.25">
      <c r="A238" t="s">
        <v>4</v>
      </c>
      <c r="B238" t="s">
        <v>9</v>
      </c>
      <c r="F238" t="s">
        <v>704</v>
      </c>
      <c r="G238" t="s">
        <v>768</v>
      </c>
    </row>
    <row r="239" spans="1:7" hidden="1" x14ac:dyDescent="0.25">
      <c r="A239" t="s">
        <v>4</v>
      </c>
      <c r="B239" t="s">
        <v>9</v>
      </c>
      <c r="F239" t="s">
        <v>707</v>
      </c>
      <c r="G239" t="s">
        <v>768</v>
      </c>
    </row>
    <row r="240" spans="1:7" hidden="1" x14ac:dyDescent="0.25">
      <c r="A240" t="s">
        <v>4</v>
      </c>
      <c r="B240" t="s">
        <v>9</v>
      </c>
      <c r="F240" t="s">
        <v>710</v>
      </c>
      <c r="G240" t="s">
        <v>768</v>
      </c>
    </row>
    <row r="241" spans="1:7" hidden="1" x14ac:dyDescent="0.25">
      <c r="A241" t="s">
        <v>4</v>
      </c>
      <c r="B241" t="s">
        <v>9</v>
      </c>
      <c r="F241" t="s">
        <v>713</v>
      </c>
      <c r="G241" t="s">
        <v>768</v>
      </c>
    </row>
    <row r="242" spans="1:7" hidden="1" x14ac:dyDescent="0.25">
      <c r="A242" t="s">
        <v>4</v>
      </c>
      <c r="B242" t="s">
        <v>9</v>
      </c>
      <c r="F242" t="s">
        <v>716</v>
      </c>
      <c r="G242" t="s">
        <v>768</v>
      </c>
    </row>
    <row r="243" spans="1:7" hidden="1" x14ac:dyDescent="0.25">
      <c r="A243" t="s">
        <v>4</v>
      </c>
      <c r="B243" t="s">
        <v>9</v>
      </c>
      <c r="F243" t="s">
        <v>719</v>
      </c>
      <c r="G243" t="s">
        <v>768</v>
      </c>
    </row>
    <row r="244" spans="1:7" hidden="1" x14ac:dyDescent="0.25">
      <c r="A244" t="s">
        <v>767</v>
      </c>
      <c r="B244" t="s">
        <v>768</v>
      </c>
      <c r="F244" t="s">
        <v>722</v>
      </c>
      <c r="G244" t="s">
        <v>768</v>
      </c>
    </row>
    <row r="245" spans="1:7" hidden="1" x14ac:dyDescent="0.25">
      <c r="A245" t="s">
        <v>767</v>
      </c>
      <c r="B245" t="s">
        <v>768</v>
      </c>
      <c r="F245" t="s">
        <v>725</v>
      </c>
      <c r="G245" t="s">
        <v>768</v>
      </c>
    </row>
    <row r="246" spans="1:7" hidden="1" x14ac:dyDescent="0.25">
      <c r="A246" t="s">
        <v>4</v>
      </c>
      <c r="B246" t="s">
        <v>9</v>
      </c>
      <c r="F246" t="s">
        <v>728</v>
      </c>
      <c r="G246" t="s">
        <v>768</v>
      </c>
    </row>
    <row r="247" spans="1:7" hidden="1" x14ac:dyDescent="0.25">
      <c r="A247" t="s">
        <v>4</v>
      </c>
      <c r="B247" t="s">
        <v>9</v>
      </c>
      <c r="F247" t="s">
        <v>731</v>
      </c>
      <c r="G247" t="s">
        <v>768</v>
      </c>
    </row>
    <row r="248" spans="1:7" hidden="1" x14ac:dyDescent="0.25">
      <c r="A248" t="s">
        <v>767</v>
      </c>
      <c r="B248" t="s">
        <v>768</v>
      </c>
      <c r="F248" t="s">
        <v>734</v>
      </c>
      <c r="G248" t="s">
        <v>768</v>
      </c>
    </row>
    <row r="249" spans="1:7" hidden="1" x14ac:dyDescent="0.25">
      <c r="A249" t="s">
        <v>767</v>
      </c>
      <c r="B249" t="s">
        <v>768</v>
      </c>
      <c r="F249" t="s">
        <v>737</v>
      </c>
      <c r="G249" t="s">
        <v>768</v>
      </c>
    </row>
    <row r="250" spans="1:7" hidden="1" x14ac:dyDescent="0.25">
      <c r="A250" t="s">
        <v>767</v>
      </c>
      <c r="B250" t="s">
        <v>768</v>
      </c>
      <c r="F250" t="s">
        <v>740</v>
      </c>
      <c r="G250" t="s">
        <v>768</v>
      </c>
    </row>
    <row r="251" spans="1:7" hidden="1" x14ac:dyDescent="0.25">
      <c r="A251" t="s">
        <v>4</v>
      </c>
      <c r="B251" t="s">
        <v>9</v>
      </c>
      <c r="F251" t="s">
        <v>743</v>
      </c>
      <c r="G251" t="s">
        <v>768</v>
      </c>
    </row>
    <row r="252" spans="1:7" hidden="1" x14ac:dyDescent="0.25">
      <c r="A252" t="s">
        <v>767</v>
      </c>
      <c r="B252" t="s">
        <v>768</v>
      </c>
      <c r="F252" t="s">
        <v>746</v>
      </c>
      <c r="G252" t="s">
        <v>768</v>
      </c>
    </row>
    <row r="253" spans="1:7" hidden="1" x14ac:dyDescent="0.25">
      <c r="A253" t="s">
        <v>767</v>
      </c>
      <c r="B253" t="s">
        <v>768</v>
      </c>
      <c r="F253" t="s">
        <v>749</v>
      </c>
      <c r="G253" t="s">
        <v>768</v>
      </c>
    </row>
    <row r="254" spans="1:7" hidden="1" x14ac:dyDescent="0.25">
      <c r="A254" t="s">
        <v>767</v>
      </c>
      <c r="B254" t="s">
        <v>768</v>
      </c>
      <c r="F254" t="s">
        <v>752</v>
      </c>
      <c r="G254" t="s">
        <v>768</v>
      </c>
    </row>
    <row r="255" spans="1:7" hidden="1" x14ac:dyDescent="0.25">
      <c r="A255" t="s">
        <v>4</v>
      </c>
      <c r="B255" t="s">
        <v>9</v>
      </c>
      <c r="F255" t="s">
        <v>755</v>
      </c>
      <c r="G255" t="s">
        <v>768</v>
      </c>
    </row>
    <row r="256" spans="1:7" hidden="1" x14ac:dyDescent="0.25">
      <c r="A256" t="s">
        <v>4</v>
      </c>
      <c r="B256" t="s">
        <v>9</v>
      </c>
      <c r="F256" t="s">
        <v>758</v>
      </c>
      <c r="G256" t="s">
        <v>768</v>
      </c>
    </row>
    <row r="257" spans="1:7" hidden="1" x14ac:dyDescent="0.25">
      <c r="A257" s="1" t="s">
        <v>4</v>
      </c>
      <c r="B257" s="1" t="s">
        <v>9</v>
      </c>
      <c r="C257" s="1"/>
      <c r="D257" s="1"/>
      <c r="E257" s="1" t="s">
        <v>20</v>
      </c>
      <c r="F257" s="1" t="s">
        <v>761</v>
      </c>
      <c r="G257" t="s">
        <v>768</v>
      </c>
    </row>
    <row r="258" spans="1:7" hidden="1" x14ac:dyDescent="0.25">
      <c r="A258" t="s">
        <v>4</v>
      </c>
      <c r="B258" t="s">
        <v>9</v>
      </c>
      <c r="F258" t="s">
        <v>769</v>
      </c>
      <c r="G258" t="s">
        <v>1072</v>
      </c>
    </row>
    <row r="259" spans="1:7" hidden="1" x14ac:dyDescent="0.25">
      <c r="A259" t="s">
        <v>1063</v>
      </c>
      <c r="B259" t="s">
        <v>1069</v>
      </c>
      <c r="F259" t="s">
        <v>772</v>
      </c>
      <c r="G259" t="s">
        <v>1072</v>
      </c>
    </row>
    <row r="260" spans="1:7" hidden="1" x14ac:dyDescent="0.25">
      <c r="A260" t="s">
        <v>765</v>
      </c>
      <c r="B260" t="s">
        <v>503</v>
      </c>
      <c r="F260" t="s">
        <v>775</v>
      </c>
      <c r="G260" t="s">
        <v>1072</v>
      </c>
    </row>
    <row r="261" spans="1:7" hidden="1" x14ac:dyDescent="0.25">
      <c r="A261" t="s">
        <v>765</v>
      </c>
      <c r="B261" t="s">
        <v>503</v>
      </c>
      <c r="F261" t="s">
        <v>778</v>
      </c>
      <c r="G261" t="s">
        <v>1072</v>
      </c>
    </row>
    <row r="262" spans="1:7" hidden="1" x14ac:dyDescent="0.25">
      <c r="A262" t="s">
        <v>4</v>
      </c>
      <c r="B262" t="s">
        <v>9</v>
      </c>
      <c r="F262" t="s">
        <v>781</v>
      </c>
      <c r="G262" t="s">
        <v>1072</v>
      </c>
    </row>
    <row r="263" spans="1:7" hidden="1" x14ac:dyDescent="0.25">
      <c r="A263" t="s">
        <v>1070</v>
      </c>
      <c r="B263" t="s">
        <v>503</v>
      </c>
      <c r="F263" t="s">
        <v>784</v>
      </c>
      <c r="G263" t="s">
        <v>1072</v>
      </c>
    </row>
    <row r="264" spans="1:7" hidden="1" x14ac:dyDescent="0.25">
      <c r="A264" t="s">
        <v>261</v>
      </c>
      <c r="B264" t="s">
        <v>1071</v>
      </c>
      <c r="F264" t="s">
        <v>787</v>
      </c>
      <c r="G264" t="s">
        <v>1072</v>
      </c>
    </row>
    <row r="265" spans="1:7" hidden="1" x14ac:dyDescent="0.25">
      <c r="A265" t="s">
        <v>4</v>
      </c>
      <c r="B265" t="s">
        <v>9</v>
      </c>
      <c r="F265" t="s">
        <v>790</v>
      </c>
      <c r="G265" t="s">
        <v>1072</v>
      </c>
    </row>
    <row r="266" spans="1:7" hidden="1" x14ac:dyDescent="0.25">
      <c r="A266" t="s">
        <v>4</v>
      </c>
      <c r="B266" t="s">
        <v>9</v>
      </c>
      <c r="F266" t="s">
        <v>793</v>
      </c>
      <c r="G266" t="s">
        <v>1072</v>
      </c>
    </row>
    <row r="267" spans="1:7" hidden="1" x14ac:dyDescent="0.25">
      <c r="A267" t="s">
        <v>4</v>
      </c>
      <c r="B267" t="s">
        <v>9</v>
      </c>
      <c r="F267" t="s">
        <v>796</v>
      </c>
      <c r="G267" t="s">
        <v>1072</v>
      </c>
    </row>
    <row r="268" spans="1:7" hidden="1" x14ac:dyDescent="0.25">
      <c r="A268" t="s">
        <v>1987</v>
      </c>
      <c r="B268" t="s">
        <v>1267</v>
      </c>
      <c r="F268" t="s">
        <v>799</v>
      </c>
      <c r="G268" t="s">
        <v>1072</v>
      </c>
    </row>
    <row r="269" spans="1:7" hidden="1" x14ac:dyDescent="0.25">
      <c r="A269" t="s">
        <v>4</v>
      </c>
      <c r="B269" t="s">
        <v>9</v>
      </c>
      <c r="F269" t="s">
        <v>802</v>
      </c>
      <c r="G269" t="s">
        <v>1072</v>
      </c>
    </row>
    <row r="270" spans="1:7" hidden="1" x14ac:dyDescent="0.25">
      <c r="A270" t="s">
        <v>4</v>
      </c>
      <c r="B270" t="s">
        <v>9</v>
      </c>
      <c r="F270" t="s">
        <v>805</v>
      </c>
      <c r="G270" t="s">
        <v>1072</v>
      </c>
    </row>
    <row r="271" spans="1:7" hidden="1" x14ac:dyDescent="0.25">
      <c r="A271" t="s">
        <v>4</v>
      </c>
      <c r="B271" t="s">
        <v>9</v>
      </c>
      <c r="F271" t="s">
        <v>808</v>
      </c>
      <c r="G271" t="s">
        <v>1072</v>
      </c>
    </row>
    <row r="272" spans="1:7" hidden="1" x14ac:dyDescent="0.25">
      <c r="A272" t="s">
        <v>4</v>
      </c>
      <c r="B272" t="s">
        <v>9</v>
      </c>
      <c r="F272" t="s">
        <v>811</v>
      </c>
      <c r="G272" t="s">
        <v>1072</v>
      </c>
    </row>
    <row r="273" spans="1:7" hidden="1" x14ac:dyDescent="0.25">
      <c r="A273" t="s">
        <v>4</v>
      </c>
      <c r="B273" t="s">
        <v>9</v>
      </c>
      <c r="F273" t="s">
        <v>814</v>
      </c>
      <c r="G273" t="s">
        <v>1072</v>
      </c>
    </row>
    <row r="274" spans="1:7" hidden="1" x14ac:dyDescent="0.25">
      <c r="A274" t="s">
        <v>4</v>
      </c>
      <c r="B274" t="s">
        <v>9</v>
      </c>
      <c r="F274" t="s">
        <v>817</v>
      </c>
      <c r="G274" t="s">
        <v>1072</v>
      </c>
    </row>
    <row r="275" spans="1:7" hidden="1" x14ac:dyDescent="0.25">
      <c r="A275" t="s">
        <v>4</v>
      </c>
      <c r="B275" t="s">
        <v>9</v>
      </c>
      <c r="F275" t="s">
        <v>820</v>
      </c>
      <c r="G275" t="s">
        <v>1072</v>
      </c>
    </row>
    <row r="276" spans="1:7" hidden="1" x14ac:dyDescent="0.25">
      <c r="A276" t="s">
        <v>4</v>
      </c>
      <c r="B276" t="s">
        <v>9</v>
      </c>
      <c r="F276" t="s">
        <v>823</v>
      </c>
      <c r="G276" t="s">
        <v>1072</v>
      </c>
    </row>
    <row r="277" spans="1:7" hidden="1" x14ac:dyDescent="0.25">
      <c r="A277" t="s">
        <v>4</v>
      </c>
      <c r="B277" t="s">
        <v>9</v>
      </c>
      <c r="F277" t="s">
        <v>826</v>
      </c>
      <c r="G277" t="s">
        <v>1072</v>
      </c>
    </row>
    <row r="278" spans="1:7" hidden="1" x14ac:dyDescent="0.25">
      <c r="A278" t="s">
        <v>4</v>
      </c>
      <c r="B278" t="s">
        <v>9</v>
      </c>
      <c r="F278" t="s">
        <v>829</v>
      </c>
      <c r="G278" t="s">
        <v>1072</v>
      </c>
    </row>
    <row r="279" spans="1:7" hidden="1" x14ac:dyDescent="0.25">
      <c r="A279" t="s">
        <v>4</v>
      </c>
      <c r="B279" t="s">
        <v>9</v>
      </c>
      <c r="F279" t="s">
        <v>832</v>
      </c>
      <c r="G279" t="s">
        <v>1072</v>
      </c>
    </row>
    <row r="280" spans="1:7" hidden="1" x14ac:dyDescent="0.25">
      <c r="A280" t="s">
        <v>4</v>
      </c>
      <c r="B280" t="s">
        <v>9</v>
      </c>
      <c r="F280" t="s">
        <v>835</v>
      </c>
      <c r="G280" t="s">
        <v>1072</v>
      </c>
    </row>
    <row r="281" spans="1:7" hidden="1" x14ac:dyDescent="0.25">
      <c r="A281" t="s">
        <v>4</v>
      </c>
      <c r="B281" t="s">
        <v>9</v>
      </c>
      <c r="F281" t="s">
        <v>838</v>
      </c>
      <c r="G281" t="s">
        <v>1072</v>
      </c>
    </row>
    <row r="282" spans="1:7" hidden="1" x14ac:dyDescent="0.25">
      <c r="A282" t="s">
        <v>4</v>
      </c>
      <c r="B282" t="s">
        <v>9</v>
      </c>
      <c r="F282" t="s">
        <v>841</v>
      </c>
      <c r="G282" t="s">
        <v>1072</v>
      </c>
    </row>
    <row r="283" spans="1:7" hidden="1" x14ac:dyDescent="0.25">
      <c r="A283" t="s">
        <v>4</v>
      </c>
      <c r="B283" t="s">
        <v>9</v>
      </c>
      <c r="F283" t="s">
        <v>844</v>
      </c>
      <c r="G283" t="s">
        <v>1072</v>
      </c>
    </row>
    <row r="284" spans="1:7" hidden="1" x14ac:dyDescent="0.25">
      <c r="A284" t="s">
        <v>4</v>
      </c>
      <c r="B284" t="s">
        <v>9</v>
      </c>
      <c r="F284" t="s">
        <v>847</v>
      </c>
      <c r="G284" t="s">
        <v>1072</v>
      </c>
    </row>
    <row r="285" spans="1:7" hidden="1" x14ac:dyDescent="0.25">
      <c r="A285" t="s">
        <v>1987</v>
      </c>
      <c r="B285" t="s">
        <v>1267</v>
      </c>
      <c r="F285" t="s">
        <v>850</v>
      </c>
      <c r="G285" t="s">
        <v>1072</v>
      </c>
    </row>
    <row r="286" spans="1:7" hidden="1" x14ac:dyDescent="0.25">
      <c r="A286" t="s">
        <v>1987</v>
      </c>
      <c r="B286" t="s">
        <v>1267</v>
      </c>
      <c r="F286" t="s">
        <v>853</v>
      </c>
      <c r="G286" t="s">
        <v>1072</v>
      </c>
    </row>
    <row r="287" spans="1:7" hidden="1" x14ac:dyDescent="0.25">
      <c r="A287" t="s">
        <v>1987</v>
      </c>
      <c r="B287" t="s">
        <v>1267</v>
      </c>
      <c r="F287" t="s">
        <v>856</v>
      </c>
      <c r="G287" t="s">
        <v>1072</v>
      </c>
    </row>
    <row r="288" spans="1:7" hidden="1" x14ac:dyDescent="0.25">
      <c r="A288" t="s">
        <v>4</v>
      </c>
      <c r="B288" t="s">
        <v>9</v>
      </c>
      <c r="F288" t="s">
        <v>859</v>
      </c>
      <c r="G288" t="s">
        <v>1072</v>
      </c>
    </row>
    <row r="289" spans="1:7" hidden="1" x14ac:dyDescent="0.25">
      <c r="A289" t="s">
        <v>4</v>
      </c>
      <c r="B289" t="s">
        <v>9</v>
      </c>
      <c r="F289" t="s">
        <v>862</v>
      </c>
      <c r="G289" t="s">
        <v>1072</v>
      </c>
    </row>
    <row r="290" spans="1:7" hidden="1" x14ac:dyDescent="0.25">
      <c r="A290" t="s">
        <v>4</v>
      </c>
      <c r="B290" t="s">
        <v>9</v>
      </c>
      <c r="F290" t="s">
        <v>865</v>
      </c>
      <c r="G290" t="s">
        <v>1072</v>
      </c>
    </row>
    <row r="291" spans="1:7" hidden="1" x14ac:dyDescent="0.25">
      <c r="A291" t="s">
        <v>4</v>
      </c>
      <c r="B291" t="s">
        <v>9</v>
      </c>
      <c r="F291" t="s">
        <v>868</v>
      </c>
      <c r="G291" t="s">
        <v>1072</v>
      </c>
    </row>
    <row r="292" spans="1:7" hidden="1" x14ac:dyDescent="0.25">
      <c r="A292" t="s">
        <v>1987</v>
      </c>
      <c r="B292" t="s">
        <v>1267</v>
      </c>
      <c r="F292" t="s">
        <v>871</v>
      </c>
      <c r="G292" t="s">
        <v>1072</v>
      </c>
    </row>
    <row r="293" spans="1:7" hidden="1" x14ac:dyDescent="0.25">
      <c r="A293" t="s">
        <v>4</v>
      </c>
      <c r="B293" t="s">
        <v>9</v>
      </c>
      <c r="F293" t="s">
        <v>874</v>
      </c>
      <c r="G293" t="s">
        <v>1072</v>
      </c>
    </row>
    <row r="294" spans="1:7" hidden="1" x14ac:dyDescent="0.25">
      <c r="A294" t="s">
        <v>767</v>
      </c>
      <c r="B294" t="s">
        <v>1267</v>
      </c>
      <c r="F294" t="s">
        <v>877</v>
      </c>
      <c r="G294" t="s">
        <v>1072</v>
      </c>
    </row>
    <row r="295" spans="1:7" hidden="1" x14ac:dyDescent="0.25">
      <c r="A295" t="s">
        <v>4</v>
      </c>
      <c r="B295" t="s">
        <v>9</v>
      </c>
      <c r="F295" t="s">
        <v>880</v>
      </c>
      <c r="G295" t="s">
        <v>1072</v>
      </c>
    </row>
    <row r="296" spans="1:7" hidden="1" x14ac:dyDescent="0.25">
      <c r="A296" t="s">
        <v>4</v>
      </c>
      <c r="B296" t="s">
        <v>9</v>
      </c>
      <c r="F296" t="s">
        <v>883</v>
      </c>
      <c r="G296" t="s">
        <v>1072</v>
      </c>
    </row>
    <row r="297" spans="1:7" hidden="1" x14ac:dyDescent="0.25">
      <c r="A297" t="s">
        <v>4</v>
      </c>
      <c r="B297" t="s">
        <v>9</v>
      </c>
      <c r="F297" t="s">
        <v>886</v>
      </c>
      <c r="G297" t="s">
        <v>1072</v>
      </c>
    </row>
    <row r="298" spans="1:7" hidden="1" x14ac:dyDescent="0.25">
      <c r="A298" t="s">
        <v>4</v>
      </c>
      <c r="B298" t="s">
        <v>9</v>
      </c>
      <c r="F298" t="s">
        <v>889</v>
      </c>
      <c r="G298" t="s">
        <v>1072</v>
      </c>
    </row>
    <row r="299" spans="1:7" hidden="1" x14ac:dyDescent="0.25">
      <c r="A299" t="s">
        <v>4</v>
      </c>
      <c r="B299" t="s">
        <v>9</v>
      </c>
      <c r="F299" t="s">
        <v>892</v>
      </c>
      <c r="G299" t="s">
        <v>1072</v>
      </c>
    </row>
    <row r="300" spans="1:7" hidden="1" x14ac:dyDescent="0.25">
      <c r="A300" t="s">
        <v>1063</v>
      </c>
      <c r="B300" t="s">
        <v>1065</v>
      </c>
      <c r="F300" t="s">
        <v>895</v>
      </c>
      <c r="G300" t="s">
        <v>1072</v>
      </c>
    </row>
    <row r="301" spans="1:7" hidden="1" x14ac:dyDescent="0.25">
      <c r="A301" t="s">
        <v>4</v>
      </c>
      <c r="B301" t="s">
        <v>9</v>
      </c>
      <c r="F301" t="s">
        <v>898</v>
      </c>
      <c r="G301" t="s">
        <v>1072</v>
      </c>
    </row>
    <row r="302" spans="1:7" hidden="1" x14ac:dyDescent="0.25">
      <c r="A302" t="s">
        <v>767</v>
      </c>
      <c r="B302" t="s">
        <v>1267</v>
      </c>
      <c r="F302" t="s">
        <v>901</v>
      </c>
      <c r="G302" t="s">
        <v>1072</v>
      </c>
    </row>
    <row r="303" spans="1:7" hidden="1" x14ac:dyDescent="0.25">
      <c r="A303" t="s">
        <v>1268</v>
      </c>
      <c r="B303" t="s">
        <v>1069</v>
      </c>
      <c r="F303" t="s">
        <v>904</v>
      </c>
      <c r="G303" t="s">
        <v>1072</v>
      </c>
    </row>
    <row r="304" spans="1:7" hidden="1" x14ac:dyDescent="0.25">
      <c r="A304" t="s">
        <v>4</v>
      </c>
      <c r="B304" t="s">
        <v>9</v>
      </c>
      <c r="F304" t="s">
        <v>907</v>
      </c>
      <c r="G304" t="s">
        <v>1072</v>
      </c>
    </row>
    <row r="305" spans="1:7" hidden="1" x14ac:dyDescent="0.25">
      <c r="A305" t="s">
        <v>4</v>
      </c>
      <c r="B305" t="s">
        <v>9</v>
      </c>
      <c r="F305" t="s">
        <v>910</v>
      </c>
      <c r="G305" t="s">
        <v>1072</v>
      </c>
    </row>
    <row r="306" spans="1:7" hidden="1" x14ac:dyDescent="0.25">
      <c r="A306" t="s">
        <v>1063</v>
      </c>
      <c r="B306" t="s">
        <v>1067</v>
      </c>
      <c r="F306" t="s">
        <v>913</v>
      </c>
      <c r="G306" t="s">
        <v>1072</v>
      </c>
    </row>
    <row r="307" spans="1:7" hidden="1" x14ac:dyDescent="0.25">
      <c r="A307" t="s">
        <v>4</v>
      </c>
      <c r="B307" t="s">
        <v>9</v>
      </c>
      <c r="F307" t="s">
        <v>916</v>
      </c>
      <c r="G307" t="s">
        <v>1072</v>
      </c>
    </row>
    <row r="308" spans="1:7" hidden="1" x14ac:dyDescent="0.25">
      <c r="A308" t="s">
        <v>4</v>
      </c>
      <c r="B308" t="s">
        <v>1269</v>
      </c>
      <c r="F308" t="s">
        <v>919</v>
      </c>
      <c r="G308" t="s">
        <v>1072</v>
      </c>
    </row>
    <row r="309" spans="1:7" hidden="1" x14ac:dyDescent="0.25">
      <c r="A309" t="s">
        <v>1063</v>
      </c>
      <c r="B309" t="s">
        <v>1269</v>
      </c>
      <c r="F309" t="s">
        <v>922</v>
      </c>
      <c r="G309" t="s">
        <v>1072</v>
      </c>
    </row>
    <row r="310" spans="1:7" hidden="1" x14ac:dyDescent="0.25">
      <c r="A310" t="s">
        <v>4</v>
      </c>
      <c r="B310" t="s">
        <v>9</v>
      </c>
      <c r="F310" t="s">
        <v>925</v>
      </c>
      <c r="G310" t="s">
        <v>1072</v>
      </c>
    </row>
    <row r="311" spans="1:7" hidden="1" x14ac:dyDescent="0.25">
      <c r="A311" t="s">
        <v>4</v>
      </c>
      <c r="B311" t="s">
        <v>9</v>
      </c>
      <c r="F311" t="s">
        <v>928</v>
      </c>
      <c r="G311" t="s">
        <v>1072</v>
      </c>
    </row>
    <row r="312" spans="1:7" hidden="1" x14ac:dyDescent="0.25">
      <c r="A312" t="s">
        <v>4</v>
      </c>
      <c r="B312" t="s">
        <v>9</v>
      </c>
      <c r="F312" t="s">
        <v>931</v>
      </c>
      <c r="G312" t="s">
        <v>1072</v>
      </c>
    </row>
    <row r="313" spans="1:7" hidden="1" x14ac:dyDescent="0.25">
      <c r="A313" t="s">
        <v>4</v>
      </c>
      <c r="B313" t="s">
        <v>9</v>
      </c>
      <c r="F313" t="s">
        <v>934</v>
      </c>
      <c r="G313" t="s">
        <v>1072</v>
      </c>
    </row>
    <row r="314" spans="1:7" hidden="1" x14ac:dyDescent="0.25">
      <c r="A314" t="s">
        <v>4</v>
      </c>
      <c r="B314" t="s">
        <v>9</v>
      </c>
      <c r="F314" t="s">
        <v>937</v>
      </c>
      <c r="G314" t="s">
        <v>1072</v>
      </c>
    </row>
    <row r="315" spans="1:7" hidden="1" x14ac:dyDescent="0.25">
      <c r="A315" t="s">
        <v>4</v>
      </c>
      <c r="B315" t="s">
        <v>9</v>
      </c>
      <c r="F315" t="s">
        <v>940</v>
      </c>
      <c r="G315" t="s">
        <v>1072</v>
      </c>
    </row>
    <row r="316" spans="1:7" hidden="1" x14ac:dyDescent="0.25">
      <c r="A316" t="s">
        <v>4</v>
      </c>
      <c r="B316" t="s">
        <v>9</v>
      </c>
      <c r="F316" t="s">
        <v>943</v>
      </c>
      <c r="G316" t="s">
        <v>1072</v>
      </c>
    </row>
    <row r="317" spans="1:7" hidden="1" x14ac:dyDescent="0.25">
      <c r="A317" t="s">
        <v>4</v>
      </c>
      <c r="B317" t="s">
        <v>9</v>
      </c>
      <c r="F317" t="s">
        <v>946</v>
      </c>
      <c r="G317" t="s">
        <v>1072</v>
      </c>
    </row>
    <row r="318" spans="1:7" hidden="1" x14ac:dyDescent="0.25">
      <c r="A318" t="s">
        <v>4</v>
      </c>
      <c r="B318" t="s">
        <v>9</v>
      </c>
      <c r="F318" t="s">
        <v>949</v>
      </c>
      <c r="G318" t="s">
        <v>1072</v>
      </c>
    </row>
    <row r="319" spans="1:7" hidden="1" x14ac:dyDescent="0.25">
      <c r="A319" t="s">
        <v>4</v>
      </c>
      <c r="B319" t="s">
        <v>9</v>
      </c>
      <c r="F319" t="s">
        <v>952</v>
      </c>
      <c r="G319" t="s">
        <v>1072</v>
      </c>
    </row>
    <row r="320" spans="1:7" hidden="1" x14ac:dyDescent="0.25">
      <c r="A320" t="s">
        <v>4</v>
      </c>
      <c r="B320" t="s">
        <v>9</v>
      </c>
      <c r="F320" t="s">
        <v>955</v>
      </c>
      <c r="G320" t="s">
        <v>1072</v>
      </c>
    </row>
    <row r="321" spans="1:7" hidden="1" x14ac:dyDescent="0.25">
      <c r="A321" t="s">
        <v>4</v>
      </c>
      <c r="B321" t="s">
        <v>9</v>
      </c>
      <c r="F321" t="s">
        <v>958</v>
      </c>
      <c r="G321" t="s">
        <v>1072</v>
      </c>
    </row>
    <row r="322" spans="1:7" hidden="1" x14ac:dyDescent="0.25">
      <c r="A322" t="s">
        <v>4</v>
      </c>
      <c r="B322" t="s">
        <v>9</v>
      </c>
      <c r="F322" t="s">
        <v>961</v>
      </c>
      <c r="G322" t="s">
        <v>1072</v>
      </c>
    </row>
    <row r="323" spans="1:7" hidden="1" x14ac:dyDescent="0.25">
      <c r="A323" t="s">
        <v>4</v>
      </c>
      <c r="B323" t="s">
        <v>9</v>
      </c>
      <c r="F323" t="s">
        <v>964</v>
      </c>
      <c r="G323" t="s">
        <v>1072</v>
      </c>
    </row>
    <row r="324" spans="1:7" hidden="1" x14ac:dyDescent="0.25">
      <c r="A324" t="s">
        <v>4</v>
      </c>
      <c r="B324" t="s">
        <v>9</v>
      </c>
      <c r="F324" t="s">
        <v>967</v>
      </c>
      <c r="G324" t="s">
        <v>1072</v>
      </c>
    </row>
    <row r="325" spans="1:7" hidden="1" x14ac:dyDescent="0.25">
      <c r="A325" t="s">
        <v>4</v>
      </c>
      <c r="B325" t="s">
        <v>9</v>
      </c>
      <c r="F325" t="s">
        <v>970</v>
      </c>
      <c r="G325" t="s">
        <v>1072</v>
      </c>
    </row>
    <row r="326" spans="1:7" hidden="1" x14ac:dyDescent="0.25">
      <c r="A326" t="s">
        <v>4</v>
      </c>
      <c r="B326" t="s">
        <v>9</v>
      </c>
      <c r="F326" t="s">
        <v>973</v>
      </c>
      <c r="G326" t="s">
        <v>1072</v>
      </c>
    </row>
    <row r="327" spans="1:7" hidden="1" x14ac:dyDescent="0.25">
      <c r="A327" t="s">
        <v>4</v>
      </c>
      <c r="B327" t="s">
        <v>9</v>
      </c>
      <c r="F327" t="s">
        <v>976</v>
      </c>
      <c r="G327" t="s">
        <v>1072</v>
      </c>
    </row>
    <row r="328" spans="1:7" hidden="1" x14ac:dyDescent="0.25">
      <c r="A328" t="s">
        <v>4</v>
      </c>
      <c r="B328" t="s">
        <v>9</v>
      </c>
      <c r="F328" t="s">
        <v>979</v>
      </c>
      <c r="G328" t="s">
        <v>1072</v>
      </c>
    </row>
    <row r="329" spans="1:7" hidden="1" x14ac:dyDescent="0.25">
      <c r="A329" t="s">
        <v>1987</v>
      </c>
      <c r="B329" t="s">
        <v>1267</v>
      </c>
      <c r="F329" t="s">
        <v>982</v>
      </c>
      <c r="G329" t="s">
        <v>1072</v>
      </c>
    </row>
    <row r="330" spans="1:7" hidden="1" x14ac:dyDescent="0.25">
      <c r="A330" t="s">
        <v>4</v>
      </c>
      <c r="B330" t="s">
        <v>9</v>
      </c>
      <c r="F330" t="s">
        <v>985</v>
      </c>
      <c r="G330" t="s">
        <v>1072</v>
      </c>
    </row>
    <row r="331" spans="1:7" hidden="1" x14ac:dyDescent="0.25">
      <c r="A331" t="s">
        <v>4</v>
      </c>
      <c r="B331" t="s">
        <v>9</v>
      </c>
      <c r="F331" t="s">
        <v>988</v>
      </c>
      <c r="G331" t="s">
        <v>1072</v>
      </c>
    </row>
    <row r="332" spans="1:7" hidden="1" x14ac:dyDescent="0.25">
      <c r="A332" t="s">
        <v>4</v>
      </c>
      <c r="B332" t="s">
        <v>9</v>
      </c>
      <c r="F332" t="s">
        <v>991</v>
      </c>
      <c r="G332" t="s">
        <v>1072</v>
      </c>
    </row>
    <row r="333" spans="1:7" hidden="1" x14ac:dyDescent="0.25">
      <c r="A333" t="s">
        <v>1063</v>
      </c>
      <c r="B333" t="s">
        <v>1067</v>
      </c>
      <c r="F333" t="s">
        <v>994</v>
      </c>
      <c r="G333" t="s">
        <v>1072</v>
      </c>
    </row>
    <row r="334" spans="1:7" hidden="1" x14ac:dyDescent="0.25">
      <c r="A334" t="s">
        <v>1063</v>
      </c>
      <c r="B334" t="s">
        <v>1067</v>
      </c>
      <c r="F334" t="s">
        <v>997</v>
      </c>
      <c r="G334" t="s">
        <v>1072</v>
      </c>
    </row>
    <row r="335" spans="1:7" hidden="1" x14ac:dyDescent="0.25">
      <c r="A335" t="s">
        <v>4</v>
      </c>
      <c r="B335" t="s">
        <v>9</v>
      </c>
      <c r="F335" t="s">
        <v>1000</v>
      </c>
      <c r="G335" t="s">
        <v>1072</v>
      </c>
    </row>
    <row r="336" spans="1:7" hidden="1" x14ac:dyDescent="0.25">
      <c r="A336" t="s">
        <v>4</v>
      </c>
      <c r="B336" t="s">
        <v>9</v>
      </c>
      <c r="F336" t="s">
        <v>1003</v>
      </c>
      <c r="G336" t="s">
        <v>1072</v>
      </c>
    </row>
    <row r="337" spans="1:7" hidden="1" x14ac:dyDescent="0.25">
      <c r="A337" t="s">
        <v>4</v>
      </c>
      <c r="B337" t="s">
        <v>9</v>
      </c>
      <c r="F337" t="s">
        <v>1006</v>
      </c>
      <c r="G337" t="s">
        <v>1072</v>
      </c>
    </row>
    <row r="338" spans="1:7" hidden="1" x14ac:dyDescent="0.25">
      <c r="A338" t="s">
        <v>4</v>
      </c>
      <c r="B338" t="s">
        <v>9</v>
      </c>
      <c r="F338" t="s">
        <v>1009</v>
      </c>
      <c r="G338" t="s">
        <v>1072</v>
      </c>
    </row>
    <row r="339" spans="1:7" hidden="1" x14ac:dyDescent="0.25">
      <c r="A339" t="s">
        <v>4</v>
      </c>
      <c r="B339" t="s">
        <v>9</v>
      </c>
      <c r="F339" t="s">
        <v>1012</v>
      </c>
      <c r="G339" t="s">
        <v>1072</v>
      </c>
    </row>
    <row r="340" spans="1:7" hidden="1" x14ac:dyDescent="0.25">
      <c r="A340" t="s">
        <v>4</v>
      </c>
      <c r="B340" t="s">
        <v>9</v>
      </c>
      <c r="F340" t="s">
        <v>1015</v>
      </c>
      <c r="G340" t="s">
        <v>1072</v>
      </c>
    </row>
    <row r="341" spans="1:7" hidden="1" x14ac:dyDescent="0.25">
      <c r="A341" t="s">
        <v>4</v>
      </c>
      <c r="B341" t="s">
        <v>9</v>
      </c>
      <c r="F341" t="s">
        <v>1018</v>
      </c>
      <c r="G341" t="s">
        <v>1072</v>
      </c>
    </row>
    <row r="342" spans="1:7" hidden="1" x14ac:dyDescent="0.25">
      <c r="A342" t="s">
        <v>1987</v>
      </c>
      <c r="B342" t="s">
        <v>1267</v>
      </c>
      <c r="F342" t="s">
        <v>1021</v>
      </c>
      <c r="G342" t="s">
        <v>1072</v>
      </c>
    </row>
    <row r="343" spans="1:7" hidden="1" x14ac:dyDescent="0.25">
      <c r="A343" t="s">
        <v>4</v>
      </c>
      <c r="B343" t="s">
        <v>9</v>
      </c>
      <c r="F343" t="s">
        <v>1024</v>
      </c>
      <c r="G343" t="s">
        <v>1072</v>
      </c>
    </row>
    <row r="344" spans="1:7" hidden="1" x14ac:dyDescent="0.25">
      <c r="A344" t="s">
        <v>767</v>
      </c>
      <c r="B344" t="s">
        <v>1267</v>
      </c>
      <c r="F344" t="s">
        <v>1027</v>
      </c>
      <c r="G344" t="s">
        <v>1072</v>
      </c>
    </row>
    <row r="345" spans="1:7" hidden="1" x14ac:dyDescent="0.25">
      <c r="A345" t="s">
        <v>4</v>
      </c>
      <c r="B345" t="s">
        <v>9</v>
      </c>
      <c r="F345" t="s">
        <v>1030</v>
      </c>
      <c r="G345" t="s">
        <v>1072</v>
      </c>
    </row>
    <row r="346" spans="1:7" hidden="1" x14ac:dyDescent="0.25">
      <c r="A346" t="s">
        <v>4</v>
      </c>
      <c r="B346" t="s">
        <v>9</v>
      </c>
      <c r="F346" t="s">
        <v>1033</v>
      </c>
      <c r="G346" t="s">
        <v>1072</v>
      </c>
    </row>
    <row r="347" spans="1:7" hidden="1" x14ac:dyDescent="0.25">
      <c r="A347" t="s">
        <v>4</v>
      </c>
      <c r="B347" t="s">
        <v>9</v>
      </c>
      <c r="F347" t="s">
        <v>1036</v>
      </c>
      <c r="G347" t="s">
        <v>1072</v>
      </c>
    </row>
    <row r="348" spans="1:7" hidden="1" x14ac:dyDescent="0.25">
      <c r="A348" t="s">
        <v>4</v>
      </c>
      <c r="B348" t="s">
        <v>9</v>
      </c>
      <c r="F348" t="s">
        <v>1039</v>
      </c>
      <c r="G348" t="s">
        <v>1072</v>
      </c>
    </row>
    <row r="349" spans="1:7" hidden="1" x14ac:dyDescent="0.25">
      <c r="A349" t="s">
        <v>4</v>
      </c>
      <c r="B349" t="s">
        <v>9</v>
      </c>
      <c r="F349" t="s">
        <v>1042</v>
      </c>
      <c r="G349" t="s">
        <v>1072</v>
      </c>
    </row>
    <row r="350" spans="1:7" hidden="1" x14ac:dyDescent="0.25">
      <c r="A350" t="s">
        <v>4</v>
      </c>
      <c r="B350" t="s">
        <v>9</v>
      </c>
      <c r="F350" t="s">
        <v>1045</v>
      </c>
      <c r="G350" t="s">
        <v>1072</v>
      </c>
    </row>
    <row r="351" spans="1:7" hidden="1" x14ac:dyDescent="0.25">
      <c r="A351" t="s">
        <v>4</v>
      </c>
      <c r="B351" t="s">
        <v>9</v>
      </c>
      <c r="F351" t="s">
        <v>1048</v>
      </c>
      <c r="G351" t="s">
        <v>1072</v>
      </c>
    </row>
    <row r="352" spans="1:7" hidden="1" x14ac:dyDescent="0.25">
      <c r="A352" t="s">
        <v>4</v>
      </c>
      <c r="B352" t="s">
        <v>9</v>
      </c>
      <c r="F352" t="s">
        <v>1051</v>
      </c>
      <c r="G352" t="s">
        <v>1072</v>
      </c>
    </row>
    <row r="353" spans="1:7" hidden="1" x14ac:dyDescent="0.25">
      <c r="A353" t="s">
        <v>4</v>
      </c>
      <c r="B353" t="s">
        <v>9</v>
      </c>
      <c r="F353" t="s">
        <v>1054</v>
      </c>
      <c r="G353" t="s">
        <v>1072</v>
      </c>
    </row>
    <row r="354" spans="1:7" hidden="1" x14ac:dyDescent="0.25">
      <c r="A354" t="s">
        <v>4</v>
      </c>
      <c r="B354" t="s">
        <v>9</v>
      </c>
      <c r="F354" t="s">
        <v>1057</v>
      </c>
      <c r="G354" t="s">
        <v>1072</v>
      </c>
    </row>
    <row r="355" spans="1:7" hidden="1" x14ac:dyDescent="0.25">
      <c r="A355" t="s">
        <v>4</v>
      </c>
      <c r="B355" t="s">
        <v>9</v>
      </c>
      <c r="F355" t="s">
        <v>1060</v>
      </c>
      <c r="G355" t="s">
        <v>1072</v>
      </c>
    </row>
    <row r="356" spans="1:7" hidden="1" x14ac:dyDescent="0.25">
      <c r="A356" t="s">
        <v>1987</v>
      </c>
      <c r="B356" t="s">
        <v>1267</v>
      </c>
      <c r="F356" t="s">
        <v>1162</v>
      </c>
      <c r="G356" t="s">
        <v>1072</v>
      </c>
    </row>
    <row r="357" spans="1:7" hidden="1" x14ac:dyDescent="0.25">
      <c r="A357" t="s">
        <v>4</v>
      </c>
      <c r="B357" t="s">
        <v>9</v>
      </c>
      <c r="F357" t="s">
        <v>1165</v>
      </c>
      <c r="G357" t="s">
        <v>1072</v>
      </c>
    </row>
    <row r="358" spans="1:7" hidden="1" x14ac:dyDescent="0.25">
      <c r="A358" t="s">
        <v>4</v>
      </c>
      <c r="B358" t="s">
        <v>9</v>
      </c>
      <c r="F358" t="s">
        <v>1168</v>
      </c>
      <c r="G358" t="s">
        <v>1072</v>
      </c>
    </row>
    <row r="359" spans="1:7" hidden="1" x14ac:dyDescent="0.25">
      <c r="A359" t="s">
        <v>4</v>
      </c>
      <c r="B359" t="s">
        <v>9</v>
      </c>
      <c r="F359" t="s">
        <v>1171</v>
      </c>
      <c r="G359" t="s">
        <v>1072</v>
      </c>
    </row>
    <row r="360" spans="1:7" hidden="1" x14ac:dyDescent="0.25">
      <c r="A360" t="s">
        <v>4</v>
      </c>
      <c r="B360" t="s">
        <v>9</v>
      </c>
      <c r="F360" t="s">
        <v>1174</v>
      </c>
      <c r="G360" t="s">
        <v>1072</v>
      </c>
    </row>
    <row r="361" spans="1:7" hidden="1" x14ac:dyDescent="0.25">
      <c r="A361" t="s">
        <v>4</v>
      </c>
      <c r="B361" t="s">
        <v>9</v>
      </c>
      <c r="F361" t="s">
        <v>1177</v>
      </c>
      <c r="G361" t="s">
        <v>1072</v>
      </c>
    </row>
    <row r="362" spans="1:7" hidden="1" x14ac:dyDescent="0.25">
      <c r="A362" t="s">
        <v>4</v>
      </c>
      <c r="B362" t="s">
        <v>9</v>
      </c>
      <c r="E362" t="s">
        <v>10</v>
      </c>
      <c r="F362" t="s">
        <v>1180</v>
      </c>
      <c r="G362" t="s">
        <v>1072</v>
      </c>
    </row>
    <row r="363" spans="1:7" hidden="1" x14ac:dyDescent="0.25">
      <c r="A363" t="s">
        <v>4</v>
      </c>
      <c r="B363" t="s">
        <v>8</v>
      </c>
      <c r="E363" t="s">
        <v>5</v>
      </c>
      <c r="F363" t="s">
        <v>1270</v>
      </c>
      <c r="G363" t="s">
        <v>1566</v>
      </c>
    </row>
    <row r="364" spans="1:7" hidden="1" x14ac:dyDescent="0.25">
      <c r="A364" t="s">
        <v>4</v>
      </c>
      <c r="B364" t="s">
        <v>8</v>
      </c>
      <c r="F364" t="s">
        <v>1274</v>
      </c>
      <c r="G364" t="s">
        <v>1566</v>
      </c>
    </row>
    <row r="365" spans="1:7" hidden="1" x14ac:dyDescent="0.25">
      <c r="A365" t="s">
        <v>4</v>
      </c>
      <c r="B365" t="s">
        <v>8</v>
      </c>
      <c r="F365" t="s">
        <v>1277</v>
      </c>
      <c r="G365" t="s">
        <v>1566</v>
      </c>
    </row>
    <row r="366" spans="1:7" hidden="1" x14ac:dyDescent="0.25">
      <c r="A366" t="s">
        <v>1567</v>
      </c>
      <c r="B366" t="s">
        <v>1069</v>
      </c>
      <c r="F366" t="s">
        <v>1280</v>
      </c>
      <c r="G366" t="s">
        <v>1566</v>
      </c>
    </row>
    <row r="367" spans="1:7" hidden="1" x14ac:dyDescent="0.25">
      <c r="A367" t="s">
        <v>1567</v>
      </c>
      <c r="B367" t="s">
        <v>1069</v>
      </c>
      <c r="F367" t="s">
        <v>1283</v>
      </c>
      <c r="G367" t="s">
        <v>1566</v>
      </c>
    </row>
    <row r="368" spans="1:7" hidden="1" x14ac:dyDescent="0.25">
      <c r="A368" t="s">
        <v>1567</v>
      </c>
      <c r="B368" t="s">
        <v>1069</v>
      </c>
      <c r="F368" t="s">
        <v>1286</v>
      </c>
      <c r="G368" t="s">
        <v>1566</v>
      </c>
    </row>
    <row r="369" spans="1:7" hidden="1" x14ac:dyDescent="0.25">
      <c r="A369" t="s">
        <v>1567</v>
      </c>
      <c r="B369" t="s">
        <v>1069</v>
      </c>
      <c r="F369" t="s">
        <v>1289</v>
      </c>
      <c r="G369" t="s">
        <v>1566</v>
      </c>
    </row>
    <row r="370" spans="1:7" hidden="1" x14ac:dyDescent="0.25">
      <c r="A370" t="s">
        <v>159</v>
      </c>
      <c r="B370" t="s">
        <v>86</v>
      </c>
      <c r="C370" t="s">
        <v>60</v>
      </c>
      <c r="E370" t="s">
        <v>1568</v>
      </c>
      <c r="F370" t="s">
        <v>1292</v>
      </c>
      <c r="G370" t="s">
        <v>1566</v>
      </c>
    </row>
    <row r="371" spans="1:7" hidden="1" x14ac:dyDescent="0.25">
      <c r="A371" t="s">
        <v>1066</v>
      </c>
      <c r="B371" t="s">
        <v>1067</v>
      </c>
      <c r="F371" t="s">
        <v>1295</v>
      </c>
      <c r="G371" t="s">
        <v>1566</v>
      </c>
    </row>
    <row r="372" spans="1:7" hidden="1" x14ac:dyDescent="0.25">
      <c r="A372" t="s">
        <v>1066</v>
      </c>
      <c r="B372" t="s">
        <v>1067</v>
      </c>
      <c r="F372" t="s">
        <v>1298</v>
      </c>
      <c r="G372" t="s">
        <v>1566</v>
      </c>
    </row>
    <row r="373" spans="1:7" hidden="1" x14ac:dyDescent="0.25">
      <c r="A373" t="s">
        <v>159</v>
      </c>
      <c r="B373" t="s">
        <v>86</v>
      </c>
      <c r="C373" t="s">
        <v>51</v>
      </c>
      <c r="F373" t="s">
        <v>1301</v>
      </c>
      <c r="G373" t="s">
        <v>1566</v>
      </c>
    </row>
    <row r="374" spans="1:7" hidden="1" x14ac:dyDescent="0.25">
      <c r="A374" t="s">
        <v>1569</v>
      </c>
      <c r="B374" t="s">
        <v>86</v>
      </c>
      <c r="C374" t="s">
        <v>51</v>
      </c>
      <c r="F374" t="s">
        <v>1304</v>
      </c>
      <c r="G374" t="s">
        <v>1566</v>
      </c>
    </row>
    <row r="375" spans="1:7" hidden="1" x14ac:dyDescent="0.25">
      <c r="A375" t="s">
        <v>261</v>
      </c>
      <c r="B375" t="s">
        <v>86</v>
      </c>
      <c r="C375" t="s">
        <v>53</v>
      </c>
      <c r="D375">
        <v>1</v>
      </c>
      <c r="F375" t="s">
        <v>1307</v>
      </c>
      <c r="G375" t="s">
        <v>1566</v>
      </c>
    </row>
    <row r="376" spans="1:7" hidden="1" x14ac:dyDescent="0.25">
      <c r="A376" t="s">
        <v>622</v>
      </c>
      <c r="B376" t="s">
        <v>86</v>
      </c>
      <c r="C376" t="s">
        <v>1572</v>
      </c>
      <c r="F376" t="s">
        <v>1310</v>
      </c>
      <c r="G376" t="s">
        <v>1566</v>
      </c>
    </row>
    <row r="377" spans="1:7" hidden="1" x14ac:dyDescent="0.25">
      <c r="A377" t="s">
        <v>4</v>
      </c>
      <c r="B377" t="s">
        <v>8</v>
      </c>
      <c r="F377" t="s">
        <v>1313</v>
      </c>
      <c r="G377" t="s">
        <v>1566</v>
      </c>
    </row>
    <row r="378" spans="1:7" hidden="1" x14ac:dyDescent="0.25">
      <c r="A378" t="s">
        <v>1569</v>
      </c>
      <c r="B378" t="s">
        <v>86</v>
      </c>
      <c r="C378" t="s">
        <v>51</v>
      </c>
      <c r="F378" t="s">
        <v>1316</v>
      </c>
      <c r="G378" t="s">
        <v>1566</v>
      </c>
    </row>
    <row r="379" spans="1:7" hidden="1" x14ac:dyDescent="0.25">
      <c r="A379" t="s">
        <v>261</v>
      </c>
      <c r="B379" t="s">
        <v>86</v>
      </c>
      <c r="C379" t="s">
        <v>53</v>
      </c>
      <c r="D379">
        <v>1</v>
      </c>
      <c r="F379" t="s">
        <v>1319</v>
      </c>
      <c r="G379" t="s">
        <v>1566</v>
      </c>
    </row>
    <row r="380" spans="1:7" hidden="1" x14ac:dyDescent="0.25">
      <c r="A380" t="s">
        <v>622</v>
      </c>
      <c r="B380" t="s">
        <v>86</v>
      </c>
      <c r="C380" t="s">
        <v>1572</v>
      </c>
      <c r="F380" t="s">
        <v>1322</v>
      </c>
      <c r="G380" t="s">
        <v>1566</v>
      </c>
    </row>
    <row r="381" spans="1:7" hidden="1" x14ac:dyDescent="0.25">
      <c r="A381" t="s">
        <v>1569</v>
      </c>
      <c r="B381" t="s">
        <v>86</v>
      </c>
      <c r="C381" t="s">
        <v>51</v>
      </c>
      <c r="F381" t="s">
        <v>1325</v>
      </c>
      <c r="G381" t="s">
        <v>1566</v>
      </c>
    </row>
    <row r="382" spans="1:7" hidden="1" x14ac:dyDescent="0.25">
      <c r="A382" t="s">
        <v>261</v>
      </c>
      <c r="B382" t="s">
        <v>86</v>
      </c>
      <c r="C382" t="s">
        <v>53</v>
      </c>
      <c r="D382">
        <v>1</v>
      </c>
      <c r="F382" t="s">
        <v>1328</v>
      </c>
      <c r="G382" t="s">
        <v>1566</v>
      </c>
    </row>
    <row r="383" spans="1:7" hidden="1" x14ac:dyDescent="0.25">
      <c r="A383" t="s">
        <v>622</v>
      </c>
      <c r="B383" t="s">
        <v>86</v>
      </c>
      <c r="C383" t="s">
        <v>1572</v>
      </c>
      <c r="F383" t="s">
        <v>1331</v>
      </c>
      <c r="G383" t="s">
        <v>1566</v>
      </c>
    </row>
    <row r="384" spans="1:7" hidden="1" x14ac:dyDescent="0.25">
      <c r="A384" t="s">
        <v>4</v>
      </c>
      <c r="B384" t="s">
        <v>1570</v>
      </c>
      <c r="C384" t="s">
        <v>1571</v>
      </c>
      <c r="F384" t="s">
        <v>1334</v>
      </c>
      <c r="G384" t="s">
        <v>1566</v>
      </c>
    </row>
    <row r="385" spans="1:7" hidden="1" x14ac:dyDescent="0.25">
      <c r="A385" t="s">
        <v>4</v>
      </c>
      <c r="B385" t="s">
        <v>1570</v>
      </c>
      <c r="C385" t="s">
        <v>1571</v>
      </c>
      <c r="F385" t="s">
        <v>1337</v>
      </c>
      <c r="G385" t="s">
        <v>1566</v>
      </c>
    </row>
    <row r="386" spans="1:7" hidden="1" x14ac:dyDescent="0.25">
      <c r="A386" t="s">
        <v>159</v>
      </c>
      <c r="B386" t="s">
        <v>86</v>
      </c>
      <c r="C386" t="s">
        <v>60</v>
      </c>
      <c r="E386" t="s">
        <v>1568</v>
      </c>
      <c r="F386" t="s">
        <v>1340</v>
      </c>
      <c r="G386" t="s">
        <v>1566</v>
      </c>
    </row>
    <row r="387" spans="1:7" hidden="1" x14ac:dyDescent="0.25">
      <c r="A387" t="s">
        <v>4</v>
      </c>
      <c r="B387" t="s">
        <v>8</v>
      </c>
      <c r="F387" t="s">
        <v>1343</v>
      </c>
      <c r="G387" t="s">
        <v>1566</v>
      </c>
    </row>
    <row r="388" spans="1:7" hidden="1" x14ac:dyDescent="0.25">
      <c r="A388" t="s">
        <v>1569</v>
      </c>
      <c r="B388" t="s">
        <v>86</v>
      </c>
      <c r="C388" t="s">
        <v>51</v>
      </c>
      <c r="F388" t="s">
        <v>1346</v>
      </c>
      <c r="G388" t="s">
        <v>1566</v>
      </c>
    </row>
    <row r="389" spans="1:7" hidden="1" x14ac:dyDescent="0.25">
      <c r="A389" t="s">
        <v>4</v>
      </c>
      <c r="B389" t="s">
        <v>8</v>
      </c>
      <c r="F389" t="s">
        <v>1349</v>
      </c>
      <c r="G389" t="s">
        <v>1566</v>
      </c>
    </row>
    <row r="390" spans="1:7" hidden="1" x14ac:dyDescent="0.25">
      <c r="A390" t="s">
        <v>622</v>
      </c>
      <c r="B390" t="s">
        <v>86</v>
      </c>
      <c r="C390" t="s">
        <v>51</v>
      </c>
      <c r="F390" t="s">
        <v>1352</v>
      </c>
      <c r="G390" t="s">
        <v>1566</v>
      </c>
    </row>
    <row r="391" spans="1:7" hidden="1" x14ac:dyDescent="0.25">
      <c r="A391" t="s">
        <v>4</v>
      </c>
      <c r="B391" t="s">
        <v>8</v>
      </c>
      <c r="F391" t="s">
        <v>1355</v>
      </c>
      <c r="G391" t="s">
        <v>1566</v>
      </c>
    </row>
    <row r="392" spans="1:7" hidden="1" x14ac:dyDescent="0.25">
      <c r="A392" t="s">
        <v>1569</v>
      </c>
      <c r="B392" t="s">
        <v>56</v>
      </c>
      <c r="C392" t="s">
        <v>51</v>
      </c>
      <c r="F392" t="s">
        <v>1358</v>
      </c>
      <c r="G392" t="s">
        <v>1566</v>
      </c>
    </row>
    <row r="393" spans="1:7" hidden="1" x14ac:dyDescent="0.25">
      <c r="A393" t="s">
        <v>261</v>
      </c>
      <c r="B393" t="s">
        <v>56</v>
      </c>
      <c r="C393" t="s">
        <v>53</v>
      </c>
      <c r="D393">
        <v>3</v>
      </c>
      <c r="F393" t="s">
        <v>1361</v>
      </c>
      <c r="G393" t="s">
        <v>1566</v>
      </c>
    </row>
    <row r="394" spans="1:7" hidden="1" x14ac:dyDescent="0.25">
      <c r="A394" t="s">
        <v>622</v>
      </c>
      <c r="B394" t="s">
        <v>56</v>
      </c>
      <c r="C394" t="s">
        <v>1572</v>
      </c>
      <c r="F394" t="s">
        <v>1364</v>
      </c>
      <c r="G394" t="s">
        <v>1566</v>
      </c>
    </row>
    <row r="395" spans="1:7" hidden="1" x14ac:dyDescent="0.25">
      <c r="A395" t="s">
        <v>505</v>
      </c>
      <c r="B395" t="s">
        <v>503</v>
      </c>
      <c r="C395" t="s">
        <v>58</v>
      </c>
      <c r="E395" t="s">
        <v>1575</v>
      </c>
      <c r="F395" t="s">
        <v>1367</v>
      </c>
      <c r="G395" t="s">
        <v>1566</v>
      </c>
    </row>
    <row r="396" spans="1:7" hidden="1" x14ac:dyDescent="0.25">
      <c r="A396" t="s">
        <v>505</v>
      </c>
      <c r="B396" t="s">
        <v>503</v>
      </c>
      <c r="C396" t="s">
        <v>58</v>
      </c>
      <c r="E396" t="s">
        <v>1575</v>
      </c>
      <c r="F396" t="s">
        <v>1370</v>
      </c>
      <c r="G396" t="s">
        <v>1566</v>
      </c>
    </row>
    <row r="397" spans="1:7" hidden="1" x14ac:dyDescent="0.25">
      <c r="A397" t="s">
        <v>505</v>
      </c>
      <c r="B397" t="s">
        <v>503</v>
      </c>
      <c r="C397" t="s">
        <v>58</v>
      </c>
      <c r="E397" t="s">
        <v>1575</v>
      </c>
      <c r="F397" t="s">
        <v>1373</v>
      </c>
      <c r="G397" t="s">
        <v>1566</v>
      </c>
    </row>
    <row r="398" spans="1:7" hidden="1" x14ac:dyDescent="0.25">
      <c r="A398" t="s">
        <v>505</v>
      </c>
      <c r="B398" t="s">
        <v>503</v>
      </c>
      <c r="C398" t="s">
        <v>58</v>
      </c>
      <c r="E398" t="s">
        <v>1575</v>
      </c>
      <c r="F398" t="s">
        <v>1376</v>
      </c>
      <c r="G398" t="s">
        <v>1566</v>
      </c>
    </row>
    <row r="399" spans="1:7" hidden="1" x14ac:dyDescent="0.25">
      <c r="A399" t="s">
        <v>4</v>
      </c>
      <c r="B399" t="s">
        <v>8</v>
      </c>
      <c r="F399" t="s">
        <v>1379</v>
      </c>
      <c r="G399" t="s">
        <v>1566</v>
      </c>
    </row>
    <row r="400" spans="1:7" hidden="1" x14ac:dyDescent="0.25">
      <c r="A400" t="s">
        <v>505</v>
      </c>
      <c r="B400" t="s">
        <v>1573</v>
      </c>
      <c r="C400" t="s">
        <v>58</v>
      </c>
      <c r="E400" t="s">
        <v>1574</v>
      </c>
      <c r="F400" t="s">
        <v>1382</v>
      </c>
      <c r="G400" t="s">
        <v>1566</v>
      </c>
    </row>
    <row r="401" spans="1:7" hidden="1" x14ac:dyDescent="0.25">
      <c r="A401" t="s">
        <v>505</v>
      </c>
      <c r="B401" t="s">
        <v>1573</v>
      </c>
      <c r="C401" t="s">
        <v>58</v>
      </c>
      <c r="E401" t="s">
        <v>1574</v>
      </c>
      <c r="F401" t="s">
        <v>1385</v>
      </c>
      <c r="G401" t="s">
        <v>1566</v>
      </c>
    </row>
    <row r="402" spans="1:7" hidden="1" x14ac:dyDescent="0.25">
      <c r="A402" t="s">
        <v>505</v>
      </c>
      <c r="B402" t="s">
        <v>1573</v>
      </c>
      <c r="C402" t="s">
        <v>58</v>
      </c>
      <c r="E402" t="s">
        <v>1574</v>
      </c>
      <c r="F402" t="s">
        <v>1388</v>
      </c>
      <c r="G402" t="s">
        <v>1566</v>
      </c>
    </row>
    <row r="403" spans="1:7" hidden="1" x14ac:dyDescent="0.25">
      <c r="A403" t="s">
        <v>505</v>
      </c>
      <c r="B403" t="s">
        <v>503</v>
      </c>
      <c r="C403" t="s">
        <v>58</v>
      </c>
      <c r="E403" t="s">
        <v>1575</v>
      </c>
      <c r="F403" t="s">
        <v>1391</v>
      </c>
      <c r="G403" t="s">
        <v>1566</v>
      </c>
    </row>
    <row r="404" spans="1:7" hidden="1" x14ac:dyDescent="0.25">
      <c r="A404" t="s">
        <v>505</v>
      </c>
      <c r="B404" t="s">
        <v>503</v>
      </c>
      <c r="C404" t="s">
        <v>58</v>
      </c>
      <c r="E404" t="s">
        <v>1575</v>
      </c>
      <c r="F404" t="s">
        <v>1394</v>
      </c>
      <c r="G404" t="s">
        <v>1566</v>
      </c>
    </row>
    <row r="405" spans="1:7" hidden="1" x14ac:dyDescent="0.25">
      <c r="A405" t="s">
        <v>505</v>
      </c>
      <c r="B405" t="s">
        <v>503</v>
      </c>
      <c r="C405" t="s">
        <v>58</v>
      </c>
      <c r="E405" t="s">
        <v>1575</v>
      </c>
      <c r="F405" t="s">
        <v>1395</v>
      </c>
      <c r="G405" t="s">
        <v>1566</v>
      </c>
    </row>
    <row r="406" spans="1:7" hidden="1" x14ac:dyDescent="0.25">
      <c r="A406" t="s">
        <v>4</v>
      </c>
      <c r="B406" t="s">
        <v>8</v>
      </c>
      <c r="E406" t="s">
        <v>5</v>
      </c>
      <c r="F406" t="s">
        <v>1398</v>
      </c>
      <c r="G406" t="s">
        <v>1566</v>
      </c>
    </row>
    <row r="407" spans="1:7" hidden="1" x14ac:dyDescent="0.25">
      <c r="A407" t="s">
        <v>4</v>
      </c>
      <c r="B407" t="s">
        <v>8</v>
      </c>
      <c r="F407" t="s">
        <v>1401</v>
      </c>
      <c r="G407" t="s">
        <v>1566</v>
      </c>
    </row>
    <row r="408" spans="1:7" hidden="1" x14ac:dyDescent="0.25">
      <c r="A408" t="s">
        <v>261</v>
      </c>
      <c r="B408" t="s">
        <v>86</v>
      </c>
      <c r="C408" t="s">
        <v>1069</v>
      </c>
      <c r="F408" t="s">
        <v>1404</v>
      </c>
      <c r="G408" t="s">
        <v>1566</v>
      </c>
    </row>
    <row r="409" spans="1:7" hidden="1" x14ac:dyDescent="0.25">
      <c r="A409" t="s">
        <v>261</v>
      </c>
      <c r="B409" t="s">
        <v>86</v>
      </c>
      <c r="C409" t="s">
        <v>1067</v>
      </c>
      <c r="F409" t="s">
        <v>1407</v>
      </c>
      <c r="G409" t="s">
        <v>1566</v>
      </c>
    </row>
    <row r="410" spans="1:7" hidden="1" x14ac:dyDescent="0.25">
      <c r="A410" t="s">
        <v>505</v>
      </c>
      <c r="B410" t="s">
        <v>86</v>
      </c>
      <c r="C410" t="s">
        <v>1576</v>
      </c>
      <c r="E410" t="s">
        <v>1575</v>
      </c>
      <c r="F410" t="s">
        <v>1410</v>
      </c>
      <c r="G410" t="s">
        <v>1566</v>
      </c>
    </row>
    <row r="411" spans="1:7" hidden="1" x14ac:dyDescent="0.25">
      <c r="A411" t="s">
        <v>1578</v>
      </c>
      <c r="B411" t="s">
        <v>86</v>
      </c>
      <c r="C411" t="s">
        <v>1577</v>
      </c>
      <c r="F411" t="s">
        <v>1413</v>
      </c>
      <c r="G411" t="s">
        <v>1566</v>
      </c>
    </row>
    <row r="412" spans="1:7" hidden="1" x14ac:dyDescent="0.25">
      <c r="A412" t="s">
        <v>1569</v>
      </c>
      <c r="B412" t="s">
        <v>63</v>
      </c>
      <c r="C412" t="s">
        <v>51</v>
      </c>
      <c r="F412" t="s">
        <v>1416</v>
      </c>
      <c r="G412" t="s">
        <v>1566</v>
      </c>
    </row>
    <row r="413" spans="1:7" hidden="1" x14ac:dyDescent="0.25">
      <c r="A413" t="s">
        <v>261</v>
      </c>
      <c r="B413" t="s">
        <v>63</v>
      </c>
      <c r="C413" t="s">
        <v>58</v>
      </c>
      <c r="E413" t="s">
        <v>1583</v>
      </c>
      <c r="F413" t="s">
        <v>1419</v>
      </c>
      <c r="G413" t="s">
        <v>1566</v>
      </c>
    </row>
    <row r="414" spans="1:7" hidden="1" x14ac:dyDescent="0.25">
      <c r="A414" t="s">
        <v>1962</v>
      </c>
      <c r="B414" t="s">
        <v>63</v>
      </c>
      <c r="C414" t="s">
        <v>58</v>
      </c>
      <c r="E414" t="s">
        <v>1583</v>
      </c>
      <c r="F414" t="s">
        <v>1422</v>
      </c>
      <c r="G414" t="s">
        <v>1566</v>
      </c>
    </row>
    <row r="415" spans="1:7" hidden="1" x14ac:dyDescent="0.25">
      <c r="A415" t="s">
        <v>1962</v>
      </c>
      <c r="B415" t="s">
        <v>63</v>
      </c>
      <c r="C415" t="s">
        <v>58</v>
      </c>
      <c r="E415" t="s">
        <v>1583</v>
      </c>
      <c r="F415" t="s">
        <v>1425</v>
      </c>
      <c r="G415" t="s">
        <v>1566</v>
      </c>
    </row>
    <row r="416" spans="1:7" hidden="1" x14ac:dyDescent="0.25">
      <c r="A416" t="s">
        <v>622</v>
      </c>
      <c r="B416" t="s">
        <v>63</v>
      </c>
      <c r="C416" t="s">
        <v>58</v>
      </c>
      <c r="F416" t="s">
        <v>1428</v>
      </c>
      <c r="G416" t="s">
        <v>1566</v>
      </c>
    </row>
    <row r="417" spans="1:7" hidden="1" x14ac:dyDescent="0.25">
      <c r="A417" t="s">
        <v>1569</v>
      </c>
      <c r="B417" t="s">
        <v>55</v>
      </c>
      <c r="C417" t="s">
        <v>51</v>
      </c>
      <c r="F417" t="s">
        <v>1431</v>
      </c>
      <c r="G417" t="s">
        <v>1566</v>
      </c>
    </row>
    <row r="418" spans="1:7" hidden="1" x14ac:dyDescent="0.25">
      <c r="A418" t="s">
        <v>261</v>
      </c>
      <c r="B418" t="s">
        <v>55</v>
      </c>
      <c r="C418" t="s">
        <v>1580</v>
      </c>
      <c r="E418" t="s">
        <v>1581</v>
      </c>
      <c r="F418" t="s">
        <v>1434</v>
      </c>
      <c r="G418" t="s">
        <v>1566</v>
      </c>
    </row>
    <row r="419" spans="1:7" hidden="1" x14ac:dyDescent="0.25">
      <c r="A419" t="s">
        <v>1579</v>
      </c>
      <c r="B419" t="s">
        <v>55</v>
      </c>
      <c r="C419" t="s">
        <v>1580</v>
      </c>
      <c r="E419" t="s">
        <v>1581</v>
      </c>
      <c r="F419" t="s">
        <v>1437</v>
      </c>
      <c r="G419" t="s">
        <v>1566</v>
      </c>
    </row>
    <row r="420" spans="1:7" hidden="1" x14ac:dyDescent="0.25">
      <c r="A420" t="s">
        <v>1579</v>
      </c>
      <c r="B420" t="s">
        <v>55</v>
      </c>
      <c r="C420" t="s">
        <v>1580</v>
      </c>
      <c r="E420" t="s">
        <v>1581</v>
      </c>
      <c r="F420" t="s">
        <v>1440</v>
      </c>
      <c r="G420" t="s">
        <v>1566</v>
      </c>
    </row>
    <row r="421" spans="1:7" hidden="1" x14ac:dyDescent="0.25">
      <c r="A421" t="s">
        <v>1579</v>
      </c>
      <c r="B421" t="s">
        <v>55</v>
      </c>
      <c r="C421" t="s">
        <v>1582</v>
      </c>
      <c r="E421" t="s">
        <v>1583</v>
      </c>
      <c r="F421" t="s">
        <v>1443</v>
      </c>
      <c r="G421" t="s">
        <v>1566</v>
      </c>
    </row>
    <row r="422" spans="1:7" hidden="1" x14ac:dyDescent="0.25">
      <c r="A422" t="s">
        <v>1579</v>
      </c>
      <c r="B422" t="s">
        <v>55</v>
      </c>
      <c r="C422" t="s">
        <v>1584</v>
      </c>
      <c r="F422" t="s">
        <v>1446</v>
      </c>
      <c r="G422" t="s">
        <v>1566</v>
      </c>
    </row>
    <row r="423" spans="1:7" hidden="1" x14ac:dyDescent="0.25">
      <c r="A423" t="s">
        <v>1579</v>
      </c>
      <c r="B423" t="s">
        <v>55</v>
      </c>
      <c r="C423" t="s">
        <v>1585</v>
      </c>
      <c r="F423" t="s">
        <v>1449</v>
      </c>
      <c r="G423" t="s">
        <v>1566</v>
      </c>
    </row>
    <row r="424" spans="1:7" hidden="1" x14ac:dyDescent="0.25">
      <c r="A424" t="s">
        <v>622</v>
      </c>
      <c r="B424" t="s">
        <v>55</v>
      </c>
      <c r="C424" t="s">
        <v>1585</v>
      </c>
      <c r="D424">
        <v>6</v>
      </c>
      <c r="E424" t="s">
        <v>1583</v>
      </c>
      <c r="F424" t="s">
        <v>1452</v>
      </c>
      <c r="G424" t="s">
        <v>1566</v>
      </c>
    </row>
    <row r="425" spans="1:7" hidden="1" x14ac:dyDescent="0.25">
      <c r="A425" t="s">
        <v>4</v>
      </c>
      <c r="B425" t="s">
        <v>8</v>
      </c>
      <c r="F425" t="s">
        <v>1455</v>
      </c>
      <c r="G425" t="s">
        <v>1566</v>
      </c>
    </row>
    <row r="426" spans="1:7" hidden="1" x14ac:dyDescent="0.25">
      <c r="A426" t="s">
        <v>159</v>
      </c>
      <c r="B426" t="s">
        <v>86</v>
      </c>
      <c r="C426" t="s">
        <v>60</v>
      </c>
      <c r="E426" t="s">
        <v>1568</v>
      </c>
      <c r="F426" t="s">
        <v>1458</v>
      </c>
      <c r="G426" t="s">
        <v>1566</v>
      </c>
    </row>
    <row r="427" spans="1:7" hidden="1" x14ac:dyDescent="0.25">
      <c r="A427" t="s">
        <v>159</v>
      </c>
      <c r="B427" t="s">
        <v>86</v>
      </c>
      <c r="C427" t="s">
        <v>60</v>
      </c>
      <c r="E427" t="s">
        <v>1568</v>
      </c>
      <c r="F427" t="s">
        <v>1461</v>
      </c>
      <c r="G427" t="s">
        <v>1566</v>
      </c>
    </row>
    <row r="428" spans="1:7" hidden="1" x14ac:dyDescent="0.25">
      <c r="A428" t="s">
        <v>159</v>
      </c>
      <c r="B428" t="s">
        <v>86</v>
      </c>
      <c r="C428" t="s">
        <v>60</v>
      </c>
      <c r="E428" t="s">
        <v>1568</v>
      </c>
      <c r="F428" t="s">
        <v>1464</v>
      </c>
      <c r="G428" t="s">
        <v>1566</v>
      </c>
    </row>
    <row r="429" spans="1:7" hidden="1" x14ac:dyDescent="0.25">
      <c r="A429" t="s">
        <v>159</v>
      </c>
      <c r="B429" t="s">
        <v>86</v>
      </c>
      <c r="C429" t="s">
        <v>60</v>
      </c>
      <c r="E429" t="s">
        <v>1568</v>
      </c>
      <c r="F429" t="s">
        <v>1467</v>
      </c>
      <c r="G429" t="s">
        <v>1566</v>
      </c>
    </row>
    <row r="430" spans="1:7" hidden="1" x14ac:dyDescent="0.25">
      <c r="A430" t="s">
        <v>159</v>
      </c>
      <c r="B430" t="s">
        <v>86</v>
      </c>
      <c r="C430" t="s">
        <v>1584</v>
      </c>
      <c r="E430" t="s">
        <v>1568</v>
      </c>
      <c r="F430" t="s">
        <v>1470</v>
      </c>
      <c r="G430" t="s">
        <v>1566</v>
      </c>
    </row>
    <row r="431" spans="1:7" hidden="1" x14ac:dyDescent="0.25">
      <c r="A431" t="s">
        <v>4</v>
      </c>
      <c r="B431" t="s">
        <v>8</v>
      </c>
      <c r="F431" t="s">
        <v>1473</v>
      </c>
      <c r="G431" t="s">
        <v>1566</v>
      </c>
    </row>
    <row r="432" spans="1:7" hidden="1" x14ac:dyDescent="0.25">
      <c r="A432" t="s">
        <v>1586</v>
      </c>
      <c r="F432" t="s">
        <v>1476</v>
      </c>
      <c r="G432" t="s">
        <v>1566</v>
      </c>
    </row>
    <row r="433" spans="1:7" hidden="1" x14ac:dyDescent="0.25">
      <c r="A433" t="s">
        <v>505</v>
      </c>
      <c r="B433" t="s">
        <v>503</v>
      </c>
      <c r="C433" t="s">
        <v>1587</v>
      </c>
      <c r="F433" t="s">
        <v>1479</v>
      </c>
      <c r="G433" t="s">
        <v>1566</v>
      </c>
    </row>
    <row r="434" spans="1:7" hidden="1" x14ac:dyDescent="0.25">
      <c r="A434" t="s">
        <v>1569</v>
      </c>
      <c r="B434" t="s">
        <v>70</v>
      </c>
      <c r="C434" t="s">
        <v>51</v>
      </c>
      <c r="F434" t="s">
        <v>1482</v>
      </c>
      <c r="G434" t="s">
        <v>1566</v>
      </c>
    </row>
    <row r="435" spans="1:7" hidden="1" x14ac:dyDescent="0.25">
      <c r="A435" t="s">
        <v>438</v>
      </c>
      <c r="B435" t="s">
        <v>70</v>
      </c>
      <c r="C435" t="s">
        <v>58</v>
      </c>
      <c r="E435" t="s">
        <v>1583</v>
      </c>
      <c r="F435" t="s">
        <v>1485</v>
      </c>
      <c r="G435" t="s">
        <v>1566</v>
      </c>
    </row>
    <row r="436" spans="1:7" hidden="1" x14ac:dyDescent="0.25">
      <c r="A436" t="s">
        <v>438</v>
      </c>
      <c r="B436" t="s">
        <v>70</v>
      </c>
      <c r="C436" t="s">
        <v>58</v>
      </c>
      <c r="E436" t="s">
        <v>1583</v>
      </c>
      <c r="F436" t="s">
        <v>1488</v>
      </c>
      <c r="G436" t="s">
        <v>1566</v>
      </c>
    </row>
    <row r="437" spans="1:7" hidden="1" x14ac:dyDescent="0.25">
      <c r="A437" t="s">
        <v>4</v>
      </c>
      <c r="B437" t="s">
        <v>8</v>
      </c>
      <c r="F437" t="s">
        <v>1491</v>
      </c>
      <c r="G437" t="s">
        <v>1566</v>
      </c>
    </row>
    <row r="438" spans="1:7" hidden="1" x14ac:dyDescent="0.25">
      <c r="A438" t="s">
        <v>159</v>
      </c>
      <c r="B438" t="s">
        <v>86</v>
      </c>
      <c r="C438" t="s">
        <v>60</v>
      </c>
      <c r="E438" t="s">
        <v>1568</v>
      </c>
      <c r="F438" t="s">
        <v>1494</v>
      </c>
      <c r="G438" t="s">
        <v>1566</v>
      </c>
    </row>
    <row r="439" spans="1:7" hidden="1" x14ac:dyDescent="0.25">
      <c r="A439" t="s">
        <v>4</v>
      </c>
      <c r="B439" t="s">
        <v>8</v>
      </c>
      <c r="E439" t="s">
        <v>1588</v>
      </c>
      <c r="F439" t="s">
        <v>1497</v>
      </c>
      <c r="G439" t="s">
        <v>1566</v>
      </c>
    </row>
    <row r="440" spans="1:7" hidden="1" x14ac:dyDescent="0.25">
      <c r="A440" t="s">
        <v>4</v>
      </c>
      <c r="B440" t="s">
        <v>8</v>
      </c>
      <c r="E440" t="s">
        <v>5</v>
      </c>
      <c r="F440" t="s">
        <v>1500</v>
      </c>
      <c r="G440" t="s">
        <v>1566</v>
      </c>
    </row>
    <row r="441" spans="1:7" hidden="1" x14ac:dyDescent="0.25">
      <c r="A441" t="s">
        <v>1586</v>
      </c>
      <c r="F441" t="s">
        <v>1503</v>
      </c>
      <c r="G441" t="s">
        <v>1566</v>
      </c>
    </row>
    <row r="442" spans="1:7" hidden="1" x14ac:dyDescent="0.25">
      <c r="A442" t="s">
        <v>159</v>
      </c>
      <c r="B442" t="s">
        <v>86</v>
      </c>
      <c r="C442" t="s">
        <v>200</v>
      </c>
      <c r="F442" t="s">
        <v>1506</v>
      </c>
      <c r="G442" t="s">
        <v>1566</v>
      </c>
    </row>
    <row r="443" spans="1:7" hidden="1" x14ac:dyDescent="0.25">
      <c r="A443" t="s">
        <v>159</v>
      </c>
      <c r="B443" t="s">
        <v>86</v>
      </c>
      <c r="C443" t="s">
        <v>200</v>
      </c>
      <c r="F443" t="s">
        <v>1509</v>
      </c>
      <c r="G443" t="s">
        <v>1566</v>
      </c>
    </row>
    <row r="444" spans="1:7" hidden="1" x14ac:dyDescent="0.25">
      <c r="A444" t="s">
        <v>159</v>
      </c>
      <c r="B444" t="s">
        <v>86</v>
      </c>
      <c r="C444" t="s">
        <v>200</v>
      </c>
      <c r="F444" t="s">
        <v>1512</v>
      </c>
      <c r="G444" t="s">
        <v>1566</v>
      </c>
    </row>
    <row r="445" spans="1:7" hidden="1" x14ac:dyDescent="0.25">
      <c r="A445" t="s">
        <v>4</v>
      </c>
      <c r="B445" t="s">
        <v>8</v>
      </c>
      <c r="F445" t="s">
        <v>1515</v>
      </c>
      <c r="G445" t="s">
        <v>1566</v>
      </c>
    </row>
    <row r="446" spans="1:7" hidden="1" x14ac:dyDescent="0.25">
      <c r="A446" t="s">
        <v>159</v>
      </c>
      <c r="B446" t="s">
        <v>86</v>
      </c>
      <c r="C446" t="s">
        <v>60</v>
      </c>
      <c r="F446" t="s">
        <v>1518</v>
      </c>
      <c r="G446" t="s">
        <v>1566</v>
      </c>
    </row>
    <row r="447" spans="1:7" hidden="1" x14ac:dyDescent="0.25">
      <c r="A447" t="s">
        <v>159</v>
      </c>
      <c r="B447" t="s">
        <v>86</v>
      </c>
      <c r="C447" t="s">
        <v>200</v>
      </c>
      <c r="F447" t="s">
        <v>1521</v>
      </c>
      <c r="G447" t="s">
        <v>1566</v>
      </c>
    </row>
    <row r="448" spans="1:7" hidden="1" x14ac:dyDescent="0.25">
      <c r="A448" t="s">
        <v>159</v>
      </c>
      <c r="B448" t="s">
        <v>86</v>
      </c>
      <c r="C448" t="s">
        <v>200</v>
      </c>
      <c r="F448" t="s">
        <v>1524</v>
      </c>
      <c r="G448" t="s">
        <v>1566</v>
      </c>
    </row>
    <row r="449" spans="1:7" hidden="1" x14ac:dyDescent="0.25">
      <c r="A449" t="s">
        <v>159</v>
      </c>
      <c r="B449" t="s">
        <v>86</v>
      </c>
      <c r="C449" t="s">
        <v>200</v>
      </c>
      <c r="F449" t="s">
        <v>1527</v>
      </c>
      <c r="G449" t="s">
        <v>1566</v>
      </c>
    </row>
    <row r="450" spans="1:7" hidden="1" x14ac:dyDescent="0.25">
      <c r="A450" t="s">
        <v>159</v>
      </c>
      <c r="B450" t="s">
        <v>86</v>
      </c>
      <c r="C450" t="s">
        <v>87</v>
      </c>
      <c r="E450" t="s">
        <v>1589</v>
      </c>
      <c r="F450" t="s">
        <v>1530</v>
      </c>
      <c r="G450" t="s">
        <v>1566</v>
      </c>
    </row>
    <row r="451" spans="1:7" hidden="1" x14ac:dyDescent="0.25">
      <c r="A451" t="s">
        <v>1586</v>
      </c>
      <c r="F451" t="s">
        <v>1533</v>
      </c>
      <c r="G451" t="s">
        <v>1566</v>
      </c>
    </row>
    <row r="452" spans="1:7" hidden="1" x14ac:dyDescent="0.25">
      <c r="A452" t="s">
        <v>4</v>
      </c>
      <c r="B452" t="s">
        <v>8</v>
      </c>
      <c r="E452" t="s">
        <v>1588</v>
      </c>
      <c r="F452" t="s">
        <v>1536</v>
      </c>
      <c r="G452" t="s">
        <v>1566</v>
      </c>
    </row>
    <row r="453" spans="1:7" hidden="1" x14ac:dyDescent="0.25">
      <c r="A453" t="s">
        <v>4</v>
      </c>
      <c r="B453" t="s">
        <v>8</v>
      </c>
      <c r="E453" t="s">
        <v>5</v>
      </c>
      <c r="F453" t="s">
        <v>1539</v>
      </c>
      <c r="G453" t="s">
        <v>1566</v>
      </c>
    </row>
    <row r="454" spans="1:7" hidden="1" x14ac:dyDescent="0.25">
      <c r="A454" t="s">
        <v>1586</v>
      </c>
      <c r="F454" t="s">
        <v>1542</v>
      </c>
      <c r="G454" t="s">
        <v>1566</v>
      </c>
    </row>
    <row r="455" spans="1:7" hidden="1" x14ac:dyDescent="0.25">
      <c r="A455" t="s">
        <v>4</v>
      </c>
      <c r="B455" t="s">
        <v>8</v>
      </c>
      <c r="F455" t="s">
        <v>1545</v>
      </c>
      <c r="G455" t="s">
        <v>1566</v>
      </c>
    </row>
    <row r="456" spans="1:7" hidden="1" x14ac:dyDescent="0.25">
      <c r="A456" t="s">
        <v>4</v>
      </c>
      <c r="B456" t="s">
        <v>8</v>
      </c>
      <c r="E456" t="s">
        <v>1588</v>
      </c>
      <c r="F456" t="s">
        <v>1548</v>
      </c>
      <c r="G456" t="s">
        <v>1566</v>
      </c>
    </row>
    <row r="457" spans="1:7" hidden="1" x14ac:dyDescent="0.25">
      <c r="A457" t="s">
        <v>4</v>
      </c>
      <c r="B457" t="s">
        <v>8</v>
      </c>
      <c r="E457" t="s">
        <v>5</v>
      </c>
      <c r="F457" t="s">
        <v>1551</v>
      </c>
      <c r="G457" t="s">
        <v>1566</v>
      </c>
    </row>
    <row r="458" spans="1:7" hidden="1" x14ac:dyDescent="0.25">
      <c r="A458" t="s">
        <v>1586</v>
      </c>
      <c r="F458" t="s">
        <v>1554</v>
      </c>
      <c r="G458" t="s">
        <v>1566</v>
      </c>
    </row>
    <row r="459" spans="1:7" hidden="1" x14ac:dyDescent="0.25">
      <c r="A459" t="s">
        <v>4</v>
      </c>
      <c r="B459" t="s">
        <v>8</v>
      </c>
      <c r="F459" t="s">
        <v>1557</v>
      </c>
      <c r="G459" t="s">
        <v>1566</v>
      </c>
    </row>
    <row r="460" spans="1:7" hidden="1" x14ac:dyDescent="0.25">
      <c r="A460" t="s">
        <v>4</v>
      </c>
      <c r="B460" t="s">
        <v>8</v>
      </c>
      <c r="E460" t="s">
        <v>1588</v>
      </c>
      <c r="F460" t="s">
        <v>1560</v>
      </c>
      <c r="G460" t="s">
        <v>1566</v>
      </c>
    </row>
    <row r="461" spans="1:7" hidden="1" x14ac:dyDescent="0.25">
      <c r="A461" s="1" t="s">
        <v>1586</v>
      </c>
      <c r="B461" s="1"/>
      <c r="C461" s="1"/>
      <c r="D461" s="1"/>
      <c r="E461" s="1"/>
      <c r="F461" s="1" t="s">
        <v>1563</v>
      </c>
      <c r="G461" s="1" t="s">
        <v>1566</v>
      </c>
    </row>
    <row r="462" spans="1:7" hidden="1" x14ac:dyDescent="0.25">
      <c r="A462" t="s">
        <v>4</v>
      </c>
      <c r="B462" t="s">
        <v>8</v>
      </c>
      <c r="E462" t="s">
        <v>5</v>
      </c>
      <c r="F462" t="s">
        <v>1590</v>
      </c>
      <c r="G462" t="s">
        <v>1780</v>
      </c>
    </row>
    <row r="463" spans="1:7" hidden="1" x14ac:dyDescent="0.25">
      <c r="A463" t="s">
        <v>159</v>
      </c>
      <c r="B463" t="s">
        <v>86</v>
      </c>
      <c r="C463" t="s">
        <v>60</v>
      </c>
      <c r="F463" t="s">
        <v>1594</v>
      </c>
      <c r="G463" t="s">
        <v>1780</v>
      </c>
    </row>
    <row r="464" spans="1:7" hidden="1" x14ac:dyDescent="0.25">
      <c r="A464" t="s">
        <v>1782</v>
      </c>
      <c r="B464" t="s">
        <v>86</v>
      </c>
      <c r="C464" t="s">
        <v>60</v>
      </c>
      <c r="E464" t="s">
        <v>1781</v>
      </c>
      <c r="F464" t="s">
        <v>1597</v>
      </c>
      <c r="G464" t="s">
        <v>1780</v>
      </c>
    </row>
    <row r="465" spans="1:7" hidden="1" x14ac:dyDescent="0.25">
      <c r="A465" t="s">
        <v>159</v>
      </c>
      <c r="B465" t="s">
        <v>86</v>
      </c>
      <c r="C465" t="s">
        <v>60</v>
      </c>
      <c r="F465" t="s">
        <v>1600</v>
      </c>
      <c r="G465" t="s">
        <v>1780</v>
      </c>
    </row>
    <row r="466" spans="1:7" hidden="1" x14ac:dyDescent="0.25">
      <c r="A466" t="s">
        <v>1782</v>
      </c>
      <c r="B466" t="s">
        <v>86</v>
      </c>
      <c r="C466" t="s">
        <v>60</v>
      </c>
      <c r="F466" t="s">
        <v>1603</v>
      </c>
      <c r="G466" t="s">
        <v>1780</v>
      </c>
    </row>
    <row r="467" spans="1:7" hidden="1" x14ac:dyDescent="0.25">
      <c r="A467" t="s">
        <v>1782</v>
      </c>
      <c r="B467" t="s">
        <v>86</v>
      </c>
      <c r="C467" t="s">
        <v>60</v>
      </c>
      <c r="E467" t="s">
        <v>1781</v>
      </c>
      <c r="F467" t="s">
        <v>1606</v>
      </c>
      <c r="G467" t="s">
        <v>1780</v>
      </c>
    </row>
    <row r="468" spans="1:7" hidden="1" x14ac:dyDescent="0.25">
      <c r="A468" t="s">
        <v>1782</v>
      </c>
      <c r="B468" t="s">
        <v>86</v>
      </c>
      <c r="C468" t="s">
        <v>60</v>
      </c>
      <c r="F468" t="s">
        <v>1609</v>
      </c>
      <c r="G468" t="s">
        <v>1780</v>
      </c>
    </row>
    <row r="469" spans="1:7" hidden="1" x14ac:dyDescent="0.25">
      <c r="A469" t="s">
        <v>1782</v>
      </c>
      <c r="B469" t="s">
        <v>86</v>
      </c>
      <c r="C469" t="s">
        <v>60</v>
      </c>
      <c r="E469" t="s">
        <v>1781</v>
      </c>
      <c r="F469" t="s">
        <v>1612</v>
      </c>
      <c r="G469" t="s">
        <v>1780</v>
      </c>
    </row>
    <row r="470" spans="1:7" hidden="1" x14ac:dyDescent="0.25">
      <c r="A470" t="s">
        <v>159</v>
      </c>
      <c r="B470" t="s">
        <v>86</v>
      </c>
      <c r="C470" t="s">
        <v>60</v>
      </c>
      <c r="F470" t="s">
        <v>1615</v>
      </c>
      <c r="G470" t="s">
        <v>1780</v>
      </c>
    </row>
    <row r="471" spans="1:7" hidden="1" x14ac:dyDescent="0.25">
      <c r="A471" t="s">
        <v>1782</v>
      </c>
      <c r="B471" t="s">
        <v>86</v>
      </c>
      <c r="C471" t="s">
        <v>60</v>
      </c>
      <c r="F471" t="s">
        <v>1618</v>
      </c>
      <c r="G471" t="s">
        <v>1780</v>
      </c>
    </row>
    <row r="472" spans="1:7" hidden="1" x14ac:dyDescent="0.25">
      <c r="A472" t="s">
        <v>1782</v>
      </c>
      <c r="B472" t="s">
        <v>86</v>
      </c>
      <c r="C472" t="s">
        <v>60</v>
      </c>
      <c r="E472" t="s">
        <v>1781</v>
      </c>
      <c r="F472" t="s">
        <v>1621</v>
      </c>
      <c r="G472" t="s">
        <v>1780</v>
      </c>
    </row>
    <row r="473" spans="1:7" hidden="1" x14ac:dyDescent="0.25">
      <c r="A473" t="s">
        <v>159</v>
      </c>
      <c r="B473" t="s">
        <v>86</v>
      </c>
      <c r="C473" t="s">
        <v>60</v>
      </c>
      <c r="F473" t="s">
        <v>1624</v>
      </c>
      <c r="G473" t="s">
        <v>1780</v>
      </c>
    </row>
    <row r="474" spans="1:7" hidden="1" x14ac:dyDescent="0.25">
      <c r="A474" t="s">
        <v>1782</v>
      </c>
      <c r="B474" t="s">
        <v>86</v>
      </c>
      <c r="C474" t="s">
        <v>60</v>
      </c>
      <c r="E474" t="s">
        <v>1781</v>
      </c>
      <c r="F474" t="s">
        <v>1627</v>
      </c>
      <c r="G474" t="s">
        <v>1780</v>
      </c>
    </row>
    <row r="475" spans="1:7" hidden="1" x14ac:dyDescent="0.25">
      <c r="A475" t="s">
        <v>159</v>
      </c>
      <c r="B475" t="s">
        <v>86</v>
      </c>
      <c r="C475" t="s">
        <v>60</v>
      </c>
      <c r="F475" t="s">
        <v>1630</v>
      </c>
      <c r="G475" t="s">
        <v>1780</v>
      </c>
    </row>
    <row r="476" spans="1:7" hidden="1" x14ac:dyDescent="0.25">
      <c r="A476" t="s">
        <v>1782</v>
      </c>
      <c r="B476" t="s">
        <v>86</v>
      </c>
      <c r="C476" t="s">
        <v>60</v>
      </c>
      <c r="E476" t="s">
        <v>1781</v>
      </c>
      <c r="F476" t="s">
        <v>1633</v>
      </c>
      <c r="G476" t="s">
        <v>1780</v>
      </c>
    </row>
    <row r="477" spans="1:7" hidden="1" x14ac:dyDescent="0.25">
      <c r="A477" t="s">
        <v>159</v>
      </c>
      <c r="B477" t="s">
        <v>86</v>
      </c>
      <c r="C477" t="s">
        <v>53</v>
      </c>
      <c r="E477" t="s">
        <v>1781</v>
      </c>
      <c r="F477" t="s">
        <v>1636</v>
      </c>
      <c r="G477" t="s">
        <v>1780</v>
      </c>
    </row>
    <row r="478" spans="1:7" hidden="1" x14ac:dyDescent="0.25">
      <c r="A478" t="s">
        <v>1569</v>
      </c>
      <c r="B478" t="s">
        <v>55</v>
      </c>
      <c r="C478" t="s">
        <v>58</v>
      </c>
      <c r="F478" t="s">
        <v>1639</v>
      </c>
      <c r="G478" t="s">
        <v>1780</v>
      </c>
    </row>
    <row r="479" spans="1:7" hidden="1" x14ac:dyDescent="0.25">
      <c r="A479" t="s">
        <v>262</v>
      </c>
      <c r="B479" t="s">
        <v>55</v>
      </c>
      <c r="C479" t="s">
        <v>58</v>
      </c>
      <c r="F479" t="s">
        <v>1642</v>
      </c>
      <c r="G479" t="s">
        <v>1780</v>
      </c>
    </row>
    <row r="480" spans="1:7" hidden="1" x14ac:dyDescent="0.25">
      <c r="A480" t="s">
        <v>1783</v>
      </c>
      <c r="B480" t="s">
        <v>55</v>
      </c>
      <c r="C480" t="s">
        <v>58</v>
      </c>
      <c r="F480" t="s">
        <v>1645</v>
      </c>
      <c r="G480" t="s">
        <v>1780</v>
      </c>
    </row>
    <row r="481" spans="1:7" hidden="1" x14ac:dyDescent="0.25">
      <c r="A481" t="s">
        <v>1783</v>
      </c>
      <c r="B481" t="s">
        <v>55</v>
      </c>
      <c r="C481" t="s">
        <v>58</v>
      </c>
      <c r="F481" t="s">
        <v>1648</v>
      </c>
      <c r="G481" t="s">
        <v>1780</v>
      </c>
    </row>
    <row r="482" spans="1:7" hidden="1" x14ac:dyDescent="0.25">
      <c r="A482" t="s">
        <v>1783</v>
      </c>
      <c r="B482" t="s">
        <v>55</v>
      </c>
      <c r="C482" t="s">
        <v>58</v>
      </c>
      <c r="F482" t="s">
        <v>1651</v>
      </c>
      <c r="G482" t="s">
        <v>1780</v>
      </c>
    </row>
    <row r="483" spans="1:7" hidden="1" x14ac:dyDescent="0.25">
      <c r="A483" t="s">
        <v>1783</v>
      </c>
      <c r="B483" t="s">
        <v>55</v>
      </c>
      <c r="C483" t="s">
        <v>58</v>
      </c>
      <c r="F483" t="s">
        <v>1654</v>
      </c>
      <c r="G483" t="s">
        <v>1780</v>
      </c>
    </row>
    <row r="484" spans="1:7" hidden="1" x14ac:dyDescent="0.25">
      <c r="A484" t="s">
        <v>1784</v>
      </c>
      <c r="B484" t="s">
        <v>55</v>
      </c>
      <c r="F484" t="s">
        <v>1657</v>
      </c>
      <c r="G484" t="s">
        <v>1780</v>
      </c>
    </row>
    <row r="485" spans="1:7" hidden="1" x14ac:dyDescent="0.25">
      <c r="A485" t="s">
        <v>262</v>
      </c>
      <c r="B485" t="s">
        <v>55</v>
      </c>
      <c r="C485" t="s">
        <v>58</v>
      </c>
      <c r="F485" t="s">
        <v>1660</v>
      </c>
      <c r="G485" t="s">
        <v>1780</v>
      </c>
    </row>
    <row r="486" spans="1:7" hidden="1" x14ac:dyDescent="0.25">
      <c r="A486" t="s">
        <v>1783</v>
      </c>
      <c r="B486" t="s">
        <v>55</v>
      </c>
      <c r="C486" t="s">
        <v>58</v>
      </c>
      <c r="F486" t="s">
        <v>1663</v>
      </c>
      <c r="G486" t="s">
        <v>1780</v>
      </c>
    </row>
    <row r="487" spans="1:7" hidden="1" x14ac:dyDescent="0.25">
      <c r="A487" t="s">
        <v>1783</v>
      </c>
      <c r="B487" t="s">
        <v>55</v>
      </c>
      <c r="C487" t="s">
        <v>58</v>
      </c>
      <c r="F487" t="s">
        <v>1666</v>
      </c>
      <c r="G487" t="s">
        <v>1780</v>
      </c>
    </row>
    <row r="488" spans="1:7" hidden="1" x14ac:dyDescent="0.25">
      <c r="A488" t="s">
        <v>4</v>
      </c>
      <c r="B488" t="s">
        <v>8</v>
      </c>
      <c r="E488" t="s">
        <v>1588</v>
      </c>
      <c r="F488" t="s">
        <v>1669</v>
      </c>
      <c r="G488" t="s">
        <v>1780</v>
      </c>
    </row>
    <row r="489" spans="1:7" hidden="1" x14ac:dyDescent="0.25">
      <c r="A489" t="s">
        <v>4</v>
      </c>
      <c r="B489" t="s">
        <v>8</v>
      </c>
      <c r="E489" t="s">
        <v>5</v>
      </c>
      <c r="F489" t="s">
        <v>1672</v>
      </c>
      <c r="G489" t="s">
        <v>1780</v>
      </c>
    </row>
    <row r="490" spans="1:7" hidden="1" x14ac:dyDescent="0.25">
      <c r="A490" t="s">
        <v>159</v>
      </c>
      <c r="B490" t="s">
        <v>86</v>
      </c>
      <c r="C490" t="s">
        <v>1069</v>
      </c>
      <c r="F490" t="s">
        <v>1675</v>
      </c>
      <c r="G490" t="s">
        <v>1780</v>
      </c>
    </row>
    <row r="491" spans="1:7" hidden="1" x14ac:dyDescent="0.25">
      <c r="A491" t="s">
        <v>1782</v>
      </c>
      <c r="B491" t="s">
        <v>86</v>
      </c>
      <c r="C491" t="s">
        <v>1069</v>
      </c>
      <c r="E491" t="s">
        <v>1781</v>
      </c>
      <c r="F491" t="s">
        <v>1678</v>
      </c>
      <c r="G491" t="s">
        <v>1780</v>
      </c>
    </row>
    <row r="492" spans="1:7" hidden="1" x14ac:dyDescent="0.25">
      <c r="A492" t="s">
        <v>4</v>
      </c>
      <c r="B492" t="s">
        <v>8</v>
      </c>
      <c r="F492" t="s">
        <v>1681</v>
      </c>
      <c r="G492" t="s">
        <v>1780</v>
      </c>
    </row>
    <row r="493" spans="1:7" hidden="1" x14ac:dyDescent="0.25">
      <c r="A493" t="s">
        <v>1578</v>
      </c>
      <c r="B493" t="s">
        <v>86</v>
      </c>
      <c r="C493" t="s">
        <v>60</v>
      </c>
      <c r="F493" t="s">
        <v>1684</v>
      </c>
      <c r="G493" t="s">
        <v>1780</v>
      </c>
    </row>
    <row r="494" spans="1:7" hidden="1" x14ac:dyDescent="0.25">
      <c r="A494" t="s">
        <v>1578</v>
      </c>
      <c r="B494" t="s">
        <v>86</v>
      </c>
      <c r="C494" t="s">
        <v>60</v>
      </c>
      <c r="F494" t="s">
        <v>1687</v>
      </c>
      <c r="G494" t="s">
        <v>1780</v>
      </c>
    </row>
    <row r="495" spans="1:7" hidden="1" x14ac:dyDescent="0.25">
      <c r="A495" t="s">
        <v>1578</v>
      </c>
      <c r="B495" t="s">
        <v>86</v>
      </c>
      <c r="C495" t="s">
        <v>60</v>
      </c>
      <c r="F495" t="s">
        <v>1690</v>
      </c>
      <c r="G495" t="s">
        <v>1780</v>
      </c>
    </row>
    <row r="496" spans="1:7" hidden="1" x14ac:dyDescent="0.25">
      <c r="A496" t="s">
        <v>1578</v>
      </c>
      <c r="B496" t="s">
        <v>86</v>
      </c>
      <c r="C496" t="s">
        <v>60</v>
      </c>
      <c r="F496" t="s">
        <v>1693</v>
      </c>
      <c r="G496" t="s">
        <v>1780</v>
      </c>
    </row>
    <row r="497" spans="1:7" hidden="1" x14ac:dyDescent="0.25">
      <c r="A497" t="s">
        <v>1578</v>
      </c>
      <c r="B497" t="s">
        <v>86</v>
      </c>
      <c r="C497" t="s">
        <v>60</v>
      </c>
      <c r="F497" t="s">
        <v>1696</v>
      </c>
      <c r="G497" t="s">
        <v>1780</v>
      </c>
    </row>
    <row r="498" spans="1:7" hidden="1" x14ac:dyDescent="0.25">
      <c r="A498" t="s">
        <v>4</v>
      </c>
      <c r="B498" t="s">
        <v>8</v>
      </c>
      <c r="F498" t="s">
        <v>1699</v>
      </c>
      <c r="G498" t="s">
        <v>1780</v>
      </c>
    </row>
    <row r="499" spans="1:7" hidden="1" x14ac:dyDescent="0.25">
      <c r="A499" t="s">
        <v>4</v>
      </c>
      <c r="B499" t="s">
        <v>8</v>
      </c>
      <c r="E499" t="s">
        <v>1588</v>
      </c>
      <c r="F499" t="s">
        <v>1702</v>
      </c>
      <c r="G499" t="s">
        <v>1780</v>
      </c>
    </row>
    <row r="500" spans="1:7" hidden="1" x14ac:dyDescent="0.25">
      <c r="A500" t="s">
        <v>4</v>
      </c>
      <c r="B500" t="s">
        <v>8</v>
      </c>
      <c r="E500" t="s">
        <v>5</v>
      </c>
      <c r="F500" t="s">
        <v>1705</v>
      </c>
      <c r="G500" t="s">
        <v>1780</v>
      </c>
    </row>
    <row r="501" spans="1:7" hidden="1" x14ac:dyDescent="0.25">
      <c r="A501" t="s">
        <v>261</v>
      </c>
      <c r="B501" t="s">
        <v>86</v>
      </c>
      <c r="C501" t="s">
        <v>60</v>
      </c>
      <c r="E501" t="s">
        <v>1785</v>
      </c>
      <c r="F501" t="s">
        <v>1708</v>
      </c>
      <c r="G501" t="s">
        <v>1780</v>
      </c>
    </row>
    <row r="502" spans="1:7" hidden="1" x14ac:dyDescent="0.25">
      <c r="A502" t="s">
        <v>1569</v>
      </c>
      <c r="B502" t="s">
        <v>66</v>
      </c>
      <c r="C502" t="s">
        <v>69</v>
      </c>
      <c r="F502" t="s">
        <v>1711</v>
      </c>
      <c r="G502" t="s">
        <v>1780</v>
      </c>
    </row>
    <row r="503" spans="1:7" hidden="1" x14ac:dyDescent="0.25">
      <c r="A503" t="s">
        <v>262</v>
      </c>
      <c r="B503" t="s">
        <v>66</v>
      </c>
      <c r="C503" t="s">
        <v>69</v>
      </c>
      <c r="F503" t="s">
        <v>1714</v>
      </c>
      <c r="G503" t="s">
        <v>1780</v>
      </c>
    </row>
    <row r="504" spans="1:7" hidden="1" x14ac:dyDescent="0.25">
      <c r="A504" t="s">
        <v>622</v>
      </c>
      <c r="B504" t="s">
        <v>66</v>
      </c>
      <c r="C504" t="s">
        <v>51</v>
      </c>
      <c r="F504" t="s">
        <v>1717</v>
      </c>
      <c r="G504" t="s">
        <v>1780</v>
      </c>
    </row>
    <row r="505" spans="1:7" hidden="1" x14ac:dyDescent="0.25">
      <c r="A505" t="s">
        <v>4</v>
      </c>
      <c r="B505" t="s">
        <v>8</v>
      </c>
      <c r="E505" t="s">
        <v>1588</v>
      </c>
      <c r="F505" t="s">
        <v>1720</v>
      </c>
      <c r="G505" t="s">
        <v>1780</v>
      </c>
    </row>
    <row r="506" spans="1:7" hidden="1" x14ac:dyDescent="0.25">
      <c r="A506" t="s">
        <v>4</v>
      </c>
      <c r="B506" t="s">
        <v>8</v>
      </c>
      <c r="E506" t="s">
        <v>5</v>
      </c>
      <c r="F506" t="s">
        <v>1723</v>
      </c>
      <c r="G506" t="s">
        <v>1780</v>
      </c>
    </row>
    <row r="507" spans="1:7" hidden="1" x14ac:dyDescent="0.25">
      <c r="A507" t="s">
        <v>4</v>
      </c>
      <c r="B507" t="s">
        <v>70</v>
      </c>
      <c r="E507" t="s">
        <v>1786</v>
      </c>
      <c r="F507" t="s">
        <v>1726</v>
      </c>
      <c r="G507" t="s">
        <v>1780</v>
      </c>
    </row>
    <row r="508" spans="1:7" hidden="1" x14ac:dyDescent="0.25">
      <c r="A508" t="s">
        <v>4</v>
      </c>
      <c r="B508" t="s">
        <v>86</v>
      </c>
      <c r="E508" t="s">
        <v>1787</v>
      </c>
      <c r="F508" t="s">
        <v>1729</v>
      </c>
      <c r="G508" t="s">
        <v>1780</v>
      </c>
    </row>
    <row r="509" spans="1:7" hidden="1" x14ac:dyDescent="0.25">
      <c r="A509" t="s">
        <v>159</v>
      </c>
      <c r="B509" t="s">
        <v>86</v>
      </c>
      <c r="C509" t="s">
        <v>500</v>
      </c>
      <c r="F509" t="s">
        <v>1732</v>
      </c>
      <c r="G509" t="s">
        <v>1780</v>
      </c>
    </row>
    <row r="510" spans="1:7" hidden="1" x14ac:dyDescent="0.25">
      <c r="A510" t="s">
        <v>4</v>
      </c>
      <c r="B510" t="s">
        <v>8</v>
      </c>
      <c r="E510" t="s">
        <v>1588</v>
      </c>
      <c r="F510" t="s">
        <v>1735</v>
      </c>
      <c r="G510" t="s">
        <v>1780</v>
      </c>
    </row>
    <row r="511" spans="1:7" hidden="1" x14ac:dyDescent="0.25">
      <c r="A511" t="s">
        <v>4</v>
      </c>
      <c r="B511" t="s">
        <v>8</v>
      </c>
      <c r="E511" t="s">
        <v>5</v>
      </c>
      <c r="F511" t="s">
        <v>1738</v>
      </c>
      <c r="G511" t="s">
        <v>1780</v>
      </c>
    </row>
    <row r="512" spans="1:7" hidden="1" x14ac:dyDescent="0.25">
      <c r="A512" t="s">
        <v>159</v>
      </c>
      <c r="B512" t="s">
        <v>86</v>
      </c>
      <c r="C512" t="s">
        <v>200</v>
      </c>
      <c r="F512" t="s">
        <v>1741</v>
      </c>
      <c r="G512" t="s">
        <v>1780</v>
      </c>
    </row>
    <row r="513" spans="1:7" hidden="1" x14ac:dyDescent="0.25">
      <c r="A513" t="s">
        <v>1782</v>
      </c>
      <c r="B513" t="s">
        <v>86</v>
      </c>
      <c r="E513" t="s">
        <v>1781</v>
      </c>
      <c r="F513" t="s">
        <v>1744</v>
      </c>
      <c r="G513" t="s">
        <v>1780</v>
      </c>
    </row>
    <row r="514" spans="1:7" hidden="1" x14ac:dyDescent="0.25">
      <c r="A514" t="s">
        <v>159</v>
      </c>
      <c r="B514" t="s">
        <v>86</v>
      </c>
      <c r="C514" t="s">
        <v>200</v>
      </c>
      <c r="E514" t="s">
        <v>1781</v>
      </c>
      <c r="F514" t="s">
        <v>1747</v>
      </c>
      <c r="G514" t="s">
        <v>1780</v>
      </c>
    </row>
    <row r="515" spans="1:7" hidden="1" x14ac:dyDescent="0.25">
      <c r="A515" t="s">
        <v>4</v>
      </c>
      <c r="B515" t="s">
        <v>8</v>
      </c>
      <c r="F515" t="s">
        <v>1750</v>
      </c>
      <c r="G515" t="s">
        <v>1780</v>
      </c>
    </row>
    <row r="516" spans="1:7" hidden="1" x14ac:dyDescent="0.25">
      <c r="A516" t="s">
        <v>159</v>
      </c>
      <c r="B516" t="s">
        <v>86</v>
      </c>
      <c r="C516" t="s">
        <v>200</v>
      </c>
      <c r="E516" t="s">
        <v>1788</v>
      </c>
      <c r="F516" t="s">
        <v>1753</v>
      </c>
      <c r="G516" t="s">
        <v>1780</v>
      </c>
    </row>
    <row r="517" spans="1:7" hidden="1" x14ac:dyDescent="0.25">
      <c r="A517" t="s">
        <v>159</v>
      </c>
      <c r="B517" t="s">
        <v>86</v>
      </c>
      <c r="C517" t="s">
        <v>200</v>
      </c>
      <c r="E517" t="s">
        <v>1788</v>
      </c>
      <c r="F517" t="s">
        <v>1756</v>
      </c>
      <c r="G517" t="s">
        <v>1780</v>
      </c>
    </row>
    <row r="518" spans="1:7" hidden="1" x14ac:dyDescent="0.25">
      <c r="A518" t="s">
        <v>4</v>
      </c>
      <c r="B518" t="s">
        <v>8</v>
      </c>
      <c r="E518" t="s">
        <v>1588</v>
      </c>
      <c r="F518" t="s">
        <v>1759</v>
      </c>
      <c r="G518" t="s">
        <v>1780</v>
      </c>
    </row>
    <row r="519" spans="1:7" hidden="1" x14ac:dyDescent="0.25">
      <c r="A519" t="s">
        <v>4</v>
      </c>
      <c r="B519" t="s">
        <v>8</v>
      </c>
      <c r="E519" t="s">
        <v>5</v>
      </c>
      <c r="F519" t="s">
        <v>1762</v>
      </c>
      <c r="G519" t="s">
        <v>1780</v>
      </c>
    </row>
    <row r="520" spans="1:7" hidden="1" x14ac:dyDescent="0.25">
      <c r="A520" t="s">
        <v>4</v>
      </c>
      <c r="B520" t="s">
        <v>8</v>
      </c>
      <c r="F520" t="s">
        <v>1765</v>
      </c>
      <c r="G520" t="s">
        <v>1780</v>
      </c>
    </row>
    <row r="521" spans="1:7" hidden="1" x14ac:dyDescent="0.25">
      <c r="A521" t="s">
        <v>4</v>
      </c>
      <c r="B521" t="s">
        <v>8</v>
      </c>
      <c r="E521" t="s">
        <v>1588</v>
      </c>
      <c r="F521" t="s">
        <v>1768</v>
      </c>
      <c r="G521" t="s">
        <v>1780</v>
      </c>
    </row>
    <row r="522" spans="1:7" hidden="1" x14ac:dyDescent="0.25">
      <c r="A522" t="s">
        <v>4</v>
      </c>
      <c r="B522" t="s">
        <v>8</v>
      </c>
      <c r="E522" t="s">
        <v>5</v>
      </c>
      <c r="F522" t="s">
        <v>1771</v>
      </c>
      <c r="G522" t="s">
        <v>1780</v>
      </c>
    </row>
    <row r="523" spans="1:7" hidden="1" x14ac:dyDescent="0.25">
      <c r="A523" t="s">
        <v>4</v>
      </c>
      <c r="B523" t="s">
        <v>8</v>
      </c>
      <c r="F523" t="s">
        <v>1774</v>
      </c>
      <c r="G523" t="s">
        <v>1780</v>
      </c>
    </row>
    <row r="524" spans="1:7" hidden="1" x14ac:dyDescent="0.25">
      <c r="A524" t="s">
        <v>4</v>
      </c>
      <c r="B524" t="s">
        <v>8</v>
      </c>
      <c r="E524" t="s">
        <v>1588</v>
      </c>
      <c r="F524" t="s">
        <v>1777</v>
      </c>
      <c r="G524" t="s">
        <v>1780</v>
      </c>
    </row>
    <row r="525" spans="1:7" hidden="1" x14ac:dyDescent="0.25">
      <c r="A525" t="s">
        <v>4</v>
      </c>
      <c r="B525" t="s">
        <v>8</v>
      </c>
      <c r="E525" t="s">
        <v>5</v>
      </c>
      <c r="F525" t="s">
        <v>1789</v>
      </c>
      <c r="G525" t="s">
        <v>1897</v>
      </c>
    </row>
    <row r="526" spans="1:7" hidden="1" x14ac:dyDescent="0.25">
      <c r="A526" t="s">
        <v>4</v>
      </c>
      <c r="B526" t="s">
        <v>8</v>
      </c>
      <c r="F526" t="s">
        <v>1792</v>
      </c>
      <c r="G526" t="s">
        <v>1897</v>
      </c>
    </row>
    <row r="527" spans="1:7" hidden="1" x14ac:dyDescent="0.25">
      <c r="A527" t="s">
        <v>4</v>
      </c>
      <c r="B527" t="s">
        <v>8</v>
      </c>
      <c r="F527" t="s">
        <v>1795</v>
      </c>
      <c r="G527" t="s">
        <v>1897</v>
      </c>
    </row>
    <row r="528" spans="1:7" hidden="1" x14ac:dyDescent="0.25">
      <c r="A528" t="s">
        <v>4</v>
      </c>
      <c r="B528" t="s">
        <v>1898</v>
      </c>
      <c r="F528" t="s">
        <v>1798</v>
      </c>
      <c r="G528" t="s">
        <v>1897</v>
      </c>
    </row>
    <row r="529" spans="1:7" hidden="1" x14ac:dyDescent="0.25">
      <c r="A529" t="s">
        <v>4</v>
      </c>
      <c r="B529" t="s">
        <v>8</v>
      </c>
      <c r="F529" t="s">
        <v>1801</v>
      </c>
      <c r="G529" t="s">
        <v>1897</v>
      </c>
    </row>
    <row r="530" spans="1:7" hidden="1" x14ac:dyDescent="0.25">
      <c r="A530" t="s">
        <v>4</v>
      </c>
      <c r="B530" t="s">
        <v>8</v>
      </c>
      <c r="F530" t="s">
        <v>1804</v>
      </c>
      <c r="G530" t="s">
        <v>1897</v>
      </c>
    </row>
    <row r="531" spans="1:7" hidden="1" x14ac:dyDescent="0.25">
      <c r="A531" t="s">
        <v>4</v>
      </c>
      <c r="B531" t="s">
        <v>21</v>
      </c>
      <c r="F531" t="s">
        <v>1807</v>
      </c>
      <c r="G531" t="s">
        <v>1897</v>
      </c>
    </row>
    <row r="532" spans="1:7" hidden="1" x14ac:dyDescent="0.25">
      <c r="A532" t="s">
        <v>4</v>
      </c>
      <c r="B532" t="s">
        <v>8</v>
      </c>
      <c r="F532" t="s">
        <v>1810</v>
      </c>
      <c r="G532" t="s">
        <v>1897</v>
      </c>
    </row>
    <row r="533" spans="1:7" hidden="1" x14ac:dyDescent="0.25">
      <c r="A533" t="s">
        <v>4</v>
      </c>
      <c r="B533" t="s">
        <v>8</v>
      </c>
      <c r="F533" t="s">
        <v>1813</v>
      </c>
      <c r="G533" t="s">
        <v>1897</v>
      </c>
    </row>
    <row r="534" spans="1:7" hidden="1" x14ac:dyDescent="0.25">
      <c r="A534" t="s">
        <v>4</v>
      </c>
      <c r="B534" t="s">
        <v>8</v>
      </c>
      <c r="E534" t="s">
        <v>1588</v>
      </c>
      <c r="F534" t="s">
        <v>1816</v>
      </c>
      <c r="G534" t="s">
        <v>1897</v>
      </c>
    </row>
    <row r="535" spans="1:7" hidden="1" x14ac:dyDescent="0.25">
      <c r="A535" t="s">
        <v>4</v>
      </c>
      <c r="B535" t="s">
        <v>1899</v>
      </c>
      <c r="F535" t="s">
        <v>1819</v>
      </c>
      <c r="G535" t="s">
        <v>1897</v>
      </c>
    </row>
    <row r="536" spans="1:7" hidden="1" x14ac:dyDescent="0.25">
      <c r="A536" t="s">
        <v>4</v>
      </c>
      <c r="B536" t="s">
        <v>1899</v>
      </c>
      <c r="F536" t="s">
        <v>1822</v>
      </c>
      <c r="G536" t="s">
        <v>1897</v>
      </c>
    </row>
    <row r="537" spans="1:7" hidden="1" x14ac:dyDescent="0.25">
      <c r="A537" t="s">
        <v>4</v>
      </c>
      <c r="B537" t="s">
        <v>8</v>
      </c>
      <c r="E537" t="s">
        <v>5</v>
      </c>
      <c r="F537" t="s">
        <v>1825</v>
      </c>
      <c r="G537" t="s">
        <v>1897</v>
      </c>
    </row>
    <row r="538" spans="1:7" hidden="1" x14ac:dyDescent="0.25">
      <c r="A538" t="s">
        <v>4</v>
      </c>
      <c r="B538" t="s">
        <v>8</v>
      </c>
      <c r="F538" t="s">
        <v>1828</v>
      </c>
      <c r="G538" t="s">
        <v>1897</v>
      </c>
    </row>
    <row r="539" spans="1:7" hidden="1" x14ac:dyDescent="0.25">
      <c r="A539" t="s">
        <v>4</v>
      </c>
      <c r="B539" t="s">
        <v>8</v>
      </c>
      <c r="F539" t="s">
        <v>1831</v>
      </c>
      <c r="G539" t="s">
        <v>1897</v>
      </c>
    </row>
    <row r="540" spans="1:7" hidden="1" x14ac:dyDescent="0.25">
      <c r="A540" t="s">
        <v>4</v>
      </c>
      <c r="B540" t="s">
        <v>8</v>
      </c>
      <c r="F540" t="s">
        <v>1834</v>
      </c>
      <c r="G540" t="s">
        <v>1897</v>
      </c>
    </row>
    <row r="541" spans="1:7" hidden="1" x14ac:dyDescent="0.25">
      <c r="A541" t="s">
        <v>4</v>
      </c>
      <c r="B541" t="s">
        <v>8</v>
      </c>
      <c r="E541" t="s">
        <v>1588</v>
      </c>
      <c r="F541" t="s">
        <v>1837</v>
      </c>
      <c r="G541" t="s">
        <v>1897</v>
      </c>
    </row>
    <row r="542" spans="1:7" hidden="1" x14ac:dyDescent="0.25">
      <c r="A542" t="s">
        <v>4</v>
      </c>
      <c r="B542" t="s">
        <v>8</v>
      </c>
      <c r="F542" t="s">
        <v>1840</v>
      </c>
      <c r="G542" t="s">
        <v>1897</v>
      </c>
    </row>
    <row r="543" spans="1:7" hidden="1" x14ac:dyDescent="0.25">
      <c r="A543" t="s">
        <v>4</v>
      </c>
      <c r="B543" t="s">
        <v>8</v>
      </c>
      <c r="F543" t="s">
        <v>1843</v>
      </c>
      <c r="G543" t="s">
        <v>1897</v>
      </c>
    </row>
    <row r="544" spans="1:7" hidden="1" x14ac:dyDescent="0.25">
      <c r="A544" t="s">
        <v>4</v>
      </c>
      <c r="B544" t="s">
        <v>21</v>
      </c>
      <c r="F544" t="s">
        <v>1846</v>
      </c>
      <c r="G544" t="s">
        <v>1897</v>
      </c>
    </row>
    <row r="545" spans="1:7" hidden="1" x14ac:dyDescent="0.25">
      <c r="A545" t="s">
        <v>4</v>
      </c>
      <c r="B545" t="s">
        <v>8</v>
      </c>
      <c r="F545" t="s">
        <v>1849</v>
      </c>
      <c r="G545" t="s">
        <v>1897</v>
      </c>
    </row>
    <row r="546" spans="1:7" hidden="1" x14ac:dyDescent="0.25">
      <c r="A546" t="s">
        <v>4</v>
      </c>
      <c r="B546" t="s">
        <v>21</v>
      </c>
      <c r="F546" t="s">
        <v>1852</v>
      </c>
      <c r="G546" t="s">
        <v>1897</v>
      </c>
    </row>
    <row r="547" spans="1:7" hidden="1" x14ac:dyDescent="0.25">
      <c r="A547" t="s">
        <v>4</v>
      </c>
      <c r="B547" t="s">
        <v>8</v>
      </c>
      <c r="F547" t="s">
        <v>1855</v>
      </c>
      <c r="G547" t="s">
        <v>1897</v>
      </c>
    </row>
    <row r="548" spans="1:7" hidden="1" x14ac:dyDescent="0.25">
      <c r="A548" t="s">
        <v>4</v>
      </c>
      <c r="B548" t="s">
        <v>21</v>
      </c>
      <c r="F548" t="s">
        <v>1858</v>
      </c>
      <c r="G548" t="s">
        <v>1897</v>
      </c>
    </row>
    <row r="549" spans="1:7" hidden="1" x14ac:dyDescent="0.25">
      <c r="A549" t="s">
        <v>4</v>
      </c>
      <c r="B549" t="s">
        <v>8</v>
      </c>
      <c r="E549" t="s">
        <v>1588</v>
      </c>
      <c r="F549" t="s">
        <v>1861</v>
      </c>
      <c r="G549" t="s">
        <v>1897</v>
      </c>
    </row>
    <row r="550" spans="1:7" hidden="1" x14ac:dyDescent="0.25">
      <c r="A550" t="s">
        <v>4</v>
      </c>
      <c r="B550" t="s">
        <v>8</v>
      </c>
      <c r="F550" t="s">
        <v>1864</v>
      </c>
      <c r="G550" t="s">
        <v>1897</v>
      </c>
    </row>
    <row r="551" spans="1:7" hidden="1" x14ac:dyDescent="0.25">
      <c r="A551" t="s">
        <v>261</v>
      </c>
      <c r="B551" t="s">
        <v>86</v>
      </c>
      <c r="C551" t="s">
        <v>200</v>
      </c>
      <c r="F551" t="s">
        <v>1867</v>
      </c>
      <c r="G551" t="s">
        <v>1897</v>
      </c>
    </row>
    <row r="552" spans="1:7" hidden="1" x14ac:dyDescent="0.25">
      <c r="A552" t="s">
        <v>261</v>
      </c>
      <c r="B552" t="s">
        <v>86</v>
      </c>
      <c r="C552" t="s">
        <v>200</v>
      </c>
      <c r="F552" t="s">
        <v>1870</v>
      </c>
      <c r="G552" t="s">
        <v>1897</v>
      </c>
    </row>
    <row r="553" spans="1:7" hidden="1" x14ac:dyDescent="0.25">
      <c r="A553" t="s">
        <v>261</v>
      </c>
      <c r="B553" t="s">
        <v>86</v>
      </c>
      <c r="C553" t="s">
        <v>200</v>
      </c>
      <c r="F553" t="s">
        <v>1873</v>
      </c>
      <c r="G553" t="s">
        <v>1897</v>
      </c>
    </row>
    <row r="554" spans="1:7" hidden="1" x14ac:dyDescent="0.25">
      <c r="A554" t="s">
        <v>261</v>
      </c>
      <c r="B554" t="s">
        <v>86</v>
      </c>
      <c r="C554" t="s">
        <v>200</v>
      </c>
      <c r="F554" t="s">
        <v>1876</v>
      </c>
      <c r="G554" t="s">
        <v>1897</v>
      </c>
    </row>
    <row r="555" spans="1:7" hidden="1" x14ac:dyDescent="0.25">
      <c r="A555" t="s">
        <v>4</v>
      </c>
      <c r="B555" t="s">
        <v>8</v>
      </c>
      <c r="E555" t="s">
        <v>1588</v>
      </c>
      <c r="F555" t="s">
        <v>1879</v>
      </c>
      <c r="G555" t="s">
        <v>1897</v>
      </c>
    </row>
    <row r="556" spans="1:7" hidden="1" x14ac:dyDescent="0.25">
      <c r="A556" t="s">
        <v>4</v>
      </c>
      <c r="B556" t="s">
        <v>8</v>
      </c>
      <c r="E556" t="s">
        <v>5</v>
      </c>
      <c r="F556" t="s">
        <v>1882</v>
      </c>
      <c r="G556" t="s">
        <v>1897</v>
      </c>
    </row>
    <row r="557" spans="1:7" hidden="1" x14ac:dyDescent="0.25">
      <c r="A557" t="s">
        <v>4</v>
      </c>
      <c r="B557" t="s">
        <v>8</v>
      </c>
      <c r="E557" t="s">
        <v>1588</v>
      </c>
      <c r="F557" t="s">
        <v>1885</v>
      </c>
      <c r="G557" t="s">
        <v>1897</v>
      </c>
    </row>
    <row r="558" spans="1:7" hidden="1" x14ac:dyDescent="0.25">
      <c r="A558" t="s">
        <v>4</v>
      </c>
      <c r="B558" t="s">
        <v>8</v>
      </c>
      <c r="E558" t="s">
        <v>5</v>
      </c>
      <c r="F558" t="s">
        <v>1888</v>
      </c>
      <c r="G558" t="s">
        <v>1897</v>
      </c>
    </row>
    <row r="559" spans="1:7" hidden="1" x14ac:dyDescent="0.25">
      <c r="A559" t="s">
        <v>4</v>
      </c>
      <c r="B559" t="s">
        <v>8</v>
      </c>
      <c r="F559" t="s">
        <v>1891</v>
      </c>
      <c r="G559" t="s">
        <v>1897</v>
      </c>
    </row>
    <row r="560" spans="1:7" hidden="1" x14ac:dyDescent="0.25">
      <c r="A560" t="s">
        <v>4</v>
      </c>
      <c r="B560" t="s">
        <v>8</v>
      </c>
      <c r="F560" t="s">
        <v>1894</v>
      </c>
      <c r="G560" t="s">
        <v>1897</v>
      </c>
    </row>
    <row r="561" spans="1:7" hidden="1" x14ac:dyDescent="0.25">
      <c r="A561" t="s">
        <v>4</v>
      </c>
      <c r="B561" t="s">
        <v>8</v>
      </c>
      <c r="F561" t="s">
        <v>1900</v>
      </c>
      <c r="G561" t="s">
        <v>1960</v>
      </c>
    </row>
    <row r="562" spans="1:7" hidden="1" x14ac:dyDescent="0.25">
      <c r="A562" t="s">
        <v>4</v>
      </c>
      <c r="B562" t="s">
        <v>8</v>
      </c>
      <c r="F562" t="s">
        <v>1903</v>
      </c>
      <c r="G562" t="s">
        <v>1960</v>
      </c>
    </row>
    <row r="563" spans="1:7" hidden="1" x14ac:dyDescent="0.25">
      <c r="A563" t="s">
        <v>4</v>
      </c>
      <c r="B563" t="s">
        <v>8</v>
      </c>
      <c r="F563" t="s">
        <v>1906</v>
      </c>
      <c r="G563" t="s">
        <v>1960</v>
      </c>
    </row>
    <row r="564" spans="1:7" hidden="1" x14ac:dyDescent="0.25">
      <c r="A564" t="s">
        <v>4</v>
      </c>
      <c r="B564" t="s">
        <v>8</v>
      </c>
      <c r="F564" t="s">
        <v>1909</v>
      </c>
      <c r="G564" t="s">
        <v>1960</v>
      </c>
    </row>
    <row r="565" spans="1:7" hidden="1" x14ac:dyDescent="0.25">
      <c r="A565" t="s">
        <v>4</v>
      </c>
      <c r="B565" t="s">
        <v>8</v>
      </c>
      <c r="F565" t="s">
        <v>1912</v>
      </c>
      <c r="G565" t="s">
        <v>1960</v>
      </c>
    </row>
    <row r="566" spans="1:7" hidden="1" x14ac:dyDescent="0.25">
      <c r="A566" t="s">
        <v>261</v>
      </c>
      <c r="B566" t="s">
        <v>86</v>
      </c>
      <c r="C566" t="s">
        <v>1961</v>
      </c>
      <c r="F566" t="s">
        <v>1915</v>
      </c>
      <c r="G566" t="s">
        <v>1960</v>
      </c>
    </row>
    <row r="567" spans="1:7" hidden="1" x14ac:dyDescent="0.25">
      <c r="A567" t="s">
        <v>1962</v>
      </c>
      <c r="B567" t="s">
        <v>86</v>
      </c>
      <c r="C567" t="s">
        <v>1961</v>
      </c>
      <c r="F567" t="s">
        <v>1918</v>
      </c>
      <c r="G567" t="s">
        <v>1960</v>
      </c>
    </row>
    <row r="568" spans="1:7" hidden="1" x14ac:dyDescent="0.25">
      <c r="A568" t="s">
        <v>1962</v>
      </c>
      <c r="B568" t="s">
        <v>86</v>
      </c>
      <c r="C568" t="s">
        <v>1961</v>
      </c>
      <c r="F568" t="s">
        <v>1921</v>
      </c>
      <c r="G568" t="s">
        <v>1960</v>
      </c>
    </row>
    <row r="569" spans="1:7" hidden="1" x14ac:dyDescent="0.25">
      <c r="A569" t="s">
        <v>4</v>
      </c>
      <c r="B569" t="s">
        <v>8</v>
      </c>
      <c r="F569" t="s">
        <v>1924</v>
      </c>
      <c r="G569" t="s">
        <v>1960</v>
      </c>
    </row>
    <row r="570" spans="1:7" hidden="1" x14ac:dyDescent="0.25">
      <c r="A570" t="s">
        <v>4</v>
      </c>
      <c r="B570" t="s">
        <v>8</v>
      </c>
      <c r="F570" t="s">
        <v>1927</v>
      </c>
      <c r="G570" t="s">
        <v>1960</v>
      </c>
    </row>
    <row r="571" spans="1:7" hidden="1" x14ac:dyDescent="0.25">
      <c r="A571" t="s">
        <v>4</v>
      </c>
      <c r="B571" t="s">
        <v>8</v>
      </c>
      <c r="F571" t="s">
        <v>1930</v>
      </c>
      <c r="G571" t="s">
        <v>1960</v>
      </c>
    </row>
    <row r="572" spans="1:7" hidden="1" x14ac:dyDescent="0.25">
      <c r="A572" t="s">
        <v>4</v>
      </c>
      <c r="B572" t="s">
        <v>8</v>
      </c>
      <c r="F572" t="s">
        <v>1933</v>
      </c>
      <c r="G572" t="s">
        <v>1960</v>
      </c>
    </row>
    <row r="573" spans="1:7" hidden="1" x14ac:dyDescent="0.25">
      <c r="A573" t="s">
        <v>4</v>
      </c>
      <c r="B573" t="s">
        <v>8</v>
      </c>
      <c r="F573" t="s">
        <v>1936</v>
      </c>
      <c r="G573" t="s">
        <v>1960</v>
      </c>
    </row>
    <row r="574" spans="1:7" hidden="1" x14ac:dyDescent="0.25">
      <c r="A574" t="s">
        <v>4</v>
      </c>
      <c r="B574" t="s">
        <v>8</v>
      </c>
      <c r="F574" t="s">
        <v>1939</v>
      </c>
      <c r="G574" t="s">
        <v>1960</v>
      </c>
    </row>
    <row r="575" spans="1:7" hidden="1" x14ac:dyDescent="0.25">
      <c r="A575" t="s">
        <v>4</v>
      </c>
      <c r="B575" t="s">
        <v>8</v>
      </c>
      <c r="F575" t="s">
        <v>1942</v>
      </c>
      <c r="G575" t="s">
        <v>1960</v>
      </c>
    </row>
    <row r="576" spans="1:7" hidden="1" x14ac:dyDescent="0.25">
      <c r="A576" t="s">
        <v>4</v>
      </c>
      <c r="B576" t="s">
        <v>8</v>
      </c>
      <c r="F576" t="s">
        <v>1945</v>
      </c>
      <c r="G576" t="s">
        <v>1960</v>
      </c>
    </row>
    <row r="577" spans="1:7" hidden="1" x14ac:dyDescent="0.25">
      <c r="A577" t="s">
        <v>4</v>
      </c>
      <c r="B577" t="s">
        <v>8</v>
      </c>
      <c r="F577" t="s">
        <v>1948</v>
      </c>
      <c r="G577" t="s">
        <v>1960</v>
      </c>
    </row>
    <row r="578" spans="1:7" hidden="1" x14ac:dyDescent="0.25">
      <c r="A578" t="s">
        <v>4</v>
      </c>
      <c r="B578" t="s">
        <v>8</v>
      </c>
      <c r="F578" t="s">
        <v>1951</v>
      </c>
      <c r="G578" t="s">
        <v>1960</v>
      </c>
    </row>
    <row r="579" spans="1:7" hidden="1" x14ac:dyDescent="0.25">
      <c r="A579" t="s">
        <v>4</v>
      </c>
      <c r="B579" t="s">
        <v>8</v>
      </c>
      <c r="F579" t="s">
        <v>1954</v>
      </c>
      <c r="G579" t="s">
        <v>1960</v>
      </c>
    </row>
    <row r="580" spans="1:7" hidden="1" x14ac:dyDescent="0.25">
      <c r="A580" t="s">
        <v>4</v>
      </c>
      <c r="B580" t="s">
        <v>8</v>
      </c>
      <c r="F580" t="s">
        <v>1957</v>
      </c>
      <c r="G580" t="s">
        <v>1960</v>
      </c>
    </row>
    <row r="581" spans="1:7" hidden="1" x14ac:dyDescent="0.25">
      <c r="A581" t="s">
        <v>91</v>
      </c>
      <c r="B581" t="s">
        <v>56</v>
      </c>
      <c r="C581" t="s">
        <v>1963</v>
      </c>
      <c r="F581" t="s">
        <v>1080</v>
      </c>
      <c r="G581" t="s">
        <v>1074</v>
      </c>
    </row>
    <row r="582" spans="1:7" hidden="1" x14ac:dyDescent="0.25">
      <c r="A582" t="s">
        <v>62</v>
      </c>
      <c r="B582" t="s">
        <v>55</v>
      </c>
      <c r="C582" t="s">
        <v>1963</v>
      </c>
      <c r="F582" t="s">
        <v>1081</v>
      </c>
      <c r="G582" t="s">
        <v>1074</v>
      </c>
    </row>
    <row r="583" spans="1:7" hidden="1" x14ac:dyDescent="0.25">
      <c r="A583" t="s">
        <v>91</v>
      </c>
      <c r="B583" t="s">
        <v>1964</v>
      </c>
      <c r="F583" t="s">
        <v>1082</v>
      </c>
      <c r="G583" t="s">
        <v>1074</v>
      </c>
    </row>
    <row r="584" spans="1:7" hidden="1" x14ac:dyDescent="0.25">
      <c r="A584" t="s">
        <v>62</v>
      </c>
      <c r="B584" t="s">
        <v>1964</v>
      </c>
      <c r="F584" t="s">
        <v>1083</v>
      </c>
      <c r="G584" t="s">
        <v>1074</v>
      </c>
    </row>
    <row r="585" spans="1:7" hidden="1" x14ac:dyDescent="0.25">
      <c r="A585" t="s">
        <v>91</v>
      </c>
      <c r="B585" t="s">
        <v>1965</v>
      </c>
      <c r="F585" t="s">
        <v>1084</v>
      </c>
      <c r="G585" t="s">
        <v>1074</v>
      </c>
    </row>
    <row r="586" spans="1:7" hidden="1" x14ac:dyDescent="0.25">
      <c r="A586" t="s">
        <v>91</v>
      </c>
      <c r="B586" t="s">
        <v>55</v>
      </c>
      <c r="C586" t="s">
        <v>1963</v>
      </c>
      <c r="F586" t="s">
        <v>1085</v>
      </c>
      <c r="G586" t="s">
        <v>1074</v>
      </c>
    </row>
    <row r="587" spans="1:7" hidden="1" x14ac:dyDescent="0.25">
      <c r="A587" t="s">
        <v>62</v>
      </c>
      <c r="B587" t="s">
        <v>1965</v>
      </c>
      <c r="F587" t="s">
        <v>1086</v>
      </c>
      <c r="G587" t="s">
        <v>1074</v>
      </c>
    </row>
    <row r="588" spans="1:7" hidden="1" x14ac:dyDescent="0.25">
      <c r="A588" t="s">
        <v>62</v>
      </c>
      <c r="B588" t="s">
        <v>56</v>
      </c>
      <c r="C588" t="s">
        <v>200</v>
      </c>
      <c r="F588" t="s">
        <v>1966</v>
      </c>
      <c r="G588" t="s">
        <v>1074</v>
      </c>
    </row>
    <row r="589" spans="1:7" hidden="1" x14ac:dyDescent="0.25">
      <c r="A589" t="s">
        <v>4</v>
      </c>
      <c r="B589" t="s">
        <v>8</v>
      </c>
      <c r="E589" t="s">
        <v>1967</v>
      </c>
      <c r="F589" t="s">
        <v>1150</v>
      </c>
      <c r="G589" t="s">
        <v>1075</v>
      </c>
    </row>
    <row r="590" spans="1:7" hidden="1" x14ac:dyDescent="0.25">
      <c r="A590" t="s">
        <v>4</v>
      </c>
      <c r="B590" t="s">
        <v>8</v>
      </c>
      <c r="F590" t="s">
        <v>1153</v>
      </c>
      <c r="G590" t="s">
        <v>1075</v>
      </c>
    </row>
    <row r="591" spans="1:7" hidden="1" x14ac:dyDescent="0.25">
      <c r="A591" t="s">
        <v>4</v>
      </c>
      <c r="B591" t="s">
        <v>8</v>
      </c>
      <c r="E591" t="s">
        <v>1967</v>
      </c>
      <c r="F591" t="s">
        <v>1156</v>
      </c>
      <c r="G591" t="s">
        <v>1075</v>
      </c>
    </row>
    <row r="592" spans="1:7" hidden="1" x14ac:dyDescent="0.25">
      <c r="A592" t="s">
        <v>4</v>
      </c>
      <c r="B592" t="s">
        <v>8</v>
      </c>
      <c r="F592" t="s">
        <v>1159</v>
      </c>
      <c r="G592" t="s">
        <v>1075</v>
      </c>
    </row>
    <row r="593" spans="1:7" x14ac:dyDescent="0.25">
      <c r="A593" t="s">
        <v>4</v>
      </c>
      <c r="B593" t="s">
        <v>8</v>
      </c>
      <c r="F593" t="s">
        <v>1183</v>
      </c>
      <c r="G593" t="s">
        <v>13425</v>
      </c>
    </row>
    <row r="594" spans="1:7" x14ac:dyDescent="0.25">
      <c r="A594" t="s">
        <v>4</v>
      </c>
      <c r="B594" t="s">
        <v>1968</v>
      </c>
      <c r="E594" t="s">
        <v>1969</v>
      </c>
      <c r="F594" t="s">
        <v>1185</v>
      </c>
      <c r="G594" t="s">
        <v>13425</v>
      </c>
    </row>
    <row r="595" spans="1:7" x14ac:dyDescent="0.25">
      <c r="A595" t="s">
        <v>4</v>
      </c>
      <c r="B595" t="s">
        <v>1968</v>
      </c>
      <c r="E595" t="s">
        <v>1970</v>
      </c>
      <c r="F595" t="s">
        <v>1187</v>
      </c>
      <c r="G595" t="s">
        <v>13425</v>
      </c>
    </row>
    <row r="596" spans="1:7" x14ac:dyDescent="0.25">
      <c r="A596" t="s">
        <v>4</v>
      </c>
      <c r="B596" t="s">
        <v>56</v>
      </c>
      <c r="E596" t="s">
        <v>1971</v>
      </c>
      <c r="F596" t="s">
        <v>1189</v>
      </c>
      <c r="G596" t="s">
        <v>13425</v>
      </c>
    </row>
    <row r="597" spans="1:7" x14ac:dyDescent="0.25">
      <c r="A597" t="s">
        <v>4</v>
      </c>
      <c r="B597" t="s">
        <v>8</v>
      </c>
      <c r="F597" t="s">
        <v>1191</v>
      </c>
      <c r="G597" t="s">
        <v>13425</v>
      </c>
    </row>
    <row r="598" spans="1:7" x14ac:dyDescent="0.25">
      <c r="A598" t="s">
        <v>4</v>
      </c>
      <c r="B598" t="s">
        <v>8</v>
      </c>
      <c r="E598" t="s">
        <v>1588</v>
      </c>
      <c r="F598" t="s">
        <v>1193</v>
      </c>
      <c r="G598" t="s">
        <v>13425</v>
      </c>
    </row>
    <row r="599" spans="1:7" x14ac:dyDescent="0.25">
      <c r="A599" t="s">
        <v>4</v>
      </c>
      <c r="B599" t="s">
        <v>8</v>
      </c>
      <c r="E599" t="s">
        <v>1972</v>
      </c>
      <c r="F599" t="s">
        <v>1195</v>
      </c>
      <c r="G599" t="s">
        <v>13425</v>
      </c>
    </row>
    <row r="600" spans="1:7" x14ac:dyDescent="0.25">
      <c r="A600" t="s">
        <v>4</v>
      </c>
      <c r="B600" t="s">
        <v>8</v>
      </c>
      <c r="E600" t="s">
        <v>1967</v>
      </c>
      <c r="F600" t="s">
        <v>1197</v>
      </c>
      <c r="G600" t="s">
        <v>13425</v>
      </c>
    </row>
    <row r="601" spans="1:7" x14ac:dyDescent="0.25">
      <c r="A601" t="s">
        <v>4</v>
      </c>
      <c r="B601" t="s">
        <v>8</v>
      </c>
      <c r="E601" t="s">
        <v>1588</v>
      </c>
      <c r="F601" t="s">
        <v>1199</v>
      </c>
      <c r="G601" t="s">
        <v>13425</v>
      </c>
    </row>
    <row r="602" spans="1:7" hidden="1" x14ac:dyDescent="0.25">
      <c r="A602" t="s">
        <v>4</v>
      </c>
      <c r="B602" t="s">
        <v>8</v>
      </c>
      <c r="E602" t="s">
        <v>1972</v>
      </c>
      <c r="F602" t="s">
        <v>1201</v>
      </c>
      <c r="G602" t="s">
        <v>1076</v>
      </c>
    </row>
    <row r="603" spans="1:7" hidden="1" x14ac:dyDescent="0.25">
      <c r="A603" t="s">
        <v>1569</v>
      </c>
      <c r="B603" t="s">
        <v>56</v>
      </c>
      <c r="C603" t="s">
        <v>1973</v>
      </c>
      <c r="D603">
        <v>1</v>
      </c>
      <c r="F603" t="s">
        <v>1204</v>
      </c>
      <c r="G603" t="s">
        <v>1076</v>
      </c>
    </row>
    <row r="604" spans="1:7" hidden="1" x14ac:dyDescent="0.25">
      <c r="A604" t="s">
        <v>1066</v>
      </c>
      <c r="B604" t="s">
        <v>70</v>
      </c>
      <c r="C604" t="s">
        <v>1973</v>
      </c>
      <c r="E604" t="s">
        <v>1974</v>
      </c>
      <c r="F604" t="s">
        <v>1207</v>
      </c>
      <c r="G604" t="s">
        <v>1076</v>
      </c>
    </row>
    <row r="605" spans="1:7" hidden="1" x14ac:dyDescent="0.25">
      <c r="A605" t="s">
        <v>1975</v>
      </c>
      <c r="B605" t="s">
        <v>70</v>
      </c>
      <c r="C605" t="s">
        <v>1973</v>
      </c>
      <c r="E605" t="s">
        <v>1974</v>
      </c>
      <c r="F605" t="s">
        <v>1210</v>
      </c>
      <c r="G605" t="s">
        <v>1076</v>
      </c>
    </row>
    <row r="606" spans="1:7" hidden="1" x14ac:dyDescent="0.25">
      <c r="A606" t="s">
        <v>622</v>
      </c>
      <c r="B606" t="s">
        <v>70</v>
      </c>
      <c r="C606" t="s">
        <v>1973</v>
      </c>
      <c r="F606" t="s">
        <v>1213</v>
      </c>
      <c r="G606" t="s">
        <v>1076</v>
      </c>
    </row>
    <row r="607" spans="1:7" hidden="1" x14ac:dyDescent="0.25">
      <c r="A607" t="s">
        <v>1569</v>
      </c>
      <c r="B607" t="s">
        <v>1964</v>
      </c>
      <c r="F607" t="s">
        <v>1216</v>
      </c>
      <c r="G607" t="s">
        <v>1076</v>
      </c>
    </row>
    <row r="608" spans="1:7" hidden="1" x14ac:dyDescent="0.25">
      <c r="A608" t="s">
        <v>622</v>
      </c>
      <c r="B608" t="s">
        <v>1964</v>
      </c>
      <c r="F608" t="s">
        <v>1219</v>
      </c>
      <c r="G608" t="s">
        <v>1076</v>
      </c>
    </row>
    <row r="609" spans="1:7" hidden="1" x14ac:dyDescent="0.25">
      <c r="A609" t="s">
        <v>1569</v>
      </c>
      <c r="B609" t="s">
        <v>1965</v>
      </c>
      <c r="F609" t="s">
        <v>1222</v>
      </c>
      <c r="G609" t="s">
        <v>1076</v>
      </c>
    </row>
    <row r="610" spans="1:7" hidden="1" x14ac:dyDescent="0.25">
      <c r="A610" t="s">
        <v>1569</v>
      </c>
      <c r="B610" t="s">
        <v>70</v>
      </c>
      <c r="C610" t="s">
        <v>1973</v>
      </c>
      <c r="F610" t="s">
        <v>1225</v>
      </c>
      <c r="G610" t="s">
        <v>1076</v>
      </c>
    </row>
    <row r="611" spans="1:7" hidden="1" x14ac:dyDescent="0.25">
      <c r="A611" t="s">
        <v>4</v>
      </c>
      <c r="B611" t="s">
        <v>8</v>
      </c>
      <c r="F611" t="s">
        <v>1228</v>
      </c>
      <c r="G611" t="s">
        <v>1076</v>
      </c>
    </row>
    <row r="612" spans="1:7" hidden="1" x14ac:dyDescent="0.25">
      <c r="A612" t="s">
        <v>1976</v>
      </c>
      <c r="B612" t="s">
        <v>56</v>
      </c>
      <c r="F612" t="s">
        <v>1231</v>
      </c>
      <c r="G612" t="s">
        <v>1076</v>
      </c>
    </row>
    <row r="613" spans="1:7" hidden="1" x14ac:dyDescent="0.25">
      <c r="A613" t="s">
        <v>261</v>
      </c>
      <c r="B613" t="s">
        <v>56</v>
      </c>
      <c r="C613" t="s">
        <v>200</v>
      </c>
      <c r="F613" t="s">
        <v>1234</v>
      </c>
      <c r="G613" t="s">
        <v>1076</v>
      </c>
    </row>
    <row r="614" spans="1:7" hidden="1" x14ac:dyDescent="0.25">
      <c r="A614" t="s">
        <v>622</v>
      </c>
      <c r="B614" t="s">
        <v>1965</v>
      </c>
      <c r="F614" t="s">
        <v>1237</v>
      </c>
      <c r="G614" t="s">
        <v>1076</v>
      </c>
    </row>
    <row r="615" spans="1:7" hidden="1" x14ac:dyDescent="0.25">
      <c r="A615" t="s">
        <v>622</v>
      </c>
      <c r="B615" t="s">
        <v>56</v>
      </c>
      <c r="C615" t="s">
        <v>200</v>
      </c>
      <c r="F615" t="s">
        <v>1240</v>
      </c>
      <c r="G615" t="s">
        <v>1076</v>
      </c>
    </row>
    <row r="616" spans="1:7" hidden="1" x14ac:dyDescent="0.25">
      <c r="A616" t="s">
        <v>4</v>
      </c>
      <c r="B616" t="s">
        <v>8</v>
      </c>
      <c r="F616" t="s">
        <v>1243</v>
      </c>
      <c r="G616" t="s">
        <v>1076</v>
      </c>
    </row>
    <row r="617" spans="1:7" hidden="1" x14ac:dyDescent="0.25">
      <c r="A617" t="s">
        <v>4</v>
      </c>
      <c r="B617" t="s">
        <v>8</v>
      </c>
      <c r="E617" t="s">
        <v>1588</v>
      </c>
      <c r="F617" t="s">
        <v>1246</v>
      </c>
      <c r="G617" t="s">
        <v>1076</v>
      </c>
    </row>
    <row r="618" spans="1:7" hidden="1" x14ac:dyDescent="0.25">
      <c r="A618" t="s">
        <v>4</v>
      </c>
      <c r="B618" t="s">
        <v>8</v>
      </c>
      <c r="E618" t="s">
        <v>1972</v>
      </c>
      <c r="F618" t="s">
        <v>1249</v>
      </c>
      <c r="G618" t="s">
        <v>1076</v>
      </c>
    </row>
    <row r="619" spans="1:7" hidden="1" x14ac:dyDescent="0.25">
      <c r="A619" t="s">
        <v>4</v>
      </c>
      <c r="B619" t="s">
        <v>8</v>
      </c>
      <c r="E619" t="s">
        <v>1967</v>
      </c>
      <c r="F619" t="s">
        <v>1252</v>
      </c>
      <c r="G619" t="s">
        <v>1076</v>
      </c>
    </row>
    <row r="620" spans="1:7" hidden="1" x14ac:dyDescent="0.25">
      <c r="A620" t="s">
        <v>4</v>
      </c>
      <c r="B620" t="s">
        <v>8</v>
      </c>
      <c r="E620" t="s">
        <v>1588</v>
      </c>
      <c r="F620" t="s">
        <v>1255</v>
      </c>
      <c r="G620" t="s">
        <v>1076</v>
      </c>
    </row>
    <row r="621" spans="1:7" hidden="1" x14ac:dyDescent="0.25">
      <c r="A621" t="s">
        <v>4</v>
      </c>
      <c r="B621" t="s">
        <v>8</v>
      </c>
      <c r="E621" t="s">
        <v>1588</v>
      </c>
      <c r="F621" t="s">
        <v>1258</v>
      </c>
      <c r="G621" t="s">
        <v>1077</v>
      </c>
    </row>
    <row r="622" spans="1:7" hidden="1" x14ac:dyDescent="0.25">
      <c r="A622" t="s">
        <v>4</v>
      </c>
      <c r="B622" t="s">
        <v>8</v>
      </c>
      <c r="E622" t="s">
        <v>1972</v>
      </c>
      <c r="F622" t="s">
        <v>1261</v>
      </c>
      <c r="G622" t="s">
        <v>1077</v>
      </c>
    </row>
    <row r="623" spans="1:7" hidden="1" x14ac:dyDescent="0.25">
      <c r="A623" t="s">
        <v>4</v>
      </c>
      <c r="B623" t="s">
        <v>1977</v>
      </c>
      <c r="E623" t="s">
        <v>1588</v>
      </c>
      <c r="F623" t="s">
        <v>1264</v>
      </c>
      <c r="G623" t="s">
        <v>1077</v>
      </c>
    </row>
    <row r="624" spans="1:7" hidden="1" x14ac:dyDescent="0.25">
      <c r="A624" t="s">
        <v>4</v>
      </c>
      <c r="B624" t="s">
        <v>8</v>
      </c>
      <c r="E624" t="s">
        <v>1972</v>
      </c>
      <c r="F624" t="s">
        <v>1978</v>
      </c>
      <c r="G624" t="s">
        <v>1078</v>
      </c>
    </row>
    <row r="625" spans="1:7" hidden="1" x14ac:dyDescent="0.25">
      <c r="A625" t="s">
        <v>4</v>
      </c>
      <c r="B625" t="s">
        <v>8</v>
      </c>
      <c r="E625" t="s">
        <v>1967</v>
      </c>
      <c r="F625" t="s">
        <v>1981</v>
      </c>
      <c r="G625" t="s">
        <v>1078</v>
      </c>
    </row>
    <row r="626" spans="1:7" hidden="1" x14ac:dyDescent="0.25">
      <c r="A626" t="s">
        <v>4</v>
      </c>
      <c r="B626" t="s">
        <v>8</v>
      </c>
      <c r="E626" t="s">
        <v>1967</v>
      </c>
      <c r="F626" t="s">
        <v>1984</v>
      </c>
      <c r="G626" t="s">
        <v>1078</v>
      </c>
    </row>
    <row r="627" spans="1:7" hidden="1" x14ac:dyDescent="0.25">
      <c r="A627" t="s">
        <v>4</v>
      </c>
      <c r="B627" t="s">
        <v>8</v>
      </c>
      <c r="F627" t="s">
        <v>1087</v>
      </c>
      <c r="G627" t="s">
        <v>1079</v>
      </c>
    </row>
    <row r="628" spans="1:7" hidden="1" x14ac:dyDescent="0.25">
      <c r="A628" t="s">
        <v>4</v>
      </c>
      <c r="B628" t="s">
        <v>8</v>
      </c>
      <c r="E628" t="s">
        <v>1967</v>
      </c>
      <c r="F628" t="s">
        <v>1090</v>
      </c>
      <c r="G628" t="s">
        <v>1079</v>
      </c>
    </row>
    <row r="629" spans="1:7" hidden="1" x14ac:dyDescent="0.25">
      <c r="A629" t="s">
        <v>4</v>
      </c>
      <c r="B629" t="s">
        <v>8</v>
      </c>
      <c r="F629" t="s">
        <v>1093</v>
      </c>
      <c r="G629" t="s">
        <v>1079</v>
      </c>
    </row>
    <row r="630" spans="1:7" hidden="1" x14ac:dyDescent="0.25">
      <c r="A630" t="s">
        <v>4</v>
      </c>
      <c r="B630" t="s">
        <v>8</v>
      </c>
      <c r="E630" t="s">
        <v>1967</v>
      </c>
      <c r="F630" t="s">
        <v>1096</v>
      </c>
      <c r="G630" t="s">
        <v>1079</v>
      </c>
    </row>
    <row r="631" spans="1:7" hidden="1" x14ac:dyDescent="0.25">
      <c r="A631" t="s">
        <v>4</v>
      </c>
      <c r="B631" t="s">
        <v>8</v>
      </c>
      <c r="F631" t="s">
        <v>1099</v>
      </c>
      <c r="G631" t="s">
        <v>1079</v>
      </c>
    </row>
    <row r="632" spans="1:7" hidden="1" x14ac:dyDescent="0.25">
      <c r="A632" t="s">
        <v>4</v>
      </c>
      <c r="B632" t="s">
        <v>9</v>
      </c>
      <c r="F632" t="s">
        <v>1102</v>
      </c>
      <c r="G632" t="s">
        <v>768</v>
      </c>
    </row>
    <row r="633" spans="1:7" hidden="1" x14ac:dyDescent="0.25">
      <c r="A633" t="s">
        <v>4</v>
      </c>
      <c r="B633" t="s">
        <v>9</v>
      </c>
      <c r="F633" t="s">
        <v>1105</v>
      </c>
      <c r="G633" t="s">
        <v>768</v>
      </c>
    </row>
    <row r="634" spans="1:7" hidden="1" x14ac:dyDescent="0.25">
      <c r="A634" t="s">
        <v>4</v>
      </c>
      <c r="B634" t="s">
        <v>9</v>
      </c>
      <c r="F634" t="s">
        <v>1108</v>
      </c>
      <c r="G634" t="s">
        <v>768</v>
      </c>
    </row>
    <row r="635" spans="1:7" hidden="1" x14ac:dyDescent="0.25">
      <c r="A635" t="s">
        <v>1987</v>
      </c>
      <c r="B635" t="s">
        <v>768</v>
      </c>
      <c r="F635" t="s">
        <v>1111</v>
      </c>
      <c r="G635" t="s">
        <v>768</v>
      </c>
    </row>
    <row r="636" spans="1:7" hidden="1" x14ac:dyDescent="0.25">
      <c r="A636" t="s">
        <v>4</v>
      </c>
      <c r="B636" t="s">
        <v>9</v>
      </c>
      <c r="F636" t="s">
        <v>1114</v>
      </c>
      <c r="G636" t="s">
        <v>768</v>
      </c>
    </row>
    <row r="637" spans="1:7" hidden="1" x14ac:dyDescent="0.25">
      <c r="A637" t="s">
        <v>1987</v>
      </c>
      <c r="B637" t="s">
        <v>768</v>
      </c>
      <c r="F637" t="s">
        <v>1117</v>
      </c>
      <c r="G637" t="s">
        <v>768</v>
      </c>
    </row>
    <row r="638" spans="1:7" hidden="1" x14ac:dyDescent="0.25">
      <c r="A638" t="s">
        <v>1987</v>
      </c>
      <c r="B638" t="s">
        <v>768</v>
      </c>
      <c r="F638" t="s">
        <v>1120</v>
      </c>
      <c r="G638" t="s">
        <v>768</v>
      </c>
    </row>
    <row r="639" spans="1:7" hidden="1" x14ac:dyDescent="0.25">
      <c r="A639" t="s">
        <v>1987</v>
      </c>
      <c r="B639" t="s">
        <v>768</v>
      </c>
      <c r="F639" t="s">
        <v>1123</v>
      </c>
      <c r="G639" t="s">
        <v>768</v>
      </c>
    </row>
    <row r="640" spans="1:7" hidden="1" x14ac:dyDescent="0.25">
      <c r="A640" t="s">
        <v>1987</v>
      </c>
      <c r="B640" t="s">
        <v>768</v>
      </c>
      <c r="F640" t="s">
        <v>1126</v>
      </c>
      <c r="G640" t="s">
        <v>768</v>
      </c>
    </row>
    <row r="641" spans="1:7" hidden="1" x14ac:dyDescent="0.25">
      <c r="A641" t="s">
        <v>4</v>
      </c>
      <c r="B641" t="s">
        <v>9</v>
      </c>
      <c r="E641" t="s">
        <v>2891</v>
      </c>
      <c r="F641" t="s">
        <v>1129</v>
      </c>
      <c r="G641" t="s">
        <v>768</v>
      </c>
    </row>
    <row r="642" spans="1:7" hidden="1" x14ac:dyDescent="0.25">
      <c r="A642" t="s">
        <v>4</v>
      </c>
      <c r="B642" t="s">
        <v>9</v>
      </c>
      <c r="E642" t="s">
        <v>2891</v>
      </c>
      <c r="F642" t="s">
        <v>1132</v>
      </c>
      <c r="G642" t="s">
        <v>768</v>
      </c>
    </row>
    <row r="643" spans="1:7" hidden="1" x14ac:dyDescent="0.25">
      <c r="A643" t="s">
        <v>4</v>
      </c>
      <c r="B643" t="s">
        <v>9</v>
      </c>
      <c r="E643" t="s">
        <v>2891</v>
      </c>
      <c r="F643" t="s">
        <v>1135</v>
      </c>
      <c r="G643" t="s">
        <v>768</v>
      </c>
    </row>
    <row r="644" spans="1:7" hidden="1" x14ac:dyDescent="0.25">
      <c r="A644" t="s">
        <v>4</v>
      </c>
      <c r="B644" t="s">
        <v>9</v>
      </c>
      <c r="E644" t="s">
        <v>2891</v>
      </c>
      <c r="F644" t="s">
        <v>1138</v>
      </c>
      <c r="G644" t="s">
        <v>768</v>
      </c>
    </row>
    <row r="645" spans="1:7" hidden="1" x14ac:dyDescent="0.25">
      <c r="A645" t="s">
        <v>4</v>
      </c>
      <c r="B645" t="s">
        <v>9</v>
      </c>
      <c r="E645" t="s">
        <v>2891</v>
      </c>
      <c r="F645" t="s">
        <v>1141</v>
      </c>
      <c r="G645" t="s">
        <v>768</v>
      </c>
    </row>
    <row r="646" spans="1:7" hidden="1" x14ac:dyDescent="0.25">
      <c r="A646" t="s">
        <v>4</v>
      </c>
      <c r="B646" t="s">
        <v>9</v>
      </c>
      <c r="E646" t="s">
        <v>2891</v>
      </c>
      <c r="F646" t="s">
        <v>1144</v>
      </c>
      <c r="G646" t="s">
        <v>768</v>
      </c>
    </row>
    <row r="647" spans="1:7" hidden="1" x14ac:dyDescent="0.25">
      <c r="A647" t="s">
        <v>4</v>
      </c>
      <c r="B647" t="s">
        <v>9</v>
      </c>
      <c r="E647" t="s">
        <v>2891</v>
      </c>
      <c r="F647" t="s">
        <v>1147</v>
      </c>
      <c r="G647" t="s">
        <v>768</v>
      </c>
    </row>
    <row r="648" spans="1:7" hidden="1" x14ac:dyDescent="0.25">
      <c r="A648" t="s">
        <v>1967</v>
      </c>
      <c r="F648" t="s">
        <v>2012</v>
      </c>
      <c r="G648" t="s">
        <v>1074</v>
      </c>
    </row>
    <row r="649" spans="1:7" hidden="1" x14ac:dyDescent="0.25">
      <c r="A649" t="s">
        <v>64</v>
      </c>
      <c r="B649" t="s">
        <v>70</v>
      </c>
      <c r="C649" t="s">
        <v>51</v>
      </c>
      <c r="F649" t="s">
        <v>2013</v>
      </c>
      <c r="G649" t="s">
        <v>1074</v>
      </c>
    </row>
    <row r="650" spans="1:7" hidden="1" x14ac:dyDescent="0.25">
      <c r="A650" t="s">
        <v>62</v>
      </c>
      <c r="B650" t="s">
        <v>70</v>
      </c>
      <c r="C650" t="s">
        <v>58</v>
      </c>
      <c r="F650" t="s">
        <v>2014</v>
      </c>
      <c r="G650" t="s">
        <v>1074</v>
      </c>
    </row>
    <row r="651" spans="1:7" hidden="1" x14ac:dyDescent="0.25">
      <c r="A651" t="s">
        <v>64</v>
      </c>
      <c r="B651" t="s">
        <v>2875</v>
      </c>
      <c r="C651" t="s">
        <v>2876</v>
      </c>
      <c r="F651" t="s">
        <v>2015</v>
      </c>
      <c r="G651" t="s">
        <v>1074</v>
      </c>
    </row>
    <row r="652" spans="1:7" hidden="1" x14ac:dyDescent="0.25">
      <c r="A652" t="s">
        <v>62</v>
      </c>
      <c r="B652" t="s">
        <v>2875</v>
      </c>
      <c r="C652" t="s">
        <v>2877</v>
      </c>
      <c r="F652" t="s">
        <v>2016</v>
      </c>
      <c r="G652" t="s">
        <v>1074</v>
      </c>
    </row>
    <row r="653" spans="1:7" hidden="1" x14ac:dyDescent="0.25">
      <c r="A653" t="s">
        <v>62</v>
      </c>
      <c r="B653" t="s">
        <v>2878</v>
      </c>
      <c r="C653" t="s">
        <v>58</v>
      </c>
      <c r="F653" t="s">
        <v>2017</v>
      </c>
      <c r="G653" t="s">
        <v>1074</v>
      </c>
    </row>
    <row r="654" spans="1:7" hidden="1" x14ac:dyDescent="0.25">
      <c r="A654" t="s">
        <v>64</v>
      </c>
      <c r="B654" t="s">
        <v>70</v>
      </c>
      <c r="C654" t="s">
        <v>51</v>
      </c>
      <c r="F654" t="s">
        <v>2018</v>
      </c>
      <c r="G654" t="s">
        <v>1074</v>
      </c>
    </row>
    <row r="655" spans="1:7" hidden="1" x14ac:dyDescent="0.25">
      <c r="A655" t="s">
        <v>62</v>
      </c>
      <c r="B655" t="s">
        <v>70</v>
      </c>
      <c r="C655" t="s">
        <v>58</v>
      </c>
      <c r="F655" t="s">
        <v>2019</v>
      </c>
      <c r="G655" t="s">
        <v>1074</v>
      </c>
    </row>
    <row r="656" spans="1:7" hidden="1" x14ac:dyDescent="0.25">
      <c r="A656" t="s">
        <v>91</v>
      </c>
      <c r="B656" t="s">
        <v>1965</v>
      </c>
      <c r="F656" t="s">
        <v>2020</v>
      </c>
      <c r="G656" t="s">
        <v>1074</v>
      </c>
    </row>
    <row r="657" spans="1:7" hidden="1" x14ac:dyDescent="0.25">
      <c r="A657" t="s">
        <v>62</v>
      </c>
      <c r="B657" t="s">
        <v>1965</v>
      </c>
      <c r="F657" t="s">
        <v>2021</v>
      </c>
      <c r="G657" t="s">
        <v>1074</v>
      </c>
    </row>
    <row r="658" spans="1:7" hidden="1" x14ac:dyDescent="0.25">
      <c r="A658" t="s">
        <v>1967</v>
      </c>
      <c r="F658" t="s">
        <v>2022</v>
      </c>
      <c r="G658" t="s">
        <v>1074</v>
      </c>
    </row>
    <row r="659" spans="1:7" hidden="1" x14ac:dyDescent="0.25">
      <c r="A659" t="s">
        <v>91</v>
      </c>
      <c r="B659" t="s">
        <v>70</v>
      </c>
      <c r="F659" t="s">
        <v>2023</v>
      </c>
      <c r="G659" t="s">
        <v>1074</v>
      </c>
    </row>
    <row r="660" spans="1:7" hidden="1" x14ac:dyDescent="0.25">
      <c r="A660" t="s">
        <v>62</v>
      </c>
      <c r="B660" t="s">
        <v>70</v>
      </c>
      <c r="E660" t="s">
        <v>2879</v>
      </c>
      <c r="F660" t="s">
        <v>2024</v>
      </c>
      <c r="G660" t="s">
        <v>1074</v>
      </c>
    </row>
    <row r="661" spans="1:7" hidden="1" x14ac:dyDescent="0.25">
      <c r="A661" t="s">
        <v>1967</v>
      </c>
      <c r="F661" t="s">
        <v>2025</v>
      </c>
      <c r="G661" t="s">
        <v>1074</v>
      </c>
    </row>
    <row r="662" spans="1:7" hidden="1" x14ac:dyDescent="0.25">
      <c r="A662" t="s">
        <v>1967</v>
      </c>
      <c r="F662" t="s">
        <v>2026</v>
      </c>
      <c r="G662" t="s">
        <v>1074</v>
      </c>
    </row>
    <row r="663" spans="1:7" hidden="1" x14ac:dyDescent="0.25">
      <c r="A663" t="s">
        <v>1967</v>
      </c>
      <c r="F663" t="s">
        <v>1988</v>
      </c>
      <c r="G663" t="s">
        <v>1075</v>
      </c>
    </row>
    <row r="664" spans="1:7" hidden="1" x14ac:dyDescent="0.25">
      <c r="A664" t="s">
        <v>1967</v>
      </c>
      <c r="F664" t="s">
        <v>1991</v>
      </c>
      <c r="G664" t="s">
        <v>1075</v>
      </c>
    </row>
    <row r="665" spans="1:7" hidden="1" x14ac:dyDescent="0.25">
      <c r="A665" t="s">
        <v>1967</v>
      </c>
      <c r="F665" t="s">
        <v>1994</v>
      </c>
      <c r="G665" t="s">
        <v>1075</v>
      </c>
    </row>
    <row r="666" spans="1:7" hidden="1" x14ac:dyDescent="0.25">
      <c r="A666" t="s">
        <v>2881</v>
      </c>
      <c r="F666" t="s">
        <v>1997</v>
      </c>
      <c r="G666" t="s">
        <v>1075</v>
      </c>
    </row>
    <row r="667" spans="1:7" hidden="1" x14ac:dyDescent="0.25">
      <c r="A667" t="s">
        <v>4</v>
      </c>
      <c r="B667" t="s">
        <v>8</v>
      </c>
      <c r="F667" t="s">
        <v>2000</v>
      </c>
      <c r="G667" t="s">
        <v>1075</v>
      </c>
    </row>
    <row r="668" spans="1:7" hidden="1" x14ac:dyDescent="0.25">
      <c r="A668" t="s">
        <v>1967</v>
      </c>
      <c r="F668" t="s">
        <v>2003</v>
      </c>
      <c r="G668" t="s">
        <v>1075</v>
      </c>
    </row>
    <row r="669" spans="1:7" hidden="1" x14ac:dyDescent="0.25">
      <c r="A669" t="s">
        <v>1967</v>
      </c>
      <c r="F669" t="s">
        <v>2006</v>
      </c>
      <c r="G669" t="s">
        <v>1075</v>
      </c>
    </row>
    <row r="670" spans="1:7" hidden="1" x14ac:dyDescent="0.25">
      <c r="A670" t="s">
        <v>1967</v>
      </c>
      <c r="F670" t="s">
        <v>2009</v>
      </c>
      <c r="G670" t="s">
        <v>1075</v>
      </c>
    </row>
    <row r="671" spans="1:7" x14ac:dyDescent="0.25">
      <c r="A671" t="s">
        <v>1967</v>
      </c>
      <c r="F671" t="s">
        <v>2027</v>
      </c>
      <c r="G671" t="s">
        <v>13425</v>
      </c>
    </row>
    <row r="672" spans="1:7" x14ac:dyDescent="0.25">
      <c r="A672" t="s">
        <v>4</v>
      </c>
      <c r="B672" t="s">
        <v>8</v>
      </c>
      <c r="F672" t="s">
        <v>2029</v>
      </c>
      <c r="G672" t="s">
        <v>13425</v>
      </c>
    </row>
    <row r="673" spans="1:7" x14ac:dyDescent="0.25">
      <c r="A673" t="s">
        <v>261</v>
      </c>
      <c r="B673" t="s">
        <v>2882</v>
      </c>
      <c r="C673" t="s">
        <v>58</v>
      </c>
      <c r="E673" t="s">
        <v>2883</v>
      </c>
      <c r="F673" t="s">
        <v>2031</v>
      </c>
      <c r="G673" t="s">
        <v>13425</v>
      </c>
    </row>
    <row r="674" spans="1:7" x14ac:dyDescent="0.25">
      <c r="A674" t="s">
        <v>4</v>
      </c>
      <c r="B674" t="s">
        <v>8</v>
      </c>
      <c r="F674" t="s">
        <v>2034</v>
      </c>
      <c r="G674" t="s">
        <v>13425</v>
      </c>
    </row>
    <row r="675" spans="1:7" x14ac:dyDescent="0.25">
      <c r="A675" t="s">
        <v>4</v>
      </c>
      <c r="B675" t="s">
        <v>8</v>
      </c>
      <c r="F675" t="s">
        <v>2036</v>
      </c>
      <c r="G675" t="s">
        <v>13425</v>
      </c>
    </row>
    <row r="676" spans="1:7" x14ac:dyDescent="0.25">
      <c r="A676" t="s">
        <v>4</v>
      </c>
      <c r="B676" t="s">
        <v>8</v>
      </c>
      <c r="F676" t="s">
        <v>2038</v>
      </c>
      <c r="G676" t="s">
        <v>13425</v>
      </c>
    </row>
    <row r="677" spans="1:7" x14ac:dyDescent="0.25">
      <c r="A677" t="s">
        <v>261</v>
      </c>
      <c r="B677" t="s">
        <v>2882</v>
      </c>
      <c r="C677" t="s">
        <v>2884</v>
      </c>
      <c r="E677" t="s">
        <v>4144</v>
      </c>
      <c r="F677" t="s">
        <v>2040</v>
      </c>
      <c r="G677" t="s">
        <v>13425</v>
      </c>
    </row>
    <row r="678" spans="1:7" x14ac:dyDescent="0.25">
      <c r="A678" t="s">
        <v>4</v>
      </c>
      <c r="B678" t="s">
        <v>8</v>
      </c>
      <c r="F678" t="s">
        <v>2043</v>
      </c>
      <c r="G678" t="s">
        <v>13425</v>
      </c>
    </row>
    <row r="679" spans="1:7" x14ac:dyDescent="0.25">
      <c r="A679" t="s">
        <v>1967</v>
      </c>
      <c r="F679" t="s">
        <v>2045</v>
      </c>
      <c r="G679" t="s">
        <v>13425</v>
      </c>
    </row>
    <row r="680" spans="1:7" x14ac:dyDescent="0.25">
      <c r="A680" t="s">
        <v>1967</v>
      </c>
      <c r="F680" t="s">
        <v>2047</v>
      </c>
      <c r="G680" t="s">
        <v>13425</v>
      </c>
    </row>
    <row r="681" spans="1:7" hidden="1" x14ac:dyDescent="0.25">
      <c r="A681" t="s">
        <v>1967</v>
      </c>
      <c r="F681" t="s">
        <v>2088</v>
      </c>
      <c r="G681" t="s">
        <v>1076</v>
      </c>
    </row>
    <row r="682" spans="1:7" hidden="1" x14ac:dyDescent="0.25">
      <c r="A682" t="s">
        <v>4</v>
      </c>
      <c r="B682" t="s">
        <v>2882</v>
      </c>
      <c r="C682" t="s">
        <v>58</v>
      </c>
      <c r="F682" t="s">
        <v>2091</v>
      </c>
      <c r="G682" t="s">
        <v>1076</v>
      </c>
    </row>
    <row r="683" spans="1:7" hidden="1" x14ac:dyDescent="0.25">
      <c r="A683" t="s">
        <v>4</v>
      </c>
      <c r="B683" t="s">
        <v>8</v>
      </c>
      <c r="E683" t="s">
        <v>2886</v>
      </c>
      <c r="F683" t="s">
        <v>2094</v>
      </c>
      <c r="G683" t="s">
        <v>1076</v>
      </c>
    </row>
    <row r="684" spans="1:7" hidden="1" x14ac:dyDescent="0.25">
      <c r="A684" t="s">
        <v>1967</v>
      </c>
      <c r="F684" t="s">
        <v>2097</v>
      </c>
      <c r="G684" t="s">
        <v>1076</v>
      </c>
    </row>
    <row r="685" spans="1:7" hidden="1" x14ac:dyDescent="0.25">
      <c r="A685" t="s">
        <v>1967</v>
      </c>
      <c r="F685" t="s">
        <v>2100</v>
      </c>
      <c r="G685" t="s">
        <v>1076</v>
      </c>
    </row>
    <row r="686" spans="1:7" hidden="1" x14ac:dyDescent="0.25">
      <c r="A686" t="s">
        <v>1967</v>
      </c>
      <c r="F686" t="s">
        <v>2103</v>
      </c>
      <c r="G686" t="s">
        <v>1076</v>
      </c>
    </row>
    <row r="687" spans="1:7" hidden="1" x14ac:dyDescent="0.25">
      <c r="A687" t="s">
        <v>1967</v>
      </c>
      <c r="F687" t="s">
        <v>2106</v>
      </c>
      <c r="G687" t="s">
        <v>1076</v>
      </c>
    </row>
    <row r="688" spans="1:7" hidden="1" x14ac:dyDescent="0.25">
      <c r="A688" t="s">
        <v>4</v>
      </c>
      <c r="B688" t="s">
        <v>8</v>
      </c>
      <c r="F688" t="s">
        <v>2049</v>
      </c>
      <c r="G688" t="s">
        <v>1077</v>
      </c>
    </row>
    <row r="689" spans="1:7" hidden="1" x14ac:dyDescent="0.25">
      <c r="A689" t="s">
        <v>4</v>
      </c>
      <c r="B689" t="s">
        <v>8</v>
      </c>
      <c r="F689" t="s">
        <v>2052</v>
      </c>
      <c r="G689" t="s">
        <v>1077</v>
      </c>
    </row>
    <row r="690" spans="1:7" hidden="1" x14ac:dyDescent="0.25">
      <c r="A690" t="s">
        <v>4</v>
      </c>
      <c r="B690" t="s">
        <v>8</v>
      </c>
      <c r="F690" t="s">
        <v>2055</v>
      </c>
      <c r="G690" t="s">
        <v>1077</v>
      </c>
    </row>
    <row r="691" spans="1:7" hidden="1" x14ac:dyDescent="0.25">
      <c r="A691" t="s">
        <v>4</v>
      </c>
      <c r="B691" t="s">
        <v>8</v>
      </c>
      <c r="F691" t="s">
        <v>2058</v>
      </c>
      <c r="G691" t="s">
        <v>1077</v>
      </c>
    </row>
    <row r="692" spans="1:7" hidden="1" x14ac:dyDescent="0.25">
      <c r="A692" t="s">
        <v>4</v>
      </c>
      <c r="B692" t="s">
        <v>8</v>
      </c>
      <c r="F692" t="s">
        <v>2061</v>
      </c>
      <c r="G692" t="s">
        <v>1077</v>
      </c>
    </row>
    <row r="693" spans="1:7" hidden="1" x14ac:dyDescent="0.25">
      <c r="A693" t="s">
        <v>4</v>
      </c>
      <c r="B693" t="s">
        <v>8</v>
      </c>
      <c r="F693" t="s">
        <v>2064</v>
      </c>
      <c r="G693" t="s">
        <v>1077</v>
      </c>
    </row>
    <row r="694" spans="1:7" hidden="1" x14ac:dyDescent="0.25">
      <c r="A694" t="s">
        <v>4</v>
      </c>
      <c r="B694" t="s">
        <v>8</v>
      </c>
      <c r="F694" t="s">
        <v>2067</v>
      </c>
      <c r="G694" t="s">
        <v>1077</v>
      </c>
    </row>
    <row r="695" spans="1:7" hidden="1" x14ac:dyDescent="0.25">
      <c r="A695" t="s">
        <v>1967</v>
      </c>
      <c r="F695" t="s">
        <v>2070</v>
      </c>
      <c r="G695" t="s">
        <v>1078</v>
      </c>
    </row>
    <row r="696" spans="1:7" hidden="1" x14ac:dyDescent="0.25">
      <c r="A696" t="s">
        <v>4</v>
      </c>
      <c r="B696" t="s">
        <v>8</v>
      </c>
      <c r="E696" t="s">
        <v>2887</v>
      </c>
      <c r="F696" t="s">
        <v>2889</v>
      </c>
      <c r="G696" t="s">
        <v>1078</v>
      </c>
    </row>
    <row r="697" spans="1:7" hidden="1" x14ac:dyDescent="0.25">
      <c r="A697" t="s">
        <v>1967</v>
      </c>
      <c r="F697" t="s">
        <v>2073</v>
      </c>
      <c r="G697" t="s">
        <v>1078</v>
      </c>
    </row>
    <row r="698" spans="1:7" hidden="1" x14ac:dyDescent="0.25">
      <c r="A698" t="s">
        <v>1967</v>
      </c>
      <c r="F698" t="s">
        <v>2076</v>
      </c>
      <c r="G698" t="s">
        <v>1078</v>
      </c>
    </row>
    <row r="699" spans="1:7" hidden="1" x14ac:dyDescent="0.25">
      <c r="A699" t="s">
        <v>1967</v>
      </c>
      <c r="F699" t="s">
        <v>2079</v>
      </c>
      <c r="G699" t="s">
        <v>1078</v>
      </c>
    </row>
    <row r="700" spans="1:7" hidden="1" x14ac:dyDescent="0.25">
      <c r="A700" t="s">
        <v>1967</v>
      </c>
      <c r="F700" t="s">
        <v>2082</v>
      </c>
      <c r="G700" t="s">
        <v>1078</v>
      </c>
    </row>
    <row r="701" spans="1:7" hidden="1" x14ac:dyDescent="0.25">
      <c r="A701" t="s">
        <v>1967</v>
      </c>
      <c r="F701" t="s">
        <v>2085</v>
      </c>
      <c r="G701" t="s">
        <v>1078</v>
      </c>
    </row>
    <row r="702" spans="1:7" hidden="1" x14ac:dyDescent="0.25">
      <c r="A702" t="s">
        <v>11</v>
      </c>
      <c r="F702" t="s">
        <v>2109</v>
      </c>
      <c r="G702" t="s">
        <v>1079</v>
      </c>
    </row>
    <row r="703" spans="1:7" hidden="1" x14ac:dyDescent="0.25">
      <c r="A703" t="s">
        <v>11</v>
      </c>
      <c r="F703" t="s">
        <v>2112</v>
      </c>
      <c r="G703" t="s">
        <v>1079</v>
      </c>
    </row>
    <row r="704" spans="1:7" hidden="1" x14ac:dyDescent="0.25">
      <c r="A704" t="s">
        <v>11</v>
      </c>
      <c r="F704" t="s">
        <v>2115</v>
      </c>
      <c r="G704" t="s">
        <v>1079</v>
      </c>
    </row>
    <row r="705" spans="1:7" hidden="1" x14ac:dyDescent="0.25">
      <c r="A705" t="s">
        <v>11</v>
      </c>
      <c r="F705" t="s">
        <v>2118</v>
      </c>
      <c r="G705" t="s">
        <v>1079</v>
      </c>
    </row>
    <row r="706" spans="1:7" hidden="1" x14ac:dyDescent="0.25">
      <c r="A706" t="s">
        <v>11</v>
      </c>
      <c r="F706" t="s">
        <v>2121</v>
      </c>
      <c r="G706" t="s">
        <v>1079</v>
      </c>
    </row>
    <row r="707" spans="1:7" hidden="1" x14ac:dyDescent="0.25">
      <c r="A707" t="s">
        <v>11</v>
      </c>
      <c r="F707" t="s">
        <v>2124</v>
      </c>
      <c r="G707" t="s">
        <v>1079</v>
      </c>
    </row>
    <row r="708" spans="1:7" hidden="1" x14ac:dyDescent="0.25">
      <c r="A708" t="s">
        <v>11</v>
      </c>
      <c r="F708" t="s">
        <v>2127</v>
      </c>
      <c r="G708" t="s">
        <v>1079</v>
      </c>
    </row>
    <row r="709" spans="1:7" hidden="1" x14ac:dyDescent="0.25">
      <c r="A709" t="s">
        <v>11</v>
      </c>
      <c r="F709" t="s">
        <v>2130</v>
      </c>
      <c r="G709" t="s">
        <v>1079</v>
      </c>
    </row>
    <row r="710" spans="1:7" hidden="1" x14ac:dyDescent="0.25">
      <c r="A710" t="s">
        <v>11</v>
      </c>
      <c r="F710" t="s">
        <v>2133</v>
      </c>
      <c r="G710" t="s">
        <v>1079</v>
      </c>
    </row>
    <row r="711" spans="1:7" hidden="1" x14ac:dyDescent="0.25">
      <c r="A711" t="s">
        <v>4</v>
      </c>
      <c r="B711" t="s">
        <v>8</v>
      </c>
      <c r="E711" t="s">
        <v>1588</v>
      </c>
      <c r="F711" t="s">
        <v>2136</v>
      </c>
      <c r="G711" t="s">
        <v>1079</v>
      </c>
    </row>
    <row r="712" spans="1:7" hidden="1" x14ac:dyDescent="0.25">
      <c r="A712" t="s">
        <v>11</v>
      </c>
      <c r="F712" t="s">
        <v>2139</v>
      </c>
      <c r="G712" t="s">
        <v>1079</v>
      </c>
    </row>
    <row r="713" spans="1:7" hidden="1" x14ac:dyDescent="0.25">
      <c r="A713" t="s">
        <v>11</v>
      </c>
      <c r="F713" t="s">
        <v>2142</v>
      </c>
      <c r="G713" t="s">
        <v>1079</v>
      </c>
    </row>
    <row r="714" spans="1:7" hidden="1" x14ac:dyDescent="0.25">
      <c r="A714" t="s">
        <v>11</v>
      </c>
      <c r="F714" t="s">
        <v>2145</v>
      </c>
      <c r="G714" t="s">
        <v>1079</v>
      </c>
    </row>
    <row r="715" spans="1:7" hidden="1" x14ac:dyDescent="0.25">
      <c r="A715" t="s">
        <v>11</v>
      </c>
      <c r="F715" t="s">
        <v>2148</v>
      </c>
      <c r="G715" t="s">
        <v>1079</v>
      </c>
    </row>
    <row r="716" spans="1:7" hidden="1" x14ac:dyDescent="0.25">
      <c r="A716" t="s">
        <v>11</v>
      </c>
      <c r="F716" t="s">
        <v>2151</v>
      </c>
      <c r="G716" t="s">
        <v>1079</v>
      </c>
    </row>
    <row r="717" spans="1:7" hidden="1" x14ac:dyDescent="0.25">
      <c r="A717" t="s">
        <v>11</v>
      </c>
      <c r="F717" t="s">
        <v>2154</v>
      </c>
      <c r="G717" t="s">
        <v>1079</v>
      </c>
    </row>
    <row r="718" spans="1:7" hidden="1" x14ac:dyDescent="0.25">
      <c r="A718" t="s">
        <v>11</v>
      </c>
      <c r="F718" t="s">
        <v>2157</v>
      </c>
      <c r="G718" t="s">
        <v>1079</v>
      </c>
    </row>
    <row r="719" spans="1:7" hidden="1" x14ac:dyDescent="0.25">
      <c r="A719" t="s">
        <v>11</v>
      </c>
      <c r="F719" t="s">
        <v>2160</v>
      </c>
      <c r="G719" t="s">
        <v>1079</v>
      </c>
    </row>
    <row r="720" spans="1:7" hidden="1" x14ac:dyDescent="0.25">
      <c r="A720" t="s">
        <v>11</v>
      </c>
      <c r="F720" t="s">
        <v>2163</v>
      </c>
      <c r="G720" t="s">
        <v>1079</v>
      </c>
    </row>
    <row r="721" spans="1:7" hidden="1" x14ac:dyDescent="0.25">
      <c r="A721" t="s">
        <v>11</v>
      </c>
      <c r="F721" t="s">
        <v>2166</v>
      </c>
      <c r="G721" t="s">
        <v>1079</v>
      </c>
    </row>
    <row r="722" spans="1:7" hidden="1" x14ac:dyDescent="0.25">
      <c r="A722" t="s">
        <v>11</v>
      </c>
      <c r="F722" t="s">
        <v>2169</v>
      </c>
      <c r="G722" t="s">
        <v>1079</v>
      </c>
    </row>
    <row r="723" spans="1:7" hidden="1" x14ac:dyDescent="0.25">
      <c r="A723" t="s">
        <v>11</v>
      </c>
      <c r="F723" t="s">
        <v>2172</v>
      </c>
      <c r="G723" t="s">
        <v>1079</v>
      </c>
    </row>
    <row r="724" spans="1:7" hidden="1" x14ac:dyDescent="0.25">
      <c r="A724" t="s">
        <v>11</v>
      </c>
      <c r="F724" t="s">
        <v>2175</v>
      </c>
      <c r="G724" t="s">
        <v>1079</v>
      </c>
    </row>
    <row r="725" spans="1:7" hidden="1" x14ac:dyDescent="0.25">
      <c r="A725" t="s">
        <v>4</v>
      </c>
      <c r="B725" t="s">
        <v>8</v>
      </c>
      <c r="E725" t="s">
        <v>1588</v>
      </c>
      <c r="F725" t="s">
        <v>2178</v>
      </c>
      <c r="G725" t="s">
        <v>1079</v>
      </c>
    </row>
    <row r="726" spans="1:7" hidden="1" x14ac:dyDescent="0.25">
      <c r="A726" t="s">
        <v>1967</v>
      </c>
      <c r="F726" t="s">
        <v>2181</v>
      </c>
      <c r="G726" t="s">
        <v>1079</v>
      </c>
    </row>
    <row r="727" spans="1:7" hidden="1" x14ac:dyDescent="0.25">
      <c r="A727" t="s">
        <v>1967</v>
      </c>
      <c r="F727" t="s">
        <v>2184</v>
      </c>
      <c r="G727" t="s">
        <v>1079</v>
      </c>
    </row>
    <row r="728" spans="1:7" hidden="1" x14ac:dyDescent="0.25">
      <c r="A728" t="s">
        <v>4</v>
      </c>
      <c r="B728" t="s">
        <v>9</v>
      </c>
      <c r="E728" t="s">
        <v>2891</v>
      </c>
      <c r="F728" t="s">
        <v>2187</v>
      </c>
      <c r="G728" t="s">
        <v>768</v>
      </c>
    </row>
    <row r="729" spans="1:7" hidden="1" x14ac:dyDescent="0.25">
      <c r="A729" t="s">
        <v>4</v>
      </c>
      <c r="B729" t="s">
        <v>9</v>
      </c>
      <c r="E729" t="s">
        <v>2891</v>
      </c>
      <c r="F729" t="s">
        <v>2190</v>
      </c>
      <c r="G729" t="s">
        <v>768</v>
      </c>
    </row>
    <row r="730" spans="1:7" hidden="1" x14ac:dyDescent="0.25">
      <c r="A730" t="s">
        <v>4</v>
      </c>
      <c r="B730" t="s">
        <v>9</v>
      </c>
      <c r="E730" t="s">
        <v>2891</v>
      </c>
      <c r="F730" t="s">
        <v>2193</v>
      </c>
      <c r="G730" t="s">
        <v>768</v>
      </c>
    </row>
    <row r="731" spans="1:7" hidden="1" x14ac:dyDescent="0.25">
      <c r="A731" t="s">
        <v>1987</v>
      </c>
      <c r="B731" t="s">
        <v>768</v>
      </c>
      <c r="F731" t="s">
        <v>2196</v>
      </c>
      <c r="G731" t="s">
        <v>768</v>
      </c>
    </row>
    <row r="732" spans="1:7" hidden="1" x14ac:dyDescent="0.25">
      <c r="A732" t="s">
        <v>4</v>
      </c>
      <c r="B732" t="s">
        <v>9</v>
      </c>
      <c r="E732" t="s">
        <v>2891</v>
      </c>
      <c r="F732" t="s">
        <v>2199</v>
      </c>
      <c r="G732" t="s">
        <v>768</v>
      </c>
    </row>
    <row r="733" spans="1:7" hidden="1" x14ac:dyDescent="0.25">
      <c r="A733" t="s">
        <v>4</v>
      </c>
      <c r="B733" t="s">
        <v>9</v>
      </c>
      <c r="E733" t="s">
        <v>2891</v>
      </c>
      <c r="F733" t="s">
        <v>2202</v>
      </c>
      <c r="G733" t="s">
        <v>768</v>
      </c>
    </row>
    <row r="734" spans="1:7" hidden="1" x14ac:dyDescent="0.25">
      <c r="A734" t="s">
        <v>1987</v>
      </c>
      <c r="B734" t="s">
        <v>768</v>
      </c>
      <c r="F734" t="s">
        <v>2205</v>
      </c>
      <c r="G734" t="s">
        <v>768</v>
      </c>
    </row>
    <row r="735" spans="1:7" hidden="1" x14ac:dyDescent="0.25">
      <c r="A735" t="s">
        <v>1987</v>
      </c>
      <c r="B735" t="s">
        <v>768</v>
      </c>
      <c r="F735" t="s">
        <v>2208</v>
      </c>
      <c r="G735" t="s">
        <v>768</v>
      </c>
    </row>
    <row r="736" spans="1:7" hidden="1" x14ac:dyDescent="0.25">
      <c r="A736" t="s">
        <v>1987</v>
      </c>
      <c r="B736" t="s">
        <v>768</v>
      </c>
      <c r="F736" t="s">
        <v>2211</v>
      </c>
      <c r="G736" t="s">
        <v>768</v>
      </c>
    </row>
    <row r="737" spans="1:7" hidden="1" x14ac:dyDescent="0.25">
      <c r="A737" t="s">
        <v>4</v>
      </c>
      <c r="B737" t="s">
        <v>9</v>
      </c>
      <c r="E737" t="s">
        <v>2891</v>
      </c>
      <c r="F737" t="s">
        <v>2214</v>
      </c>
      <c r="G737" t="s">
        <v>768</v>
      </c>
    </row>
    <row r="738" spans="1:7" hidden="1" x14ac:dyDescent="0.25">
      <c r="A738" t="s">
        <v>4</v>
      </c>
      <c r="B738" t="s">
        <v>9</v>
      </c>
      <c r="E738" t="s">
        <v>2891</v>
      </c>
      <c r="F738" t="s">
        <v>2217</v>
      </c>
      <c r="G738" t="s">
        <v>768</v>
      </c>
    </row>
    <row r="739" spans="1:7" hidden="1" x14ac:dyDescent="0.25">
      <c r="A739" t="s">
        <v>4</v>
      </c>
      <c r="B739" t="s">
        <v>9</v>
      </c>
      <c r="E739" t="s">
        <v>2891</v>
      </c>
      <c r="F739" t="s">
        <v>2220</v>
      </c>
      <c r="G739" t="s">
        <v>768</v>
      </c>
    </row>
    <row r="740" spans="1:7" hidden="1" x14ac:dyDescent="0.25">
      <c r="A740" t="s">
        <v>4</v>
      </c>
      <c r="B740" t="s">
        <v>9</v>
      </c>
      <c r="E740" t="s">
        <v>2891</v>
      </c>
      <c r="F740" t="s">
        <v>2223</v>
      </c>
      <c r="G740" t="s">
        <v>768</v>
      </c>
    </row>
    <row r="741" spans="1:7" hidden="1" x14ac:dyDescent="0.25">
      <c r="A741" t="s">
        <v>1987</v>
      </c>
      <c r="B741" t="s">
        <v>1267</v>
      </c>
      <c r="F741" t="s">
        <v>2226</v>
      </c>
      <c r="G741" t="s">
        <v>768</v>
      </c>
    </row>
    <row r="742" spans="1:7" hidden="1" x14ac:dyDescent="0.25">
      <c r="A742" t="s">
        <v>4</v>
      </c>
      <c r="B742" t="s">
        <v>9</v>
      </c>
      <c r="E742" t="s">
        <v>2891</v>
      </c>
      <c r="F742" t="s">
        <v>2229</v>
      </c>
      <c r="G742" t="s">
        <v>768</v>
      </c>
    </row>
    <row r="743" spans="1:7" hidden="1" x14ac:dyDescent="0.25">
      <c r="A743" t="s">
        <v>4</v>
      </c>
      <c r="B743" t="s">
        <v>9</v>
      </c>
      <c r="E743" t="s">
        <v>2891</v>
      </c>
      <c r="F743" t="s">
        <v>2232</v>
      </c>
      <c r="G743" t="s">
        <v>768</v>
      </c>
    </row>
    <row r="744" spans="1:7" hidden="1" x14ac:dyDescent="0.25">
      <c r="A744" t="s">
        <v>1987</v>
      </c>
      <c r="B744" t="s">
        <v>1267</v>
      </c>
      <c r="F744" t="s">
        <v>2235</v>
      </c>
      <c r="G744" t="s">
        <v>768</v>
      </c>
    </row>
    <row r="745" spans="1:7" hidden="1" x14ac:dyDescent="0.25">
      <c r="A745" t="s">
        <v>4</v>
      </c>
      <c r="B745" t="s">
        <v>9</v>
      </c>
      <c r="E745" t="s">
        <v>2891</v>
      </c>
      <c r="F745" t="s">
        <v>2238</v>
      </c>
      <c r="G745" t="s">
        <v>768</v>
      </c>
    </row>
    <row r="746" spans="1:7" hidden="1" x14ac:dyDescent="0.25">
      <c r="A746" t="s">
        <v>4</v>
      </c>
      <c r="B746" t="s">
        <v>9</v>
      </c>
      <c r="E746" t="s">
        <v>2891</v>
      </c>
      <c r="F746" t="s">
        <v>2241</v>
      </c>
      <c r="G746" t="s">
        <v>768</v>
      </c>
    </row>
    <row r="747" spans="1:7" hidden="1" x14ac:dyDescent="0.25">
      <c r="A747" t="s">
        <v>4</v>
      </c>
      <c r="B747" t="s">
        <v>9</v>
      </c>
      <c r="E747" t="s">
        <v>2891</v>
      </c>
      <c r="F747" t="s">
        <v>2244</v>
      </c>
      <c r="G747" t="s">
        <v>768</v>
      </c>
    </row>
    <row r="748" spans="1:7" hidden="1" x14ac:dyDescent="0.25">
      <c r="A748" t="s">
        <v>4</v>
      </c>
      <c r="B748" t="s">
        <v>9</v>
      </c>
      <c r="E748" t="s">
        <v>2891</v>
      </c>
      <c r="F748" t="s">
        <v>2247</v>
      </c>
      <c r="G748" t="s">
        <v>768</v>
      </c>
    </row>
    <row r="749" spans="1:7" hidden="1" x14ac:dyDescent="0.25">
      <c r="A749" t="s">
        <v>4</v>
      </c>
      <c r="B749" t="s">
        <v>9</v>
      </c>
      <c r="E749" t="s">
        <v>2891</v>
      </c>
      <c r="F749" t="s">
        <v>2250</v>
      </c>
      <c r="G749" t="s">
        <v>768</v>
      </c>
    </row>
    <row r="750" spans="1:7" hidden="1" x14ac:dyDescent="0.25">
      <c r="A750" t="s">
        <v>4</v>
      </c>
      <c r="B750" t="s">
        <v>9</v>
      </c>
      <c r="E750" t="s">
        <v>2891</v>
      </c>
      <c r="F750" t="s">
        <v>2253</v>
      </c>
      <c r="G750" t="s">
        <v>768</v>
      </c>
    </row>
    <row r="751" spans="1:7" hidden="1" x14ac:dyDescent="0.25">
      <c r="A751" t="s">
        <v>4</v>
      </c>
      <c r="B751" t="s">
        <v>9</v>
      </c>
      <c r="E751" t="s">
        <v>2891</v>
      </c>
      <c r="F751" t="s">
        <v>2256</v>
      </c>
      <c r="G751" t="s">
        <v>768</v>
      </c>
    </row>
    <row r="752" spans="1:7" hidden="1" x14ac:dyDescent="0.25">
      <c r="A752" t="s">
        <v>1987</v>
      </c>
      <c r="B752" t="s">
        <v>768</v>
      </c>
      <c r="F752" t="s">
        <v>2259</v>
      </c>
      <c r="G752" t="s">
        <v>768</v>
      </c>
    </row>
    <row r="753" spans="1:7" hidden="1" x14ac:dyDescent="0.25">
      <c r="A753" t="s">
        <v>765</v>
      </c>
      <c r="B753" t="s">
        <v>503</v>
      </c>
      <c r="F753" t="s">
        <v>2262</v>
      </c>
      <c r="G753" t="s">
        <v>768</v>
      </c>
    </row>
    <row r="754" spans="1:7" hidden="1" x14ac:dyDescent="0.25">
      <c r="A754" t="s">
        <v>1967</v>
      </c>
      <c r="B754" t="s">
        <v>8</v>
      </c>
      <c r="F754" t="s">
        <v>2265</v>
      </c>
      <c r="G754" t="s">
        <v>768</v>
      </c>
    </row>
    <row r="755" spans="1:7" hidden="1" x14ac:dyDescent="0.25">
      <c r="A755" t="s">
        <v>4</v>
      </c>
      <c r="B755" t="s">
        <v>9</v>
      </c>
      <c r="E755" t="s">
        <v>2891</v>
      </c>
      <c r="F755" t="s">
        <v>2268</v>
      </c>
      <c r="G755" t="s">
        <v>768</v>
      </c>
    </row>
    <row r="756" spans="1:7" hidden="1" x14ac:dyDescent="0.25">
      <c r="A756" t="s">
        <v>4</v>
      </c>
      <c r="B756" t="s">
        <v>9</v>
      </c>
      <c r="E756" t="s">
        <v>2891</v>
      </c>
      <c r="F756" t="s">
        <v>2271</v>
      </c>
      <c r="G756" t="s">
        <v>768</v>
      </c>
    </row>
    <row r="757" spans="1:7" hidden="1" x14ac:dyDescent="0.25">
      <c r="A757" t="s">
        <v>4</v>
      </c>
      <c r="B757" t="s">
        <v>9</v>
      </c>
      <c r="E757" t="s">
        <v>2891</v>
      </c>
      <c r="F757" t="s">
        <v>2274</v>
      </c>
      <c r="G757" t="s">
        <v>768</v>
      </c>
    </row>
    <row r="758" spans="1:7" hidden="1" x14ac:dyDescent="0.25">
      <c r="A758" t="s">
        <v>1987</v>
      </c>
      <c r="B758" t="s">
        <v>768</v>
      </c>
      <c r="F758" t="s">
        <v>2277</v>
      </c>
      <c r="G758" t="s">
        <v>768</v>
      </c>
    </row>
    <row r="759" spans="1:7" hidden="1" x14ac:dyDescent="0.25">
      <c r="A759" t="s">
        <v>2892</v>
      </c>
      <c r="B759" t="s">
        <v>503</v>
      </c>
      <c r="C759" t="s">
        <v>2893</v>
      </c>
      <c r="F759" t="s">
        <v>2280</v>
      </c>
      <c r="G759" t="s">
        <v>768</v>
      </c>
    </row>
    <row r="760" spans="1:7" hidden="1" x14ac:dyDescent="0.25">
      <c r="A760" t="s">
        <v>4</v>
      </c>
      <c r="B760" t="s">
        <v>9</v>
      </c>
      <c r="E760" t="s">
        <v>2891</v>
      </c>
      <c r="F760" t="s">
        <v>2283</v>
      </c>
      <c r="G760" t="s">
        <v>768</v>
      </c>
    </row>
    <row r="761" spans="1:7" hidden="1" x14ac:dyDescent="0.25">
      <c r="A761" t="s">
        <v>4</v>
      </c>
      <c r="B761" t="s">
        <v>9</v>
      </c>
      <c r="E761" t="s">
        <v>2891</v>
      </c>
      <c r="F761" t="s">
        <v>2286</v>
      </c>
      <c r="G761" t="s">
        <v>768</v>
      </c>
    </row>
    <row r="762" spans="1:7" hidden="1" x14ac:dyDescent="0.25">
      <c r="A762" t="s">
        <v>1967</v>
      </c>
      <c r="B762" t="s">
        <v>8</v>
      </c>
      <c r="F762" t="s">
        <v>2289</v>
      </c>
      <c r="G762" t="s">
        <v>768</v>
      </c>
    </row>
    <row r="763" spans="1:7" hidden="1" x14ac:dyDescent="0.25">
      <c r="A763" t="s">
        <v>4</v>
      </c>
      <c r="B763" t="s">
        <v>9</v>
      </c>
      <c r="E763" t="s">
        <v>1967</v>
      </c>
      <c r="F763" t="s">
        <v>2292</v>
      </c>
      <c r="G763" t="s">
        <v>768</v>
      </c>
    </row>
    <row r="764" spans="1:7" hidden="1" x14ac:dyDescent="0.25">
      <c r="A764" t="s">
        <v>4</v>
      </c>
      <c r="B764" t="s">
        <v>9</v>
      </c>
      <c r="F764" t="s">
        <v>2295</v>
      </c>
      <c r="G764" t="s">
        <v>1072</v>
      </c>
    </row>
    <row r="765" spans="1:7" hidden="1" x14ac:dyDescent="0.25">
      <c r="A765" t="s">
        <v>4</v>
      </c>
      <c r="B765" t="s">
        <v>9</v>
      </c>
      <c r="E765" t="s">
        <v>2891</v>
      </c>
      <c r="F765" t="s">
        <v>2298</v>
      </c>
      <c r="G765" t="s">
        <v>1072</v>
      </c>
    </row>
    <row r="766" spans="1:7" hidden="1" x14ac:dyDescent="0.25">
      <c r="A766" t="s">
        <v>4</v>
      </c>
      <c r="B766" t="s">
        <v>9</v>
      </c>
      <c r="E766" t="s">
        <v>2891</v>
      </c>
      <c r="F766" t="s">
        <v>2301</v>
      </c>
      <c r="G766" t="s">
        <v>1072</v>
      </c>
    </row>
    <row r="767" spans="1:7" hidden="1" x14ac:dyDescent="0.25">
      <c r="A767" t="s">
        <v>4</v>
      </c>
      <c r="B767" t="s">
        <v>9</v>
      </c>
      <c r="E767" t="s">
        <v>2891</v>
      </c>
      <c r="F767" t="s">
        <v>2304</v>
      </c>
      <c r="G767" t="s">
        <v>1072</v>
      </c>
    </row>
    <row r="768" spans="1:7" hidden="1" x14ac:dyDescent="0.25">
      <c r="A768" t="s">
        <v>4</v>
      </c>
      <c r="B768" t="s">
        <v>9</v>
      </c>
      <c r="E768" t="s">
        <v>2891</v>
      </c>
      <c r="F768" t="s">
        <v>2307</v>
      </c>
      <c r="G768" t="s">
        <v>1072</v>
      </c>
    </row>
    <row r="769" spans="1:7" hidden="1" x14ac:dyDescent="0.25">
      <c r="A769" t="s">
        <v>2894</v>
      </c>
      <c r="B769" t="s">
        <v>2895</v>
      </c>
      <c r="C769" t="s">
        <v>2884</v>
      </c>
      <c r="D769">
        <v>1</v>
      </c>
      <c r="E769" t="s">
        <v>2896</v>
      </c>
      <c r="F769" t="s">
        <v>2310</v>
      </c>
      <c r="G769" t="s">
        <v>1072</v>
      </c>
    </row>
    <row r="770" spans="1:7" hidden="1" x14ac:dyDescent="0.25">
      <c r="A770" t="s">
        <v>2894</v>
      </c>
      <c r="B770" t="s">
        <v>2895</v>
      </c>
      <c r="C770" t="s">
        <v>2884</v>
      </c>
      <c r="D770">
        <v>1</v>
      </c>
      <c r="E770" t="s">
        <v>2896</v>
      </c>
      <c r="F770" t="s">
        <v>2313</v>
      </c>
      <c r="G770" t="s">
        <v>1072</v>
      </c>
    </row>
    <row r="771" spans="1:7" hidden="1" x14ac:dyDescent="0.25">
      <c r="A771" t="s">
        <v>2894</v>
      </c>
      <c r="B771" t="s">
        <v>2895</v>
      </c>
      <c r="C771" t="s">
        <v>2884</v>
      </c>
      <c r="D771">
        <v>1</v>
      </c>
      <c r="E771" t="s">
        <v>2896</v>
      </c>
      <c r="F771" t="s">
        <v>2316</v>
      </c>
      <c r="G771" t="s">
        <v>1072</v>
      </c>
    </row>
    <row r="772" spans="1:7" hidden="1" x14ac:dyDescent="0.25">
      <c r="A772" t="s">
        <v>2894</v>
      </c>
      <c r="B772" t="s">
        <v>2895</v>
      </c>
      <c r="C772" t="s">
        <v>2884</v>
      </c>
      <c r="D772">
        <v>1</v>
      </c>
      <c r="E772" t="s">
        <v>2896</v>
      </c>
      <c r="F772" t="s">
        <v>2319</v>
      </c>
      <c r="G772" t="s">
        <v>1072</v>
      </c>
    </row>
    <row r="773" spans="1:7" hidden="1" x14ac:dyDescent="0.25">
      <c r="A773" t="s">
        <v>2894</v>
      </c>
      <c r="B773" t="s">
        <v>2895</v>
      </c>
      <c r="C773" t="s">
        <v>2884</v>
      </c>
      <c r="D773">
        <v>1</v>
      </c>
      <c r="E773" t="s">
        <v>2896</v>
      </c>
      <c r="F773" t="s">
        <v>2322</v>
      </c>
      <c r="G773" t="s">
        <v>1072</v>
      </c>
    </row>
    <row r="774" spans="1:7" hidden="1" x14ac:dyDescent="0.25">
      <c r="A774" t="s">
        <v>2894</v>
      </c>
      <c r="B774" t="s">
        <v>2895</v>
      </c>
      <c r="C774" t="s">
        <v>2884</v>
      </c>
      <c r="D774">
        <v>1</v>
      </c>
      <c r="E774" t="s">
        <v>2896</v>
      </c>
      <c r="F774" t="s">
        <v>2325</v>
      </c>
      <c r="G774" t="s">
        <v>1072</v>
      </c>
    </row>
    <row r="775" spans="1:7" hidden="1" x14ac:dyDescent="0.25">
      <c r="A775" t="s">
        <v>2894</v>
      </c>
      <c r="B775" t="s">
        <v>2895</v>
      </c>
      <c r="C775" t="s">
        <v>2884</v>
      </c>
      <c r="D775">
        <v>1</v>
      </c>
      <c r="E775" t="s">
        <v>2896</v>
      </c>
      <c r="F775" t="s">
        <v>2328</v>
      </c>
      <c r="G775" t="s">
        <v>1072</v>
      </c>
    </row>
    <row r="776" spans="1:7" hidden="1" x14ac:dyDescent="0.25">
      <c r="A776" t="s">
        <v>2894</v>
      </c>
      <c r="B776" t="s">
        <v>2895</v>
      </c>
      <c r="C776" t="s">
        <v>2884</v>
      </c>
      <c r="D776">
        <v>1</v>
      </c>
      <c r="E776" t="s">
        <v>2896</v>
      </c>
      <c r="F776" t="s">
        <v>2331</v>
      </c>
      <c r="G776" t="s">
        <v>1072</v>
      </c>
    </row>
    <row r="777" spans="1:7" hidden="1" x14ac:dyDescent="0.25">
      <c r="A777" t="s">
        <v>4</v>
      </c>
      <c r="B777" t="s">
        <v>9</v>
      </c>
      <c r="F777" t="s">
        <v>2334</v>
      </c>
      <c r="G777" t="s">
        <v>1072</v>
      </c>
    </row>
    <row r="778" spans="1:7" hidden="1" x14ac:dyDescent="0.25">
      <c r="A778" t="s">
        <v>4</v>
      </c>
      <c r="B778" t="s">
        <v>9</v>
      </c>
      <c r="E778" t="s">
        <v>2891</v>
      </c>
      <c r="F778" t="s">
        <v>2337</v>
      </c>
      <c r="G778" t="s">
        <v>1072</v>
      </c>
    </row>
    <row r="779" spans="1:7" hidden="1" x14ac:dyDescent="0.25">
      <c r="A779" t="s">
        <v>1987</v>
      </c>
      <c r="B779" t="s">
        <v>1267</v>
      </c>
      <c r="F779" t="s">
        <v>2340</v>
      </c>
      <c r="G779" t="s">
        <v>1072</v>
      </c>
    </row>
    <row r="780" spans="1:7" hidden="1" x14ac:dyDescent="0.25">
      <c r="A780" t="s">
        <v>4</v>
      </c>
      <c r="B780" t="s">
        <v>9</v>
      </c>
      <c r="E780" t="s">
        <v>2891</v>
      </c>
      <c r="F780" t="s">
        <v>2343</v>
      </c>
      <c r="G780" t="s">
        <v>1072</v>
      </c>
    </row>
    <row r="781" spans="1:7" hidden="1" x14ac:dyDescent="0.25">
      <c r="A781" t="s">
        <v>4</v>
      </c>
      <c r="B781" t="s">
        <v>9</v>
      </c>
      <c r="E781" t="s">
        <v>2891</v>
      </c>
      <c r="F781" t="s">
        <v>2346</v>
      </c>
      <c r="G781" t="s">
        <v>1072</v>
      </c>
    </row>
    <row r="782" spans="1:7" hidden="1" x14ac:dyDescent="0.25">
      <c r="A782" t="s">
        <v>4</v>
      </c>
      <c r="B782" t="s">
        <v>9</v>
      </c>
      <c r="E782" t="s">
        <v>2891</v>
      </c>
      <c r="F782" t="s">
        <v>2349</v>
      </c>
      <c r="G782" t="s">
        <v>1072</v>
      </c>
    </row>
    <row r="783" spans="1:7" hidden="1" x14ac:dyDescent="0.25">
      <c r="A783" t="s">
        <v>4</v>
      </c>
      <c r="B783" t="s">
        <v>9</v>
      </c>
      <c r="E783" t="s">
        <v>2891</v>
      </c>
      <c r="F783" t="s">
        <v>2352</v>
      </c>
      <c r="G783" t="s">
        <v>1072</v>
      </c>
    </row>
    <row r="784" spans="1:7" hidden="1" x14ac:dyDescent="0.25">
      <c r="A784" t="s">
        <v>4</v>
      </c>
      <c r="B784" t="s">
        <v>9</v>
      </c>
      <c r="F784" t="s">
        <v>2355</v>
      </c>
      <c r="G784" t="s">
        <v>1072</v>
      </c>
    </row>
    <row r="785" spans="1:7" hidden="1" x14ac:dyDescent="0.25">
      <c r="A785" t="s">
        <v>1063</v>
      </c>
      <c r="B785" t="s">
        <v>1570</v>
      </c>
      <c r="C785" t="s">
        <v>58</v>
      </c>
      <c r="F785" t="s">
        <v>2358</v>
      </c>
      <c r="G785" t="s">
        <v>1072</v>
      </c>
    </row>
    <row r="786" spans="1:7" hidden="1" x14ac:dyDescent="0.25">
      <c r="A786" t="s">
        <v>1063</v>
      </c>
      <c r="B786" t="s">
        <v>1570</v>
      </c>
      <c r="C786" t="s">
        <v>58</v>
      </c>
      <c r="F786" t="s">
        <v>2361</v>
      </c>
      <c r="G786" t="s">
        <v>1072</v>
      </c>
    </row>
    <row r="787" spans="1:7" hidden="1" x14ac:dyDescent="0.25">
      <c r="A787" t="s">
        <v>1063</v>
      </c>
      <c r="B787" t="s">
        <v>1570</v>
      </c>
      <c r="C787" t="s">
        <v>58</v>
      </c>
      <c r="F787" t="s">
        <v>2364</v>
      </c>
      <c r="G787" t="s">
        <v>1072</v>
      </c>
    </row>
    <row r="788" spans="1:7" hidden="1" x14ac:dyDescent="0.25">
      <c r="A788" t="s">
        <v>1063</v>
      </c>
      <c r="B788" t="s">
        <v>1570</v>
      </c>
      <c r="C788" t="s">
        <v>58</v>
      </c>
      <c r="F788" t="s">
        <v>2367</v>
      </c>
      <c r="G788" t="s">
        <v>1072</v>
      </c>
    </row>
    <row r="789" spans="1:7" hidden="1" x14ac:dyDescent="0.25">
      <c r="A789" t="s">
        <v>2898</v>
      </c>
      <c r="E789" t="s">
        <v>2897</v>
      </c>
      <c r="F789" t="s">
        <v>2370</v>
      </c>
      <c r="G789" t="s">
        <v>1072</v>
      </c>
    </row>
    <row r="790" spans="1:7" hidden="1" x14ac:dyDescent="0.25">
      <c r="A790" t="s">
        <v>1063</v>
      </c>
      <c r="B790" t="s">
        <v>1570</v>
      </c>
      <c r="C790" t="s">
        <v>2906</v>
      </c>
      <c r="F790" t="s">
        <v>2373</v>
      </c>
      <c r="G790" t="s">
        <v>1072</v>
      </c>
    </row>
    <row r="791" spans="1:7" hidden="1" x14ac:dyDescent="0.25">
      <c r="A791" t="s">
        <v>4</v>
      </c>
      <c r="B791" t="s">
        <v>9</v>
      </c>
      <c r="F791" t="s">
        <v>2376</v>
      </c>
      <c r="G791" t="s">
        <v>1072</v>
      </c>
    </row>
    <row r="792" spans="1:7" hidden="1" x14ac:dyDescent="0.25">
      <c r="A792" t="s">
        <v>1063</v>
      </c>
      <c r="B792" t="s">
        <v>1570</v>
      </c>
      <c r="C792" t="s">
        <v>58</v>
      </c>
      <c r="F792" t="s">
        <v>2379</v>
      </c>
      <c r="G792" t="s">
        <v>1072</v>
      </c>
    </row>
    <row r="793" spans="1:7" hidden="1" x14ac:dyDescent="0.25">
      <c r="A793" t="s">
        <v>1063</v>
      </c>
      <c r="B793" t="s">
        <v>1570</v>
      </c>
      <c r="C793" t="s">
        <v>58</v>
      </c>
      <c r="F793" t="s">
        <v>2382</v>
      </c>
      <c r="G793" t="s">
        <v>1072</v>
      </c>
    </row>
    <row r="794" spans="1:7" hidden="1" x14ac:dyDescent="0.25">
      <c r="A794" t="s">
        <v>1063</v>
      </c>
      <c r="B794" t="s">
        <v>1570</v>
      </c>
      <c r="C794" t="s">
        <v>58</v>
      </c>
      <c r="E794" t="s">
        <v>2891</v>
      </c>
      <c r="F794" t="s">
        <v>2385</v>
      </c>
      <c r="G794" t="s">
        <v>1072</v>
      </c>
    </row>
    <row r="795" spans="1:7" hidden="1" x14ac:dyDescent="0.25">
      <c r="A795" t="s">
        <v>4</v>
      </c>
      <c r="B795" t="s">
        <v>9</v>
      </c>
      <c r="E795" t="s">
        <v>2891</v>
      </c>
      <c r="F795" t="s">
        <v>2388</v>
      </c>
      <c r="G795" t="s">
        <v>1072</v>
      </c>
    </row>
    <row r="796" spans="1:7" hidden="1" x14ac:dyDescent="0.25">
      <c r="A796" t="s">
        <v>4</v>
      </c>
      <c r="B796" t="s">
        <v>9</v>
      </c>
      <c r="E796" t="s">
        <v>2891</v>
      </c>
      <c r="F796" t="s">
        <v>2391</v>
      </c>
      <c r="G796" t="s">
        <v>1072</v>
      </c>
    </row>
    <row r="797" spans="1:7" hidden="1" x14ac:dyDescent="0.25">
      <c r="A797" t="s">
        <v>4</v>
      </c>
      <c r="B797" t="s">
        <v>9</v>
      </c>
      <c r="E797" t="s">
        <v>2891</v>
      </c>
      <c r="F797" t="s">
        <v>2394</v>
      </c>
      <c r="G797" t="s">
        <v>1072</v>
      </c>
    </row>
    <row r="798" spans="1:7" hidden="1" x14ac:dyDescent="0.25">
      <c r="A798" t="s">
        <v>4</v>
      </c>
      <c r="B798" t="s">
        <v>9</v>
      </c>
      <c r="E798" t="s">
        <v>2891</v>
      </c>
      <c r="F798" t="s">
        <v>2397</v>
      </c>
      <c r="G798" t="s">
        <v>1072</v>
      </c>
    </row>
    <row r="799" spans="1:7" hidden="1" x14ac:dyDescent="0.25">
      <c r="A799" t="s">
        <v>4</v>
      </c>
      <c r="B799" t="s">
        <v>9</v>
      </c>
      <c r="E799" t="s">
        <v>2891</v>
      </c>
      <c r="F799" t="s">
        <v>2400</v>
      </c>
      <c r="G799" t="s">
        <v>1072</v>
      </c>
    </row>
    <row r="800" spans="1:7" hidden="1" x14ac:dyDescent="0.25">
      <c r="A800" t="s">
        <v>4</v>
      </c>
      <c r="B800" t="s">
        <v>9</v>
      </c>
      <c r="E800" t="s">
        <v>2891</v>
      </c>
      <c r="F800" t="s">
        <v>2403</v>
      </c>
      <c r="G800" t="s">
        <v>1072</v>
      </c>
    </row>
    <row r="801" spans="1:7" hidden="1" x14ac:dyDescent="0.25">
      <c r="A801" t="s">
        <v>4</v>
      </c>
      <c r="B801" t="s">
        <v>9</v>
      </c>
      <c r="E801" t="s">
        <v>2891</v>
      </c>
      <c r="F801" t="s">
        <v>2406</v>
      </c>
      <c r="G801" t="s">
        <v>1072</v>
      </c>
    </row>
    <row r="802" spans="1:7" hidden="1" x14ac:dyDescent="0.25">
      <c r="A802" t="s">
        <v>4</v>
      </c>
      <c r="B802" t="s">
        <v>9</v>
      </c>
      <c r="E802" t="s">
        <v>2891</v>
      </c>
      <c r="F802" t="s">
        <v>2409</v>
      </c>
      <c r="G802" t="s">
        <v>1072</v>
      </c>
    </row>
    <row r="803" spans="1:7" hidden="1" x14ac:dyDescent="0.25">
      <c r="A803" t="s">
        <v>1063</v>
      </c>
      <c r="B803" t="s">
        <v>1570</v>
      </c>
      <c r="C803" t="s">
        <v>2899</v>
      </c>
      <c r="F803" t="s">
        <v>2412</v>
      </c>
      <c r="G803" t="s">
        <v>1072</v>
      </c>
    </row>
    <row r="804" spans="1:7" hidden="1" x14ac:dyDescent="0.25">
      <c r="A804" t="s">
        <v>1063</v>
      </c>
      <c r="B804" t="s">
        <v>2895</v>
      </c>
      <c r="C804" t="s">
        <v>2899</v>
      </c>
      <c r="F804" t="s">
        <v>2415</v>
      </c>
      <c r="G804" t="s">
        <v>1072</v>
      </c>
    </row>
    <row r="805" spans="1:7" hidden="1" x14ac:dyDescent="0.25">
      <c r="A805" t="s">
        <v>1063</v>
      </c>
      <c r="B805" t="s">
        <v>1570</v>
      </c>
      <c r="C805" t="s">
        <v>1065</v>
      </c>
      <c r="F805" t="s">
        <v>2418</v>
      </c>
      <c r="G805" t="s">
        <v>1072</v>
      </c>
    </row>
    <row r="806" spans="1:7" hidden="1" x14ac:dyDescent="0.25">
      <c r="A806" t="s">
        <v>4</v>
      </c>
      <c r="B806" t="s">
        <v>9</v>
      </c>
      <c r="F806" t="s">
        <v>2421</v>
      </c>
      <c r="G806" t="s">
        <v>1072</v>
      </c>
    </row>
    <row r="807" spans="1:7" hidden="1" x14ac:dyDescent="0.25">
      <c r="A807" t="s">
        <v>2900</v>
      </c>
      <c r="B807" t="s">
        <v>1570</v>
      </c>
      <c r="F807" t="s">
        <v>2424</v>
      </c>
      <c r="G807" t="s">
        <v>1072</v>
      </c>
    </row>
    <row r="808" spans="1:7" hidden="1" x14ac:dyDescent="0.25">
      <c r="A808" t="s">
        <v>2901</v>
      </c>
      <c r="B808" t="s">
        <v>1570</v>
      </c>
      <c r="F808" t="s">
        <v>2427</v>
      </c>
      <c r="G808" t="s">
        <v>1072</v>
      </c>
    </row>
    <row r="809" spans="1:7" hidden="1" x14ac:dyDescent="0.25">
      <c r="A809" t="s">
        <v>4</v>
      </c>
      <c r="B809" t="s">
        <v>9</v>
      </c>
      <c r="F809" t="s">
        <v>2430</v>
      </c>
      <c r="G809" t="s">
        <v>1072</v>
      </c>
    </row>
    <row r="810" spans="1:7" hidden="1" x14ac:dyDescent="0.25">
      <c r="A810" t="s">
        <v>4</v>
      </c>
      <c r="B810" t="s">
        <v>9</v>
      </c>
      <c r="E810" t="s">
        <v>2891</v>
      </c>
      <c r="F810" t="s">
        <v>2433</v>
      </c>
      <c r="G810" t="s">
        <v>1072</v>
      </c>
    </row>
    <row r="811" spans="1:7" hidden="1" x14ac:dyDescent="0.25">
      <c r="A811" t="s">
        <v>4</v>
      </c>
      <c r="B811" t="s">
        <v>9</v>
      </c>
      <c r="E811" t="s">
        <v>2891</v>
      </c>
      <c r="F811" t="s">
        <v>2436</v>
      </c>
      <c r="G811" t="s">
        <v>1072</v>
      </c>
    </row>
    <row r="812" spans="1:7" hidden="1" x14ac:dyDescent="0.25">
      <c r="A812" t="s">
        <v>1063</v>
      </c>
      <c r="B812" t="s">
        <v>1570</v>
      </c>
      <c r="C812" t="s">
        <v>58</v>
      </c>
      <c r="F812" t="s">
        <v>2439</v>
      </c>
      <c r="G812" t="s">
        <v>1072</v>
      </c>
    </row>
    <row r="813" spans="1:7" hidden="1" x14ac:dyDescent="0.25">
      <c r="A813" t="s">
        <v>4</v>
      </c>
      <c r="B813" t="s">
        <v>9</v>
      </c>
      <c r="E813" t="s">
        <v>2891</v>
      </c>
      <c r="F813" t="s">
        <v>2442</v>
      </c>
      <c r="G813" t="s">
        <v>1072</v>
      </c>
    </row>
    <row r="814" spans="1:7" hidden="1" x14ac:dyDescent="0.25">
      <c r="A814" t="s">
        <v>4</v>
      </c>
      <c r="B814" t="s">
        <v>9</v>
      </c>
      <c r="E814" t="s">
        <v>2891</v>
      </c>
      <c r="F814" t="s">
        <v>2445</v>
      </c>
      <c r="G814" t="s">
        <v>1072</v>
      </c>
    </row>
    <row r="815" spans="1:7" hidden="1" x14ac:dyDescent="0.25">
      <c r="A815" t="s">
        <v>4</v>
      </c>
      <c r="B815" t="s">
        <v>2902</v>
      </c>
      <c r="F815" t="s">
        <v>2448</v>
      </c>
      <c r="G815" t="s">
        <v>1072</v>
      </c>
    </row>
    <row r="816" spans="1:7" hidden="1" x14ac:dyDescent="0.25">
      <c r="A816" t="s">
        <v>4</v>
      </c>
      <c r="B816" t="s">
        <v>9</v>
      </c>
      <c r="F816" t="s">
        <v>2451</v>
      </c>
      <c r="G816" t="s">
        <v>1072</v>
      </c>
    </row>
    <row r="817" spans="1:7" hidden="1" x14ac:dyDescent="0.25">
      <c r="A817" t="s">
        <v>1063</v>
      </c>
      <c r="B817" t="s">
        <v>2895</v>
      </c>
      <c r="C817" t="s">
        <v>58</v>
      </c>
      <c r="F817" t="s">
        <v>2454</v>
      </c>
      <c r="G817" t="s">
        <v>1072</v>
      </c>
    </row>
    <row r="818" spans="1:7" hidden="1" x14ac:dyDescent="0.25">
      <c r="A818" t="s">
        <v>4</v>
      </c>
      <c r="B818" t="s">
        <v>9</v>
      </c>
      <c r="E818" t="s">
        <v>2891</v>
      </c>
      <c r="F818" t="s">
        <v>2457</v>
      </c>
      <c r="G818" t="s">
        <v>1072</v>
      </c>
    </row>
    <row r="819" spans="1:7" hidden="1" x14ac:dyDescent="0.25">
      <c r="A819" t="s">
        <v>1063</v>
      </c>
      <c r="B819" t="s">
        <v>1570</v>
      </c>
      <c r="C819" t="s">
        <v>58</v>
      </c>
      <c r="F819" t="s">
        <v>2460</v>
      </c>
      <c r="G819" t="s">
        <v>1072</v>
      </c>
    </row>
    <row r="820" spans="1:7" hidden="1" x14ac:dyDescent="0.25">
      <c r="A820" t="s">
        <v>4</v>
      </c>
      <c r="B820" t="s">
        <v>9</v>
      </c>
      <c r="E820" t="s">
        <v>2891</v>
      </c>
      <c r="F820" t="s">
        <v>2463</v>
      </c>
      <c r="G820" t="s">
        <v>1072</v>
      </c>
    </row>
    <row r="821" spans="1:7" hidden="1" x14ac:dyDescent="0.25">
      <c r="A821" t="s">
        <v>4</v>
      </c>
      <c r="B821" t="s">
        <v>9</v>
      </c>
      <c r="E821" t="s">
        <v>2891</v>
      </c>
      <c r="F821" t="s">
        <v>2466</v>
      </c>
      <c r="G821" t="s">
        <v>1072</v>
      </c>
    </row>
    <row r="822" spans="1:7" hidden="1" x14ac:dyDescent="0.25">
      <c r="A822" t="s">
        <v>1063</v>
      </c>
      <c r="B822" t="s">
        <v>1570</v>
      </c>
      <c r="C822" t="s">
        <v>58</v>
      </c>
      <c r="F822" t="s">
        <v>2469</v>
      </c>
      <c r="G822" t="s">
        <v>1072</v>
      </c>
    </row>
    <row r="823" spans="1:7" hidden="1" x14ac:dyDescent="0.25">
      <c r="A823" t="s">
        <v>4</v>
      </c>
      <c r="B823" t="s">
        <v>9</v>
      </c>
      <c r="F823" t="s">
        <v>2472</v>
      </c>
      <c r="G823" t="s">
        <v>1072</v>
      </c>
    </row>
    <row r="824" spans="1:7" hidden="1" x14ac:dyDescent="0.25">
      <c r="A824" t="s">
        <v>1967</v>
      </c>
      <c r="F824" t="s">
        <v>2475</v>
      </c>
      <c r="G824" t="s">
        <v>1072</v>
      </c>
    </row>
    <row r="825" spans="1:7" hidden="1" x14ac:dyDescent="0.25">
      <c r="A825" t="s">
        <v>1967</v>
      </c>
      <c r="F825" t="s">
        <v>2478</v>
      </c>
      <c r="G825" t="s">
        <v>1072</v>
      </c>
    </row>
    <row r="826" spans="1:7" hidden="1" x14ac:dyDescent="0.25">
      <c r="A826" t="s">
        <v>505</v>
      </c>
      <c r="B826" t="s">
        <v>503</v>
      </c>
      <c r="C826" t="s">
        <v>58</v>
      </c>
      <c r="E826" t="s">
        <v>2903</v>
      </c>
      <c r="F826" t="s">
        <v>2586</v>
      </c>
      <c r="G826" s="1" t="s">
        <v>1566</v>
      </c>
    </row>
    <row r="827" spans="1:7" hidden="1" x14ac:dyDescent="0.25">
      <c r="A827" t="s">
        <v>505</v>
      </c>
      <c r="B827" t="s">
        <v>503</v>
      </c>
      <c r="C827" t="s">
        <v>58</v>
      </c>
      <c r="E827" t="s">
        <v>2903</v>
      </c>
      <c r="F827" t="s">
        <v>2589</v>
      </c>
      <c r="G827" s="1" t="s">
        <v>1566</v>
      </c>
    </row>
    <row r="828" spans="1:7" hidden="1" x14ac:dyDescent="0.25">
      <c r="A828" t="s">
        <v>505</v>
      </c>
      <c r="B828" t="s">
        <v>503</v>
      </c>
      <c r="C828" t="s">
        <v>58</v>
      </c>
      <c r="E828" t="s">
        <v>1583</v>
      </c>
      <c r="F828" t="s">
        <v>2592</v>
      </c>
      <c r="G828" s="1" t="s">
        <v>1566</v>
      </c>
    </row>
    <row r="829" spans="1:7" hidden="1" x14ac:dyDescent="0.25">
      <c r="A829" t="s">
        <v>505</v>
      </c>
      <c r="B829" t="s">
        <v>503</v>
      </c>
      <c r="C829" t="s">
        <v>58</v>
      </c>
      <c r="E829" t="s">
        <v>1583</v>
      </c>
      <c r="F829" t="s">
        <v>2595</v>
      </c>
      <c r="G829" s="1" t="s">
        <v>1566</v>
      </c>
    </row>
    <row r="830" spans="1:7" hidden="1" x14ac:dyDescent="0.25">
      <c r="A830" t="s">
        <v>505</v>
      </c>
      <c r="B830" t="s">
        <v>503</v>
      </c>
      <c r="C830" t="s">
        <v>58</v>
      </c>
      <c r="E830" t="s">
        <v>1574</v>
      </c>
      <c r="F830" t="s">
        <v>2598</v>
      </c>
      <c r="G830" s="1" t="s">
        <v>1566</v>
      </c>
    </row>
    <row r="831" spans="1:7" hidden="1" x14ac:dyDescent="0.25">
      <c r="A831" t="s">
        <v>505</v>
      </c>
      <c r="B831" t="s">
        <v>503</v>
      </c>
      <c r="C831" t="s">
        <v>58</v>
      </c>
      <c r="E831" t="s">
        <v>1574</v>
      </c>
      <c r="F831" t="s">
        <v>2601</v>
      </c>
      <c r="G831" s="1" t="s">
        <v>1566</v>
      </c>
    </row>
    <row r="832" spans="1:7" hidden="1" x14ac:dyDescent="0.25">
      <c r="A832" t="s">
        <v>505</v>
      </c>
      <c r="B832" t="s">
        <v>503</v>
      </c>
      <c r="C832" t="s">
        <v>58</v>
      </c>
      <c r="E832" t="s">
        <v>2904</v>
      </c>
      <c r="F832" t="s">
        <v>2604</v>
      </c>
      <c r="G832" s="1" t="s">
        <v>1566</v>
      </c>
    </row>
    <row r="833" spans="1:7" hidden="1" x14ac:dyDescent="0.25">
      <c r="A833" t="s">
        <v>4</v>
      </c>
      <c r="B833" t="s">
        <v>8</v>
      </c>
      <c r="F833" t="s">
        <v>2607</v>
      </c>
      <c r="G833" s="1" t="s">
        <v>1566</v>
      </c>
    </row>
    <row r="834" spans="1:7" hidden="1" x14ac:dyDescent="0.25">
      <c r="A834" t="s">
        <v>1569</v>
      </c>
      <c r="B834" t="s">
        <v>70</v>
      </c>
      <c r="C834" t="s">
        <v>51</v>
      </c>
      <c r="F834" t="s">
        <v>2610</v>
      </c>
      <c r="G834" s="1" t="s">
        <v>1566</v>
      </c>
    </row>
    <row r="835" spans="1:7" hidden="1" x14ac:dyDescent="0.25">
      <c r="A835" t="s">
        <v>261</v>
      </c>
      <c r="B835" t="s">
        <v>70</v>
      </c>
      <c r="C835" t="s">
        <v>58</v>
      </c>
      <c r="E835" t="s">
        <v>2911</v>
      </c>
      <c r="F835" t="s">
        <v>2613</v>
      </c>
      <c r="G835" s="1" t="s">
        <v>1566</v>
      </c>
    </row>
    <row r="836" spans="1:7" hidden="1" x14ac:dyDescent="0.25">
      <c r="A836" t="s">
        <v>1962</v>
      </c>
      <c r="B836" t="s">
        <v>70</v>
      </c>
      <c r="C836" t="s">
        <v>58</v>
      </c>
      <c r="E836" t="s">
        <v>2911</v>
      </c>
      <c r="F836" t="s">
        <v>2616</v>
      </c>
      <c r="G836" s="1" t="s">
        <v>1566</v>
      </c>
    </row>
    <row r="837" spans="1:7" hidden="1" x14ac:dyDescent="0.25">
      <c r="A837" t="s">
        <v>1962</v>
      </c>
      <c r="B837" t="s">
        <v>70</v>
      </c>
      <c r="C837" t="s">
        <v>58</v>
      </c>
      <c r="E837" t="s">
        <v>2911</v>
      </c>
      <c r="F837" t="s">
        <v>2619</v>
      </c>
      <c r="G837" s="1" t="s">
        <v>1566</v>
      </c>
    </row>
    <row r="838" spans="1:7" hidden="1" x14ac:dyDescent="0.25">
      <c r="A838" t="s">
        <v>1962</v>
      </c>
      <c r="B838" t="s">
        <v>70</v>
      </c>
      <c r="C838" t="s">
        <v>58</v>
      </c>
      <c r="E838" t="s">
        <v>2911</v>
      </c>
      <c r="F838" t="s">
        <v>2622</v>
      </c>
      <c r="G838" s="1" t="s">
        <v>1566</v>
      </c>
    </row>
    <row r="839" spans="1:7" hidden="1" x14ac:dyDescent="0.25">
      <c r="A839" t="s">
        <v>1962</v>
      </c>
      <c r="B839" t="s">
        <v>70</v>
      </c>
      <c r="C839" t="s">
        <v>58</v>
      </c>
      <c r="E839" t="s">
        <v>2911</v>
      </c>
      <c r="F839" t="s">
        <v>2625</v>
      </c>
      <c r="G839" s="1" t="s">
        <v>1566</v>
      </c>
    </row>
    <row r="840" spans="1:7" hidden="1" x14ac:dyDescent="0.25">
      <c r="A840" t="s">
        <v>1962</v>
      </c>
      <c r="B840" t="s">
        <v>70</v>
      </c>
      <c r="C840" t="s">
        <v>2905</v>
      </c>
      <c r="E840" t="s">
        <v>2911</v>
      </c>
      <c r="F840" t="s">
        <v>2628</v>
      </c>
      <c r="G840" s="1" t="s">
        <v>1566</v>
      </c>
    </row>
    <row r="841" spans="1:7" hidden="1" x14ac:dyDescent="0.25">
      <c r="A841" t="s">
        <v>1962</v>
      </c>
      <c r="B841" t="s">
        <v>70</v>
      </c>
      <c r="C841" t="s">
        <v>2906</v>
      </c>
      <c r="E841" t="s">
        <v>2911</v>
      </c>
      <c r="F841" t="s">
        <v>2631</v>
      </c>
      <c r="G841" s="1" t="s">
        <v>1566</v>
      </c>
    </row>
    <row r="842" spans="1:7" hidden="1" x14ac:dyDescent="0.25">
      <c r="A842" t="s">
        <v>1962</v>
      </c>
      <c r="B842" t="s">
        <v>70</v>
      </c>
      <c r="C842" t="s">
        <v>2907</v>
      </c>
      <c r="E842" t="s">
        <v>2911</v>
      </c>
      <c r="F842" t="s">
        <v>2634</v>
      </c>
      <c r="G842" s="1" t="s">
        <v>1566</v>
      </c>
    </row>
    <row r="843" spans="1:7" hidden="1" x14ac:dyDescent="0.25">
      <c r="A843" t="s">
        <v>2908</v>
      </c>
      <c r="B843" t="s">
        <v>70</v>
      </c>
      <c r="F843" t="s">
        <v>2637</v>
      </c>
      <c r="G843" s="1" t="s">
        <v>1566</v>
      </c>
    </row>
    <row r="844" spans="1:7" hidden="1" x14ac:dyDescent="0.25">
      <c r="A844" t="s">
        <v>505</v>
      </c>
      <c r="B844" t="s">
        <v>1570</v>
      </c>
      <c r="C844" t="s">
        <v>58</v>
      </c>
      <c r="E844" t="s">
        <v>2909</v>
      </c>
      <c r="F844" t="s">
        <v>2640</v>
      </c>
      <c r="G844" s="1" t="s">
        <v>1566</v>
      </c>
    </row>
    <row r="845" spans="1:7" hidden="1" x14ac:dyDescent="0.25">
      <c r="A845" t="s">
        <v>505</v>
      </c>
      <c r="B845" t="s">
        <v>1570</v>
      </c>
      <c r="C845" t="s">
        <v>58</v>
      </c>
      <c r="E845" t="s">
        <v>2909</v>
      </c>
      <c r="F845" t="s">
        <v>2643</v>
      </c>
      <c r="G845" s="1" t="s">
        <v>1566</v>
      </c>
    </row>
    <row r="846" spans="1:7" hidden="1" x14ac:dyDescent="0.25">
      <c r="A846" t="s">
        <v>159</v>
      </c>
      <c r="B846" t="s">
        <v>2875</v>
      </c>
      <c r="F846" t="s">
        <v>2646</v>
      </c>
      <c r="G846" s="1" t="s">
        <v>1566</v>
      </c>
    </row>
    <row r="847" spans="1:7" hidden="1" x14ac:dyDescent="0.25">
      <c r="A847" t="s">
        <v>1569</v>
      </c>
      <c r="B847" t="s">
        <v>2875</v>
      </c>
      <c r="E847" t="s">
        <v>2910</v>
      </c>
      <c r="F847" t="s">
        <v>2649</v>
      </c>
      <c r="G847" s="1" t="s">
        <v>1566</v>
      </c>
    </row>
    <row r="848" spans="1:7" hidden="1" x14ac:dyDescent="0.25">
      <c r="A848" t="s">
        <v>261</v>
      </c>
      <c r="B848" t="s">
        <v>2875</v>
      </c>
      <c r="C848" t="s">
        <v>58</v>
      </c>
      <c r="E848" t="s">
        <v>2912</v>
      </c>
      <c r="F848" t="s">
        <v>2652</v>
      </c>
      <c r="G848" s="1" t="s">
        <v>1566</v>
      </c>
    </row>
    <row r="849" spans="1:7" hidden="1" x14ac:dyDescent="0.25">
      <c r="A849" t="s">
        <v>1962</v>
      </c>
      <c r="B849" t="s">
        <v>2875</v>
      </c>
      <c r="C849" t="s">
        <v>58</v>
      </c>
      <c r="E849" t="s">
        <v>2912</v>
      </c>
      <c r="F849" t="s">
        <v>2654</v>
      </c>
      <c r="G849" s="1" t="s">
        <v>1566</v>
      </c>
    </row>
    <row r="850" spans="1:7" hidden="1" x14ac:dyDescent="0.25">
      <c r="A850" t="s">
        <v>1962</v>
      </c>
      <c r="B850" t="s">
        <v>2875</v>
      </c>
      <c r="C850" t="s">
        <v>58</v>
      </c>
      <c r="E850" t="s">
        <v>2912</v>
      </c>
      <c r="F850" t="s">
        <v>2656</v>
      </c>
      <c r="G850" s="1" t="s">
        <v>1566</v>
      </c>
    </row>
    <row r="851" spans="1:7" hidden="1" x14ac:dyDescent="0.25">
      <c r="A851" t="s">
        <v>505</v>
      </c>
      <c r="B851" t="s">
        <v>1570</v>
      </c>
      <c r="C851" t="s">
        <v>58</v>
      </c>
      <c r="E851" t="s">
        <v>2913</v>
      </c>
      <c r="F851" t="s">
        <v>2659</v>
      </c>
      <c r="G851" s="1" t="s">
        <v>1566</v>
      </c>
    </row>
    <row r="852" spans="1:7" hidden="1" x14ac:dyDescent="0.25">
      <c r="A852" t="s">
        <v>505</v>
      </c>
      <c r="B852" t="s">
        <v>1570</v>
      </c>
      <c r="C852" t="s">
        <v>58</v>
      </c>
      <c r="E852" t="s">
        <v>2913</v>
      </c>
      <c r="F852" t="s">
        <v>2662</v>
      </c>
      <c r="G852" s="1" t="s">
        <v>1566</v>
      </c>
    </row>
    <row r="853" spans="1:7" hidden="1" x14ac:dyDescent="0.25">
      <c r="A853" t="s">
        <v>505</v>
      </c>
      <c r="B853" t="s">
        <v>1570</v>
      </c>
      <c r="C853" t="s">
        <v>58</v>
      </c>
      <c r="E853" t="s">
        <v>2913</v>
      </c>
      <c r="F853" t="s">
        <v>2665</v>
      </c>
      <c r="G853" s="1" t="s">
        <v>1566</v>
      </c>
    </row>
    <row r="854" spans="1:7" hidden="1" x14ac:dyDescent="0.25">
      <c r="A854" t="s">
        <v>505</v>
      </c>
      <c r="B854" t="s">
        <v>1570</v>
      </c>
      <c r="C854" t="s">
        <v>58</v>
      </c>
      <c r="E854" t="s">
        <v>2909</v>
      </c>
      <c r="F854" t="s">
        <v>2668</v>
      </c>
      <c r="G854" s="1" t="s">
        <v>1566</v>
      </c>
    </row>
    <row r="855" spans="1:7" hidden="1" x14ac:dyDescent="0.25">
      <c r="A855" t="s">
        <v>505</v>
      </c>
      <c r="B855" t="s">
        <v>1570</v>
      </c>
      <c r="C855" t="s">
        <v>58</v>
      </c>
      <c r="E855" t="s">
        <v>2909</v>
      </c>
      <c r="F855" t="s">
        <v>2914</v>
      </c>
      <c r="G855" s="1" t="s">
        <v>1566</v>
      </c>
    </row>
    <row r="856" spans="1:7" hidden="1" x14ac:dyDescent="0.25">
      <c r="A856" t="s">
        <v>4</v>
      </c>
      <c r="B856" t="s">
        <v>8</v>
      </c>
      <c r="F856" t="s">
        <v>2671</v>
      </c>
      <c r="G856" s="1" t="s">
        <v>1566</v>
      </c>
    </row>
    <row r="857" spans="1:7" hidden="1" x14ac:dyDescent="0.25">
      <c r="A857" t="s">
        <v>505</v>
      </c>
      <c r="B857" t="s">
        <v>1570</v>
      </c>
      <c r="C857" t="s">
        <v>2917</v>
      </c>
      <c r="E857" t="s">
        <v>2909</v>
      </c>
      <c r="F857" t="s">
        <v>2674</v>
      </c>
      <c r="G857" s="1" t="s">
        <v>1566</v>
      </c>
    </row>
    <row r="858" spans="1:7" hidden="1" x14ac:dyDescent="0.25">
      <c r="A858" t="s">
        <v>505</v>
      </c>
      <c r="B858" t="s">
        <v>1570</v>
      </c>
      <c r="C858" t="s">
        <v>2917</v>
      </c>
      <c r="E858" t="s">
        <v>2909</v>
      </c>
      <c r="F858" t="s">
        <v>2677</v>
      </c>
      <c r="G858" s="1" t="s">
        <v>1566</v>
      </c>
    </row>
    <row r="859" spans="1:7" hidden="1" x14ac:dyDescent="0.25">
      <c r="A859" t="s">
        <v>505</v>
      </c>
      <c r="B859" t="s">
        <v>1570</v>
      </c>
      <c r="C859" t="s">
        <v>2917</v>
      </c>
      <c r="E859" t="s">
        <v>2909</v>
      </c>
      <c r="F859" t="s">
        <v>2680</v>
      </c>
      <c r="G859" s="1" t="s">
        <v>1566</v>
      </c>
    </row>
    <row r="860" spans="1:7" hidden="1" x14ac:dyDescent="0.25">
      <c r="A860" t="s">
        <v>1569</v>
      </c>
      <c r="B860" t="s">
        <v>70</v>
      </c>
      <c r="C860" t="s">
        <v>51</v>
      </c>
      <c r="F860" t="s">
        <v>2683</v>
      </c>
      <c r="G860" s="1" t="s">
        <v>1566</v>
      </c>
    </row>
    <row r="861" spans="1:7" hidden="1" x14ac:dyDescent="0.25">
      <c r="A861" t="s">
        <v>261</v>
      </c>
      <c r="B861" t="s">
        <v>70</v>
      </c>
      <c r="C861" t="s">
        <v>58</v>
      </c>
      <c r="E861" t="s">
        <v>2911</v>
      </c>
      <c r="F861" t="s">
        <v>2686</v>
      </c>
      <c r="G861" s="1" t="s">
        <v>1566</v>
      </c>
    </row>
    <row r="862" spans="1:7" hidden="1" x14ac:dyDescent="0.25">
      <c r="A862" t="s">
        <v>1962</v>
      </c>
      <c r="B862" t="s">
        <v>70</v>
      </c>
      <c r="C862" t="s">
        <v>58</v>
      </c>
      <c r="E862" t="s">
        <v>2911</v>
      </c>
      <c r="F862" t="s">
        <v>2689</v>
      </c>
      <c r="G862" s="1" t="s">
        <v>1566</v>
      </c>
    </row>
    <row r="863" spans="1:7" hidden="1" x14ac:dyDescent="0.25">
      <c r="A863" t="s">
        <v>1962</v>
      </c>
      <c r="B863" t="s">
        <v>70</v>
      </c>
      <c r="C863" t="s">
        <v>58</v>
      </c>
      <c r="E863" t="s">
        <v>2911</v>
      </c>
      <c r="F863" t="s">
        <v>2692</v>
      </c>
      <c r="G863" s="1" t="s">
        <v>1566</v>
      </c>
    </row>
    <row r="864" spans="1:7" hidden="1" x14ac:dyDescent="0.25">
      <c r="A864" t="s">
        <v>1962</v>
      </c>
      <c r="B864" t="s">
        <v>70</v>
      </c>
      <c r="C864" t="s">
        <v>58</v>
      </c>
      <c r="E864" t="s">
        <v>2911</v>
      </c>
      <c r="F864" t="s">
        <v>2695</v>
      </c>
      <c r="G864" s="1" t="s">
        <v>1566</v>
      </c>
    </row>
    <row r="865" spans="1:7" hidden="1" x14ac:dyDescent="0.25">
      <c r="A865" t="s">
        <v>1962</v>
      </c>
      <c r="B865" t="s">
        <v>70</v>
      </c>
      <c r="C865" t="s">
        <v>58</v>
      </c>
      <c r="E865" t="s">
        <v>2911</v>
      </c>
      <c r="F865" t="s">
        <v>2698</v>
      </c>
      <c r="G865" s="1" t="s">
        <v>1566</v>
      </c>
    </row>
    <row r="866" spans="1:7" hidden="1" x14ac:dyDescent="0.25">
      <c r="A866" t="s">
        <v>1962</v>
      </c>
      <c r="B866" t="s">
        <v>70</v>
      </c>
      <c r="C866" t="s">
        <v>58</v>
      </c>
      <c r="E866" t="s">
        <v>2911</v>
      </c>
      <c r="F866" t="s">
        <v>2701</v>
      </c>
      <c r="G866" s="1" t="s">
        <v>1566</v>
      </c>
    </row>
    <row r="867" spans="1:7" hidden="1" x14ac:dyDescent="0.25">
      <c r="A867" t="s">
        <v>1962</v>
      </c>
      <c r="B867" t="s">
        <v>70</v>
      </c>
      <c r="C867" t="s">
        <v>58</v>
      </c>
      <c r="E867" t="s">
        <v>2911</v>
      </c>
      <c r="F867" t="s">
        <v>2704</v>
      </c>
      <c r="G867" s="1" t="s">
        <v>1566</v>
      </c>
    </row>
    <row r="868" spans="1:7" hidden="1" x14ac:dyDescent="0.25">
      <c r="A868" t="s">
        <v>1962</v>
      </c>
      <c r="B868" t="s">
        <v>70</v>
      </c>
      <c r="C868" t="s">
        <v>58</v>
      </c>
      <c r="E868" t="s">
        <v>2911</v>
      </c>
      <c r="F868" t="s">
        <v>2707</v>
      </c>
      <c r="G868" s="1" t="s">
        <v>1566</v>
      </c>
    </row>
    <row r="869" spans="1:7" hidden="1" x14ac:dyDescent="0.25">
      <c r="A869" t="s">
        <v>1962</v>
      </c>
      <c r="B869" t="s">
        <v>70</v>
      </c>
      <c r="C869" t="s">
        <v>58</v>
      </c>
      <c r="E869" t="s">
        <v>2911</v>
      </c>
      <c r="F869" t="s">
        <v>2710</v>
      </c>
      <c r="G869" s="1" t="s">
        <v>1566</v>
      </c>
    </row>
    <row r="870" spans="1:7" hidden="1" x14ac:dyDescent="0.25">
      <c r="A870" t="s">
        <v>1962</v>
      </c>
      <c r="B870" t="s">
        <v>70</v>
      </c>
      <c r="C870" t="s">
        <v>58</v>
      </c>
      <c r="E870" t="s">
        <v>2911</v>
      </c>
      <c r="F870" t="s">
        <v>2713</v>
      </c>
      <c r="G870" s="1" t="s">
        <v>1566</v>
      </c>
    </row>
    <row r="871" spans="1:7" hidden="1" x14ac:dyDescent="0.25">
      <c r="A871" t="s">
        <v>1962</v>
      </c>
      <c r="B871" t="s">
        <v>70</v>
      </c>
      <c r="C871" t="s">
        <v>58</v>
      </c>
      <c r="E871" t="s">
        <v>2918</v>
      </c>
      <c r="F871" t="s">
        <v>2716</v>
      </c>
      <c r="G871" s="1" t="s">
        <v>1566</v>
      </c>
    </row>
    <row r="872" spans="1:7" hidden="1" x14ac:dyDescent="0.25">
      <c r="A872" t="s">
        <v>1962</v>
      </c>
      <c r="B872" t="s">
        <v>70</v>
      </c>
      <c r="C872" t="s">
        <v>2917</v>
      </c>
      <c r="E872" t="s">
        <v>2911</v>
      </c>
      <c r="F872" t="s">
        <v>2719</v>
      </c>
      <c r="G872" s="1" t="s">
        <v>1566</v>
      </c>
    </row>
    <row r="873" spans="1:7" hidden="1" x14ac:dyDescent="0.25">
      <c r="A873" t="s">
        <v>1962</v>
      </c>
      <c r="B873" t="s">
        <v>70</v>
      </c>
      <c r="C873" t="s">
        <v>58</v>
      </c>
      <c r="E873" t="s">
        <v>2918</v>
      </c>
      <c r="F873" t="s">
        <v>2722</v>
      </c>
      <c r="G873" s="1" t="s">
        <v>1566</v>
      </c>
    </row>
    <row r="874" spans="1:7" hidden="1" x14ac:dyDescent="0.25">
      <c r="A874" t="s">
        <v>1962</v>
      </c>
      <c r="B874" t="s">
        <v>70</v>
      </c>
      <c r="C874" t="s">
        <v>58</v>
      </c>
      <c r="E874" t="s">
        <v>2918</v>
      </c>
      <c r="F874" t="s">
        <v>2725</v>
      </c>
      <c r="G874" s="1" t="s">
        <v>1566</v>
      </c>
    </row>
    <row r="875" spans="1:7" hidden="1" x14ac:dyDescent="0.25">
      <c r="A875" t="s">
        <v>1962</v>
      </c>
      <c r="B875" t="s">
        <v>70</v>
      </c>
      <c r="C875" t="s">
        <v>58</v>
      </c>
      <c r="E875" t="s">
        <v>2918</v>
      </c>
      <c r="F875" t="s">
        <v>2728</v>
      </c>
      <c r="G875" s="1" t="s">
        <v>1566</v>
      </c>
    </row>
    <row r="876" spans="1:7" hidden="1" x14ac:dyDescent="0.25">
      <c r="A876" t="s">
        <v>1962</v>
      </c>
      <c r="B876" t="s">
        <v>70</v>
      </c>
      <c r="C876" t="s">
        <v>58</v>
      </c>
      <c r="E876" t="s">
        <v>2912</v>
      </c>
      <c r="F876" t="s">
        <v>2731</v>
      </c>
      <c r="G876" s="1" t="s">
        <v>1566</v>
      </c>
    </row>
    <row r="877" spans="1:7" hidden="1" x14ac:dyDescent="0.25">
      <c r="A877" t="s">
        <v>1962</v>
      </c>
      <c r="B877" t="s">
        <v>70</v>
      </c>
      <c r="C877" t="s">
        <v>2917</v>
      </c>
      <c r="E877" t="s">
        <v>2912</v>
      </c>
      <c r="F877" t="s">
        <v>2734</v>
      </c>
      <c r="G877" s="1" t="s">
        <v>1566</v>
      </c>
    </row>
    <row r="878" spans="1:7" hidden="1" x14ac:dyDescent="0.25">
      <c r="A878" t="s">
        <v>1962</v>
      </c>
      <c r="B878" t="s">
        <v>70</v>
      </c>
      <c r="C878" t="s">
        <v>2917</v>
      </c>
      <c r="E878" t="s">
        <v>2912</v>
      </c>
      <c r="F878" t="s">
        <v>2737</v>
      </c>
      <c r="G878" s="1" t="s">
        <v>1566</v>
      </c>
    </row>
    <row r="879" spans="1:7" hidden="1" x14ac:dyDescent="0.25">
      <c r="A879" t="s">
        <v>1962</v>
      </c>
      <c r="B879" t="s">
        <v>70</v>
      </c>
      <c r="C879" t="s">
        <v>2917</v>
      </c>
      <c r="E879" t="s">
        <v>2912</v>
      </c>
      <c r="F879" t="s">
        <v>2740</v>
      </c>
      <c r="G879" s="1" t="s">
        <v>1566</v>
      </c>
    </row>
    <row r="880" spans="1:7" hidden="1" x14ac:dyDescent="0.25">
      <c r="A880" t="s">
        <v>1962</v>
      </c>
      <c r="B880" t="s">
        <v>70</v>
      </c>
      <c r="C880" t="s">
        <v>2917</v>
      </c>
      <c r="E880" t="s">
        <v>2912</v>
      </c>
      <c r="F880" t="s">
        <v>2743</v>
      </c>
      <c r="G880" s="1" t="s">
        <v>1566</v>
      </c>
    </row>
    <row r="881" spans="1:7" hidden="1" x14ac:dyDescent="0.25">
      <c r="A881" t="s">
        <v>1962</v>
      </c>
      <c r="B881" t="s">
        <v>70</v>
      </c>
      <c r="C881" t="s">
        <v>2917</v>
      </c>
      <c r="E881" t="s">
        <v>2912</v>
      </c>
      <c r="F881" t="s">
        <v>2746</v>
      </c>
      <c r="G881" s="1" t="s">
        <v>1566</v>
      </c>
    </row>
    <row r="882" spans="1:7" hidden="1" x14ac:dyDescent="0.25">
      <c r="A882" t="s">
        <v>2908</v>
      </c>
      <c r="B882" t="s">
        <v>70</v>
      </c>
      <c r="F882" t="s">
        <v>2749</v>
      </c>
      <c r="G882" s="1" t="s">
        <v>1566</v>
      </c>
    </row>
    <row r="883" spans="1:7" hidden="1" x14ac:dyDescent="0.25">
      <c r="A883" t="s">
        <v>505</v>
      </c>
      <c r="B883" t="s">
        <v>1570</v>
      </c>
      <c r="C883" t="s">
        <v>58</v>
      </c>
      <c r="E883" t="s">
        <v>1574</v>
      </c>
      <c r="F883" t="s">
        <v>2752</v>
      </c>
      <c r="G883" s="1" t="s">
        <v>1566</v>
      </c>
    </row>
    <row r="884" spans="1:7" hidden="1" x14ac:dyDescent="0.25">
      <c r="A884" t="s">
        <v>505</v>
      </c>
      <c r="B884" t="s">
        <v>1570</v>
      </c>
      <c r="C884" t="s">
        <v>58</v>
      </c>
      <c r="E884" t="s">
        <v>1574</v>
      </c>
      <c r="F884" t="s">
        <v>2755</v>
      </c>
      <c r="G884" s="1" t="s">
        <v>1566</v>
      </c>
    </row>
    <row r="885" spans="1:7" hidden="1" x14ac:dyDescent="0.25">
      <c r="A885" t="s">
        <v>505</v>
      </c>
      <c r="B885" t="s">
        <v>1570</v>
      </c>
      <c r="C885" t="s">
        <v>58</v>
      </c>
      <c r="E885" t="s">
        <v>1574</v>
      </c>
      <c r="F885" t="s">
        <v>2758</v>
      </c>
      <c r="G885" s="1" t="s">
        <v>1566</v>
      </c>
    </row>
    <row r="886" spans="1:7" hidden="1" x14ac:dyDescent="0.25">
      <c r="A886" t="s">
        <v>4</v>
      </c>
      <c r="B886" t="s">
        <v>8</v>
      </c>
      <c r="F886" t="s">
        <v>2761</v>
      </c>
      <c r="G886" s="1" t="s">
        <v>1566</v>
      </c>
    </row>
    <row r="887" spans="1:7" hidden="1" x14ac:dyDescent="0.25">
      <c r="A887" t="s">
        <v>505</v>
      </c>
      <c r="B887" t="s">
        <v>1570</v>
      </c>
      <c r="C887" t="s">
        <v>2899</v>
      </c>
      <c r="E887" t="s">
        <v>2904</v>
      </c>
      <c r="F887" t="s">
        <v>2764</v>
      </c>
      <c r="G887" s="1" t="s">
        <v>1566</v>
      </c>
    </row>
    <row r="888" spans="1:7" hidden="1" x14ac:dyDescent="0.25">
      <c r="A888" t="s">
        <v>505</v>
      </c>
      <c r="B888" t="s">
        <v>1570</v>
      </c>
      <c r="C888" t="s">
        <v>2899</v>
      </c>
      <c r="E888" t="s">
        <v>2904</v>
      </c>
      <c r="F888" t="s">
        <v>2767</v>
      </c>
      <c r="G888" s="1" t="s">
        <v>1566</v>
      </c>
    </row>
    <row r="889" spans="1:7" hidden="1" x14ac:dyDescent="0.25">
      <c r="A889" t="s">
        <v>505</v>
      </c>
      <c r="B889" t="s">
        <v>503</v>
      </c>
      <c r="C889" t="s">
        <v>58</v>
      </c>
      <c r="E889" t="s">
        <v>2913</v>
      </c>
      <c r="F889" t="s">
        <v>2770</v>
      </c>
      <c r="G889" s="1" t="s">
        <v>1566</v>
      </c>
    </row>
    <row r="890" spans="1:7" hidden="1" x14ac:dyDescent="0.25">
      <c r="A890" t="s">
        <v>505</v>
      </c>
      <c r="B890" t="s">
        <v>503</v>
      </c>
      <c r="C890" t="s">
        <v>58</v>
      </c>
      <c r="E890" t="s">
        <v>2913</v>
      </c>
      <c r="F890" t="s">
        <v>2773</v>
      </c>
      <c r="G890" s="1" t="s">
        <v>1566</v>
      </c>
    </row>
    <row r="891" spans="1:7" hidden="1" x14ac:dyDescent="0.25">
      <c r="A891" t="s">
        <v>505</v>
      </c>
      <c r="B891" t="s">
        <v>503</v>
      </c>
      <c r="C891" t="s">
        <v>58</v>
      </c>
      <c r="E891" t="s">
        <v>2913</v>
      </c>
      <c r="F891" t="s">
        <v>2776</v>
      </c>
      <c r="G891" s="1" t="s">
        <v>1566</v>
      </c>
    </row>
    <row r="892" spans="1:7" hidden="1" x14ac:dyDescent="0.25">
      <c r="A892" t="s">
        <v>505</v>
      </c>
      <c r="B892" t="s">
        <v>503</v>
      </c>
      <c r="C892" t="s">
        <v>2919</v>
      </c>
      <c r="E892" t="s">
        <v>2913</v>
      </c>
      <c r="F892" t="s">
        <v>2779</v>
      </c>
      <c r="G892" s="1" t="s">
        <v>1566</v>
      </c>
    </row>
    <row r="893" spans="1:7" hidden="1" x14ac:dyDescent="0.25">
      <c r="A893" t="s">
        <v>505</v>
      </c>
      <c r="B893" t="s">
        <v>1570</v>
      </c>
      <c r="C893" t="s">
        <v>58</v>
      </c>
      <c r="E893" t="s">
        <v>2904</v>
      </c>
      <c r="F893" t="s">
        <v>2782</v>
      </c>
      <c r="G893" s="1" t="s">
        <v>1566</v>
      </c>
    </row>
    <row r="894" spans="1:7" hidden="1" x14ac:dyDescent="0.25">
      <c r="A894" t="s">
        <v>505</v>
      </c>
      <c r="B894" t="s">
        <v>1570</v>
      </c>
      <c r="C894" t="s">
        <v>58</v>
      </c>
      <c r="E894" t="s">
        <v>2904</v>
      </c>
      <c r="F894" t="s">
        <v>2785</v>
      </c>
      <c r="G894" s="1" t="s">
        <v>1566</v>
      </c>
    </row>
    <row r="895" spans="1:7" hidden="1" x14ac:dyDescent="0.25">
      <c r="A895" t="s">
        <v>2920</v>
      </c>
      <c r="F895" t="s">
        <v>2788</v>
      </c>
      <c r="G895" s="1" t="s">
        <v>1566</v>
      </c>
    </row>
    <row r="896" spans="1:7" hidden="1" x14ac:dyDescent="0.25">
      <c r="A896" t="s">
        <v>2920</v>
      </c>
      <c r="F896" t="s">
        <v>2791</v>
      </c>
      <c r="G896" s="1" t="s">
        <v>1566</v>
      </c>
    </row>
    <row r="897" spans="1:7" hidden="1" x14ac:dyDescent="0.25">
      <c r="A897" t="s">
        <v>4</v>
      </c>
      <c r="B897" t="s">
        <v>8</v>
      </c>
      <c r="E897" t="s">
        <v>2922</v>
      </c>
      <c r="F897" t="s">
        <v>2794</v>
      </c>
      <c r="G897" s="1" t="s">
        <v>1566</v>
      </c>
    </row>
    <row r="898" spans="1:7" hidden="1" x14ac:dyDescent="0.25">
      <c r="A898" t="s">
        <v>505</v>
      </c>
      <c r="B898" t="s">
        <v>503</v>
      </c>
      <c r="C898" t="s">
        <v>58</v>
      </c>
      <c r="E898" t="s">
        <v>2909</v>
      </c>
      <c r="F898" t="s">
        <v>2797</v>
      </c>
      <c r="G898" s="1" t="s">
        <v>1566</v>
      </c>
    </row>
    <row r="899" spans="1:7" hidden="1" x14ac:dyDescent="0.25">
      <c r="A899" t="s">
        <v>505</v>
      </c>
      <c r="B899" t="s">
        <v>503</v>
      </c>
      <c r="C899" t="s">
        <v>58</v>
      </c>
      <c r="E899" t="s">
        <v>2909</v>
      </c>
      <c r="F899" t="s">
        <v>2800</v>
      </c>
      <c r="G899" s="1" t="s">
        <v>1566</v>
      </c>
    </row>
    <row r="900" spans="1:7" hidden="1" x14ac:dyDescent="0.25">
      <c r="A900" t="s">
        <v>505</v>
      </c>
      <c r="B900" t="s">
        <v>503</v>
      </c>
      <c r="C900" t="s">
        <v>58</v>
      </c>
      <c r="E900" t="s">
        <v>2909</v>
      </c>
      <c r="F900" t="s">
        <v>2803</v>
      </c>
      <c r="G900" s="1" t="s">
        <v>1566</v>
      </c>
    </row>
    <row r="901" spans="1:7" hidden="1" x14ac:dyDescent="0.25">
      <c r="A901" t="s">
        <v>4</v>
      </c>
      <c r="B901" t="s">
        <v>8</v>
      </c>
      <c r="E901" t="s">
        <v>2891</v>
      </c>
      <c r="F901" t="s">
        <v>2806</v>
      </c>
      <c r="G901" s="1" t="s">
        <v>1566</v>
      </c>
    </row>
    <row r="902" spans="1:7" hidden="1" x14ac:dyDescent="0.25">
      <c r="A902" t="s">
        <v>4</v>
      </c>
      <c r="B902" t="s">
        <v>8</v>
      </c>
      <c r="E902" t="s">
        <v>2922</v>
      </c>
      <c r="F902" t="s">
        <v>2809</v>
      </c>
      <c r="G902" s="1" t="s">
        <v>1566</v>
      </c>
    </row>
    <row r="903" spans="1:7" hidden="1" x14ac:dyDescent="0.25">
      <c r="A903" t="s">
        <v>505</v>
      </c>
      <c r="B903" t="s">
        <v>1570</v>
      </c>
      <c r="C903" t="s">
        <v>58</v>
      </c>
      <c r="E903" t="s">
        <v>2913</v>
      </c>
      <c r="F903" t="s">
        <v>2812</v>
      </c>
      <c r="G903" s="1" t="s">
        <v>1566</v>
      </c>
    </row>
    <row r="904" spans="1:7" hidden="1" x14ac:dyDescent="0.25">
      <c r="A904" t="s">
        <v>2921</v>
      </c>
      <c r="B904" t="s">
        <v>1570</v>
      </c>
      <c r="C904" t="s">
        <v>58</v>
      </c>
      <c r="E904" t="s">
        <v>2913</v>
      </c>
      <c r="F904" t="s">
        <v>2815</v>
      </c>
      <c r="G904" s="1" t="s">
        <v>1566</v>
      </c>
    </row>
    <row r="905" spans="1:7" hidden="1" x14ac:dyDescent="0.25">
      <c r="A905" t="s">
        <v>505</v>
      </c>
      <c r="B905" t="s">
        <v>1570</v>
      </c>
      <c r="C905" t="s">
        <v>58</v>
      </c>
      <c r="E905" t="s">
        <v>2909</v>
      </c>
      <c r="F905" t="s">
        <v>2818</v>
      </c>
      <c r="G905" s="1" t="s">
        <v>1566</v>
      </c>
    </row>
    <row r="906" spans="1:7" hidden="1" x14ac:dyDescent="0.25">
      <c r="A906" t="s">
        <v>2921</v>
      </c>
      <c r="B906" t="s">
        <v>1570</v>
      </c>
      <c r="C906" t="s">
        <v>58</v>
      </c>
      <c r="E906" t="s">
        <v>2909</v>
      </c>
      <c r="F906" t="s">
        <v>2821</v>
      </c>
      <c r="G906" s="1" t="s">
        <v>1566</v>
      </c>
    </row>
    <row r="907" spans="1:7" hidden="1" x14ac:dyDescent="0.25">
      <c r="A907" t="s">
        <v>2921</v>
      </c>
      <c r="B907" t="s">
        <v>1570</v>
      </c>
      <c r="C907" t="s">
        <v>58</v>
      </c>
      <c r="E907" t="s">
        <v>2909</v>
      </c>
      <c r="F907" t="s">
        <v>2824</v>
      </c>
      <c r="G907" s="1" t="s">
        <v>1566</v>
      </c>
    </row>
    <row r="908" spans="1:7" hidden="1" x14ac:dyDescent="0.25">
      <c r="A908" t="s">
        <v>2921</v>
      </c>
      <c r="B908" t="s">
        <v>1570</v>
      </c>
      <c r="C908" t="s">
        <v>58</v>
      </c>
      <c r="E908" t="s">
        <v>2909</v>
      </c>
      <c r="F908" t="s">
        <v>2827</v>
      </c>
      <c r="G908" s="1" t="s">
        <v>1566</v>
      </c>
    </row>
    <row r="909" spans="1:7" hidden="1" x14ac:dyDescent="0.25">
      <c r="A909" t="s">
        <v>505</v>
      </c>
      <c r="B909" t="s">
        <v>1570</v>
      </c>
      <c r="C909" t="s">
        <v>58</v>
      </c>
      <c r="E909" t="s">
        <v>1574</v>
      </c>
      <c r="F909" t="s">
        <v>2830</v>
      </c>
      <c r="G909" s="1" t="s">
        <v>1566</v>
      </c>
    </row>
    <row r="910" spans="1:7" hidden="1" x14ac:dyDescent="0.25">
      <c r="A910" t="s">
        <v>505</v>
      </c>
      <c r="B910" t="s">
        <v>1570</v>
      </c>
      <c r="C910" t="s">
        <v>58</v>
      </c>
      <c r="E910" t="s">
        <v>1574</v>
      </c>
      <c r="F910" t="s">
        <v>2833</v>
      </c>
      <c r="G910" s="1" t="s">
        <v>1566</v>
      </c>
    </row>
    <row r="911" spans="1:7" hidden="1" x14ac:dyDescent="0.25">
      <c r="A911" t="s">
        <v>4</v>
      </c>
      <c r="B911" t="s">
        <v>8</v>
      </c>
      <c r="F911" t="s">
        <v>2836</v>
      </c>
      <c r="G911" s="1" t="s">
        <v>1566</v>
      </c>
    </row>
    <row r="912" spans="1:7" hidden="1" x14ac:dyDescent="0.25">
      <c r="A912" t="s">
        <v>4</v>
      </c>
      <c r="B912" t="s">
        <v>8</v>
      </c>
      <c r="F912" t="s">
        <v>2839</v>
      </c>
      <c r="G912" s="1" t="s">
        <v>1566</v>
      </c>
    </row>
    <row r="913" spans="1:7" hidden="1" x14ac:dyDescent="0.25">
      <c r="A913" t="s">
        <v>1967</v>
      </c>
      <c r="F913" t="s">
        <v>2842</v>
      </c>
      <c r="G913" s="1" t="s">
        <v>1566</v>
      </c>
    </row>
    <row r="914" spans="1:7" hidden="1" x14ac:dyDescent="0.25">
      <c r="A914" t="s">
        <v>4</v>
      </c>
      <c r="B914" t="s">
        <v>8</v>
      </c>
      <c r="F914" t="s">
        <v>2845</v>
      </c>
      <c r="G914" s="1" t="s">
        <v>1566</v>
      </c>
    </row>
    <row r="915" spans="1:7" hidden="1" x14ac:dyDescent="0.25">
      <c r="A915" t="s">
        <v>1967</v>
      </c>
      <c r="F915" t="s">
        <v>2848</v>
      </c>
      <c r="G915" s="1" t="s">
        <v>1566</v>
      </c>
    </row>
    <row r="916" spans="1:7" hidden="1" x14ac:dyDescent="0.25">
      <c r="A916" t="s">
        <v>505</v>
      </c>
      <c r="B916" t="s">
        <v>1570</v>
      </c>
      <c r="C916" t="s">
        <v>2917</v>
      </c>
      <c r="E916" t="s">
        <v>2913</v>
      </c>
      <c r="F916" t="s">
        <v>2481</v>
      </c>
      <c r="G916" t="s">
        <v>1780</v>
      </c>
    </row>
    <row r="917" spans="1:7" hidden="1" x14ac:dyDescent="0.25">
      <c r="A917" t="s">
        <v>505</v>
      </c>
      <c r="B917" t="s">
        <v>503</v>
      </c>
      <c r="C917" t="s">
        <v>58</v>
      </c>
      <c r="E917" t="s">
        <v>2923</v>
      </c>
      <c r="F917" t="s">
        <v>2484</v>
      </c>
      <c r="G917" t="s">
        <v>1780</v>
      </c>
    </row>
    <row r="918" spans="1:7" hidden="1" x14ac:dyDescent="0.25">
      <c r="A918" t="s">
        <v>2935</v>
      </c>
      <c r="B918" t="s">
        <v>2875</v>
      </c>
      <c r="C918" t="s">
        <v>58</v>
      </c>
      <c r="E918" t="s">
        <v>2912</v>
      </c>
      <c r="F918" t="s">
        <v>2487</v>
      </c>
      <c r="G918" t="s">
        <v>1780</v>
      </c>
    </row>
    <row r="919" spans="1:7" hidden="1" x14ac:dyDescent="0.25">
      <c r="A919" t="s">
        <v>1962</v>
      </c>
      <c r="B919" t="s">
        <v>2875</v>
      </c>
      <c r="C919" t="s">
        <v>58</v>
      </c>
      <c r="E919" t="s">
        <v>2912</v>
      </c>
      <c r="F919" t="s">
        <v>2490</v>
      </c>
      <c r="G919" t="s">
        <v>1780</v>
      </c>
    </row>
    <row r="920" spans="1:7" hidden="1" x14ac:dyDescent="0.25">
      <c r="A920" t="s">
        <v>1962</v>
      </c>
      <c r="B920" t="s">
        <v>2875</v>
      </c>
      <c r="C920" t="s">
        <v>58</v>
      </c>
      <c r="E920" t="s">
        <v>2912</v>
      </c>
      <c r="F920" t="s">
        <v>2493</v>
      </c>
      <c r="G920" t="s">
        <v>1780</v>
      </c>
    </row>
    <row r="921" spans="1:7" hidden="1" x14ac:dyDescent="0.25">
      <c r="A921" t="s">
        <v>1962</v>
      </c>
      <c r="B921" t="s">
        <v>2875</v>
      </c>
      <c r="C921" t="s">
        <v>58</v>
      </c>
      <c r="E921" t="s">
        <v>2912</v>
      </c>
      <c r="F921" t="s">
        <v>2496</v>
      </c>
      <c r="G921" t="s">
        <v>1780</v>
      </c>
    </row>
    <row r="922" spans="1:7" hidden="1" x14ac:dyDescent="0.25">
      <c r="A922" t="s">
        <v>1962</v>
      </c>
      <c r="B922" t="s">
        <v>2875</v>
      </c>
      <c r="C922" t="s">
        <v>58</v>
      </c>
      <c r="E922" t="s">
        <v>2912</v>
      </c>
      <c r="F922" t="s">
        <v>2499</v>
      </c>
      <c r="G922" t="s">
        <v>1780</v>
      </c>
    </row>
    <row r="923" spans="1:7" hidden="1" x14ac:dyDescent="0.25">
      <c r="A923" t="s">
        <v>1962</v>
      </c>
      <c r="B923" t="s">
        <v>2875</v>
      </c>
      <c r="C923" t="s">
        <v>58</v>
      </c>
      <c r="E923" t="s">
        <v>2912</v>
      </c>
      <c r="F923" t="s">
        <v>2502</v>
      </c>
      <c r="G923" t="s">
        <v>1780</v>
      </c>
    </row>
    <row r="924" spans="1:7" hidden="1" x14ac:dyDescent="0.25">
      <c r="A924" t="s">
        <v>1962</v>
      </c>
      <c r="B924" t="s">
        <v>2875</v>
      </c>
      <c r="C924" t="s">
        <v>58</v>
      </c>
      <c r="E924" t="s">
        <v>2912</v>
      </c>
      <c r="F924" t="s">
        <v>2505</v>
      </c>
      <c r="G924" t="s">
        <v>1780</v>
      </c>
    </row>
    <row r="925" spans="1:7" hidden="1" x14ac:dyDescent="0.25">
      <c r="A925" t="s">
        <v>4</v>
      </c>
      <c r="B925" t="s">
        <v>8</v>
      </c>
      <c r="F925" t="s">
        <v>2508</v>
      </c>
      <c r="G925" t="s">
        <v>1780</v>
      </c>
    </row>
    <row r="926" spans="1:7" hidden="1" x14ac:dyDescent="0.25">
      <c r="A926" t="s">
        <v>505</v>
      </c>
      <c r="B926" t="s">
        <v>503</v>
      </c>
      <c r="C926" t="s">
        <v>58</v>
      </c>
      <c r="E926" t="s">
        <v>2913</v>
      </c>
      <c r="F926" t="s">
        <v>2511</v>
      </c>
      <c r="G926" t="s">
        <v>1780</v>
      </c>
    </row>
    <row r="927" spans="1:7" hidden="1" x14ac:dyDescent="0.25">
      <c r="A927" t="s">
        <v>505</v>
      </c>
      <c r="B927" t="s">
        <v>1570</v>
      </c>
      <c r="C927" t="s">
        <v>58</v>
      </c>
      <c r="E927" t="s">
        <v>2913</v>
      </c>
      <c r="F927" t="s">
        <v>2514</v>
      </c>
      <c r="G927" t="s">
        <v>1780</v>
      </c>
    </row>
    <row r="928" spans="1:7" hidden="1" x14ac:dyDescent="0.25">
      <c r="A928" t="s">
        <v>505</v>
      </c>
      <c r="B928" t="s">
        <v>1570</v>
      </c>
      <c r="C928" t="s">
        <v>58</v>
      </c>
      <c r="E928" t="s">
        <v>2913</v>
      </c>
      <c r="F928" t="s">
        <v>2517</v>
      </c>
      <c r="G928" t="s">
        <v>1780</v>
      </c>
    </row>
    <row r="929" spans="1:7" hidden="1" x14ac:dyDescent="0.25">
      <c r="A929" t="s">
        <v>4</v>
      </c>
      <c r="B929" t="s">
        <v>8</v>
      </c>
      <c r="F929" t="s">
        <v>2520</v>
      </c>
      <c r="G929" t="s">
        <v>1780</v>
      </c>
    </row>
    <row r="930" spans="1:7" hidden="1" x14ac:dyDescent="0.25">
      <c r="A930" t="s">
        <v>505</v>
      </c>
      <c r="B930" t="s">
        <v>1570</v>
      </c>
      <c r="C930" t="s">
        <v>58</v>
      </c>
      <c r="E930" t="s">
        <v>2913</v>
      </c>
      <c r="F930" t="s">
        <v>2523</v>
      </c>
      <c r="G930" t="s">
        <v>1780</v>
      </c>
    </row>
    <row r="931" spans="1:7" hidden="1" x14ac:dyDescent="0.25">
      <c r="A931" t="s">
        <v>4</v>
      </c>
      <c r="B931" t="s">
        <v>8</v>
      </c>
      <c r="F931" t="s">
        <v>2526</v>
      </c>
      <c r="G931" t="s">
        <v>1780</v>
      </c>
    </row>
    <row r="932" spans="1:7" hidden="1" x14ac:dyDescent="0.25">
      <c r="A932" t="s">
        <v>1967</v>
      </c>
      <c r="F932" t="s">
        <v>2529</v>
      </c>
      <c r="G932" t="s">
        <v>1780</v>
      </c>
    </row>
    <row r="933" spans="1:7" hidden="1" x14ac:dyDescent="0.25">
      <c r="A933" t="s">
        <v>4</v>
      </c>
      <c r="B933" t="s">
        <v>8</v>
      </c>
      <c r="F933" t="s">
        <v>2924</v>
      </c>
      <c r="G933" t="s">
        <v>1780</v>
      </c>
    </row>
    <row r="934" spans="1:7" hidden="1" x14ac:dyDescent="0.25">
      <c r="A934" t="s">
        <v>4</v>
      </c>
      <c r="B934" t="s">
        <v>8</v>
      </c>
      <c r="E934" t="s">
        <v>2930</v>
      </c>
      <c r="F934" t="s">
        <v>2927</v>
      </c>
      <c r="G934" t="s">
        <v>1780</v>
      </c>
    </row>
    <row r="935" spans="1:7" hidden="1" x14ac:dyDescent="0.25">
      <c r="A935" t="s">
        <v>4</v>
      </c>
      <c r="B935" t="s">
        <v>8</v>
      </c>
      <c r="E935" t="s">
        <v>2930</v>
      </c>
      <c r="F935" t="s">
        <v>2532</v>
      </c>
      <c r="G935" t="s">
        <v>1780</v>
      </c>
    </row>
    <row r="936" spans="1:7" hidden="1" x14ac:dyDescent="0.25">
      <c r="A936" t="s">
        <v>4</v>
      </c>
      <c r="B936" t="s">
        <v>8</v>
      </c>
      <c r="F936" t="s">
        <v>2535</v>
      </c>
      <c r="G936" t="s">
        <v>1780</v>
      </c>
    </row>
    <row r="937" spans="1:7" hidden="1" x14ac:dyDescent="0.25">
      <c r="A937" t="s">
        <v>1967</v>
      </c>
      <c r="F937" t="s">
        <v>2538</v>
      </c>
      <c r="G937" t="s">
        <v>1780</v>
      </c>
    </row>
    <row r="938" spans="1:7" hidden="1" x14ac:dyDescent="0.25">
      <c r="A938" t="s">
        <v>1967</v>
      </c>
      <c r="F938" t="s">
        <v>2541</v>
      </c>
      <c r="G938" t="s">
        <v>1780</v>
      </c>
    </row>
    <row r="939" spans="1:7" hidden="1" x14ac:dyDescent="0.25">
      <c r="A939" t="s">
        <v>4</v>
      </c>
      <c r="B939" t="s">
        <v>8</v>
      </c>
      <c r="F939" t="s">
        <v>2544</v>
      </c>
      <c r="G939" t="s">
        <v>1897</v>
      </c>
    </row>
    <row r="940" spans="1:7" hidden="1" x14ac:dyDescent="0.25">
      <c r="A940" t="s">
        <v>7</v>
      </c>
      <c r="F940" t="s">
        <v>2547</v>
      </c>
      <c r="G940" t="s">
        <v>1897</v>
      </c>
    </row>
    <row r="941" spans="1:7" hidden="1" x14ac:dyDescent="0.25">
      <c r="A941" t="s">
        <v>4</v>
      </c>
      <c r="B941" t="s">
        <v>8</v>
      </c>
      <c r="F941" t="s">
        <v>2550</v>
      </c>
      <c r="G941" t="s">
        <v>1897</v>
      </c>
    </row>
    <row r="942" spans="1:7" hidden="1" x14ac:dyDescent="0.25">
      <c r="A942" t="s">
        <v>11</v>
      </c>
      <c r="F942" t="s">
        <v>2553</v>
      </c>
      <c r="G942" t="s">
        <v>1897</v>
      </c>
    </row>
    <row r="943" spans="1:7" hidden="1" x14ac:dyDescent="0.25">
      <c r="A943" t="s">
        <v>4</v>
      </c>
      <c r="B943" t="s">
        <v>8</v>
      </c>
      <c r="F943" t="s">
        <v>2556</v>
      </c>
      <c r="G943" t="s">
        <v>1897</v>
      </c>
    </row>
    <row r="944" spans="1:7" hidden="1" x14ac:dyDescent="0.25">
      <c r="A944" t="s">
        <v>1967</v>
      </c>
      <c r="F944" t="s">
        <v>2559</v>
      </c>
      <c r="G944" t="s">
        <v>1897</v>
      </c>
    </row>
    <row r="945" spans="1:7" hidden="1" x14ac:dyDescent="0.25">
      <c r="A945" t="s">
        <v>4</v>
      </c>
      <c r="B945" t="s">
        <v>8</v>
      </c>
      <c r="F945" t="s">
        <v>2562</v>
      </c>
      <c r="G945" t="s">
        <v>1897</v>
      </c>
    </row>
    <row r="946" spans="1:7" hidden="1" x14ac:dyDescent="0.25">
      <c r="A946" t="s">
        <v>1967</v>
      </c>
      <c r="F946" t="s">
        <v>2565</v>
      </c>
      <c r="G946" t="s">
        <v>1897</v>
      </c>
    </row>
    <row r="947" spans="1:7" hidden="1" x14ac:dyDescent="0.25">
      <c r="A947" t="s">
        <v>4</v>
      </c>
      <c r="B947" t="s">
        <v>8</v>
      </c>
      <c r="F947" t="s">
        <v>2568</v>
      </c>
      <c r="G947" t="s">
        <v>1897</v>
      </c>
    </row>
    <row r="948" spans="1:7" hidden="1" x14ac:dyDescent="0.25">
      <c r="A948" t="s">
        <v>1967</v>
      </c>
      <c r="F948" t="s">
        <v>2571</v>
      </c>
      <c r="G948" t="s">
        <v>1897</v>
      </c>
    </row>
    <row r="949" spans="1:7" hidden="1" x14ac:dyDescent="0.25">
      <c r="A949" t="s">
        <v>4</v>
      </c>
      <c r="B949" t="s">
        <v>8</v>
      </c>
      <c r="F949" t="s">
        <v>2574</v>
      </c>
      <c r="G949" t="s">
        <v>1897</v>
      </c>
    </row>
    <row r="950" spans="1:7" hidden="1" x14ac:dyDescent="0.25">
      <c r="A950" t="s">
        <v>1967</v>
      </c>
      <c r="F950" t="s">
        <v>2577</v>
      </c>
      <c r="G950" t="s">
        <v>1897</v>
      </c>
    </row>
    <row r="951" spans="1:7" hidden="1" x14ac:dyDescent="0.25">
      <c r="A951" t="s">
        <v>4</v>
      </c>
      <c r="B951" t="s">
        <v>8</v>
      </c>
      <c r="F951" t="s">
        <v>2580</v>
      </c>
      <c r="G951" t="s">
        <v>1897</v>
      </c>
    </row>
    <row r="952" spans="1:7" hidden="1" x14ac:dyDescent="0.25">
      <c r="A952" t="s">
        <v>1967</v>
      </c>
      <c r="F952" t="s">
        <v>2583</v>
      </c>
      <c r="G952" t="s">
        <v>1897</v>
      </c>
    </row>
    <row r="953" spans="1:7" hidden="1" x14ac:dyDescent="0.25">
      <c r="A953" t="s">
        <v>4</v>
      </c>
      <c r="B953" t="s">
        <v>8</v>
      </c>
      <c r="F953" t="s">
        <v>2931</v>
      </c>
      <c r="G953" t="s">
        <v>1960</v>
      </c>
    </row>
    <row r="954" spans="1:7" hidden="1" x14ac:dyDescent="0.25">
      <c r="A954" t="s">
        <v>505</v>
      </c>
      <c r="B954" t="s">
        <v>503</v>
      </c>
      <c r="C954" t="s">
        <v>58</v>
      </c>
      <c r="E954" t="s">
        <v>2934</v>
      </c>
      <c r="F954" t="s">
        <v>2851</v>
      </c>
      <c r="G954" t="s">
        <v>1960</v>
      </c>
    </row>
    <row r="955" spans="1:7" hidden="1" x14ac:dyDescent="0.25">
      <c r="A955" t="s">
        <v>505</v>
      </c>
      <c r="B955" t="s">
        <v>503</v>
      </c>
      <c r="C955" t="s">
        <v>58</v>
      </c>
      <c r="E955" t="s">
        <v>2934</v>
      </c>
      <c r="F955" t="s">
        <v>2854</v>
      </c>
      <c r="G955" t="s">
        <v>1960</v>
      </c>
    </row>
    <row r="956" spans="1:7" hidden="1" x14ac:dyDescent="0.25">
      <c r="A956" t="s">
        <v>505</v>
      </c>
      <c r="B956" t="s">
        <v>503</v>
      </c>
      <c r="C956" t="s">
        <v>58</v>
      </c>
      <c r="E956" t="s">
        <v>2934</v>
      </c>
      <c r="F956" t="s">
        <v>2857</v>
      </c>
      <c r="G956" t="s">
        <v>1960</v>
      </c>
    </row>
    <row r="957" spans="1:7" hidden="1" x14ac:dyDescent="0.25">
      <c r="A957" t="s">
        <v>1967</v>
      </c>
      <c r="F957" t="s">
        <v>2860</v>
      </c>
      <c r="G957" t="s">
        <v>1960</v>
      </c>
    </row>
    <row r="958" spans="1:7" hidden="1" x14ac:dyDescent="0.25">
      <c r="A958" t="s">
        <v>1967</v>
      </c>
      <c r="F958" t="s">
        <v>2863</v>
      </c>
      <c r="G958" t="s">
        <v>1960</v>
      </c>
    </row>
    <row r="959" spans="1:7" hidden="1" x14ac:dyDescent="0.25">
      <c r="A959" t="s">
        <v>1977</v>
      </c>
      <c r="F959" t="s">
        <v>2866</v>
      </c>
      <c r="G959" t="s">
        <v>1960</v>
      </c>
    </row>
    <row r="960" spans="1:7" hidden="1" x14ac:dyDescent="0.25">
      <c r="A960" t="s">
        <v>1967</v>
      </c>
      <c r="F960" t="s">
        <v>2869</v>
      </c>
      <c r="G960" t="s">
        <v>1960</v>
      </c>
    </row>
    <row r="961" spans="1:7" hidden="1" x14ac:dyDescent="0.25">
      <c r="A961" t="s">
        <v>1967</v>
      </c>
      <c r="F961" t="s">
        <v>2872</v>
      </c>
      <c r="G961" t="s">
        <v>1960</v>
      </c>
    </row>
    <row r="962" spans="1:7" hidden="1" x14ac:dyDescent="0.25">
      <c r="A962" t="s">
        <v>91</v>
      </c>
      <c r="B962" t="s">
        <v>70</v>
      </c>
      <c r="F962" t="s">
        <v>2949</v>
      </c>
      <c r="G962" t="s">
        <v>1074</v>
      </c>
    </row>
    <row r="963" spans="1:7" hidden="1" x14ac:dyDescent="0.25">
      <c r="A963" t="s">
        <v>62</v>
      </c>
      <c r="B963" t="s">
        <v>70</v>
      </c>
      <c r="F963" t="s">
        <v>2952</v>
      </c>
      <c r="G963" t="s">
        <v>1074</v>
      </c>
    </row>
    <row r="964" spans="1:7" hidden="1" x14ac:dyDescent="0.25">
      <c r="A964" t="s">
        <v>2973</v>
      </c>
      <c r="B964" t="s">
        <v>1570</v>
      </c>
      <c r="C964" t="s">
        <v>2884</v>
      </c>
      <c r="F964" t="s">
        <v>2955</v>
      </c>
      <c r="G964" t="s">
        <v>1074</v>
      </c>
    </row>
    <row r="965" spans="1:7" hidden="1" x14ac:dyDescent="0.25">
      <c r="A965" t="s">
        <v>91</v>
      </c>
      <c r="B965" t="s">
        <v>70</v>
      </c>
      <c r="C965" t="s">
        <v>58</v>
      </c>
      <c r="F965" t="s">
        <v>2958</v>
      </c>
      <c r="G965" t="s">
        <v>1074</v>
      </c>
    </row>
    <row r="966" spans="1:7" hidden="1" x14ac:dyDescent="0.25">
      <c r="A966" t="s">
        <v>62</v>
      </c>
      <c r="B966" t="s">
        <v>70</v>
      </c>
      <c r="C966" t="s">
        <v>51</v>
      </c>
      <c r="F966" t="s">
        <v>2961</v>
      </c>
      <c r="G966" t="s">
        <v>1074</v>
      </c>
    </row>
    <row r="967" spans="1:7" hidden="1" x14ac:dyDescent="0.25">
      <c r="A967" t="s">
        <v>91</v>
      </c>
      <c r="B967" t="s">
        <v>70</v>
      </c>
      <c r="C967" t="s">
        <v>58</v>
      </c>
      <c r="F967" t="s">
        <v>2964</v>
      </c>
      <c r="G967" t="s">
        <v>1074</v>
      </c>
    </row>
    <row r="968" spans="1:7" hidden="1" x14ac:dyDescent="0.25">
      <c r="A968" t="s">
        <v>2974</v>
      </c>
      <c r="B968" t="s">
        <v>70</v>
      </c>
      <c r="C968" t="s">
        <v>58</v>
      </c>
      <c r="F968" t="s">
        <v>2967</v>
      </c>
      <c r="G968" t="s">
        <v>1074</v>
      </c>
    </row>
    <row r="969" spans="1:7" hidden="1" x14ac:dyDescent="0.25">
      <c r="A969" t="s">
        <v>2974</v>
      </c>
      <c r="B969" t="s">
        <v>70</v>
      </c>
      <c r="C969" t="s">
        <v>58</v>
      </c>
      <c r="E969" t="s">
        <v>2891</v>
      </c>
      <c r="F969" t="s">
        <v>2970</v>
      </c>
      <c r="G969" t="s">
        <v>1074</v>
      </c>
    </row>
    <row r="970" spans="1:7" hidden="1" x14ac:dyDescent="0.25">
      <c r="A970" t="s">
        <v>261</v>
      </c>
      <c r="B970" t="s">
        <v>86</v>
      </c>
      <c r="C970" t="s">
        <v>3026</v>
      </c>
      <c r="E970" t="s">
        <v>3027</v>
      </c>
      <c r="F970" t="s">
        <v>2975</v>
      </c>
      <c r="G970" t="s">
        <v>1075</v>
      </c>
    </row>
    <row r="971" spans="1:7" hidden="1" x14ac:dyDescent="0.25">
      <c r="A971" t="s">
        <v>3028</v>
      </c>
      <c r="B971" t="s">
        <v>86</v>
      </c>
      <c r="C971" t="s">
        <v>3026</v>
      </c>
      <c r="E971" t="s">
        <v>3029</v>
      </c>
      <c r="F971" t="s">
        <v>2978</v>
      </c>
      <c r="G971" t="s">
        <v>1075</v>
      </c>
    </row>
    <row r="972" spans="1:7" hidden="1" x14ac:dyDescent="0.25">
      <c r="A972" t="s">
        <v>261</v>
      </c>
      <c r="B972" t="s">
        <v>86</v>
      </c>
      <c r="C972" t="s">
        <v>3026</v>
      </c>
      <c r="E972" t="s">
        <v>3027</v>
      </c>
      <c r="F972" t="s">
        <v>2981</v>
      </c>
      <c r="G972" t="s">
        <v>1075</v>
      </c>
    </row>
    <row r="973" spans="1:7" hidden="1" x14ac:dyDescent="0.25">
      <c r="A973" t="s">
        <v>3028</v>
      </c>
      <c r="B973" t="s">
        <v>86</v>
      </c>
      <c r="C973" t="s">
        <v>3026</v>
      </c>
      <c r="E973" t="s">
        <v>3029</v>
      </c>
      <c r="F973" t="s">
        <v>2984</v>
      </c>
      <c r="G973" t="s">
        <v>1075</v>
      </c>
    </row>
    <row r="974" spans="1:7" hidden="1" x14ac:dyDescent="0.25">
      <c r="A974" t="s">
        <v>158</v>
      </c>
      <c r="B974" t="s">
        <v>86</v>
      </c>
      <c r="C974" t="s">
        <v>60</v>
      </c>
      <c r="D974">
        <v>4</v>
      </c>
      <c r="E974" t="s">
        <v>3030</v>
      </c>
      <c r="F974" t="s">
        <v>2987</v>
      </c>
      <c r="G974" t="s">
        <v>1075</v>
      </c>
    </row>
    <row r="975" spans="1:7" hidden="1" x14ac:dyDescent="0.25">
      <c r="A975" t="s">
        <v>261</v>
      </c>
      <c r="B975" t="s">
        <v>86</v>
      </c>
      <c r="C975" t="s">
        <v>3026</v>
      </c>
      <c r="E975" t="s">
        <v>3027</v>
      </c>
      <c r="F975" t="s">
        <v>2990</v>
      </c>
      <c r="G975" t="s">
        <v>1075</v>
      </c>
    </row>
    <row r="976" spans="1:7" hidden="1" x14ac:dyDescent="0.25">
      <c r="A976" t="s">
        <v>3028</v>
      </c>
      <c r="B976" t="s">
        <v>86</v>
      </c>
      <c r="C976" t="s">
        <v>3026</v>
      </c>
      <c r="E976" t="s">
        <v>3029</v>
      </c>
      <c r="F976" t="s">
        <v>2993</v>
      </c>
      <c r="G976" t="s">
        <v>1075</v>
      </c>
    </row>
    <row r="977" spans="1:7" hidden="1" x14ac:dyDescent="0.25">
      <c r="A977" t="s">
        <v>261</v>
      </c>
      <c r="B977" t="s">
        <v>86</v>
      </c>
      <c r="C977" t="s">
        <v>3026</v>
      </c>
      <c r="E977" t="s">
        <v>3027</v>
      </c>
      <c r="F977" t="s">
        <v>2996</v>
      </c>
      <c r="G977" t="s">
        <v>1075</v>
      </c>
    </row>
    <row r="978" spans="1:7" hidden="1" x14ac:dyDescent="0.25">
      <c r="A978" t="s">
        <v>3028</v>
      </c>
      <c r="B978" t="s">
        <v>86</v>
      </c>
      <c r="C978" t="s">
        <v>3026</v>
      </c>
      <c r="E978" t="s">
        <v>3029</v>
      </c>
      <c r="F978" t="s">
        <v>2999</v>
      </c>
      <c r="G978" t="s">
        <v>1075</v>
      </c>
    </row>
    <row r="979" spans="1:7" hidden="1" x14ac:dyDescent="0.25">
      <c r="A979" t="s">
        <v>261</v>
      </c>
      <c r="B979" t="s">
        <v>86</v>
      </c>
      <c r="C979" t="s">
        <v>3026</v>
      </c>
      <c r="E979" t="s">
        <v>3027</v>
      </c>
      <c r="F979" t="s">
        <v>3002</v>
      </c>
      <c r="G979" t="s">
        <v>1075</v>
      </c>
    </row>
    <row r="980" spans="1:7" hidden="1" x14ac:dyDescent="0.25">
      <c r="A980" t="s">
        <v>3028</v>
      </c>
      <c r="B980" t="s">
        <v>86</v>
      </c>
      <c r="C980" t="s">
        <v>3026</v>
      </c>
      <c r="E980" t="s">
        <v>3029</v>
      </c>
      <c r="F980" t="s">
        <v>3005</v>
      </c>
      <c r="G980" t="s">
        <v>1075</v>
      </c>
    </row>
    <row r="981" spans="1:7" hidden="1" x14ac:dyDescent="0.25">
      <c r="A981" t="s">
        <v>261</v>
      </c>
      <c r="B981" t="s">
        <v>86</v>
      </c>
      <c r="C981" t="s">
        <v>3031</v>
      </c>
      <c r="D981">
        <v>1</v>
      </c>
      <c r="F981" t="s">
        <v>3008</v>
      </c>
      <c r="G981" t="s">
        <v>1075</v>
      </c>
    </row>
    <row r="982" spans="1:7" hidden="1" x14ac:dyDescent="0.25">
      <c r="A982" t="s">
        <v>3028</v>
      </c>
      <c r="B982" t="s">
        <v>86</v>
      </c>
      <c r="C982" t="s">
        <v>3031</v>
      </c>
      <c r="D982">
        <v>1</v>
      </c>
      <c r="E982" t="s">
        <v>3032</v>
      </c>
      <c r="F982" t="s">
        <v>3011</v>
      </c>
      <c r="G982" t="s">
        <v>1075</v>
      </c>
    </row>
    <row r="983" spans="1:7" hidden="1" x14ac:dyDescent="0.25">
      <c r="A983" t="s">
        <v>261</v>
      </c>
      <c r="B983" t="s">
        <v>86</v>
      </c>
      <c r="C983" t="s">
        <v>3031</v>
      </c>
      <c r="D983">
        <v>1</v>
      </c>
      <c r="F983" t="s">
        <v>3014</v>
      </c>
      <c r="G983" t="s">
        <v>1075</v>
      </c>
    </row>
    <row r="984" spans="1:7" hidden="1" x14ac:dyDescent="0.25">
      <c r="A984" t="s">
        <v>3028</v>
      </c>
      <c r="B984" t="s">
        <v>86</v>
      </c>
      <c r="C984" t="s">
        <v>3031</v>
      </c>
      <c r="D984">
        <v>1</v>
      </c>
      <c r="E984" t="s">
        <v>3032</v>
      </c>
      <c r="F984" t="s">
        <v>3017</v>
      </c>
      <c r="G984" t="s">
        <v>1075</v>
      </c>
    </row>
    <row r="985" spans="1:7" hidden="1" x14ac:dyDescent="0.25">
      <c r="A985" t="s">
        <v>158</v>
      </c>
      <c r="B985" t="s">
        <v>86</v>
      </c>
      <c r="C985" t="s">
        <v>60</v>
      </c>
      <c r="D985">
        <v>1</v>
      </c>
      <c r="E985" t="s">
        <v>3030</v>
      </c>
      <c r="F985" t="s">
        <v>3020</v>
      </c>
      <c r="G985" t="s">
        <v>1075</v>
      </c>
    </row>
    <row r="986" spans="1:7" hidden="1" x14ac:dyDescent="0.25">
      <c r="A986" t="s">
        <v>4</v>
      </c>
      <c r="B986" t="s">
        <v>8</v>
      </c>
      <c r="E986" t="s">
        <v>3033</v>
      </c>
      <c r="F986" t="s">
        <v>3023</v>
      </c>
      <c r="G986" t="s">
        <v>1075</v>
      </c>
    </row>
    <row r="987" spans="1:7" hidden="1" x14ac:dyDescent="0.25">
      <c r="A987" t="s">
        <v>4131</v>
      </c>
      <c r="B987" t="s">
        <v>4133</v>
      </c>
      <c r="C987" t="s">
        <v>51</v>
      </c>
      <c r="F987" t="s">
        <v>3180</v>
      </c>
      <c r="G987" t="s">
        <v>1074</v>
      </c>
    </row>
    <row r="988" spans="1:7" hidden="1" x14ac:dyDescent="0.25">
      <c r="A988" t="s">
        <v>85</v>
      </c>
      <c r="B988" t="s">
        <v>4133</v>
      </c>
      <c r="C988" t="s">
        <v>58</v>
      </c>
      <c r="F988" t="s">
        <v>3183</v>
      </c>
      <c r="G988" t="s">
        <v>1074</v>
      </c>
    </row>
    <row r="989" spans="1:7" hidden="1" x14ac:dyDescent="0.25">
      <c r="A989" t="s">
        <v>91</v>
      </c>
      <c r="B989" t="s">
        <v>4133</v>
      </c>
      <c r="C989" t="s">
        <v>58</v>
      </c>
      <c r="F989" t="s">
        <v>3186</v>
      </c>
      <c r="G989" t="s">
        <v>1074</v>
      </c>
    </row>
    <row r="990" spans="1:7" hidden="1" x14ac:dyDescent="0.25">
      <c r="A990" t="s">
        <v>62</v>
      </c>
      <c r="B990" t="s">
        <v>4133</v>
      </c>
      <c r="C990" t="s">
        <v>58</v>
      </c>
      <c r="F990" t="s">
        <v>3189</v>
      </c>
      <c r="G990" t="s">
        <v>1074</v>
      </c>
    </row>
    <row r="991" spans="1:7" hidden="1" x14ac:dyDescent="0.25">
      <c r="A991" t="s">
        <v>4131</v>
      </c>
      <c r="B991" t="s">
        <v>4132</v>
      </c>
      <c r="F991" t="s">
        <v>3192</v>
      </c>
      <c r="G991" t="s">
        <v>1074</v>
      </c>
    </row>
    <row r="992" spans="1:7" hidden="1" x14ac:dyDescent="0.25">
      <c r="A992" t="s">
        <v>85</v>
      </c>
      <c r="B992" t="s">
        <v>4132</v>
      </c>
      <c r="F992" t="s">
        <v>3195</v>
      </c>
      <c r="G992" t="s">
        <v>1074</v>
      </c>
    </row>
    <row r="993" spans="1:7" hidden="1" x14ac:dyDescent="0.25">
      <c r="A993" t="s">
        <v>64</v>
      </c>
      <c r="B993" t="s">
        <v>4134</v>
      </c>
      <c r="F993" t="s">
        <v>3198</v>
      </c>
      <c r="G993" t="s">
        <v>1074</v>
      </c>
    </row>
    <row r="994" spans="1:7" hidden="1" x14ac:dyDescent="0.25">
      <c r="A994" t="s">
        <v>85</v>
      </c>
      <c r="B994" t="s">
        <v>4134</v>
      </c>
      <c r="F994" t="s">
        <v>3201</v>
      </c>
      <c r="G994" t="s">
        <v>1074</v>
      </c>
    </row>
    <row r="995" spans="1:7" hidden="1" x14ac:dyDescent="0.25">
      <c r="A995" t="s">
        <v>91</v>
      </c>
      <c r="B995" t="s">
        <v>4135</v>
      </c>
      <c r="C995" t="s">
        <v>51</v>
      </c>
      <c r="F995" t="s">
        <v>3204</v>
      </c>
      <c r="G995" t="s">
        <v>1074</v>
      </c>
    </row>
    <row r="996" spans="1:7" hidden="1" x14ac:dyDescent="0.25">
      <c r="A996" t="s">
        <v>91</v>
      </c>
      <c r="B996" t="s">
        <v>4136</v>
      </c>
      <c r="C996" t="s">
        <v>51</v>
      </c>
      <c r="F996" t="s">
        <v>3207</v>
      </c>
      <c r="G996" t="s">
        <v>1074</v>
      </c>
    </row>
    <row r="997" spans="1:7" hidden="1" x14ac:dyDescent="0.25">
      <c r="A997" t="s">
        <v>91</v>
      </c>
      <c r="B997" t="s">
        <v>4135</v>
      </c>
      <c r="C997" t="s">
        <v>4137</v>
      </c>
      <c r="E997" t="s">
        <v>4138</v>
      </c>
      <c r="F997" t="s">
        <v>3210</v>
      </c>
      <c r="G997" t="s">
        <v>1074</v>
      </c>
    </row>
    <row r="998" spans="1:7" hidden="1" x14ac:dyDescent="0.25">
      <c r="A998" t="s">
        <v>62</v>
      </c>
      <c r="B998" t="s">
        <v>4135</v>
      </c>
      <c r="C998" t="s">
        <v>4137</v>
      </c>
      <c r="F998" t="s">
        <v>3213</v>
      </c>
      <c r="G998" t="s">
        <v>1074</v>
      </c>
    </row>
    <row r="999" spans="1:7" hidden="1" x14ac:dyDescent="0.25">
      <c r="A999" t="s">
        <v>4139</v>
      </c>
      <c r="B999" t="s">
        <v>4133</v>
      </c>
      <c r="C999" t="s">
        <v>51</v>
      </c>
      <c r="F999" t="s">
        <v>3216</v>
      </c>
      <c r="G999" t="s">
        <v>1075</v>
      </c>
    </row>
    <row r="1000" spans="1:7" hidden="1" x14ac:dyDescent="0.25">
      <c r="A1000" t="s">
        <v>4140</v>
      </c>
      <c r="B1000" t="s">
        <v>4141</v>
      </c>
      <c r="E1000" t="s">
        <v>3030</v>
      </c>
      <c r="F1000" t="s">
        <v>3219</v>
      </c>
      <c r="G1000" t="s">
        <v>1075</v>
      </c>
    </row>
    <row r="1001" spans="1:7" hidden="1" x14ac:dyDescent="0.25">
      <c r="A1001" t="s">
        <v>4140</v>
      </c>
      <c r="B1001" t="s">
        <v>4141</v>
      </c>
      <c r="E1001" t="s">
        <v>2891</v>
      </c>
      <c r="F1001" t="s">
        <v>3222</v>
      </c>
      <c r="G1001" t="s">
        <v>1075</v>
      </c>
    </row>
    <row r="1002" spans="1:7" hidden="1" x14ac:dyDescent="0.25">
      <c r="A1002" t="s">
        <v>4140</v>
      </c>
      <c r="B1002" t="s">
        <v>4141</v>
      </c>
      <c r="E1002" t="s">
        <v>2891</v>
      </c>
      <c r="F1002" t="s">
        <v>3225</v>
      </c>
      <c r="G1002" t="s">
        <v>1075</v>
      </c>
    </row>
    <row r="1003" spans="1:7" hidden="1" x14ac:dyDescent="0.25">
      <c r="A1003" t="s">
        <v>4140</v>
      </c>
      <c r="B1003" t="s">
        <v>4141</v>
      </c>
      <c r="E1003" t="s">
        <v>2891</v>
      </c>
      <c r="F1003" t="s">
        <v>3228</v>
      </c>
      <c r="G1003" t="s">
        <v>1075</v>
      </c>
    </row>
    <row r="1004" spans="1:7" hidden="1" x14ac:dyDescent="0.25">
      <c r="A1004" t="s">
        <v>4140</v>
      </c>
      <c r="B1004" t="s">
        <v>4141</v>
      </c>
      <c r="E1004" t="s">
        <v>2891</v>
      </c>
      <c r="F1004" t="s">
        <v>3231</v>
      </c>
      <c r="G1004" t="s">
        <v>1075</v>
      </c>
    </row>
    <row r="1005" spans="1:7" hidden="1" x14ac:dyDescent="0.25">
      <c r="A1005" t="s">
        <v>4140</v>
      </c>
      <c r="B1005" t="s">
        <v>4141</v>
      </c>
      <c r="E1005" t="s">
        <v>2891</v>
      </c>
      <c r="F1005" t="s">
        <v>3234</v>
      </c>
      <c r="G1005" t="s">
        <v>1075</v>
      </c>
    </row>
    <row r="1006" spans="1:7" hidden="1" x14ac:dyDescent="0.25">
      <c r="A1006" t="s">
        <v>4140</v>
      </c>
      <c r="B1006" t="s">
        <v>4141</v>
      </c>
      <c r="E1006" t="s">
        <v>2891</v>
      </c>
      <c r="F1006" t="s">
        <v>3237</v>
      </c>
      <c r="G1006" t="s">
        <v>1075</v>
      </c>
    </row>
    <row r="1007" spans="1:7" hidden="1" x14ac:dyDescent="0.25">
      <c r="A1007" t="s">
        <v>4140</v>
      </c>
      <c r="B1007" t="s">
        <v>4141</v>
      </c>
      <c r="E1007" t="s">
        <v>2891</v>
      </c>
      <c r="F1007" t="s">
        <v>3240</v>
      </c>
      <c r="G1007" t="s">
        <v>1075</v>
      </c>
    </row>
    <row r="1008" spans="1:7" hidden="1" x14ac:dyDescent="0.25">
      <c r="A1008" t="s">
        <v>4140</v>
      </c>
      <c r="B1008" t="s">
        <v>4141</v>
      </c>
      <c r="E1008" t="s">
        <v>2891</v>
      </c>
      <c r="F1008" t="s">
        <v>3243</v>
      </c>
      <c r="G1008" t="s">
        <v>1075</v>
      </c>
    </row>
    <row r="1009" spans="1:7" hidden="1" x14ac:dyDescent="0.25">
      <c r="A1009" t="s">
        <v>4140</v>
      </c>
      <c r="B1009" t="s">
        <v>4141</v>
      </c>
      <c r="E1009" t="s">
        <v>2891</v>
      </c>
      <c r="F1009" t="s">
        <v>3246</v>
      </c>
      <c r="G1009" t="s">
        <v>1075</v>
      </c>
    </row>
    <row r="1010" spans="1:7" hidden="1" x14ac:dyDescent="0.25">
      <c r="A1010" t="s">
        <v>4140</v>
      </c>
      <c r="B1010" t="s">
        <v>4141</v>
      </c>
      <c r="E1010" t="s">
        <v>2891</v>
      </c>
      <c r="F1010" t="s">
        <v>3249</v>
      </c>
      <c r="G1010" t="s">
        <v>1075</v>
      </c>
    </row>
    <row r="1011" spans="1:7" hidden="1" x14ac:dyDescent="0.25">
      <c r="A1011" t="s">
        <v>261</v>
      </c>
      <c r="B1011" t="s">
        <v>86</v>
      </c>
      <c r="C1011" t="s">
        <v>3026</v>
      </c>
      <c r="E1011" t="s">
        <v>3027</v>
      </c>
      <c r="F1011" t="s">
        <v>3252</v>
      </c>
      <c r="G1011" t="s">
        <v>1075</v>
      </c>
    </row>
    <row r="1012" spans="1:7" hidden="1" x14ac:dyDescent="0.25">
      <c r="A1012" t="s">
        <v>3028</v>
      </c>
      <c r="B1012" t="s">
        <v>86</v>
      </c>
      <c r="C1012" t="s">
        <v>3026</v>
      </c>
      <c r="E1012" t="s">
        <v>3029</v>
      </c>
      <c r="F1012" t="s">
        <v>3255</v>
      </c>
      <c r="G1012" t="s">
        <v>1075</v>
      </c>
    </row>
    <row r="1013" spans="1:7" hidden="1" x14ac:dyDescent="0.25">
      <c r="A1013" t="s">
        <v>261</v>
      </c>
      <c r="B1013" t="s">
        <v>86</v>
      </c>
      <c r="C1013" t="s">
        <v>3026</v>
      </c>
      <c r="E1013" t="s">
        <v>3027</v>
      </c>
      <c r="F1013" t="s">
        <v>3258</v>
      </c>
      <c r="G1013" t="s">
        <v>1075</v>
      </c>
    </row>
    <row r="1014" spans="1:7" hidden="1" x14ac:dyDescent="0.25">
      <c r="A1014" t="s">
        <v>3028</v>
      </c>
      <c r="B1014" t="s">
        <v>86</v>
      </c>
      <c r="C1014" t="s">
        <v>3026</v>
      </c>
      <c r="E1014" t="s">
        <v>3029</v>
      </c>
      <c r="F1014" t="s">
        <v>3261</v>
      </c>
      <c r="G1014" t="s">
        <v>1075</v>
      </c>
    </row>
    <row r="1015" spans="1:7" hidden="1" x14ac:dyDescent="0.25">
      <c r="A1015" t="s">
        <v>261</v>
      </c>
      <c r="B1015" t="s">
        <v>86</v>
      </c>
      <c r="C1015" t="s">
        <v>3026</v>
      </c>
      <c r="E1015" t="s">
        <v>3027</v>
      </c>
      <c r="F1015" t="s">
        <v>3264</v>
      </c>
      <c r="G1015" t="s">
        <v>1075</v>
      </c>
    </row>
    <row r="1016" spans="1:7" hidden="1" x14ac:dyDescent="0.25">
      <c r="A1016" t="s">
        <v>3028</v>
      </c>
      <c r="B1016" t="s">
        <v>86</v>
      </c>
      <c r="C1016" t="s">
        <v>3026</v>
      </c>
      <c r="E1016" t="s">
        <v>3029</v>
      </c>
      <c r="F1016" t="s">
        <v>3267</v>
      </c>
      <c r="G1016" t="s">
        <v>1075</v>
      </c>
    </row>
    <row r="1017" spans="1:7" hidden="1" x14ac:dyDescent="0.25">
      <c r="A1017" t="s">
        <v>261</v>
      </c>
      <c r="B1017" t="s">
        <v>86</v>
      </c>
      <c r="C1017" t="s">
        <v>3026</v>
      </c>
      <c r="E1017" t="s">
        <v>3027</v>
      </c>
      <c r="F1017" t="s">
        <v>3270</v>
      </c>
      <c r="G1017" t="s">
        <v>1075</v>
      </c>
    </row>
    <row r="1018" spans="1:7" hidden="1" x14ac:dyDescent="0.25">
      <c r="A1018" t="s">
        <v>3028</v>
      </c>
      <c r="B1018" t="s">
        <v>86</v>
      </c>
      <c r="C1018" t="s">
        <v>3026</v>
      </c>
      <c r="E1018" t="s">
        <v>3029</v>
      </c>
      <c r="F1018" t="s">
        <v>3273</v>
      </c>
      <c r="G1018" t="s">
        <v>1075</v>
      </c>
    </row>
    <row r="1019" spans="1:7" hidden="1" x14ac:dyDescent="0.25">
      <c r="A1019" t="s">
        <v>4143</v>
      </c>
      <c r="B1019" t="s">
        <v>4134</v>
      </c>
      <c r="C1019" t="s">
        <v>51</v>
      </c>
      <c r="F1019" t="s">
        <v>3276</v>
      </c>
      <c r="G1019" t="s">
        <v>1075</v>
      </c>
    </row>
    <row r="1020" spans="1:7" hidden="1" x14ac:dyDescent="0.25">
      <c r="A1020" t="s">
        <v>4143</v>
      </c>
      <c r="B1020" t="s">
        <v>4134</v>
      </c>
      <c r="C1020" t="s">
        <v>51</v>
      </c>
      <c r="E1020" t="s">
        <v>2891</v>
      </c>
      <c r="F1020" t="s">
        <v>3279</v>
      </c>
      <c r="G1020" t="s">
        <v>1075</v>
      </c>
    </row>
    <row r="1021" spans="1:7" hidden="1" x14ac:dyDescent="0.25">
      <c r="A1021" t="s">
        <v>4143</v>
      </c>
      <c r="B1021" t="s">
        <v>4134</v>
      </c>
      <c r="C1021" t="s">
        <v>51</v>
      </c>
      <c r="E1021" t="s">
        <v>2891</v>
      </c>
      <c r="F1021" t="s">
        <v>3282</v>
      </c>
      <c r="G1021" t="s">
        <v>1075</v>
      </c>
    </row>
    <row r="1022" spans="1:7" hidden="1" x14ac:dyDescent="0.25">
      <c r="A1022" t="s">
        <v>4142</v>
      </c>
      <c r="B1022" t="s">
        <v>4134</v>
      </c>
      <c r="F1022" t="s">
        <v>3285</v>
      </c>
      <c r="G1022" t="s">
        <v>1075</v>
      </c>
    </row>
    <row r="1023" spans="1:7" hidden="1" x14ac:dyDescent="0.25">
      <c r="A1023" t="s">
        <v>4</v>
      </c>
      <c r="B1023" t="s">
        <v>8</v>
      </c>
      <c r="E1023" t="s">
        <v>3033</v>
      </c>
      <c r="F1023" t="s">
        <v>3288</v>
      </c>
      <c r="G1023" t="s">
        <v>1075</v>
      </c>
    </row>
    <row r="1024" spans="1:7" x14ac:dyDescent="0.25">
      <c r="A1024" t="s">
        <v>4</v>
      </c>
      <c r="B1024" t="s">
        <v>8</v>
      </c>
      <c r="F1024" t="s">
        <v>3291</v>
      </c>
      <c r="G1024" t="s">
        <v>13425</v>
      </c>
    </row>
    <row r="1025" spans="1:7" x14ac:dyDescent="0.25">
      <c r="A1025" t="s">
        <v>4</v>
      </c>
      <c r="B1025" t="s">
        <v>8</v>
      </c>
      <c r="F1025" t="s">
        <v>3293</v>
      </c>
      <c r="G1025" t="s">
        <v>13425</v>
      </c>
    </row>
    <row r="1026" spans="1:7" x14ac:dyDescent="0.25">
      <c r="A1026" t="s">
        <v>4</v>
      </c>
      <c r="B1026" t="s">
        <v>70</v>
      </c>
      <c r="C1026" t="s">
        <v>58</v>
      </c>
      <c r="F1026" t="s">
        <v>3295</v>
      </c>
      <c r="G1026" t="s">
        <v>13425</v>
      </c>
    </row>
    <row r="1027" spans="1:7" x14ac:dyDescent="0.25">
      <c r="A1027" t="s">
        <v>4</v>
      </c>
      <c r="B1027" t="s">
        <v>70</v>
      </c>
      <c r="C1027" t="s">
        <v>51</v>
      </c>
      <c r="E1027" t="s">
        <v>4145</v>
      </c>
      <c r="F1027" t="s">
        <v>3297</v>
      </c>
      <c r="G1027" t="s">
        <v>13425</v>
      </c>
    </row>
    <row r="1028" spans="1:7" x14ac:dyDescent="0.25">
      <c r="A1028" t="s">
        <v>4</v>
      </c>
      <c r="B1028" t="s">
        <v>8</v>
      </c>
      <c r="F1028" t="s">
        <v>3299</v>
      </c>
      <c r="G1028" t="s">
        <v>13425</v>
      </c>
    </row>
    <row r="1029" spans="1:7" x14ac:dyDescent="0.25">
      <c r="A1029" t="s">
        <v>1967</v>
      </c>
      <c r="F1029" t="s">
        <v>3301</v>
      </c>
      <c r="G1029" t="s">
        <v>13425</v>
      </c>
    </row>
    <row r="1030" spans="1:7" x14ac:dyDescent="0.25">
      <c r="A1030" t="s">
        <v>4</v>
      </c>
      <c r="B1030" t="s">
        <v>4133</v>
      </c>
      <c r="C1030" t="s">
        <v>58</v>
      </c>
      <c r="F1030" t="s">
        <v>3303</v>
      </c>
      <c r="G1030" t="s">
        <v>13425</v>
      </c>
    </row>
    <row r="1031" spans="1:7" x14ac:dyDescent="0.25">
      <c r="A1031" t="s">
        <v>4</v>
      </c>
      <c r="B1031" t="s">
        <v>8</v>
      </c>
      <c r="F1031" t="s">
        <v>3305</v>
      </c>
      <c r="G1031" t="s">
        <v>13425</v>
      </c>
    </row>
    <row r="1032" spans="1:7" x14ac:dyDescent="0.25">
      <c r="A1032" t="s">
        <v>4</v>
      </c>
      <c r="B1032" t="s">
        <v>8</v>
      </c>
      <c r="F1032" t="s">
        <v>3307</v>
      </c>
      <c r="G1032" t="s">
        <v>13425</v>
      </c>
    </row>
    <row r="1033" spans="1:7" x14ac:dyDescent="0.25">
      <c r="A1033" t="s">
        <v>1967</v>
      </c>
      <c r="F1033" t="s">
        <v>3309</v>
      </c>
      <c r="G1033" t="s">
        <v>13425</v>
      </c>
    </row>
    <row r="1034" spans="1:7" x14ac:dyDescent="0.25">
      <c r="A1034" t="s">
        <v>4</v>
      </c>
      <c r="B1034" t="s">
        <v>8</v>
      </c>
      <c r="F1034" t="s">
        <v>3311</v>
      </c>
      <c r="G1034" t="s">
        <v>13425</v>
      </c>
    </row>
    <row r="1035" spans="1:7" x14ac:dyDescent="0.25">
      <c r="A1035" t="s">
        <v>1967</v>
      </c>
      <c r="F1035" t="s">
        <v>3313</v>
      </c>
      <c r="G1035" t="s">
        <v>13425</v>
      </c>
    </row>
    <row r="1036" spans="1:7" x14ac:dyDescent="0.25">
      <c r="A1036" t="s">
        <v>4</v>
      </c>
      <c r="B1036" t="s">
        <v>8</v>
      </c>
      <c r="F1036" t="s">
        <v>3315</v>
      </c>
      <c r="G1036" t="s">
        <v>13425</v>
      </c>
    </row>
    <row r="1037" spans="1:7" x14ac:dyDescent="0.25">
      <c r="A1037" t="s">
        <v>261</v>
      </c>
      <c r="B1037" t="s">
        <v>2882</v>
      </c>
      <c r="C1037" t="s">
        <v>53</v>
      </c>
      <c r="D1037">
        <v>4</v>
      </c>
      <c r="F1037" t="s">
        <v>3317</v>
      </c>
      <c r="G1037" t="s">
        <v>13425</v>
      </c>
    </row>
    <row r="1038" spans="1:7" x14ac:dyDescent="0.25">
      <c r="A1038" t="s">
        <v>4</v>
      </c>
      <c r="B1038" t="s">
        <v>4135</v>
      </c>
      <c r="C1038" t="s">
        <v>4137</v>
      </c>
      <c r="F1038" t="s">
        <v>3320</v>
      </c>
      <c r="G1038" t="s">
        <v>13425</v>
      </c>
    </row>
    <row r="1039" spans="1:7" hidden="1" x14ac:dyDescent="0.25">
      <c r="A1039" t="s">
        <v>4</v>
      </c>
      <c r="B1039" t="s">
        <v>8</v>
      </c>
      <c r="F1039" t="s">
        <v>3322</v>
      </c>
      <c r="G1039" t="s">
        <v>1076</v>
      </c>
    </row>
    <row r="1040" spans="1:7" hidden="1" x14ac:dyDescent="0.25">
      <c r="A1040" t="s">
        <v>4</v>
      </c>
      <c r="B1040" t="s">
        <v>70</v>
      </c>
      <c r="C1040" t="s">
        <v>58</v>
      </c>
      <c r="F1040" t="s">
        <v>3325</v>
      </c>
      <c r="G1040" t="s">
        <v>1076</v>
      </c>
    </row>
    <row r="1041" spans="1:7" hidden="1" x14ac:dyDescent="0.25">
      <c r="A1041" t="s">
        <v>4</v>
      </c>
      <c r="B1041" t="s">
        <v>70</v>
      </c>
      <c r="C1041" t="s">
        <v>51</v>
      </c>
      <c r="F1041" t="s">
        <v>3328</v>
      </c>
      <c r="G1041" t="s">
        <v>1076</v>
      </c>
    </row>
    <row r="1042" spans="1:7" hidden="1" x14ac:dyDescent="0.25">
      <c r="A1042" t="s">
        <v>4</v>
      </c>
      <c r="B1042" t="s">
        <v>8</v>
      </c>
      <c r="F1042" t="s">
        <v>3331</v>
      </c>
      <c r="G1042" t="s">
        <v>1076</v>
      </c>
    </row>
    <row r="1043" spans="1:7" hidden="1" x14ac:dyDescent="0.25">
      <c r="A1043" t="s">
        <v>4</v>
      </c>
      <c r="B1043" t="s">
        <v>8</v>
      </c>
      <c r="F1043" t="s">
        <v>3334</v>
      </c>
      <c r="G1043" t="s">
        <v>1076</v>
      </c>
    </row>
    <row r="1044" spans="1:7" hidden="1" x14ac:dyDescent="0.25">
      <c r="A1044" t="s">
        <v>4</v>
      </c>
      <c r="B1044" t="s">
        <v>8</v>
      </c>
      <c r="F1044" t="s">
        <v>3337</v>
      </c>
      <c r="G1044" t="s">
        <v>1076</v>
      </c>
    </row>
    <row r="1045" spans="1:7" hidden="1" x14ac:dyDescent="0.25">
      <c r="A1045" t="s">
        <v>4</v>
      </c>
      <c r="B1045" t="s">
        <v>8</v>
      </c>
      <c r="F1045" t="s">
        <v>3340</v>
      </c>
      <c r="G1045" t="s">
        <v>1076</v>
      </c>
    </row>
    <row r="1046" spans="1:7" hidden="1" x14ac:dyDescent="0.25">
      <c r="A1046" t="s">
        <v>4</v>
      </c>
      <c r="B1046" t="s">
        <v>4135</v>
      </c>
      <c r="C1046" t="s">
        <v>4137</v>
      </c>
      <c r="E1046" t="s">
        <v>4146</v>
      </c>
      <c r="F1046" t="s">
        <v>3343</v>
      </c>
      <c r="G1046" t="s">
        <v>1076</v>
      </c>
    </row>
    <row r="1047" spans="1:7" hidden="1" x14ac:dyDescent="0.25">
      <c r="A1047" t="s">
        <v>4</v>
      </c>
      <c r="B1047" t="s">
        <v>8</v>
      </c>
      <c r="F1047" t="s">
        <v>3034</v>
      </c>
      <c r="G1047" t="s">
        <v>1077</v>
      </c>
    </row>
    <row r="1048" spans="1:7" hidden="1" x14ac:dyDescent="0.25">
      <c r="A1048" t="s">
        <v>4</v>
      </c>
      <c r="B1048" t="s">
        <v>8</v>
      </c>
      <c r="F1048" t="s">
        <v>3037</v>
      </c>
      <c r="G1048" t="s">
        <v>1077</v>
      </c>
    </row>
    <row r="1049" spans="1:7" hidden="1" x14ac:dyDescent="0.25">
      <c r="A1049" t="s">
        <v>4</v>
      </c>
      <c r="B1049" t="s">
        <v>8</v>
      </c>
      <c r="F1049" t="s">
        <v>3040</v>
      </c>
      <c r="G1049" t="s">
        <v>1077</v>
      </c>
    </row>
    <row r="1050" spans="1:7" hidden="1" x14ac:dyDescent="0.25">
      <c r="A1050" t="s">
        <v>4</v>
      </c>
      <c r="B1050" t="s">
        <v>8</v>
      </c>
      <c r="F1050" t="s">
        <v>3043</v>
      </c>
      <c r="G1050" t="s">
        <v>1077</v>
      </c>
    </row>
    <row r="1051" spans="1:7" hidden="1" x14ac:dyDescent="0.25">
      <c r="A1051" t="s">
        <v>4</v>
      </c>
      <c r="B1051" t="s">
        <v>8</v>
      </c>
      <c r="F1051" t="s">
        <v>3046</v>
      </c>
      <c r="G1051" t="s">
        <v>1077</v>
      </c>
    </row>
    <row r="1052" spans="1:7" hidden="1" x14ac:dyDescent="0.25">
      <c r="A1052" t="s">
        <v>4</v>
      </c>
      <c r="B1052" t="s">
        <v>8</v>
      </c>
      <c r="F1052" t="s">
        <v>3049</v>
      </c>
      <c r="G1052" t="s">
        <v>1077</v>
      </c>
    </row>
    <row r="1053" spans="1:7" hidden="1" x14ac:dyDescent="0.25">
      <c r="A1053" t="s">
        <v>4</v>
      </c>
      <c r="B1053" t="s">
        <v>8</v>
      </c>
      <c r="F1053" t="s">
        <v>3052</v>
      </c>
      <c r="G1053" t="s">
        <v>1077</v>
      </c>
    </row>
    <row r="1054" spans="1:7" hidden="1" x14ac:dyDescent="0.25">
      <c r="A1054" t="s">
        <v>4</v>
      </c>
      <c r="B1054" t="s">
        <v>8</v>
      </c>
      <c r="F1054" t="s">
        <v>3055</v>
      </c>
      <c r="G1054" t="s">
        <v>1077</v>
      </c>
    </row>
    <row r="1055" spans="1:7" hidden="1" x14ac:dyDescent="0.25">
      <c r="A1055" t="s">
        <v>4</v>
      </c>
      <c r="B1055" t="s">
        <v>8</v>
      </c>
      <c r="F1055" t="s">
        <v>3346</v>
      </c>
      <c r="G1055" t="s">
        <v>1078</v>
      </c>
    </row>
    <row r="1056" spans="1:7" hidden="1" x14ac:dyDescent="0.25">
      <c r="A1056" t="s">
        <v>4</v>
      </c>
      <c r="B1056" t="s">
        <v>8</v>
      </c>
      <c r="F1056" t="s">
        <v>4147</v>
      </c>
      <c r="G1056" t="s">
        <v>1078</v>
      </c>
    </row>
    <row r="1057" spans="1:7" hidden="1" x14ac:dyDescent="0.25">
      <c r="A1057" t="s">
        <v>4</v>
      </c>
      <c r="B1057" t="s">
        <v>8</v>
      </c>
      <c r="F1057" t="s">
        <v>3349</v>
      </c>
      <c r="G1057" t="s">
        <v>1078</v>
      </c>
    </row>
    <row r="1058" spans="1:7" hidden="1" x14ac:dyDescent="0.25">
      <c r="A1058" t="s">
        <v>4150</v>
      </c>
      <c r="B1058" t="s">
        <v>4151</v>
      </c>
      <c r="F1058" t="s">
        <v>3352</v>
      </c>
      <c r="G1058" t="s">
        <v>1078</v>
      </c>
    </row>
    <row r="1059" spans="1:7" hidden="1" x14ac:dyDescent="0.25">
      <c r="A1059" t="s">
        <v>4150</v>
      </c>
      <c r="B1059" t="s">
        <v>4151</v>
      </c>
      <c r="E1059" t="s">
        <v>2891</v>
      </c>
      <c r="F1059" t="s">
        <v>3355</v>
      </c>
      <c r="G1059" t="s">
        <v>1078</v>
      </c>
    </row>
    <row r="1060" spans="1:7" hidden="1" x14ac:dyDescent="0.25">
      <c r="A1060" t="s">
        <v>4150</v>
      </c>
      <c r="B1060" t="s">
        <v>4151</v>
      </c>
      <c r="E1060" t="s">
        <v>2891</v>
      </c>
      <c r="F1060" t="s">
        <v>3358</v>
      </c>
      <c r="G1060" t="s">
        <v>1078</v>
      </c>
    </row>
    <row r="1061" spans="1:7" hidden="1" x14ac:dyDescent="0.25">
      <c r="A1061" t="s">
        <v>4150</v>
      </c>
      <c r="B1061" t="s">
        <v>4151</v>
      </c>
      <c r="E1061" t="s">
        <v>2891</v>
      </c>
      <c r="F1061" t="s">
        <v>3361</v>
      </c>
      <c r="G1061" t="s">
        <v>1078</v>
      </c>
    </row>
    <row r="1062" spans="1:7" hidden="1" x14ac:dyDescent="0.25">
      <c r="A1062" t="s">
        <v>4150</v>
      </c>
      <c r="B1062" t="s">
        <v>4151</v>
      </c>
      <c r="E1062" t="s">
        <v>2891</v>
      </c>
      <c r="F1062" t="s">
        <v>3364</v>
      </c>
      <c r="G1062" t="s">
        <v>1078</v>
      </c>
    </row>
    <row r="1063" spans="1:7" hidden="1" x14ac:dyDescent="0.25">
      <c r="A1063" t="s">
        <v>4150</v>
      </c>
      <c r="B1063" t="s">
        <v>4151</v>
      </c>
      <c r="E1063" t="s">
        <v>2891</v>
      </c>
      <c r="F1063" t="s">
        <v>3367</v>
      </c>
      <c r="G1063" t="s">
        <v>1078</v>
      </c>
    </row>
    <row r="1064" spans="1:7" hidden="1" x14ac:dyDescent="0.25">
      <c r="A1064" t="s">
        <v>4150</v>
      </c>
      <c r="B1064" t="s">
        <v>4151</v>
      </c>
      <c r="E1064" t="s">
        <v>2891</v>
      </c>
      <c r="F1064" t="s">
        <v>3370</v>
      </c>
      <c r="G1064" t="s">
        <v>1078</v>
      </c>
    </row>
    <row r="1065" spans="1:7" hidden="1" x14ac:dyDescent="0.25">
      <c r="A1065" t="s">
        <v>4150</v>
      </c>
      <c r="B1065" t="s">
        <v>4151</v>
      </c>
      <c r="E1065" t="s">
        <v>2891</v>
      </c>
      <c r="F1065" t="s">
        <v>3373</v>
      </c>
      <c r="G1065" t="s">
        <v>1078</v>
      </c>
    </row>
    <row r="1066" spans="1:7" hidden="1" x14ac:dyDescent="0.25">
      <c r="A1066" t="s">
        <v>4150</v>
      </c>
      <c r="B1066" t="s">
        <v>4151</v>
      </c>
      <c r="E1066" t="s">
        <v>2891</v>
      </c>
      <c r="F1066" t="s">
        <v>3376</v>
      </c>
      <c r="G1066" t="s">
        <v>1078</v>
      </c>
    </row>
    <row r="1067" spans="1:7" hidden="1" x14ac:dyDescent="0.25">
      <c r="A1067" t="s">
        <v>4150</v>
      </c>
      <c r="B1067" t="s">
        <v>4151</v>
      </c>
      <c r="E1067" t="s">
        <v>2891</v>
      </c>
      <c r="F1067" t="s">
        <v>3379</v>
      </c>
      <c r="G1067" t="s">
        <v>1078</v>
      </c>
    </row>
    <row r="1068" spans="1:7" hidden="1" x14ac:dyDescent="0.25">
      <c r="A1068" t="s">
        <v>4150</v>
      </c>
      <c r="B1068" t="s">
        <v>4151</v>
      </c>
      <c r="E1068" t="s">
        <v>2891</v>
      </c>
      <c r="F1068" t="s">
        <v>3382</v>
      </c>
      <c r="G1068" t="s">
        <v>1078</v>
      </c>
    </row>
    <row r="1069" spans="1:7" hidden="1" x14ac:dyDescent="0.25">
      <c r="A1069" t="s">
        <v>4150</v>
      </c>
      <c r="B1069" t="s">
        <v>4151</v>
      </c>
      <c r="E1069" t="s">
        <v>2891</v>
      </c>
      <c r="F1069" t="s">
        <v>3385</v>
      </c>
      <c r="G1069" t="s">
        <v>1078</v>
      </c>
    </row>
    <row r="1070" spans="1:7" hidden="1" x14ac:dyDescent="0.25">
      <c r="A1070" t="s">
        <v>4</v>
      </c>
      <c r="B1070" t="s">
        <v>8</v>
      </c>
      <c r="F1070" t="s">
        <v>3388</v>
      </c>
      <c r="G1070" t="s">
        <v>1078</v>
      </c>
    </row>
    <row r="1071" spans="1:7" hidden="1" x14ac:dyDescent="0.25">
      <c r="A1071" t="s">
        <v>261</v>
      </c>
      <c r="B1071" t="s">
        <v>4152</v>
      </c>
      <c r="F1071" t="s">
        <v>3391</v>
      </c>
      <c r="G1071" t="s">
        <v>1078</v>
      </c>
    </row>
    <row r="1072" spans="1:7" hidden="1" x14ac:dyDescent="0.25">
      <c r="A1072" t="s">
        <v>261</v>
      </c>
      <c r="B1072" t="s">
        <v>4152</v>
      </c>
      <c r="E1072" t="s">
        <v>2891</v>
      </c>
      <c r="F1072" t="s">
        <v>3394</v>
      </c>
      <c r="G1072" t="s">
        <v>1078</v>
      </c>
    </row>
    <row r="1073" spans="1:7" hidden="1" x14ac:dyDescent="0.25">
      <c r="A1073" t="s">
        <v>261</v>
      </c>
      <c r="B1073" t="s">
        <v>4152</v>
      </c>
      <c r="E1073" t="s">
        <v>2891</v>
      </c>
      <c r="F1073" t="s">
        <v>3397</v>
      </c>
      <c r="G1073" t="s">
        <v>1078</v>
      </c>
    </row>
    <row r="1074" spans="1:7" hidden="1" x14ac:dyDescent="0.25">
      <c r="A1074" t="s">
        <v>261</v>
      </c>
      <c r="B1074" t="s">
        <v>4152</v>
      </c>
      <c r="E1074" t="s">
        <v>2891</v>
      </c>
      <c r="F1074" t="s">
        <v>3400</v>
      </c>
      <c r="G1074" t="s">
        <v>1078</v>
      </c>
    </row>
    <row r="1075" spans="1:7" hidden="1" x14ac:dyDescent="0.25">
      <c r="A1075" t="s">
        <v>261</v>
      </c>
      <c r="B1075" t="s">
        <v>4152</v>
      </c>
      <c r="E1075" t="s">
        <v>2891</v>
      </c>
      <c r="F1075" t="s">
        <v>3403</v>
      </c>
      <c r="G1075" t="s">
        <v>1078</v>
      </c>
    </row>
    <row r="1076" spans="1:7" hidden="1" x14ac:dyDescent="0.25">
      <c r="A1076" t="s">
        <v>4</v>
      </c>
      <c r="B1076" t="s">
        <v>8</v>
      </c>
      <c r="F1076" t="s">
        <v>3406</v>
      </c>
      <c r="G1076" t="s">
        <v>1078</v>
      </c>
    </row>
    <row r="1077" spans="1:7" hidden="1" x14ac:dyDescent="0.25">
      <c r="A1077" t="s">
        <v>4</v>
      </c>
      <c r="B1077" t="s">
        <v>8</v>
      </c>
      <c r="F1077" t="s">
        <v>3409</v>
      </c>
      <c r="G1077" t="s">
        <v>1079</v>
      </c>
    </row>
    <row r="1078" spans="1:7" hidden="1" x14ac:dyDescent="0.25">
      <c r="A1078" t="s">
        <v>4</v>
      </c>
      <c r="B1078" t="s">
        <v>8</v>
      </c>
      <c r="F1078" t="s">
        <v>3412</v>
      </c>
      <c r="G1078" t="s">
        <v>1079</v>
      </c>
    </row>
    <row r="1079" spans="1:7" hidden="1" x14ac:dyDescent="0.25">
      <c r="A1079" t="s">
        <v>4</v>
      </c>
      <c r="B1079" t="s">
        <v>8</v>
      </c>
      <c r="F1079" t="s">
        <v>3415</v>
      </c>
      <c r="G1079" t="s">
        <v>1079</v>
      </c>
    </row>
    <row r="1080" spans="1:7" hidden="1" x14ac:dyDescent="0.25">
      <c r="A1080" t="s">
        <v>4153</v>
      </c>
      <c r="F1080" t="s">
        <v>4154</v>
      </c>
      <c r="G1080" t="s">
        <v>1079</v>
      </c>
    </row>
    <row r="1081" spans="1:7" hidden="1" x14ac:dyDescent="0.25">
      <c r="A1081" t="s">
        <v>4</v>
      </c>
      <c r="B1081" t="s">
        <v>8</v>
      </c>
      <c r="F1081" t="s">
        <v>3418</v>
      </c>
      <c r="G1081" t="s">
        <v>1079</v>
      </c>
    </row>
    <row r="1082" spans="1:7" hidden="1" x14ac:dyDescent="0.25">
      <c r="A1082" t="s">
        <v>4150</v>
      </c>
      <c r="B1082" t="s">
        <v>4151</v>
      </c>
      <c r="F1082" t="s">
        <v>3421</v>
      </c>
      <c r="G1082" t="s">
        <v>1079</v>
      </c>
    </row>
    <row r="1083" spans="1:7" hidden="1" x14ac:dyDescent="0.25">
      <c r="A1083" t="s">
        <v>4150</v>
      </c>
      <c r="B1083" t="s">
        <v>4151</v>
      </c>
      <c r="E1083" t="s">
        <v>2891</v>
      </c>
      <c r="F1083" t="s">
        <v>3424</v>
      </c>
      <c r="G1083" t="s">
        <v>1079</v>
      </c>
    </row>
    <row r="1084" spans="1:7" hidden="1" x14ac:dyDescent="0.25">
      <c r="A1084" t="s">
        <v>4150</v>
      </c>
      <c r="B1084" t="s">
        <v>4151</v>
      </c>
      <c r="E1084" t="s">
        <v>2891</v>
      </c>
      <c r="F1084" t="s">
        <v>3427</v>
      </c>
      <c r="G1084" t="s">
        <v>1079</v>
      </c>
    </row>
    <row r="1085" spans="1:7" hidden="1" x14ac:dyDescent="0.25">
      <c r="A1085" t="s">
        <v>4150</v>
      </c>
      <c r="B1085" t="s">
        <v>4151</v>
      </c>
      <c r="E1085" t="s">
        <v>2891</v>
      </c>
      <c r="F1085" t="s">
        <v>3430</v>
      </c>
      <c r="G1085" t="s">
        <v>1079</v>
      </c>
    </row>
    <row r="1086" spans="1:7" hidden="1" x14ac:dyDescent="0.25">
      <c r="A1086" t="s">
        <v>4150</v>
      </c>
      <c r="B1086" t="s">
        <v>4151</v>
      </c>
      <c r="E1086" t="s">
        <v>2891</v>
      </c>
      <c r="F1086" t="s">
        <v>3433</v>
      </c>
      <c r="G1086" t="s">
        <v>1079</v>
      </c>
    </row>
    <row r="1087" spans="1:7" hidden="1" x14ac:dyDescent="0.25">
      <c r="A1087" t="s">
        <v>4150</v>
      </c>
      <c r="B1087" t="s">
        <v>4151</v>
      </c>
      <c r="E1087" t="s">
        <v>2891</v>
      </c>
      <c r="F1087" t="s">
        <v>3436</v>
      </c>
      <c r="G1087" t="s">
        <v>1079</v>
      </c>
    </row>
    <row r="1088" spans="1:7" hidden="1" x14ac:dyDescent="0.25">
      <c r="A1088" t="s">
        <v>4150</v>
      </c>
      <c r="B1088" t="s">
        <v>4151</v>
      </c>
      <c r="E1088" t="s">
        <v>2891</v>
      </c>
      <c r="F1088" t="s">
        <v>3439</v>
      </c>
      <c r="G1088" t="s">
        <v>1079</v>
      </c>
    </row>
    <row r="1089" spans="1:7" hidden="1" x14ac:dyDescent="0.25">
      <c r="A1089" t="s">
        <v>4150</v>
      </c>
      <c r="B1089" t="s">
        <v>4151</v>
      </c>
      <c r="E1089" t="s">
        <v>2891</v>
      </c>
      <c r="F1089" t="s">
        <v>3442</v>
      </c>
      <c r="G1089" t="s">
        <v>1079</v>
      </c>
    </row>
    <row r="1090" spans="1:7" hidden="1" x14ac:dyDescent="0.25">
      <c r="A1090" t="s">
        <v>4150</v>
      </c>
      <c r="B1090" t="s">
        <v>4151</v>
      </c>
      <c r="E1090" t="s">
        <v>2891</v>
      </c>
      <c r="F1090" t="s">
        <v>3445</v>
      </c>
      <c r="G1090" t="s">
        <v>1079</v>
      </c>
    </row>
    <row r="1091" spans="1:7" hidden="1" x14ac:dyDescent="0.25">
      <c r="A1091" t="s">
        <v>4150</v>
      </c>
      <c r="B1091" t="s">
        <v>4151</v>
      </c>
      <c r="E1091" t="s">
        <v>2891</v>
      </c>
      <c r="F1091" t="s">
        <v>3448</v>
      </c>
      <c r="G1091" t="s">
        <v>1079</v>
      </c>
    </row>
    <row r="1092" spans="1:7" hidden="1" x14ac:dyDescent="0.25">
      <c r="A1092" t="s">
        <v>4150</v>
      </c>
      <c r="B1092" t="s">
        <v>4151</v>
      </c>
      <c r="E1092" t="s">
        <v>2891</v>
      </c>
      <c r="F1092" t="s">
        <v>3451</v>
      </c>
      <c r="G1092" t="s">
        <v>1079</v>
      </c>
    </row>
    <row r="1093" spans="1:7" hidden="1" x14ac:dyDescent="0.25">
      <c r="A1093" t="s">
        <v>4150</v>
      </c>
      <c r="B1093" t="s">
        <v>4151</v>
      </c>
      <c r="E1093" t="s">
        <v>2891</v>
      </c>
      <c r="F1093" t="s">
        <v>3454</v>
      </c>
      <c r="G1093" t="s">
        <v>1079</v>
      </c>
    </row>
    <row r="1094" spans="1:7" hidden="1" x14ac:dyDescent="0.25">
      <c r="A1094" t="s">
        <v>4150</v>
      </c>
      <c r="B1094" t="s">
        <v>4151</v>
      </c>
      <c r="E1094" t="s">
        <v>2891</v>
      </c>
      <c r="F1094" t="s">
        <v>3457</v>
      </c>
      <c r="G1094" t="s">
        <v>1079</v>
      </c>
    </row>
    <row r="1095" spans="1:7" hidden="1" x14ac:dyDescent="0.25">
      <c r="A1095" t="s">
        <v>4150</v>
      </c>
      <c r="B1095" t="s">
        <v>4151</v>
      </c>
      <c r="E1095" t="s">
        <v>2891</v>
      </c>
      <c r="F1095" t="s">
        <v>3460</v>
      </c>
      <c r="G1095" t="s">
        <v>1079</v>
      </c>
    </row>
    <row r="1096" spans="1:7" hidden="1" x14ac:dyDescent="0.25">
      <c r="A1096" t="s">
        <v>4150</v>
      </c>
      <c r="B1096" t="s">
        <v>4151</v>
      </c>
      <c r="E1096" t="s">
        <v>2891</v>
      </c>
      <c r="F1096" t="s">
        <v>3463</v>
      </c>
      <c r="G1096" t="s">
        <v>1079</v>
      </c>
    </row>
    <row r="1097" spans="1:7" hidden="1" x14ac:dyDescent="0.25">
      <c r="A1097" t="s">
        <v>4150</v>
      </c>
      <c r="B1097" t="s">
        <v>4151</v>
      </c>
      <c r="E1097" t="s">
        <v>2891</v>
      </c>
      <c r="F1097" t="s">
        <v>3466</v>
      </c>
      <c r="G1097" t="s">
        <v>1079</v>
      </c>
    </row>
    <row r="1098" spans="1:7" hidden="1" x14ac:dyDescent="0.25">
      <c r="A1098" t="s">
        <v>4150</v>
      </c>
      <c r="B1098" t="s">
        <v>4151</v>
      </c>
      <c r="E1098" t="s">
        <v>2891</v>
      </c>
      <c r="F1098" t="s">
        <v>3469</v>
      </c>
      <c r="G1098" t="s">
        <v>1079</v>
      </c>
    </row>
    <row r="1099" spans="1:7" hidden="1" x14ac:dyDescent="0.25">
      <c r="A1099" t="s">
        <v>4150</v>
      </c>
      <c r="B1099" t="s">
        <v>4151</v>
      </c>
      <c r="E1099" t="s">
        <v>2891</v>
      </c>
      <c r="F1099" t="s">
        <v>3472</v>
      </c>
      <c r="G1099" t="s">
        <v>1079</v>
      </c>
    </row>
    <row r="1100" spans="1:7" hidden="1" x14ac:dyDescent="0.25">
      <c r="A1100" t="s">
        <v>4150</v>
      </c>
      <c r="B1100" t="s">
        <v>4151</v>
      </c>
      <c r="E1100" t="s">
        <v>2891</v>
      </c>
      <c r="F1100" t="s">
        <v>3475</v>
      </c>
      <c r="G1100" t="s">
        <v>1079</v>
      </c>
    </row>
    <row r="1101" spans="1:7" hidden="1" x14ac:dyDescent="0.25">
      <c r="A1101" t="s">
        <v>4150</v>
      </c>
      <c r="B1101" t="s">
        <v>4151</v>
      </c>
      <c r="E1101" t="s">
        <v>2891</v>
      </c>
      <c r="F1101" t="s">
        <v>3478</v>
      </c>
      <c r="G1101" t="s">
        <v>1079</v>
      </c>
    </row>
    <row r="1102" spans="1:7" hidden="1" x14ac:dyDescent="0.25">
      <c r="A1102" t="s">
        <v>4157</v>
      </c>
      <c r="B1102" t="s">
        <v>4152</v>
      </c>
      <c r="F1102" t="s">
        <v>3481</v>
      </c>
      <c r="G1102" t="s">
        <v>1079</v>
      </c>
    </row>
    <row r="1103" spans="1:7" hidden="1" x14ac:dyDescent="0.25">
      <c r="A1103" t="s">
        <v>4157</v>
      </c>
      <c r="B1103" t="s">
        <v>4152</v>
      </c>
      <c r="E1103" t="s">
        <v>2891</v>
      </c>
      <c r="F1103" t="s">
        <v>3484</v>
      </c>
      <c r="G1103" t="s">
        <v>1079</v>
      </c>
    </row>
    <row r="1104" spans="1:7" hidden="1" x14ac:dyDescent="0.25">
      <c r="A1104" t="s">
        <v>4157</v>
      </c>
      <c r="B1104" t="s">
        <v>4152</v>
      </c>
      <c r="E1104" t="s">
        <v>2891</v>
      </c>
      <c r="F1104" t="s">
        <v>3487</v>
      </c>
      <c r="G1104" t="s">
        <v>1079</v>
      </c>
    </row>
    <row r="1105" spans="1:7" hidden="1" x14ac:dyDescent="0.25">
      <c r="A1105" t="s">
        <v>4157</v>
      </c>
      <c r="B1105" t="s">
        <v>4152</v>
      </c>
      <c r="E1105" t="s">
        <v>2891</v>
      </c>
      <c r="F1105" t="s">
        <v>3490</v>
      </c>
      <c r="G1105" t="s">
        <v>1079</v>
      </c>
    </row>
    <row r="1106" spans="1:7" hidden="1" x14ac:dyDescent="0.25">
      <c r="A1106" t="s">
        <v>4157</v>
      </c>
      <c r="B1106" t="s">
        <v>4152</v>
      </c>
      <c r="E1106" t="s">
        <v>2891</v>
      </c>
      <c r="F1106" t="s">
        <v>3493</v>
      </c>
      <c r="G1106" t="s">
        <v>1079</v>
      </c>
    </row>
    <row r="1107" spans="1:7" hidden="1" x14ac:dyDescent="0.25">
      <c r="A1107" t="s">
        <v>4157</v>
      </c>
      <c r="B1107" t="s">
        <v>4152</v>
      </c>
      <c r="E1107" t="s">
        <v>2891</v>
      </c>
      <c r="F1107" t="s">
        <v>3496</v>
      </c>
      <c r="G1107" t="s">
        <v>1079</v>
      </c>
    </row>
    <row r="1108" spans="1:7" hidden="1" x14ac:dyDescent="0.25">
      <c r="A1108" t="s">
        <v>4</v>
      </c>
      <c r="B1108" t="s">
        <v>8</v>
      </c>
      <c r="F1108" t="s">
        <v>3499</v>
      </c>
      <c r="G1108" t="s">
        <v>1079</v>
      </c>
    </row>
    <row r="1109" spans="1:7" hidden="1" x14ac:dyDescent="0.25">
      <c r="A1109" t="s">
        <v>1569</v>
      </c>
      <c r="B1109" t="s">
        <v>4135</v>
      </c>
      <c r="F1109" t="s">
        <v>3502</v>
      </c>
      <c r="G1109" t="s">
        <v>1079</v>
      </c>
    </row>
    <row r="1110" spans="1:7" hidden="1" x14ac:dyDescent="0.25">
      <c r="A1110" t="s">
        <v>1569</v>
      </c>
      <c r="B1110" t="s">
        <v>4158</v>
      </c>
      <c r="F1110" t="s">
        <v>3505</v>
      </c>
      <c r="G1110" t="s">
        <v>1079</v>
      </c>
    </row>
    <row r="1111" spans="1:7" hidden="1" x14ac:dyDescent="0.25">
      <c r="A1111" t="s">
        <v>261</v>
      </c>
      <c r="B1111" t="s">
        <v>4158</v>
      </c>
      <c r="C1111" t="s">
        <v>4152</v>
      </c>
      <c r="F1111" t="s">
        <v>3508</v>
      </c>
      <c r="G1111" t="s">
        <v>1079</v>
      </c>
    </row>
    <row r="1112" spans="1:7" hidden="1" x14ac:dyDescent="0.25">
      <c r="A1112" t="s">
        <v>261</v>
      </c>
      <c r="B1112" t="s">
        <v>4158</v>
      </c>
      <c r="C1112" t="s">
        <v>4152</v>
      </c>
      <c r="E1112" t="s">
        <v>2891</v>
      </c>
      <c r="F1112" t="s">
        <v>3511</v>
      </c>
      <c r="G1112" t="s">
        <v>1079</v>
      </c>
    </row>
    <row r="1113" spans="1:7" hidden="1" x14ac:dyDescent="0.25">
      <c r="A1113" t="s">
        <v>261</v>
      </c>
      <c r="B1113" t="s">
        <v>4158</v>
      </c>
      <c r="C1113" t="s">
        <v>4152</v>
      </c>
      <c r="E1113" t="s">
        <v>2891</v>
      </c>
      <c r="F1113" t="s">
        <v>3514</v>
      </c>
      <c r="G1113" t="s">
        <v>1079</v>
      </c>
    </row>
    <row r="1114" spans="1:7" hidden="1" x14ac:dyDescent="0.25">
      <c r="A1114" t="s">
        <v>261</v>
      </c>
      <c r="B1114" t="s">
        <v>4158</v>
      </c>
      <c r="C1114" t="s">
        <v>4152</v>
      </c>
      <c r="E1114" t="s">
        <v>2891</v>
      </c>
      <c r="F1114" t="s">
        <v>3517</v>
      </c>
      <c r="G1114" t="s">
        <v>1079</v>
      </c>
    </row>
    <row r="1115" spans="1:7" hidden="1" x14ac:dyDescent="0.25">
      <c r="A1115" t="s">
        <v>261</v>
      </c>
      <c r="B1115" t="s">
        <v>4158</v>
      </c>
      <c r="C1115" t="s">
        <v>4152</v>
      </c>
      <c r="E1115" t="s">
        <v>2891</v>
      </c>
      <c r="F1115" t="s">
        <v>3520</v>
      </c>
      <c r="G1115" t="s">
        <v>1079</v>
      </c>
    </row>
    <row r="1116" spans="1:7" hidden="1" x14ac:dyDescent="0.25">
      <c r="A1116" t="s">
        <v>261</v>
      </c>
      <c r="B1116" t="s">
        <v>4158</v>
      </c>
      <c r="C1116" t="s">
        <v>4152</v>
      </c>
      <c r="E1116" t="s">
        <v>2891</v>
      </c>
      <c r="F1116" t="s">
        <v>3523</v>
      </c>
      <c r="G1116" t="s">
        <v>1079</v>
      </c>
    </row>
    <row r="1117" spans="1:7" hidden="1" x14ac:dyDescent="0.25">
      <c r="A1117" t="s">
        <v>261</v>
      </c>
      <c r="B1117" t="s">
        <v>4158</v>
      </c>
      <c r="C1117" t="s">
        <v>4152</v>
      </c>
      <c r="E1117" t="s">
        <v>2891</v>
      </c>
      <c r="F1117" t="s">
        <v>3526</v>
      </c>
      <c r="G1117" t="s">
        <v>1079</v>
      </c>
    </row>
    <row r="1118" spans="1:7" hidden="1" x14ac:dyDescent="0.25">
      <c r="A1118" t="s">
        <v>261</v>
      </c>
      <c r="B1118" t="s">
        <v>4158</v>
      </c>
      <c r="C1118" t="s">
        <v>4152</v>
      </c>
      <c r="E1118" t="s">
        <v>2891</v>
      </c>
      <c r="F1118" t="s">
        <v>3529</v>
      </c>
      <c r="G1118" t="s">
        <v>1079</v>
      </c>
    </row>
    <row r="1119" spans="1:7" hidden="1" x14ac:dyDescent="0.25">
      <c r="A1119" t="s">
        <v>261</v>
      </c>
      <c r="B1119" t="s">
        <v>4158</v>
      </c>
      <c r="C1119" t="s">
        <v>4152</v>
      </c>
      <c r="E1119" t="s">
        <v>2891</v>
      </c>
      <c r="F1119" t="s">
        <v>3532</v>
      </c>
      <c r="G1119" t="s">
        <v>1079</v>
      </c>
    </row>
    <row r="1120" spans="1:7" hidden="1" x14ac:dyDescent="0.25">
      <c r="A1120" t="s">
        <v>261</v>
      </c>
      <c r="B1120" t="s">
        <v>4158</v>
      </c>
      <c r="C1120" t="s">
        <v>4152</v>
      </c>
      <c r="E1120" t="s">
        <v>2891</v>
      </c>
      <c r="F1120" t="s">
        <v>3535</v>
      </c>
      <c r="G1120" t="s">
        <v>1079</v>
      </c>
    </row>
    <row r="1121" spans="1:7" hidden="1" x14ac:dyDescent="0.25">
      <c r="A1121" t="s">
        <v>261</v>
      </c>
      <c r="B1121" t="s">
        <v>4158</v>
      </c>
      <c r="C1121" t="s">
        <v>4152</v>
      </c>
      <c r="E1121" t="s">
        <v>2891</v>
      </c>
      <c r="F1121" t="s">
        <v>3538</v>
      </c>
      <c r="G1121" t="s">
        <v>1079</v>
      </c>
    </row>
    <row r="1122" spans="1:7" hidden="1" x14ac:dyDescent="0.25">
      <c r="A1122" t="s">
        <v>261</v>
      </c>
      <c r="B1122" t="s">
        <v>4158</v>
      </c>
      <c r="C1122" t="s">
        <v>4152</v>
      </c>
      <c r="E1122" t="s">
        <v>2891</v>
      </c>
      <c r="F1122" t="s">
        <v>3541</v>
      </c>
      <c r="G1122" t="s">
        <v>1079</v>
      </c>
    </row>
    <row r="1123" spans="1:7" hidden="1" x14ac:dyDescent="0.25">
      <c r="A1123" t="s">
        <v>261</v>
      </c>
      <c r="B1123" t="s">
        <v>4158</v>
      </c>
      <c r="C1123" t="s">
        <v>4152</v>
      </c>
      <c r="E1123" t="s">
        <v>2891</v>
      </c>
      <c r="F1123" t="s">
        <v>3544</v>
      </c>
      <c r="G1123" t="s">
        <v>1079</v>
      </c>
    </row>
    <row r="1124" spans="1:7" hidden="1" x14ac:dyDescent="0.25">
      <c r="A1124" t="s">
        <v>261</v>
      </c>
      <c r="B1124" t="s">
        <v>4158</v>
      </c>
      <c r="C1124" t="s">
        <v>4152</v>
      </c>
      <c r="E1124" t="s">
        <v>2891</v>
      </c>
      <c r="F1124" t="s">
        <v>3547</v>
      </c>
      <c r="G1124" t="s">
        <v>1079</v>
      </c>
    </row>
    <row r="1125" spans="1:7" hidden="1" x14ac:dyDescent="0.25">
      <c r="A1125" t="s">
        <v>622</v>
      </c>
      <c r="B1125" t="s">
        <v>4158</v>
      </c>
      <c r="C1125" t="s">
        <v>4152</v>
      </c>
      <c r="E1125" t="s">
        <v>4159</v>
      </c>
      <c r="F1125" t="s">
        <v>3550</v>
      </c>
      <c r="G1125" t="s">
        <v>1079</v>
      </c>
    </row>
    <row r="1126" spans="1:7" hidden="1" x14ac:dyDescent="0.25">
      <c r="A1126" t="s">
        <v>261</v>
      </c>
      <c r="B1126" t="s">
        <v>4135</v>
      </c>
      <c r="C1126" t="s">
        <v>4152</v>
      </c>
      <c r="F1126" t="s">
        <v>3553</v>
      </c>
      <c r="G1126" t="s">
        <v>1079</v>
      </c>
    </row>
    <row r="1127" spans="1:7" hidden="1" x14ac:dyDescent="0.25">
      <c r="A1127" t="s">
        <v>261</v>
      </c>
      <c r="B1127" t="s">
        <v>4135</v>
      </c>
      <c r="C1127" t="s">
        <v>4152</v>
      </c>
      <c r="E1127" t="s">
        <v>2891</v>
      </c>
      <c r="F1127" t="s">
        <v>3556</v>
      </c>
      <c r="G1127" t="s">
        <v>1079</v>
      </c>
    </row>
    <row r="1128" spans="1:7" hidden="1" x14ac:dyDescent="0.25">
      <c r="A1128" t="s">
        <v>261</v>
      </c>
      <c r="B1128" t="s">
        <v>4135</v>
      </c>
      <c r="C1128" t="s">
        <v>4152</v>
      </c>
      <c r="E1128" t="s">
        <v>2891</v>
      </c>
      <c r="F1128" t="s">
        <v>3559</v>
      </c>
      <c r="G1128" t="s">
        <v>1079</v>
      </c>
    </row>
    <row r="1129" spans="1:7" hidden="1" x14ac:dyDescent="0.25">
      <c r="A1129" t="s">
        <v>261</v>
      </c>
      <c r="B1129" t="s">
        <v>4135</v>
      </c>
      <c r="C1129" t="s">
        <v>4152</v>
      </c>
      <c r="E1129" t="s">
        <v>2891</v>
      </c>
      <c r="F1129" t="s">
        <v>3562</v>
      </c>
      <c r="G1129" t="s">
        <v>1079</v>
      </c>
    </row>
    <row r="1130" spans="1:7" hidden="1" x14ac:dyDescent="0.25">
      <c r="A1130" t="s">
        <v>261</v>
      </c>
      <c r="B1130" t="s">
        <v>4135</v>
      </c>
      <c r="C1130" t="s">
        <v>4152</v>
      </c>
      <c r="E1130" t="s">
        <v>2891</v>
      </c>
      <c r="F1130" t="s">
        <v>3565</v>
      </c>
      <c r="G1130" t="s">
        <v>1079</v>
      </c>
    </row>
    <row r="1131" spans="1:7" hidden="1" x14ac:dyDescent="0.25">
      <c r="A1131" t="s">
        <v>261</v>
      </c>
      <c r="B1131" t="s">
        <v>4135</v>
      </c>
      <c r="C1131" t="s">
        <v>4152</v>
      </c>
      <c r="E1131" t="s">
        <v>2891</v>
      </c>
      <c r="F1131" t="s">
        <v>3568</v>
      </c>
      <c r="G1131" t="s">
        <v>1079</v>
      </c>
    </row>
    <row r="1132" spans="1:7" hidden="1" x14ac:dyDescent="0.25">
      <c r="A1132" t="s">
        <v>261</v>
      </c>
      <c r="B1132" t="s">
        <v>4135</v>
      </c>
      <c r="C1132" t="s">
        <v>4152</v>
      </c>
      <c r="E1132" t="s">
        <v>2891</v>
      </c>
      <c r="F1132" t="s">
        <v>3571</v>
      </c>
      <c r="G1132" t="s">
        <v>1079</v>
      </c>
    </row>
    <row r="1133" spans="1:7" hidden="1" x14ac:dyDescent="0.25">
      <c r="A1133" t="s">
        <v>261</v>
      </c>
      <c r="B1133" t="s">
        <v>4135</v>
      </c>
      <c r="C1133" t="s">
        <v>4152</v>
      </c>
      <c r="E1133" t="s">
        <v>2891</v>
      </c>
      <c r="F1133" t="s">
        <v>3574</v>
      </c>
      <c r="G1133" t="s">
        <v>1079</v>
      </c>
    </row>
    <row r="1134" spans="1:7" hidden="1" x14ac:dyDescent="0.25">
      <c r="A1134" t="s">
        <v>261</v>
      </c>
      <c r="B1134" t="s">
        <v>4135</v>
      </c>
      <c r="C1134" t="s">
        <v>4152</v>
      </c>
      <c r="E1134" t="s">
        <v>2891</v>
      </c>
      <c r="F1134" t="s">
        <v>3577</v>
      </c>
      <c r="G1134" t="s">
        <v>1079</v>
      </c>
    </row>
    <row r="1135" spans="1:7" hidden="1" x14ac:dyDescent="0.25">
      <c r="A1135" t="s">
        <v>261</v>
      </c>
      <c r="B1135" t="s">
        <v>4135</v>
      </c>
      <c r="C1135" t="s">
        <v>4152</v>
      </c>
      <c r="E1135" t="s">
        <v>2891</v>
      </c>
      <c r="F1135" t="s">
        <v>3580</v>
      </c>
      <c r="G1135" t="s">
        <v>1079</v>
      </c>
    </row>
    <row r="1136" spans="1:7" hidden="1" x14ac:dyDescent="0.25">
      <c r="A1136" t="s">
        <v>261</v>
      </c>
      <c r="B1136" t="s">
        <v>4135</v>
      </c>
      <c r="C1136" t="s">
        <v>4152</v>
      </c>
      <c r="E1136" t="s">
        <v>2891</v>
      </c>
      <c r="F1136" t="s">
        <v>3583</v>
      </c>
      <c r="G1136" t="s">
        <v>1079</v>
      </c>
    </row>
    <row r="1137" spans="1:7" hidden="1" x14ac:dyDescent="0.25">
      <c r="A1137" t="s">
        <v>261</v>
      </c>
      <c r="B1137" t="s">
        <v>4135</v>
      </c>
      <c r="C1137" t="s">
        <v>87</v>
      </c>
      <c r="F1137" t="s">
        <v>3586</v>
      </c>
      <c r="G1137" t="s">
        <v>1079</v>
      </c>
    </row>
    <row r="1138" spans="1:7" hidden="1" x14ac:dyDescent="0.25">
      <c r="A1138" t="s">
        <v>1569</v>
      </c>
      <c r="B1138" t="s">
        <v>4136</v>
      </c>
      <c r="F1138" t="s">
        <v>3589</v>
      </c>
      <c r="G1138" t="s">
        <v>1079</v>
      </c>
    </row>
    <row r="1139" spans="1:7" hidden="1" x14ac:dyDescent="0.25">
      <c r="A1139" t="s">
        <v>1569</v>
      </c>
      <c r="B1139" t="s">
        <v>4136</v>
      </c>
      <c r="E1139" t="s">
        <v>2891</v>
      </c>
      <c r="F1139" t="s">
        <v>3591</v>
      </c>
      <c r="G1139" t="s">
        <v>1079</v>
      </c>
    </row>
    <row r="1140" spans="1:7" hidden="1" x14ac:dyDescent="0.25">
      <c r="A1140" t="s">
        <v>261</v>
      </c>
      <c r="B1140" t="s">
        <v>4136</v>
      </c>
      <c r="C1140" t="s">
        <v>4152</v>
      </c>
      <c r="F1140" t="s">
        <v>3594</v>
      </c>
      <c r="G1140" t="s">
        <v>1079</v>
      </c>
    </row>
    <row r="1141" spans="1:7" hidden="1" x14ac:dyDescent="0.25">
      <c r="A1141" t="s">
        <v>261</v>
      </c>
      <c r="B1141" t="s">
        <v>4136</v>
      </c>
      <c r="C1141" t="s">
        <v>4152</v>
      </c>
      <c r="E1141" t="s">
        <v>2891</v>
      </c>
      <c r="F1141" t="s">
        <v>3597</v>
      </c>
      <c r="G1141" t="s">
        <v>1079</v>
      </c>
    </row>
    <row r="1142" spans="1:7" hidden="1" x14ac:dyDescent="0.25">
      <c r="A1142" t="s">
        <v>261</v>
      </c>
      <c r="B1142" t="s">
        <v>4136</v>
      </c>
      <c r="C1142" t="s">
        <v>4152</v>
      </c>
      <c r="E1142" t="s">
        <v>2891</v>
      </c>
      <c r="F1142" t="s">
        <v>3600</v>
      </c>
      <c r="G1142" t="s">
        <v>1079</v>
      </c>
    </row>
    <row r="1143" spans="1:7" hidden="1" x14ac:dyDescent="0.25">
      <c r="A1143" t="s">
        <v>261</v>
      </c>
      <c r="B1143" t="s">
        <v>4136</v>
      </c>
      <c r="C1143" t="s">
        <v>4152</v>
      </c>
      <c r="E1143" t="s">
        <v>2891</v>
      </c>
      <c r="F1143" t="s">
        <v>3603</v>
      </c>
      <c r="G1143" t="s">
        <v>1079</v>
      </c>
    </row>
    <row r="1144" spans="1:7" hidden="1" x14ac:dyDescent="0.25">
      <c r="A1144" t="s">
        <v>261</v>
      </c>
      <c r="B1144" t="s">
        <v>4136</v>
      </c>
      <c r="C1144" t="s">
        <v>4152</v>
      </c>
      <c r="E1144" t="s">
        <v>2891</v>
      </c>
      <c r="F1144" t="s">
        <v>3606</v>
      </c>
      <c r="G1144" t="s">
        <v>1079</v>
      </c>
    </row>
    <row r="1145" spans="1:7" hidden="1" x14ac:dyDescent="0.25">
      <c r="A1145" t="s">
        <v>261</v>
      </c>
      <c r="B1145" t="s">
        <v>4136</v>
      </c>
      <c r="C1145" t="s">
        <v>4152</v>
      </c>
      <c r="E1145" t="s">
        <v>2891</v>
      </c>
      <c r="F1145" t="s">
        <v>3609</v>
      </c>
      <c r="G1145" t="s">
        <v>1079</v>
      </c>
    </row>
    <row r="1146" spans="1:7" hidden="1" x14ac:dyDescent="0.25">
      <c r="A1146" t="s">
        <v>261</v>
      </c>
      <c r="B1146" t="s">
        <v>4136</v>
      </c>
      <c r="C1146" t="s">
        <v>4152</v>
      </c>
      <c r="E1146" t="s">
        <v>2891</v>
      </c>
      <c r="F1146" t="s">
        <v>3612</v>
      </c>
      <c r="G1146" t="s">
        <v>1079</v>
      </c>
    </row>
    <row r="1147" spans="1:7" hidden="1" x14ac:dyDescent="0.25">
      <c r="A1147" t="s">
        <v>261</v>
      </c>
      <c r="B1147" t="s">
        <v>4136</v>
      </c>
      <c r="C1147" t="s">
        <v>4152</v>
      </c>
      <c r="E1147" t="s">
        <v>2891</v>
      </c>
      <c r="F1147" t="s">
        <v>3615</v>
      </c>
      <c r="G1147" t="s">
        <v>1079</v>
      </c>
    </row>
    <row r="1148" spans="1:7" hidden="1" x14ac:dyDescent="0.25">
      <c r="A1148" t="s">
        <v>261</v>
      </c>
      <c r="B1148" t="s">
        <v>4136</v>
      </c>
      <c r="C1148" t="s">
        <v>4152</v>
      </c>
      <c r="E1148" t="s">
        <v>2891</v>
      </c>
      <c r="F1148" t="s">
        <v>3618</v>
      </c>
      <c r="G1148" t="s">
        <v>1079</v>
      </c>
    </row>
    <row r="1149" spans="1:7" hidden="1" x14ac:dyDescent="0.25">
      <c r="A1149" t="s">
        <v>261</v>
      </c>
      <c r="B1149" t="s">
        <v>4136</v>
      </c>
      <c r="C1149" t="s">
        <v>4152</v>
      </c>
      <c r="E1149" t="s">
        <v>2891</v>
      </c>
      <c r="F1149" t="s">
        <v>3621</v>
      </c>
      <c r="G1149" t="s">
        <v>1079</v>
      </c>
    </row>
    <row r="1150" spans="1:7" hidden="1" x14ac:dyDescent="0.25">
      <c r="A1150" t="s">
        <v>261</v>
      </c>
      <c r="B1150" t="s">
        <v>4136</v>
      </c>
      <c r="C1150" t="s">
        <v>4152</v>
      </c>
      <c r="E1150" t="s">
        <v>2891</v>
      </c>
      <c r="F1150" t="s">
        <v>3624</v>
      </c>
      <c r="G1150" t="s">
        <v>1079</v>
      </c>
    </row>
    <row r="1151" spans="1:7" hidden="1" x14ac:dyDescent="0.25">
      <c r="A1151" t="s">
        <v>261</v>
      </c>
      <c r="B1151" t="s">
        <v>4136</v>
      </c>
      <c r="C1151" t="s">
        <v>4152</v>
      </c>
      <c r="E1151" t="s">
        <v>2891</v>
      </c>
      <c r="F1151" t="s">
        <v>3627</v>
      </c>
      <c r="G1151" t="s">
        <v>1079</v>
      </c>
    </row>
    <row r="1152" spans="1:7" hidden="1" x14ac:dyDescent="0.25">
      <c r="A1152" t="s">
        <v>261</v>
      </c>
      <c r="B1152" t="s">
        <v>4136</v>
      </c>
      <c r="C1152" t="s">
        <v>4152</v>
      </c>
      <c r="E1152" t="s">
        <v>2891</v>
      </c>
      <c r="F1152" t="s">
        <v>3630</v>
      </c>
      <c r="G1152" t="s">
        <v>1079</v>
      </c>
    </row>
    <row r="1153" spans="1:7" hidden="1" x14ac:dyDescent="0.25">
      <c r="A1153" t="s">
        <v>261</v>
      </c>
      <c r="B1153" t="s">
        <v>4136</v>
      </c>
      <c r="C1153" t="s">
        <v>4152</v>
      </c>
      <c r="E1153" t="s">
        <v>2891</v>
      </c>
      <c r="F1153" t="s">
        <v>3633</v>
      </c>
      <c r="G1153" t="s">
        <v>1079</v>
      </c>
    </row>
    <row r="1154" spans="1:7" hidden="1" x14ac:dyDescent="0.25">
      <c r="A1154" t="s">
        <v>261</v>
      </c>
      <c r="B1154" t="s">
        <v>4136</v>
      </c>
      <c r="C1154" t="s">
        <v>4152</v>
      </c>
      <c r="E1154" t="s">
        <v>2891</v>
      </c>
      <c r="F1154" t="s">
        <v>3636</v>
      </c>
      <c r="G1154" t="s">
        <v>1079</v>
      </c>
    </row>
    <row r="1155" spans="1:7" hidden="1" x14ac:dyDescent="0.25">
      <c r="A1155" t="s">
        <v>261</v>
      </c>
      <c r="B1155" t="s">
        <v>4136</v>
      </c>
      <c r="C1155" t="s">
        <v>4152</v>
      </c>
      <c r="E1155" t="s">
        <v>2891</v>
      </c>
      <c r="F1155" t="s">
        <v>3639</v>
      </c>
      <c r="G1155" t="s">
        <v>1079</v>
      </c>
    </row>
    <row r="1156" spans="1:7" hidden="1" x14ac:dyDescent="0.25">
      <c r="A1156" t="s">
        <v>261</v>
      </c>
      <c r="B1156" t="s">
        <v>4136</v>
      </c>
      <c r="C1156" t="s">
        <v>4152</v>
      </c>
      <c r="E1156" t="s">
        <v>2891</v>
      </c>
      <c r="F1156" t="s">
        <v>3642</v>
      </c>
      <c r="G1156" t="s">
        <v>1079</v>
      </c>
    </row>
    <row r="1157" spans="1:7" hidden="1" x14ac:dyDescent="0.25">
      <c r="A1157" t="s">
        <v>261</v>
      </c>
      <c r="B1157" t="s">
        <v>4136</v>
      </c>
      <c r="C1157" t="s">
        <v>4152</v>
      </c>
      <c r="E1157" t="s">
        <v>2891</v>
      </c>
      <c r="F1157" t="s">
        <v>3645</v>
      </c>
      <c r="G1157" t="s">
        <v>1079</v>
      </c>
    </row>
    <row r="1158" spans="1:7" hidden="1" x14ac:dyDescent="0.25">
      <c r="A1158" t="s">
        <v>261</v>
      </c>
      <c r="B1158" t="s">
        <v>4136</v>
      </c>
      <c r="C1158" t="s">
        <v>4152</v>
      </c>
      <c r="E1158" t="s">
        <v>2891</v>
      </c>
      <c r="F1158" t="s">
        <v>3648</v>
      </c>
      <c r="G1158" t="s">
        <v>1079</v>
      </c>
    </row>
    <row r="1159" spans="1:7" hidden="1" x14ac:dyDescent="0.25">
      <c r="A1159" t="s">
        <v>261</v>
      </c>
      <c r="B1159" t="s">
        <v>4136</v>
      </c>
      <c r="C1159" t="s">
        <v>4152</v>
      </c>
      <c r="E1159" t="s">
        <v>2891</v>
      </c>
      <c r="F1159" t="s">
        <v>3651</v>
      </c>
      <c r="G1159" t="s">
        <v>1079</v>
      </c>
    </row>
    <row r="1160" spans="1:7" hidden="1" x14ac:dyDescent="0.25">
      <c r="A1160" t="s">
        <v>443</v>
      </c>
      <c r="B1160" t="s">
        <v>4136</v>
      </c>
      <c r="F1160" t="s">
        <v>3654</v>
      </c>
      <c r="G1160" t="s">
        <v>1079</v>
      </c>
    </row>
    <row r="1161" spans="1:7" hidden="1" x14ac:dyDescent="0.25">
      <c r="A1161" t="s">
        <v>622</v>
      </c>
      <c r="B1161" t="s">
        <v>4136</v>
      </c>
      <c r="C1161" t="s">
        <v>4152</v>
      </c>
      <c r="E1161" t="s">
        <v>4160</v>
      </c>
      <c r="F1161" t="s">
        <v>3657</v>
      </c>
      <c r="G1161" t="s">
        <v>1079</v>
      </c>
    </row>
    <row r="1162" spans="1:7" hidden="1" x14ac:dyDescent="0.25">
      <c r="A1162" t="s">
        <v>1967</v>
      </c>
      <c r="B1162" t="s">
        <v>8</v>
      </c>
      <c r="F1162" t="s">
        <v>3659</v>
      </c>
      <c r="G1162" t="s">
        <v>768</v>
      </c>
    </row>
    <row r="1163" spans="1:7" hidden="1" x14ac:dyDescent="0.25">
      <c r="A1163" t="s">
        <v>1967</v>
      </c>
      <c r="B1163" t="s">
        <v>8</v>
      </c>
      <c r="F1163" t="s">
        <v>3662</v>
      </c>
      <c r="G1163" t="s">
        <v>768</v>
      </c>
    </row>
    <row r="1164" spans="1:7" hidden="1" x14ac:dyDescent="0.25">
      <c r="A1164" t="s">
        <v>1967</v>
      </c>
      <c r="B1164" t="s">
        <v>8</v>
      </c>
      <c r="F1164" t="s">
        <v>3665</v>
      </c>
      <c r="G1164" t="s">
        <v>768</v>
      </c>
    </row>
    <row r="1165" spans="1:7" hidden="1" x14ac:dyDescent="0.25">
      <c r="A1165" t="s">
        <v>1967</v>
      </c>
      <c r="B1165" t="s">
        <v>8</v>
      </c>
      <c r="F1165" t="s">
        <v>3668</v>
      </c>
      <c r="G1165" t="s">
        <v>768</v>
      </c>
    </row>
    <row r="1166" spans="1:7" hidden="1" x14ac:dyDescent="0.25">
      <c r="A1166" t="s">
        <v>1967</v>
      </c>
      <c r="B1166" t="s">
        <v>8</v>
      </c>
      <c r="F1166" t="s">
        <v>3671</v>
      </c>
      <c r="G1166" t="s">
        <v>768</v>
      </c>
    </row>
    <row r="1167" spans="1:7" hidden="1" x14ac:dyDescent="0.25">
      <c r="A1167" t="s">
        <v>1063</v>
      </c>
      <c r="B1167" t="s">
        <v>4161</v>
      </c>
      <c r="C1167" t="s">
        <v>1071</v>
      </c>
      <c r="D1167">
        <v>4</v>
      </c>
      <c r="F1167" t="s">
        <v>3674</v>
      </c>
      <c r="G1167" t="s">
        <v>768</v>
      </c>
    </row>
    <row r="1168" spans="1:7" hidden="1" x14ac:dyDescent="0.25">
      <c r="A1168" t="s">
        <v>4</v>
      </c>
      <c r="B1168" t="s">
        <v>9</v>
      </c>
      <c r="F1168" t="s">
        <v>3677</v>
      </c>
      <c r="G1168" t="s">
        <v>1072</v>
      </c>
    </row>
    <row r="1169" spans="1:7" hidden="1" x14ac:dyDescent="0.25">
      <c r="A1169" t="s">
        <v>4</v>
      </c>
      <c r="B1169" t="s">
        <v>9</v>
      </c>
      <c r="E1169" t="s">
        <v>2891</v>
      </c>
      <c r="F1169" t="s">
        <v>3680</v>
      </c>
      <c r="G1169" t="s">
        <v>1072</v>
      </c>
    </row>
    <row r="1170" spans="1:7" hidden="1" x14ac:dyDescent="0.25">
      <c r="A1170" t="s">
        <v>4</v>
      </c>
      <c r="B1170" t="s">
        <v>9</v>
      </c>
      <c r="E1170" t="s">
        <v>2891</v>
      </c>
      <c r="F1170" t="s">
        <v>3683</v>
      </c>
      <c r="G1170" t="s">
        <v>1072</v>
      </c>
    </row>
    <row r="1171" spans="1:7" hidden="1" x14ac:dyDescent="0.25">
      <c r="A1171" t="s">
        <v>4</v>
      </c>
      <c r="B1171" t="s">
        <v>9</v>
      </c>
      <c r="E1171" t="s">
        <v>2891</v>
      </c>
      <c r="F1171" t="s">
        <v>3686</v>
      </c>
      <c r="G1171" t="s">
        <v>1072</v>
      </c>
    </row>
    <row r="1172" spans="1:7" hidden="1" x14ac:dyDescent="0.25">
      <c r="A1172" t="s">
        <v>4</v>
      </c>
      <c r="B1172" t="s">
        <v>9</v>
      </c>
      <c r="E1172" t="s">
        <v>2891</v>
      </c>
      <c r="F1172" t="s">
        <v>3689</v>
      </c>
      <c r="G1172" t="s">
        <v>1072</v>
      </c>
    </row>
    <row r="1173" spans="1:7" hidden="1" x14ac:dyDescent="0.25">
      <c r="A1173" t="s">
        <v>4</v>
      </c>
      <c r="B1173" t="s">
        <v>9</v>
      </c>
      <c r="F1173" t="s">
        <v>3692</v>
      </c>
      <c r="G1173" t="s">
        <v>1072</v>
      </c>
    </row>
    <row r="1174" spans="1:7" hidden="1" x14ac:dyDescent="0.25">
      <c r="A1174" t="s">
        <v>1987</v>
      </c>
      <c r="B1174" t="s">
        <v>1267</v>
      </c>
      <c r="F1174" t="s">
        <v>3695</v>
      </c>
      <c r="G1174" t="s">
        <v>1072</v>
      </c>
    </row>
    <row r="1175" spans="1:7" hidden="1" x14ac:dyDescent="0.25">
      <c r="A1175" t="s">
        <v>1987</v>
      </c>
      <c r="B1175" t="s">
        <v>1267</v>
      </c>
      <c r="E1175" t="s">
        <v>2891</v>
      </c>
      <c r="F1175" t="s">
        <v>3698</v>
      </c>
      <c r="G1175" t="s">
        <v>1072</v>
      </c>
    </row>
    <row r="1176" spans="1:7" hidden="1" x14ac:dyDescent="0.25">
      <c r="A1176" t="s">
        <v>1987</v>
      </c>
      <c r="B1176" t="s">
        <v>1267</v>
      </c>
      <c r="E1176" t="s">
        <v>2891</v>
      </c>
      <c r="F1176" t="s">
        <v>3701</v>
      </c>
      <c r="G1176" t="s">
        <v>1072</v>
      </c>
    </row>
    <row r="1177" spans="1:7" hidden="1" x14ac:dyDescent="0.25">
      <c r="A1177" t="s">
        <v>1987</v>
      </c>
      <c r="B1177" t="s">
        <v>1267</v>
      </c>
      <c r="E1177" t="s">
        <v>2891</v>
      </c>
      <c r="F1177" t="s">
        <v>3704</v>
      </c>
      <c r="G1177" t="s">
        <v>1072</v>
      </c>
    </row>
    <row r="1178" spans="1:7" hidden="1" x14ac:dyDescent="0.25">
      <c r="A1178" t="s">
        <v>1987</v>
      </c>
      <c r="B1178" t="s">
        <v>1267</v>
      </c>
      <c r="E1178" t="s">
        <v>2891</v>
      </c>
      <c r="F1178" t="s">
        <v>3707</v>
      </c>
      <c r="G1178" t="s">
        <v>1072</v>
      </c>
    </row>
    <row r="1179" spans="1:7" hidden="1" x14ac:dyDescent="0.25">
      <c r="A1179" t="s">
        <v>4</v>
      </c>
      <c r="B1179" t="s">
        <v>9</v>
      </c>
      <c r="F1179" t="s">
        <v>3710</v>
      </c>
      <c r="G1179" t="s">
        <v>1072</v>
      </c>
    </row>
    <row r="1180" spans="1:7" hidden="1" x14ac:dyDescent="0.25">
      <c r="A1180" t="s">
        <v>1987</v>
      </c>
      <c r="B1180" t="s">
        <v>1267</v>
      </c>
      <c r="E1180" t="s">
        <v>2891</v>
      </c>
      <c r="F1180" t="s">
        <v>3713</v>
      </c>
      <c r="G1180" t="s">
        <v>1072</v>
      </c>
    </row>
    <row r="1181" spans="1:7" hidden="1" x14ac:dyDescent="0.25">
      <c r="A1181" t="s">
        <v>1987</v>
      </c>
      <c r="B1181" t="s">
        <v>1267</v>
      </c>
      <c r="E1181" t="s">
        <v>2891</v>
      </c>
      <c r="F1181" t="s">
        <v>3716</v>
      </c>
      <c r="G1181" t="s">
        <v>1072</v>
      </c>
    </row>
    <row r="1182" spans="1:7" hidden="1" x14ac:dyDescent="0.25">
      <c r="A1182" t="s">
        <v>1987</v>
      </c>
      <c r="B1182" t="s">
        <v>1267</v>
      </c>
      <c r="E1182" t="s">
        <v>2891</v>
      </c>
      <c r="F1182" t="s">
        <v>3719</v>
      </c>
      <c r="G1182" t="s">
        <v>1072</v>
      </c>
    </row>
    <row r="1183" spans="1:7" hidden="1" x14ac:dyDescent="0.25">
      <c r="A1183" t="s">
        <v>1987</v>
      </c>
      <c r="B1183" t="s">
        <v>1267</v>
      </c>
      <c r="E1183" t="s">
        <v>2891</v>
      </c>
      <c r="F1183" t="s">
        <v>3722</v>
      </c>
      <c r="G1183" t="s">
        <v>1072</v>
      </c>
    </row>
    <row r="1184" spans="1:7" hidden="1" x14ac:dyDescent="0.25">
      <c r="A1184" t="s">
        <v>1987</v>
      </c>
      <c r="B1184" t="s">
        <v>1267</v>
      </c>
      <c r="E1184" t="s">
        <v>2891</v>
      </c>
      <c r="F1184" t="s">
        <v>3725</v>
      </c>
      <c r="G1184" t="s">
        <v>1072</v>
      </c>
    </row>
    <row r="1185" spans="1:7" hidden="1" x14ac:dyDescent="0.25">
      <c r="A1185" t="s">
        <v>1987</v>
      </c>
      <c r="B1185" t="s">
        <v>1267</v>
      </c>
      <c r="E1185" t="s">
        <v>2891</v>
      </c>
      <c r="F1185" t="s">
        <v>3728</v>
      </c>
      <c r="G1185" t="s">
        <v>1072</v>
      </c>
    </row>
    <row r="1186" spans="1:7" hidden="1" x14ac:dyDescent="0.25">
      <c r="A1186" t="s">
        <v>1987</v>
      </c>
      <c r="B1186" t="s">
        <v>1267</v>
      </c>
      <c r="E1186" t="s">
        <v>2891</v>
      </c>
      <c r="F1186" t="s">
        <v>3731</v>
      </c>
      <c r="G1186" t="s">
        <v>1072</v>
      </c>
    </row>
    <row r="1187" spans="1:7" hidden="1" x14ac:dyDescent="0.25">
      <c r="A1187" t="s">
        <v>1987</v>
      </c>
      <c r="B1187" t="s">
        <v>1267</v>
      </c>
      <c r="E1187" t="s">
        <v>2891</v>
      </c>
      <c r="F1187" t="s">
        <v>3734</v>
      </c>
      <c r="G1187" t="s">
        <v>1072</v>
      </c>
    </row>
    <row r="1188" spans="1:7" hidden="1" x14ac:dyDescent="0.25">
      <c r="A1188" t="s">
        <v>1987</v>
      </c>
      <c r="B1188" t="s">
        <v>1267</v>
      </c>
      <c r="E1188" t="s">
        <v>2891</v>
      </c>
      <c r="F1188" t="s">
        <v>3737</v>
      </c>
      <c r="G1188" t="s">
        <v>1072</v>
      </c>
    </row>
    <row r="1189" spans="1:7" hidden="1" x14ac:dyDescent="0.25">
      <c r="A1189" t="s">
        <v>4</v>
      </c>
      <c r="B1189" t="s">
        <v>9</v>
      </c>
      <c r="F1189" t="s">
        <v>3740</v>
      </c>
      <c r="G1189" t="s">
        <v>1072</v>
      </c>
    </row>
    <row r="1190" spans="1:7" hidden="1" x14ac:dyDescent="0.25">
      <c r="A1190" t="s">
        <v>4</v>
      </c>
      <c r="B1190" t="s">
        <v>9</v>
      </c>
      <c r="E1190" t="s">
        <v>2891</v>
      </c>
      <c r="F1190" t="s">
        <v>3743</v>
      </c>
      <c r="G1190" t="s">
        <v>1072</v>
      </c>
    </row>
    <row r="1191" spans="1:7" hidden="1" x14ac:dyDescent="0.25">
      <c r="A1191" t="s">
        <v>4</v>
      </c>
      <c r="B1191" t="s">
        <v>9</v>
      </c>
      <c r="E1191" t="s">
        <v>2891</v>
      </c>
      <c r="F1191" t="s">
        <v>3746</v>
      </c>
      <c r="G1191" t="s">
        <v>1072</v>
      </c>
    </row>
    <row r="1192" spans="1:7" hidden="1" x14ac:dyDescent="0.25">
      <c r="A1192" t="s">
        <v>4</v>
      </c>
      <c r="B1192" t="s">
        <v>9</v>
      </c>
      <c r="E1192" t="s">
        <v>2891</v>
      </c>
      <c r="F1192" t="s">
        <v>3749</v>
      </c>
      <c r="G1192" t="s">
        <v>1072</v>
      </c>
    </row>
    <row r="1193" spans="1:7" hidden="1" x14ac:dyDescent="0.25">
      <c r="A1193" t="s">
        <v>4</v>
      </c>
      <c r="B1193" t="s">
        <v>9</v>
      </c>
      <c r="E1193" t="s">
        <v>2891</v>
      </c>
      <c r="F1193" t="s">
        <v>3752</v>
      </c>
      <c r="G1193" t="s">
        <v>1072</v>
      </c>
    </row>
    <row r="1194" spans="1:7" hidden="1" x14ac:dyDescent="0.25">
      <c r="A1194" t="s">
        <v>4</v>
      </c>
      <c r="B1194" t="s">
        <v>9</v>
      </c>
      <c r="E1194" t="s">
        <v>2891</v>
      </c>
      <c r="F1194" t="s">
        <v>3755</v>
      </c>
      <c r="G1194" t="s">
        <v>1072</v>
      </c>
    </row>
    <row r="1195" spans="1:7" hidden="1" x14ac:dyDescent="0.25">
      <c r="A1195" t="s">
        <v>4</v>
      </c>
      <c r="B1195" t="s">
        <v>9</v>
      </c>
      <c r="E1195" t="s">
        <v>2891</v>
      </c>
      <c r="F1195" t="s">
        <v>3758</v>
      </c>
      <c r="G1195" t="s">
        <v>1072</v>
      </c>
    </row>
    <row r="1196" spans="1:7" hidden="1" x14ac:dyDescent="0.25">
      <c r="A1196" t="s">
        <v>4</v>
      </c>
      <c r="B1196" t="s">
        <v>9</v>
      </c>
      <c r="E1196" t="s">
        <v>2891</v>
      </c>
      <c r="F1196" t="s">
        <v>3761</v>
      </c>
      <c r="G1196" t="s">
        <v>1072</v>
      </c>
    </row>
    <row r="1197" spans="1:7" hidden="1" x14ac:dyDescent="0.25">
      <c r="A1197" t="s">
        <v>4</v>
      </c>
      <c r="B1197" t="s">
        <v>9</v>
      </c>
      <c r="E1197" t="s">
        <v>2891</v>
      </c>
      <c r="F1197" t="s">
        <v>3764</v>
      </c>
      <c r="G1197" t="s">
        <v>1072</v>
      </c>
    </row>
    <row r="1198" spans="1:7" hidden="1" x14ac:dyDescent="0.25">
      <c r="A1198" t="s">
        <v>4</v>
      </c>
      <c r="B1198" t="s">
        <v>9</v>
      </c>
      <c r="E1198" t="s">
        <v>2891</v>
      </c>
      <c r="F1198" t="s">
        <v>3767</v>
      </c>
      <c r="G1198" t="s">
        <v>1072</v>
      </c>
    </row>
    <row r="1199" spans="1:7" hidden="1" x14ac:dyDescent="0.25">
      <c r="A1199" t="s">
        <v>4</v>
      </c>
      <c r="B1199" t="s">
        <v>9</v>
      </c>
      <c r="E1199" t="s">
        <v>2891</v>
      </c>
      <c r="F1199" t="s">
        <v>3770</v>
      </c>
      <c r="G1199" t="s">
        <v>1072</v>
      </c>
    </row>
    <row r="1200" spans="1:7" hidden="1" x14ac:dyDescent="0.25">
      <c r="A1200" t="s">
        <v>4</v>
      </c>
      <c r="B1200" t="s">
        <v>9</v>
      </c>
      <c r="E1200" t="s">
        <v>2891</v>
      </c>
      <c r="F1200" t="s">
        <v>3773</v>
      </c>
      <c r="G1200" t="s">
        <v>1072</v>
      </c>
    </row>
    <row r="1201" spans="1:7" hidden="1" x14ac:dyDescent="0.25">
      <c r="A1201" t="s">
        <v>4</v>
      </c>
      <c r="B1201" t="s">
        <v>9</v>
      </c>
      <c r="E1201" t="s">
        <v>2891</v>
      </c>
      <c r="F1201" t="s">
        <v>3776</v>
      </c>
      <c r="G1201" t="s">
        <v>1072</v>
      </c>
    </row>
    <row r="1202" spans="1:7" hidden="1" x14ac:dyDescent="0.25">
      <c r="A1202" t="s">
        <v>4</v>
      </c>
      <c r="B1202" t="s">
        <v>9</v>
      </c>
      <c r="E1202" t="s">
        <v>2891</v>
      </c>
      <c r="F1202" t="s">
        <v>3779</v>
      </c>
      <c r="G1202" t="s">
        <v>1072</v>
      </c>
    </row>
    <row r="1203" spans="1:7" hidden="1" x14ac:dyDescent="0.25">
      <c r="A1203" t="s">
        <v>4</v>
      </c>
      <c r="B1203" t="s">
        <v>9</v>
      </c>
      <c r="E1203" t="s">
        <v>2891</v>
      </c>
      <c r="F1203" t="s">
        <v>3782</v>
      </c>
      <c r="G1203" t="s">
        <v>1072</v>
      </c>
    </row>
    <row r="1204" spans="1:7" hidden="1" x14ac:dyDescent="0.25">
      <c r="A1204" t="s">
        <v>4</v>
      </c>
      <c r="B1204" t="s">
        <v>9</v>
      </c>
      <c r="E1204" t="s">
        <v>2891</v>
      </c>
      <c r="F1204" t="s">
        <v>3785</v>
      </c>
      <c r="G1204" t="s">
        <v>1072</v>
      </c>
    </row>
    <row r="1205" spans="1:7" hidden="1" x14ac:dyDescent="0.25">
      <c r="A1205" t="s">
        <v>4</v>
      </c>
      <c r="B1205" t="s">
        <v>9</v>
      </c>
      <c r="E1205" t="s">
        <v>2891</v>
      </c>
      <c r="F1205" t="s">
        <v>3788</v>
      </c>
      <c r="G1205" t="s">
        <v>1072</v>
      </c>
    </row>
    <row r="1206" spans="1:7" hidden="1" x14ac:dyDescent="0.25">
      <c r="A1206" t="s">
        <v>4</v>
      </c>
      <c r="B1206" t="s">
        <v>9</v>
      </c>
      <c r="E1206" t="s">
        <v>2891</v>
      </c>
      <c r="F1206" t="s">
        <v>3791</v>
      </c>
      <c r="G1206" t="s">
        <v>1072</v>
      </c>
    </row>
    <row r="1207" spans="1:7" hidden="1" x14ac:dyDescent="0.25">
      <c r="A1207" t="s">
        <v>4</v>
      </c>
      <c r="B1207" t="s">
        <v>9</v>
      </c>
      <c r="E1207" t="s">
        <v>2891</v>
      </c>
      <c r="F1207" t="s">
        <v>3794</v>
      </c>
      <c r="G1207" t="s">
        <v>1072</v>
      </c>
    </row>
    <row r="1208" spans="1:7" hidden="1" x14ac:dyDescent="0.25">
      <c r="A1208" t="s">
        <v>4</v>
      </c>
      <c r="B1208" t="s">
        <v>9</v>
      </c>
      <c r="E1208" t="s">
        <v>2891</v>
      </c>
      <c r="F1208" t="s">
        <v>3797</v>
      </c>
      <c r="G1208" t="s">
        <v>1072</v>
      </c>
    </row>
    <row r="1209" spans="1:7" hidden="1" x14ac:dyDescent="0.25">
      <c r="A1209" t="s">
        <v>4162</v>
      </c>
      <c r="B1209" t="s">
        <v>86</v>
      </c>
      <c r="C1209" t="s">
        <v>58</v>
      </c>
      <c r="F1209" t="s">
        <v>3800</v>
      </c>
      <c r="G1209" t="s">
        <v>1072</v>
      </c>
    </row>
    <row r="1210" spans="1:7" hidden="1" x14ac:dyDescent="0.25">
      <c r="A1210" t="s">
        <v>4</v>
      </c>
      <c r="B1210" t="s">
        <v>9</v>
      </c>
      <c r="F1210" t="s">
        <v>3803</v>
      </c>
      <c r="G1210" t="s">
        <v>1072</v>
      </c>
    </row>
    <row r="1211" spans="1:7" hidden="1" x14ac:dyDescent="0.25">
      <c r="A1211" t="s">
        <v>4</v>
      </c>
      <c r="B1211" t="s">
        <v>4163</v>
      </c>
      <c r="C1211" t="s">
        <v>1071</v>
      </c>
      <c r="F1211" t="s">
        <v>3806</v>
      </c>
      <c r="G1211" t="s">
        <v>1072</v>
      </c>
    </row>
    <row r="1212" spans="1:7" hidden="1" x14ac:dyDescent="0.25">
      <c r="A1212" t="s">
        <v>4164</v>
      </c>
      <c r="B1212" t="s">
        <v>86</v>
      </c>
      <c r="C1212" t="s">
        <v>200</v>
      </c>
      <c r="E1212" t="s">
        <v>4165</v>
      </c>
      <c r="F1212" t="s">
        <v>3809</v>
      </c>
      <c r="G1212" s="1" t="s">
        <v>1566</v>
      </c>
    </row>
    <row r="1213" spans="1:7" hidden="1" x14ac:dyDescent="0.25">
      <c r="A1213" t="s">
        <v>4166</v>
      </c>
      <c r="B1213" t="s">
        <v>86</v>
      </c>
      <c r="F1213" t="s">
        <v>3812</v>
      </c>
      <c r="G1213" s="1" t="s">
        <v>1566</v>
      </c>
    </row>
    <row r="1214" spans="1:7" hidden="1" x14ac:dyDescent="0.25">
      <c r="A1214" t="s">
        <v>4164</v>
      </c>
      <c r="B1214" t="s">
        <v>86</v>
      </c>
      <c r="C1214" t="s">
        <v>200</v>
      </c>
      <c r="E1214" t="s">
        <v>1568</v>
      </c>
      <c r="F1214" t="s">
        <v>3815</v>
      </c>
      <c r="G1214" s="1" t="s">
        <v>1566</v>
      </c>
    </row>
    <row r="1215" spans="1:7" hidden="1" x14ac:dyDescent="0.25">
      <c r="A1215" t="s">
        <v>1569</v>
      </c>
      <c r="B1215" t="s">
        <v>70</v>
      </c>
      <c r="C1215" t="s">
        <v>1572</v>
      </c>
      <c r="F1215" t="s">
        <v>3818</v>
      </c>
      <c r="G1215" s="1" t="s">
        <v>1566</v>
      </c>
    </row>
    <row r="1216" spans="1:7" hidden="1" x14ac:dyDescent="0.25">
      <c r="A1216" t="s">
        <v>4167</v>
      </c>
      <c r="B1216" t="s">
        <v>70</v>
      </c>
      <c r="C1216" t="s">
        <v>58</v>
      </c>
      <c r="F1216" t="s">
        <v>3821</v>
      </c>
      <c r="G1216" s="1" t="s">
        <v>1566</v>
      </c>
    </row>
    <row r="1217" spans="1:7" hidden="1" x14ac:dyDescent="0.25">
      <c r="A1217" t="s">
        <v>622</v>
      </c>
      <c r="B1217" t="s">
        <v>70</v>
      </c>
      <c r="F1217" t="s">
        <v>3824</v>
      </c>
      <c r="G1217" s="1" t="s">
        <v>1566</v>
      </c>
    </row>
    <row r="1218" spans="1:7" hidden="1" x14ac:dyDescent="0.25">
      <c r="A1218" t="s">
        <v>4</v>
      </c>
      <c r="B1218" t="s">
        <v>8</v>
      </c>
      <c r="F1218" t="s">
        <v>3827</v>
      </c>
      <c r="G1218" s="1" t="s">
        <v>1566</v>
      </c>
    </row>
    <row r="1219" spans="1:7" hidden="1" x14ac:dyDescent="0.25">
      <c r="A1219" t="s">
        <v>4168</v>
      </c>
      <c r="B1219" t="s">
        <v>4169</v>
      </c>
      <c r="C1219" t="s">
        <v>58</v>
      </c>
      <c r="E1219" t="s">
        <v>4170</v>
      </c>
      <c r="F1219" t="s">
        <v>3830</v>
      </c>
      <c r="G1219" s="1" t="s">
        <v>1566</v>
      </c>
    </row>
    <row r="1220" spans="1:7" hidden="1" x14ac:dyDescent="0.25">
      <c r="A1220" t="s">
        <v>4</v>
      </c>
      <c r="B1220" t="s">
        <v>8</v>
      </c>
      <c r="F1220" t="s">
        <v>3833</v>
      </c>
      <c r="G1220" s="1" t="s">
        <v>1566</v>
      </c>
    </row>
    <row r="1221" spans="1:7" hidden="1" x14ac:dyDescent="0.25">
      <c r="A1221" t="s">
        <v>4</v>
      </c>
      <c r="B1221" t="s">
        <v>8</v>
      </c>
      <c r="E1221" t="s">
        <v>2891</v>
      </c>
      <c r="F1221" t="s">
        <v>3836</v>
      </c>
      <c r="G1221" s="1" t="s">
        <v>1566</v>
      </c>
    </row>
    <row r="1222" spans="1:7" hidden="1" x14ac:dyDescent="0.25">
      <c r="A1222" t="s">
        <v>4</v>
      </c>
      <c r="B1222" t="s">
        <v>8</v>
      </c>
      <c r="E1222" t="s">
        <v>2891</v>
      </c>
      <c r="F1222" t="s">
        <v>3839</v>
      </c>
      <c r="G1222" s="1" t="s">
        <v>1566</v>
      </c>
    </row>
    <row r="1223" spans="1:7" hidden="1" x14ac:dyDescent="0.25">
      <c r="A1223" t="s">
        <v>4164</v>
      </c>
      <c r="B1223" t="s">
        <v>86</v>
      </c>
      <c r="C1223" t="s">
        <v>500</v>
      </c>
      <c r="E1223" t="s">
        <v>1568</v>
      </c>
      <c r="F1223" t="s">
        <v>3842</v>
      </c>
      <c r="G1223" s="1" t="s">
        <v>1566</v>
      </c>
    </row>
    <row r="1224" spans="1:7" hidden="1" x14ac:dyDescent="0.25">
      <c r="A1224" t="s">
        <v>1569</v>
      </c>
      <c r="B1224" t="s">
        <v>70</v>
      </c>
      <c r="C1224" t="s">
        <v>1572</v>
      </c>
      <c r="F1224" t="s">
        <v>3845</v>
      </c>
      <c r="G1224" s="1" t="s">
        <v>1566</v>
      </c>
    </row>
    <row r="1225" spans="1:7" hidden="1" x14ac:dyDescent="0.25">
      <c r="A1225" t="s">
        <v>4</v>
      </c>
      <c r="B1225" t="s">
        <v>70</v>
      </c>
      <c r="E1225" t="s">
        <v>4171</v>
      </c>
      <c r="F1225" t="s">
        <v>3848</v>
      </c>
      <c r="G1225" s="1" t="s">
        <v>1566</v>
      </c>
    </row>
    <row r="1226" spans="1:7" hidden="1" x14ac:dyDescent="0.25">
      <c r="A1226" t="s">
        <v>505</v>
      </c>
      <c r="B1226" t="s">
        <v>1570</v>
      </c>
      <c r="C1226" t="s">
        <v>58</v>
      </c>
      <c r="E1226" t="s">
        <v>1568</v>
      </c>
      <c r="F1226" t="s">
        <v>3851</v>
      </c>
      <c r="G1226" s="1" t="s">
        <v>1566</v>
      </c>
    </row>
    <row r="1227" spans="1:7" hidden="1" x14ac:dyDescent="0.25">
      <c r="A1227" t="s">
        <v>505</v>
      </c>
      <c r="B1227" t="s">
        <v>1570</v>
      </c>
      <c r="C1227" t="s">
        <v>58</v>
      </c>
      <c r="E1227" t="s">
        <v>1568</v>
      </c>
      <c r="F1227" t="s">
        <v>3854</v>
      </c>
      <c r="G1227" s="1" t="s">
        <v>1566</v>
      </c>
    </row>
    <row r="1228" spans="1:7" hidden="1" x14ac:dyDescent="0.25">
      <c r="A1228" t="s">
        <v>262</v>
      </c>
      <c r="B1228" t="s">
        <v>70</v>
      </c>
      <c r="C1228" t="s">
        <v>4172</v>
      </c>
      <c r="E1228" t="s">
        <v>1574</v>
      </c>
      <c r="F1228" t="s">
        <v>3857</v>
      </c>
      <c r="G1228" s="1" t="s">
        <v>1566</v>
      </c>
    </row>
    <row r="1229" spans="1:7" hidden="1" x14ac:dyDescent="0.25">
      <c r="A1229" t="s">
        <v>262</v>
      </c>
      <c r="B1229" t="s">
        <v>70</v>
      </c>
      <c r="C1229" t="s">
        <v>4172</v>
      </c>
      <c r="E1229" t="s">
        <v>2891</v>
      </c>
      <c r="F1229" t="s">
        <v>3860</v>
      </c>
      <c r="G1229" s="1" t="s">
        <v>1566</v>
      </c>
    </row>
    <row r="1230" spans="1:7" hidden="1" x14ac:dyDescent="0.25">
      <c r="A1230" t="s">
        <v>262</v>
      </c>
      <c r="B1230" t="s">
        <v>70</v>
      </c>
      <c r="C1230" t="s">
        <v>4172</v>
      </c>
      <c r="E1230" t="s">
        <v>1574</v>
      </c>
      <c r="F1230" t="s">
        <v>3863</v>
      </c>
      <c r="G1230" s="1" t="s">
        <v>1566</v>
      </c>
    </row>
    <row r="1231" spans="1:7" hidden="1" x14ac:dyDescent="0.25">
      <c r="A1231" t="s">
        <v>262</v>
      </c>
      <c r="B1231" t="s">
        <v>70</v>
      </c>
      <c r="C1231" t="s">
        <v>4172</v>
      </c>
      <c r="E1231" t="s">
        <v>2909</v>
      </c>
      <c r="F1231" t="s">
        <v>3866</v>
      </c>
      <c r="G1231" s="1" t="s">
        <v>1566</v>
      </c>
    </row>
    <row r="1232" spans="1:7" hidden="1" x14ac:dyDescent="0.25">
      <c r="A1232" t="s">
        <v>261</v>
      </c>
      <c r="B1232" t="s">
        <v>70</v>
      </c>
      <c r="C1232" t="s">
        <v>58</v>
      </c>
      <c r="E1232" t="s">
        <v>1583</v>
      </c>
      <c r="F1232" t="s">
        <v>3869</v>
      </c>
      <c r="G1232" s="1" t="s">
        <v>1566</v>
      </c>
    </row>
    <row r="1233" spans="1:7" hidden="1" x14ac:dyDescent="0.25">
      <c r="A1233" t="s">
        <v>261</v>
      </c>
      <c r="B1233" t="s">
        <v>70</v>
      </c>
      <c r="C1233" t="s">
        <v>58</v>
      </c>
      <c r="E1233" t="s">
        <v>2891</v>
      </c>
      <c r="F1233" t="s">
        <v>3872</v>
      </c>
      <c r="G1233" s="1" t="s">
        <v>1566</v>
      </c>
    </row>
    <row r="1234" spans="1:7" hidden="1" x14ac:dyDescent="0.25">
      <c r="A1234" t="s">
        <v>261</v>
      </c>
      <c r="B1234" t="s">
        <v>70</v>
      </c>
      <c r="C1234" t="s">
        <v>58</v>
      </c>
      <c r="E1234" t="s">
        <v>2891</v>
      </c>
      <c r="F1234" t="s">
        <v>3875</v>
      </c>
      <c r="G1234" s="1" t="s">
        <v>1566</v>
      </c>
    </row>
    <row r="1235" spans="1:7" hidden="1" x14ac:dyDescent="0.25">
      <c r="A1235" t="s">
        <v>261</v>
      </c>
      <c r="B1235" t="s">
        <v>70</v>
      </c>
      <c r="C1235" t="s">
        <v>58</v>
      </c>
      <c r="E1235" t="s">
        <v>2891</v>
      </c>
      <c r="F1235" t="s">
        <v>3878</v>
      </c>
      <c r="G1235" s="1" t="s">
        <v>1566</v>
      </c>
    </row>
    <row r="1236" spans="1:7" hidden="1" x14ac:dyDescent="0.25">
      <c r="A1236" t="s">
        <v>261</v>
      </c>
      <c r="B1236" t="s">
        <v>70</v>
      </c>
      <c r="C1236" t="s">
        <v>58</v>
      </c>
      <c r="E1236" t="s">
        <v>2891</v>
      </c>
      <c r="F1236" t="s">
        <v>3881</v>
      </c>
      <c r="G1236" s="1" t="s">
        <v>1566</v>
      </c>
    </row>
    <row r="1237" spans="1:7" hidden="1" x14ac:dyDescent="0.25">
      <c r="A1237" t="s">
        <v>261</v>
      </c>
      <c r="B1237" t="s">
        <v>70</v>
      </c>
      <c r="C1237" t="s">
        <v>58</v>
      </c>
      <c r="E1237" t="s">
        <v>2891</v>
      </c>
      <c r="F1237" t="s">
        <v>3884</v>
      </c>
      <c r="G1237" s="1" t="s">
        <v>1566</v>
      </c>
    </row>
    <row r="1238" spans="1:7" hidden="1" x14ac:dyDescent="0.25">
      <c r="A1238" t="s">
        <v>261</v>
      </c>
      <c r="B1238" t="s">
        <v>70</v>
      </c>
      <c r="C1238" t="s">
        <v>58</v>
      </c>
      <c r="E1238" t="s">
        <v>2891</v>
      </c>
      <c r="F1238" t="s">
        <v>3887</v>
      </c>
      <c r="G1238" s="1" t="s">
        <v>1566</v>
      </c>
    </row>
    <row r="1239" spans="1:7" hidden="1" x14ac:dyDescent="0.25">
      <c r="A1239" t="s">
        <v>261</v>
      </c>
      <c r="B1239" t="s">
        <v>70</v>
      </c>
      <c r="C1239" t="s">
        <v>58</v>
      </c>
      <c r="E1239" t="s">
        <v>2891</v>
      </c>
      <c r="F1239" t="s">
        <v>3890</v>
      </c>
      <c r="G1239" s="1" t="s">
        <v>1566</v>
      </c>
    </row>
    <row r="1240" spans="1:7" hidden="1" x14ac:dyDescent="0.25">
      <c r="A1240" t="s">
        <v>4173</v>
      </c>
      <c r="B1240" t="s">
        <v>70</v>
      </c>
      <c r="C1240" t="s">
        <v>58</v>
      </c>
      <c r="F1240" t="s">
        <v>3893</v>
      </c>
      <c r="G1240" s="1" t="s">
        <v>1566</v>
      </c>
    </row>
    <row r="1241" spans="1:7" hidden="1" x14ac:dyDescent="0.25">
      <c r="A1241" t="s">
        <v>261</v>
      </c>
      <c r="B1241" t="s">
        <v>70</v>
      </c>
      <c r="C1241" t="s">
        <v>4174</v>
      </c>
      <c r="E1241" t="s">
        <v>1581</v>
      </c>
      <c r="F1241" t="s">
        <v>3896</v>
      </c>
      <c r="G1241" s="1" t="s">
        <v>1566</v>
      </c>
    </row>
    <row r="1242" spans="1:7" hidden="1" x14ac:dyDescent="0.25">
      <c r="A1242" t="s">
        <v>4176</v>
      </c>
      <c r="B1242" t="s">
        <v>70</v>
      </c>
      <c r="C1242" t="s">
        <v>4174</v>
      </c>
      <c r="F1242" t="s">
        <v>3899</v>
      </c>
      <c r="G1242" s="1" t="s">
        <v>1566</v>
      </c>
    </row>
    <row r="1243" spans="1:7" hidden="1" x14ac:dyDescent="0.25">
      <c r="A1243" t="s">
        <v>622</v>
      </c>
      <c r="B1243" t="s">
        <v>70</v>
      </c>
      <c r="C1243" t="s">
        <v>4174</v>
      </c>
      <c r="E1243" t="s">
        <v>4175</v>
      </c>
      <c r="F1243" t="s">
        <v>3902</v>
      </c>
      <c r="G1243" s="1" t="s">
        <v>1566</v>
      </c>
    </row>
    <row r="1244" spans="1:7" hidden="1" x14ac:dyDescent="0.25">
      <c r="A1244" t="s">
        <v>1569</v>
      </c>
      <c r="B1244" t="s">
        <v>4133</v>
      </c>
      <c r="F1244" t="s">
        <v>3903</v>
      </c>
      <c r="G1244" s="1" t="s">
        <v>1566</v>
      </c>
    </row>
    <row r="1245" spans="1:7" hidden="1" x14ac:dyDescent="0.25">
      <c r="A1245" t="s">
        <v>261</v>
      </c>
      <c r="B1245" t="s">
        <v>4133</v>
      </c>
      <c r="C1245" t="s">
        <v>58</v>
      </c>
      <c r="E1245" t="s">
        <v>1583</v>
      </c>
      <c r="F1245" t="s">
        <v>3906</v>
      </c>
      <c r="G1245" s="1" t="s">
        <v>1566</v>
      </c>
    </row>
    <row r="1246" spans="1:7" hidden="1" x14ac:dyDescent="0.25">
      <c r="A1246" t="s">
        <v>261</v>
      </c>
      <c r="B1246" t="s">
        <v>4133</v>
      </c>
      <c r="C1246" t="s">
        <v>58</v>
      </c>
      <c r="E1246" t="s">
        <v>2891</v>
      </c>
      <c r="F1246" t="s">
        <v>3909</v>
      </c>
      <c r="G1246" s="1" t="s">
        <v>1566</v>
      </c>
    </row>
    <row r="1247" spans="1:7" hidden="1" x14ac:dyDescent="0.25">
      <c r="A1247" t="s">
        <v>261</v>
      </c>
      <c r="B1247" t="s">
        <v>4133</v>
      </c>
      <c r="C1247" t="s">
        <v>58</v>
      </c>
      <c r="E1247" t="s">
        <v>2891</v>
      </c>
      <c r="F1247" t="s">
        <v>3912</v>
      </c>
      <c r="G1247" s="1" t="s">
        <v>1566</v>
      </c>
    </row>
    <row r="1248" spans="1:7" hidden="1" x14ac:dyDescent="0.25">
      <c r="A1248" t="s">
        <v>261</v>
      </c>
      <c r="B1248" t="s">
        <v>4133</v>
      </c>
      <c r="C1248" t="s">
        <v>58</v>
      </c>
      <c r="E1248" t="s">
        <v>2891</v>
      </c>
      <c r="F1248" t="s">
        <v>3915</v>
      </c>
      <c r="G1248" s="1" t="s">
        <v>1566</v>
      </c>
    </row>
    <row r="1249" spans="1:7" hidden="1" x14ac:dyDescent="0.25">
      <c r="A1249" t="s">
        <v>261</v>
      </c>
      <c r="B1249" t="s">
        <v>4133</v>
      </c>
      <c r="C1249" t="s">
        <v>58</v>
      </c>
      <c r="E1249" t="s">
        <v>2891</v>
      </c>
      <c r="F1249" t="s">
        <v>3918</v>
      </c>
      <c r="G1249" s="1" t="s">
        <v>1566</v>
      </c>
    </row>
    <row r="1250" spans="1:7" hidden="1" x14ac:dyDescent="0.25">
      <c r="A1250" t="s">
        <v>261</v>
      </c>
      <c r="B1250" t="s">
        <v>4133</v>
      </c>
      <c r="C1250" t="s">
        <v>58</v>
      </c>
      <c r="E1250" t="s">
        <v>2891</v>
      </c>
      <c r="F1250" t="s">
        <v>3921</v>
      </c>
      <c r="G1250" s="1" t="s">
        <v>1566</v>
      </c>
    </row>
    <row r="1251" spans="1:7" hidden="1" x14ac:dyDescent="0.25">
      <c r="A1251" t="s">
        <v>261</v>
      </c>
      <c r="B1251" t="s">
        <v>4133</v>
      </c>
      <c r="C1251" t="s">
        <v>58</v>
      </c>
      <c r="E1251" t="s">
        <v>2891</v>
      </c>
      <c r="F1251" t="s">
        <v>3924</v>
      </c>
      <c r="G1251" s="1" t="s">
        <v>1566</v>
      </c>
    </row>
    <row r="1252" spans="1:7" hidden="1" x14ac:dyDescent="0.25">
      <c r="A1252" t="s">
        <v>1976</v>
      </c>
      <c r="B1252" t="s">
        <v>4133</v>
      </c>
      <c r="E1252" t="s">
        <v>4177</v>
      </c>
      <c r="F1252" t="s">
        <v>3927</v>
      </c>
      <c r="G1252" s="1" t="s">
        <v>1566</v>
      </c>
    </row>
    <row r="1253" spans="1:7" hidden="1" x14ac:dyDescent="0.25">
      <c r="A1253" t="s">
        <v>261</v>
      </c>
      <c r="B1253" t="s">
        <v>4133</v>
      </c>
      <c r="C1253" t="s">
        <v>58</v>
      </c>
      <c r="F1253" t="s">
        <v>3930</v>
      </c>
      <c r="G1253" s="1" t="s">
        <v>1566</v>
      </c>
    </row>
    <row r="1254" spans="1:7" hidden="1" x14ac:dyDescent="0.25">
      <c r="A1254" t="s">
        <v>261</v>
      </c>
      <c r="B1254" t="s">
        <v>4133</v>
      </c>
      <c r="C1254" t="s">
        <v>58</v>
      </c>
      <c r="E1254" t="s">
        <v>2891</v>
      </c>
      <c r="F1254" t="s">
        <v>3933</v>
      </c>
      <c r="G1254" s="1" t="s">
        <v>1566</v>
      </c>
    </row>
    <row r="1255" spans="1:7" hidden="1" x14ac:dyDescent="0.25">
      <c r="A1255" t="s">
        <v>261</v>
      </c>
      <c r="B1255" t="s">
        <v>4133</v>
      </c>
      <c r="C1255" t="s">
        <v>58</v>
      </c>
      <c r="E1255" t="s">
        <v>2891</v>
      </c>
      <c r="F1255" t="s">
        <v>3936</v>
      </c>
      <c r="G1255" s="1" t="s">
        <v>1566</v>
      </c>
    </row>
    <row r="1256" spans="1:7" hidden="1" x14ac:dyDescent="0.25">
      <c r="A1256" t="s">
        <v>4173</v>
      </c>
      <c r="B1256" t="s">
        <v>4133</v>
      </c>
      <c r="C1256" t="s">
        <v>58</v>
      </c>
      <c r="F1256" t="s">
        <v>3939</v>
      </c>
      <c r="G1256" s="1" t="s">
        <v>1566</v>
      </c>
    </row>
    <row r="1257" spans="1:7" hidden="1" x14ac:dyDescent="0.25">
      <c r="A1257" t="s">
        <v>1976</v>
      </c>
      <c r="B1257" t="s">
        <v>4133</v>
      </c>
      <c r="E1257" t="s">
        <v>4178</v>
      </c>
      <c r="F1257" t="s">
        <v>3942</v>
      </c>
      <c r="G1257" s="1" t="s">
        <v>1566</v>
      </c>
    </row>
    <row r="1258" spans="1:7" hidden="1" x14ac:dyDescent="0.25">
      <c r="A1258" t="s">
        <v>261</v>
      </c>
      <c r="B1258" t="s">
        <v>4133</v>
      </c>
      <c r="C1258" t="s">
        <v>58</v>
      </c>
      <c r="F1258" t="s">
        <v>3945</v>
      </c>
      <c r="G1258" s="1" t="s">
        <v>1566</v>
      </c>
    </row>
    <row r="1259" spans="1:7" hidden="1" x14ac:dyDescent="0.25">
      <c r="A1259" t="s">
        <v>261</v>
      </c>
      <c r="B1259" t="s">
        <v>4133</v>
      </c>
      <c r="C1259" t="s">
        <v>58</v>
      </c>
      <c r="E1259" t="s">
        <v>2891</v>
      </c>
      <c r="F1259" t="s">
        <v>3948</v>
      </c>
      <c r="G1259" s="1" t="s">
        <v>1566</v>
      </c>
    </row>
    <row r="1260" spans="1:7" hidden="1" x14ac:dyDescent="0.25">
      <c r="A1260" t="s">
        <v>261</v>
      </c>
      <c r="B1260" t="s">
        <v>4133</v>
      </c>
      <c r="C1260" t="s">
        <v>58</v>
      </c>
      <c r="E1260" t="s">
        <v>2891</v>
      </c>
      <c r="F1260" t="s">
        <v>3951</v>
      </c>
      <c r="G1260" s="1" t="s">
        <v>1566</v>
      </c>
    </row>
    <row r="1261" spans="1:7" hidden="1" x14ac:dyDescent="0.25">
      <c r="A1261" t="s">
        <v>261</v>
      </c>
      <c r="B1261" t="s">
        <v>4133</v>
      </c>
      <c r="C1261" t="s">
        <v>58</v>
      </c>
      <c r="E1261" t="s">
        <v>2891</v>
      </c>
      <c r="F1261" t="s">
        <v>3954</v>
      </c>
      <c r="G1261" s="1" t="s">
        <v>1566</v>
      </c>
    </row>
    <row r="1262" spans="1:7" hidden="1" x14ac:dyDescent="0.25">
      <c r="A1262" t="s">
        <v>4176</v>
      </c>
      <c r="B1262" t="s">
        <v>4133</v>
      </c>
      <c r="C1262" t="s">
        <v>58</v>
      </c>
      <c r="F1262" t="s">
        <v>3957</v>
      </c>
      <c r="G1262" s="1" t="s">
        <v>1566</v>
      </c>
    </row>
    <row r="1263" spans="1:7" hidden="1" x14ac:dyDescent="0.25">
      <c r="A1263" t="s">
        <v>4</v>
      </c>
      <c r="B1263" t="s">
        <v>86</v>
      </c>
      <c r="C1263" t="s">
        <v>4179</v>
      </c>
      <c r="E1263" t="s">
        <v>4180</v>
      </c>
      <c r="F1263" t="s">
        <v>3960</v>
      </c>
      <c r="G1263" s="1" t="s">
        <v>1566</v>
      </c>
    </row>
    <row r="1264" spans="1:7" hidden="1" x14ac:dyDescent="0.25">
      <c r="A1264" t="s">
        <v>261</v>
      </c>
      <c r="B1264" t="s">
        <v>86</v>
      </c>
      <c r="C1264" t="s">
        <v>4181</v>
      </c>
      <c r="F1264" t="s">
        <v>3963</v>
      </c>
      <c r="G1264" s="1" t="s">
        <v>1566</v>
      </c>
    </row>
    <row r="1265" spans="1:7" hidden="1" x14ac:dyDescent="0.25">
      <c r="A1265" t="s">
        <v>4182</v>
      </c>
      <c r="B1265" t="s">
        <v>86</v>
      </c>
      <c r="C1265" t="s">
        <v>4181</v>
      </c>
      <c r="E1265" t="s">
        <v>4177</v>
      </c>
      <c r="F1265" t="s">
        <v>3966</v>
      </c>
      <c r="G1265" s="1" t="s">
        <v>1566</v>
      </c>
    </row>
    <row r="1266" spans="1:7" hidden="1" x14ac:dyDescent="0.25">
      <c r="A1266" t="s">
        <v>3028</v>
      </c>
      <c r="B1266" t="s">
        <v>86</v>
      </c>
      <c r="C1266" t="s">
        <v>58</v>
      </c>
      <c r="E1266" t="s">
        <v>1583</v>
      </c>
      <c r="F1266" t="s">
        <v>3969</v>
      </c>
      <c r="G1266" s="1" t="s">
        <v>1566</v>
      </c>
    </row>
    <row r="1267" spans="1:7" hidden="1" x14ac:dyDescent="0.25">
      <c r="A1267" t="s">
        <v>1066</v>
      </c>
      <c r="B1267" t="s">
        <v>86</v>
      </c>
      <c r="C1267" t="s">
        <v>58</v>
      </c>
      <c r="E1267" t="s">
        <v>2909</v>
      </c>
      <c r="F1267" t="s">
        <v>3972</v>
      </c>
      <c r="G1267" s="1" t="s">
        <v>1566</v>
      </c>
    </row>
    <row r="1268" spans="1:7" hidden="1" x14ac:dyDescent="0.25">
      <c r="A1268" t="s">
        <v>505</v>
      </c>
      <c r="B1268" t="s">
        <v>1570</v>
      </c>
      <c r="C1268" t="s">
        <v>58</v>
      </c>
      <c r="E1268" t="s">
        <v>2913</v>
      </c>
      <c r="F1268" t="s">
        <v>3975</v>
      </c>
      <c r="G1268" s="1" t="s">
        <v>1566</v>
      </c>
    </row>
    <row r="1269" spans="1:7" hidden="1" x14ac:dyDescent="0.25">
      <c r="A1269" t="s">
        <v>505</v>
      </c>
      <c r="B1269" t="s">
        <v>1570</v>
      </c>
      <c r="C1269" t="s">
        <v>58</v>
      </c>
      <c r="E1269" t="s">
        <v>2913</v>
      </c>
      <c r="F1269" t="s">
        <v>3978</v>
      </c>
      <c r="G1269" s="1" t="s">
        <v>1566</v>
      </c>
    </row>
    <row r="1270" spans="1:7" hidden="1" x14ac:dyDescent="0.25">
      <c r="A1270" t="s">
        <v>505</v>
      </c>
      <c r="B1270" t="s">
        <v>1570</v>
      </c>
      <c r="C1270" t="s">
        <v>58</v>
      </c>
      <c r="E1270" t="s">
        <v>2913</v>
      </c>
      <c r="F1270" t="s">
        <v>3981</v>
      </c>
      <c r="G1270" s="1" t="s">
        <v>1566</v>
      </c>
    </row>
    <row r="1271" spans="1:7" hidden="1" x14ac:dyDescent="0.25">
      <c r="A1271" t="s">
        <v>505</v>
      </c>
      <c r="B1271" t="s">
        <v>1570</v>
      </c>
      <c r="C1271" t="s">
        <v>58</v>
      </c>
      <c r="E1271" t="s">
        <v>2913</v>
      </c>
      <c r="F1271" t="s">
        <v>3984</v>
      </c>
      <c r="G1271" s="1" t="s">
        <v>1566</v>
      </c>
    </row>
    <row r="1272" spans="1:7" hidden="1" x14ac:dyDescent="0.25">
      <c r="A1272" t="s">
        <v>505</v>
      </c>
      <c r="B1272" t="s">
        <v>1570</v>
      </c>
      <c r="C1272" t="s">
        <v>58</v>
      </c>
      <c r="E1272" t="s">
        <v>2913</v>
      </c>
      <c r="F1272" t="s">
        <v>3987</v>
      </c>
      <c r="G1272" s="1" t="s">
        <v>1566</v>
      </c>
    </row>
    <row r="1273" spans="1:7" hidden="1" x14ac:dyDescent="0.25">
      <c r="A1273" t="s">
        <v>505</v>
      </c>
      <c r="B1273" t="s">
        <v>1570</v>
      </c>
      <c r="C1273" t="s">
        <v>58</v>
      </c>
      <c r="E1273" t="s">
        <v>2913</v>
      </c>
      <c r="F1273" t="s">
        <v>3990</v>
      </c>
      <c r="G1273" s="1" t="s">
        <v>1566</v>
      </c>
    </row>
    <row r="1274" spans="1:7" hidden="1" x14ac:dyDescent="0.25">
      <c r="A1274" t="s">
        <v>505</v>
      </c>
      <c r="B1274" t="s">
        <v>1570</v>
      </c>
      <c r="C1274" t="s">
        <v>58</v>
      </c>
      <c r="E1274" t="s">
        <v>2913</v>
      </c>
      <c r="F1274" t="s">
        <v>3993</v>
      </c>
      <c r="G1274" s="1" t="s">
        <v>1566</v>
      </c>
    </row>
    <row r="1275" spans="1:7" hidden="1" x14ac:dyDescent="0.25">
      <c r="A1275" t="s">
        <v>505</v>
      </c>
      <c r="B1275" t="s">
        <v>1570</v>
      </c>
      <c r="C1275" t="s">
        <v>58</v>
      </c>
      <c r="E1275" t="s">
        <v>2913</v>
      </c>
      <c r="F1275" t="s">
        <v>3996</v>
      </c>
      <c r="G1275" s="1" t="s">
        <v>1566</v>
      </c>
    </row>
    <row r="1276" spans="1:7" hidden="1" x14ac:dyDescent="0.25">
      <c r="A1276" t="s">
        <v>505</v>
      </c>
      <c r="B1276" t="s">
        <v>1570</v>
      </c>
      <c r="C1276" t="s">
        <v>58</v>
      </c>
      <c r="E1276" t="s">
        <v>2913</v>
      </c>
      <c r="F1276" t="s">
        <v>3999</v>
      </c>
      <c r="G1276" s="1" t="s">
        <v>1566</v>
      </c>
    </row>
    <row r="1277" spans="1:7" hidden="1" x14ac:dyDescent="0.25">
      <c r="A1277" t="s">
        <v>505</v>
      </c>
      <c r="B1277" t="s">
        <v>1570</v>
      </c>
      <c r="C1277" t="s">
        <v>58</v>
      </c>
      <c r="E1277" t="s">
        <v>2913</v>
      </c>
      <c r="F1277" t="s">
        <v>4002</v>
      </c>
      <c r="G1277" s="1" t="s">
        <v>1566</v>
      </c>
    </row>
    <row r="1278" spans="1:7" hidden="1" x14ac:dyDescent="0.25">
      <c r="A1278" t="s">
        <v>505</v>
      </c>
      <c r="B1278" t="s">
        <v>1570</v>
      </c>
      <c r="C1278" t="s">
        <v>58</v>
      </c>
      <c r="E1278" t="s">
        <v>2913</v>
      </c>
      <c r="F1278" t="s">
        <v>4005</v>
      </c>
      <c r="G1278" s="1" t="s">
        <v>1566</v>
      </c>
    </row>
    <row r="1279" spans="1:7" hidden="1" x14ac:dyDescent="0.25">
      <c r="A1279" t="s">
        <v>505</v>
      </c>
      <c r="B1279" t="s">
        <v>1570</v>
      </c>
      <c r="C1279" t="s">
        <v>1071</v>
      </c>
      <c r="E1279" t="s">
        <v>1583</v>
      </c>
      <c r="F1279" t="s">
        <v>4008</v>
      </c>
      <c r="G1279" s="1" t="s">
        <v>1566</v>
      </c>
    </row>
    <row r="1280" spans="1:7" hidden="1" x14ac:dyDescent="0.25">
      <c r="A1280" t="s">
        <v>4</v>
      </c>
      <c r="B1280" t="s">
        <v>8</v>
      </c>
      <c r="F1280" t="s">
        <v>4011</v>
      </c>
      <c r="G1280" t="s">
        <v>1780</v>
      </c>
    </row>
    <row r="1281" spans="1:7" hidden="1" x14ac:dyDescent="0.25">
      <c r="A1281" t="s">
        <v>505</v>
      </c>
      <c r="B1281" t="s">
        <v>503</v>
      </c>
      <c r="C1281" t="s">
        <v>4183</v>
      </c>
      <c r="D1281">
        <v>2</v>
      </c>
      <c r="E1281" t="s">
        <v>4184</v>
      </c>
      <c r="F1281" t="s">
        <v>4014</v>
      </c>
      <c r="G1281" t="s">
        <v>1780</v>
      </c>
    </row>
    <row r="1282" spans="1:7" hidden="1" x14ac:dyDescent="0.25">
      <c r="A1282" t="s">
        <v>505</v>
      </c>
      <c r="B1282" t="s">
        <v>503</v>
      </c>
      <c r="C1282" t="s">
        <v>4183</v>
      </c>
      <c r="D1282">
        <v>2</v>
      </c>
      <c r="E1282" t="s">
        <v>4184</v>
      </c>
      <c r="F1282" t="s">
        <v>4017</v>
      </c>
      <c r="G1282" t="s">
        <v>1780</v>
      </c>
    </row>
    <row r="1283" spans="1:7" hidden="1" x14ac:dyDescent="0.25">
      <c r="A1283" t="s">
        <v>4157</v>
      </c>
      <c r="B1283" t="s">
        <v>503</v>
      </c>
      <c r="C1283" t="s">
        <v>58</v>
      </c>
      <c r="E1283" t="s">
        <v>4185</v>
      </c>
      <c r="F1283" t="s">
        <v>4020</v>
      </c>
      <c r="G1283" t="s">
        <v>1780</v>
      </c>
    </row>
    <row r="1284" spans="1:7" hidden="1" x14ac:dyDescent="0.25">
      <c r="A1284" t="s">
        <v>4157</v>
      </c>
      <c r="B1284" t="s">
        <v>503</v>
      </c>
      <c r="C1284" t="s">
        <v>58</v>
      </c>
      <c r="E1284" t="s">
        <v>2891</v>
      </c>
      <c r="F1284" t="s">
        <v>4023</v>
      </c>
      <c r="G1284" t="s">
        <v>1780</v>
      </c>
    </row>
    <row r="1285" spans="1:7" hidden="1" x14ac:dyDescent="0.25">
      <c r="A1285" t="s">
        <v>4157</v>
      </c>
      <c r="B1285" t="s">
        <v>503</v>
      </c>
      <c r="C1285" t="s">
        <v>58</v>
      </c>
      <c r="E1285" t="s">
        <v>2891</v>
      </c>
      <c r="F1285" t="s">
        <v>4026</v>
      </c>
      <c r="G1285" t="s">
        <v>1780</v>
      </c>
    </row>
    <row r="1286" spans="1:7" hidden="1" x14ac:dyDescent="0.25">
      <c r="A1286" t="s">
        <v>4157</v>
      </c>
      <c r="B1286" t="s">
        <v>503</v>
      </c>
      <c r="C1286" t="s">
        <v>58</v>
      </c>
      <c r="E1286" t="s">
        <v>2891</v>
      </c>
      <c r="F1286" t="s">
        <v>4029</v>
      </c>
      <c r="G1286" t="s">
        <v>1780</v>
      </c>
    </row>
    <row r="1287" spans="1:7" hidden="1" x14ac:dyDescent="0.25">
      <c r="A1287" t="s">
        <v>4157</v>
      </c>
      <c r="B1287" t="s">
        <v>503</v>
      </c>
      <c r="C1287" t="s">
        <v>58</v>
      </c>
      <c r="E1287" t="s">
        <v>2891</v>
      </c>
      <c r="F1287" t="s">
        <v>4032</v>
      </c>
      <c r="G1287" t="s">
        <v>1780</v>
      </c>
    </row>
    <row r="1288" spans="1:7" hidden="1" x14ac:dyDescent="0.25">
      <c r="A1288" t="s">
        <v>261</v>
      </c>
      <c r="B1288" t="s">
        <v>4133</v>
      </c>
      <c r="C1288" t="s">
        <v>58</v>
      </c>
      <c r="F1288" t="s">
        <v>4035</v>
      </c>
      <c r="G1288" t="s">
        <v>1780</v>
      </c>
    </row>
    <row r="1289" spans="1:7" hidden="1" x14ac:dyDescent="0.25">
      <c r="A1289" t="s">
        <v>261</v>
      </c>
      <c r="B1289" t="s">
        <v>4133</v>
      </c>
      <c r="C1289" t="s">
        <v>58</v>
      </c>
      <c r="E1289" t="s">
        <v>2891</v>
      </c>
      <c r="F1289" t="s">
        <v>4038</v>
      </c>
      <c r="G1289" t="s">
        <v>1780</v>
      </c>
    </row>
    <row r="1290" spans="1:7" hidden="1" x14ac:dyDescent="0.25">
      <c r="A1290" t="s">
        <v>261</v>
      </c>
      <c r="B1290" t="s">
        <v>4133</v>
      </c>
      <c r="C1290" t="s">
        <v>58</v>
      </c>
      <c r="E1290" t="s">
        <v>2891</v>
      </c>
      <c r="F1290" t="s">
        <v>4041</v>
      </c>
      <c r="G1290" t="s">
        <v>1780</v>
      </c>
    </row>
    <row r="1291" spans="1:7" hidden="1" x14ac:dyDescent="0.25">
      <c r="A1291" t="s">
        <v>261</v>
      </c>
      <c r="B1291" t="s">
        <v>4133</v>
      </c>
      <c r="C1291" t="s">
        <v>58</v>
      </c>
      <c r="E1291" t="s">
        <v>2891</v>
      </c>
      <c r="F1291" t="s">
        <v>4044</v>
      </c>
      <c r="G1291" t="s">
        <v>1780</v>
      </c>
    </row>
    <row r="1292" spans="1:7" hidden="1" x14ac:dyDescent="0.25">
      <c r="A1292" t="s">
        <v>4</v>
      </c>
      <c r="B1292" t="s">
        <v>8</v>
      </c>
      <c r="F1292" t="s">
        <v>4047</v>
      </c>
      <c r="G1292" t="s">
        <v>1780</v>
      </c>
    </row>
    <row r="1293" spans="1:7" hidden="1" x14ac:dyDescent="0.25">
      <c r="A1293" t="s">
        <v>1066</v>
      </c>
      <c r="B1293" t="s">
        <v>86</v>
      </c>
      <c r="C1293" t="s">
        <v>58</v>
      </c>
      <c r="E1293" t="s">
        <v>1583</v>
      </c>
      <c r="F1293" t="s">
        <v>4050</v>
      </c>
      <c r="G1293" t="s">
        <v>1780</v>
      </c>
    </row>
    <row r="1294" spans="1:7" hidden="1" x14ac:dyDescent="0.25">
      <c r="A1294" t="s">
        <v>1066</v>
      </c>
      <c r="B1294" t="s">
        <v>86</v>
      </c>
      <c r="C1294" t="s">
        <v>58</v>
      </c>
      <c r="E1294" t="s">
        <v>4186</v>
      </c>
      <c r="F1294" t="s">
        <v>4053</v>
      </c>
      <c r="G1294" t="s">
        <v>1780</v>
      </c>
    </row>
    <row r="1295" spans="1:7" hidden="1" x14ac:dyDescent="0.25">
      <c r="A1295" t="s">
        <v>1066</v>
      </c>
      <c r="B1295" t="s">
        <v>86</v>
      </c>
      <c r="C1295" t="s">
        <v>58</v>
      </c>
      <c r="E1295" t="s">
        <v>4186</v>
      </c>
      <c r="F1295" t="s">
        <v>4056</v>
      </c>
      <c r="G1295" t="s">
        <v>1780</v>
      </c>
    </row>
    <row r="1296" spans="1:7" hidden="1" x14ac:dyDescent="0.25">
      <c r="A1296" t="s">
        <v>505</v>
      </c>
      <c r="B1296" t="s">
        <v>1570</v>
      </c>
      <c r="C1296" t="s">
        <v>58</v>
      </c>
      <c r="F1296" t="s">
        <v>4059</v>
      </c>
      <c r="G1296" t="s">
        <v>1780</v>
      </c>
    </row>
    <row r="1297" spans="1:7" hidden="1" x14ac:dyDescent="0.25">
      <c r="A1297" t="s">
        <v>4</v>
      </c>
      <c r="B1297" t="s">
        <v>8</v>
      </c>
      <c r="F1297" t="s">
        <v>4062</v>
      </c>
      <c r="G1297" t="s">
        <v>1780</v>
      </c>
    </row>
    <row r="1298" spans="1:7" hidden="1" x14ac:dyDescent="0.25">
      <c r="A1298" t="s">
        <v>4</v>
      </c>
      <c r="B1298" t="s">
        <v>8</v>
      </c>
      <c r="F1298" t="s">
        <v>4065</v>
      </c>
      <c r="G1298" t="s">
        <v>1780</v>
      </c>
    </row>
    <row r="1299" spans="1:7" hidden="1" x14ac:dyDescent="0.25">
      <c r="A1299" t="s">
        <v>7</v>
      </c>
      <c r="F1299" t="s">
        <v>4068</v>
      </c>
      <c r="G1299" t="s">
        <v>1897</v>
      </c>
    </row>
    <row r="1300" spans="1:7" hidden="1" x14ac:dyDescent="0.25">
      <c r="A1300" t="s">
        <v>4187</v>
      </c>
      <c r="B1300" t="s">
        <v>4188</v>
      </c>
      <c r="F1300" t="s">
        <v>4071</v>
      </c>
      <c r="G1300" t="s">
        <v>1897</v>
      </c>
    </row>
    <row r="1301" spans="1:7" hidden="1" x14ac:dyDescent="0.25">
      <c r="A1301" t="s">
        <v>4187</v>
      </c>
      <c r="B1301" t="s">
        <v>4188</v>
      </c>
      <c r="F1301" t="s">
        <v>4074</v>
      </c>
      <c r="G1301" t="s">
        <v>1897</v>
      </c>
    </row>
    <row r="1302" spans="1:7" hidden="1" x14ac:dyDescent="0.25">
      <c r="A1302" t="s">
        <v>4187</v>
      </c>
      <c r="B1302" t="s">
        <v>4188</v>
      </c>
      <c r="F1302" t="s">
        <v>4077</v>
      </c>
      <c r="G1302" t="s">
        <v>1897</v>
      </c>
    </row>
    <row r="1303" spans="1:7" hidden="1" x14ac:dyDescent="0.25">
      <c r="A1303" t="s">
        <v>4187</v>
      </c>
      <c r="B1303" t="s">
        <v>4188</v>
      </c>
      <c r="F1303" t="s">
        <v>4080</v>
      </c>
      <c r="G1303" t="s">
        <v>1897</v>
      </c>
    </row>
    <row r="1304" spans="1:7" hidden="1" x14ac:dyDescent="0.25">
      <c r="A1304" t="s">
        <v>4187</v>
      </c>
      <c r="B1304" t="s">
        <v>4188</v>
      </c>
      <c r="F1304" t="s">
        <v>4083</v>
      </c>
      <c r="G1304" t="s">
        <v>1897</v>
      </c>
    </row>
    <row r="1305" spans="1:7" hidden="1" x14ac:dyDescent="0.25">
      <c r="A1305" t="s">
        <v>7</v>
      </c>
      <c r="B1305" t="s">
        <v>4189</v>
      </c>
      <c r="F1305" t="s">
        <v>4086</v>
      </c>
      <c r="G1305" t="s">
        <v>1897</v>
      </c>
    </row>
    <row r="1306" spans="1:7" hidden="1" x14ac:dyDescent="0.25">
      <c r="A1306" t="s">
        <v>7</v>
      </c>
      <c r="B1306" t="s">
        <v>4189</v>
      </c>
      <c r="F1306" t="s">
        <v>4089</v>
      </c>
      <c r="G1306" t="s">
        <v>1897</v>
      </c>
    </row>
    <row r="1307" spans="1:7" hidden="1" x14ac:dyDescent="0.25">
      <c r="A1307" t="s">
        <v>7</v>
      </c>
      <c r="B1307" t="s">
        <v>4189</v>
      </c>
      <c r="F1307" t="s">
        <v>4092</v>
      </c>
      <c r="G1307" t="s">
        <v>1897</v>
      </c>
    </row>
    <row r="1308" spans="1:7" hidden="1" x14ac:dyDescent="0.25">
      <c r="A1308" t="s">
        <v>7</v>
      </c>
      <c r="B1308" t="s">
        <v>4189</v>
      </c>
      <c r="F1308" t="s">
        <v>4095</v>
      </c>
      <c r="G1308" t="s">
        <v>1897</v>
      </c>
    </row>
    <row r="1309" spans="1:7" hidden="1" x14ac:dyDescent="0.25">
      <c r="A1309" t="s">
        <v>7</v>
      </c>
      <c r="B1309" t="s">
        <v>4189</v>
      </c>
      <c r="F1309" t="s">
        <v>4098</v>
      </c>
      <c r="G1309" t="s">
        <v>1897</v>
      </c>
    </row>
    <row r="1310" spans="1:7" hidden="1" x14ac:dyDescent="0.25">
      <c r="A1310" t="s">
        <v>7</v>
      </c>
      <c r="B1310" t="s">
        <v>4189</v>
      </c>
      <c r="F1310" t="s">
        <v>4101</v>
      </c>
      <c r="G1310" t="s">
        <v>1897</v>
      </c>
    </row>
    <row r="1311" spans="1:7" hidden="1" x14ac:dyDescent="0.25">
      <c r="A1311" t="s">
        <v>4</v>
      </c>
      <c r="B1311" t="s">
        <v>8</v>
      </c>
      <c r="F1311" t="s">
        <v>4104</v>
      </c>
      <c r="G1311" t="s">
        <v>1897</v>
      </c>
    </row>
    <row r="1312" spans="1:7" hidden="1" x14ac:dyDescent="0.25">
      <c r="A1312" t="s">
        <v>1977</v>
      </c>
      <c r="F1312" t="s">
        <v>4107</v>
      </c>
      <c r="G1312" t="s">
        <v>1960</v>
      </c>
    </row>
    <row r="1313" spans="1:7" hidden="1" x14ac:dyDescent="0.25">
      <c r="A1313" t="s">
        <v>4</v>
      </c>
      <c r="B1313" t="s">
        <v>4190</v>
      </c>
      <c r="F1313" t="s">
        <v>4110</v>
      </c>
      <c r="G1313" t="s">
        <v>1960</v>
      </c>
    </row>
    <row r="1314" spans="1:7" hidden="1" x14ac:dyDescent="0.25">
      <c r="A1314" t="s">
        <v>4</v>
      </c>
      <c r="B1314" t="s">
        <v>4191</v>
      </c>
      <c r="F1314" t="s">
        <v>4113</v>
      </c>
      <c r="G1314" t="s">
        <v>1960</v>
      </c>
    </row>
    <row r="1315" spans="1:7" hidden="1" x14ac:dyDescent="0.25">
      <c r="A1315" t="s">
        <v>4</v>
      </c>
      <c r="B1315" t="s">
        <v>4192</v>
      </c>
      <c r="F1315" t="s">
        <v>4116</v>
      </c>
      <c r="G1315" t="s">
        <v>1960</v>
      </c>
    </row>
    <row r="1316" spans="1:7" hidden="1" x14ac:dyDescent="0.25">
      <c r="A1316" t="s">
        <v>4</v>
      </c>
      <c r="B1316" t="s">
        <v>8</v>
      </c>
      <c r="F1316" t="s">
        <v>4119</v>
      </c>
      <c r="G1316" t="s">
        <v>1960</v>
      </c>
    </row>
    <row r="1317" spans="1:7" hidden="1" x14ac:dyDescent="0.25">
      <c r="A1317" t="s">
        <v>4</v>
      </c>
      <c r="B1317" t="s">
        <v>8</v>
      </c>
      <c r="F1317" t="s">
        <v>4122</v>
      </c>
      <c r="G1317" t="s">
        <v>1960</v>
      </c>
    </row>
    <row r="1318" spans="1:7" hidden="1" x14ac:dyDescent="0.25">
      <c r="A1318" t="s">
        <v>4153</v>
      </c>
      <c r="F1318" t="s">
        <v>4128</v>
      </c>
      <c r="G1318" t="s">
        <v>1960</v>
      </c>
    </row>
    <row r="1319" spans="1:7" hidden="1" x14ac:dyDescent="0.25">
      <c r="A1319" t="s">
        <v>1967</v>
      </c>
      <c r="F1319" t="s">
        <v>4125</v>
      </c>
      <c r="G1319" t="s">
        <v>1960</v>
      </c>
    </row>
    <row r="1320" spans="1:7" hidden="1" x14ac:dyDescent="0.25">
      <c r="A1320" t="s">
        <v>62</v>
      </c>
      <c r="B1320" t="s">
        <v>55</v>
      </c>
      <c r="C1320" t="s">
        <v>51</v>
      </c>
      <c r="F1320" t="s">
        <v>4193</v>
      </c>
      <c r="G1320" t="s">
        <v>1074</v>
      </c>
    </row>
    <row r="1321" spans="1:7" hidden="1" x14ac:dyDescent="0.25">
      <c r="A1321" t="s">
        <v>91</v>
      </c>
      <c r="B1321" t="s">
        <v>55</v>
      </c>
      <c r="C1321" t="s">
        <v>51</v>
      </c>
      <c r="F1321" t="s">
        <v>4196</v>
      </c>
      <c r="G1321" t="s">
        <v>1074</v>
      </c>
    </row>
    <row r="1322" spans="1:7" hidden="1" x14ac:dyDescent="0.25">
      <c r="A1322" t="s">
        <v>1967</v>
      </c>
      <c r="F1322" t="s">
        <v>4199</v>
      </c>
      <c r="G1322" t="s">
        <v>1075</v>
      </c>
    </row>
    <row r="1323" spans="1:7" x14ac:dyDescent="0.25">
      <c r="A1323" t="s">
        <v>1967</v>
      </c>
      <c r="F1323" t="s">
        <v>4202</v>
      </c>
      <c r="G1323" t="s">
        <v>13425</v>
      </c>
    </row>
    <row r="1324" spans="1:7" hidden="1" x14ac:dyDescent="0.25">
      <c r="A1324" t="s">
        <v>622</v>
      </c>
      <c r="B1324" t="s">
        <v>55</v>
      </c>
      <c r="C1324" t="s">
        <v>51</v>
      </c>
      <c r="F1324" t="s">
        <v>4204</v>
      </c>
      <c r="G1324" t="s">
        <v>1076</v>
      </c>
    </row>
    <row r="1325" spans="1:7" hidden="1" x14ac:dyDescent="0.25">
      <c r="A1325" t="s">
        <v>1569</v>
      </c>
      <c r="B1325" t="s">
        <v>55</v>
      </c>
      <c r="C1325" t="s">
        <v>51</v>
      </c>
      <c r="F1325" t="s">
        <v>4207</v>
      </c>
      <c r="G1325" t="s">
        <v>1076</v>
      </c>
    </row>
    <row r="1326" spans="1:7" hidden="1" x14ac:dyDescent="0.25">
      <c r="A1326" t="s">
        <v>1967</v>
      </c>
      <c r="F1326" t="s">
        <v>4210</v>
      </c>
      <c r="G1326" t="s">
        <v>1077</v>
      </c>
    </row>
    <row r="1327" spans="1:7" hidden="1" x14ac:dyDescent="0.25">
      <c r="A1327" t="s">
        <v>1967</v>
      </c>
      <c r="F1327" t="s">
        <v>4213</v>
      </c>
      <c r="G1327" t="s">
        <v>1078</v>
      </c>
    </row>
    <row r="1328" spans="1:7" hidden="1" x14ac:dyDescent="0.25">
      <c r="A1328" t="s">
        <v>4237</v>
      </c>
      <c r="B1328" t="s">
        <v>55</v>
      </c>
      <c r="F1328" t="s">
        <v>4216</v>
      </c>
      <c r="G1328" t="s">
        <v>1079</v>
      </c>
    </row>
    <row r="1329" spans="1:7" hidden="1" x14ac:dyDescent="0.25">
      <c r="A1329" t="s">
        <v>1967</v>
      </c>
      <c r="B1329" t="s">
        <v>8</v>
      </c>
      <c r="F1329" t="s">
        <v>4219</v>
      </c>
      <c r="G1329" t="s">
        <v>768</v>
      </c>
    </row>
    <row r="1330" spans="1:7" hidden="1" x14ac:dyDescent="0.25">
      <c r="A1330" t="s">
        <v>1967</v>
      </c>
      <c r="F1330" t="s">
        <v>4222</v>
      </c>
      <c r="G1330" t="s">
        <v>1072</v>
      </c>
    </row>
    <row r="1331" spans="1:7" hidden="1" x14ac:dyDescent="0.25">
      <c r="A1331" t="s">
        <v>1967</v>
      </c>
      <c r="F1331" t="s">
        <v>4225</v>
      </c>
      <c r="G1331" s="1" t="s">
        <v>1566</v>
      </c>
    </row>
    <row r="1332" spans="1:7" hidden="1" x14ac:dyDescent="0.25">
      <c r="A1332" t="s">
        <v>1967</v>
      </c>
      <c r="F1332" t="s">
        <v>4228</v>
      </c>
      <c r="G1332" t="s">
        <v>1780</v>
      </c>
    </row>
    <row r="1333" spans="1:7" hidden="1" x14ac:dyDescent="0.25">
      <c r="A1333" t="s">
        <v>1967</v>
      </c>
      <c r="F1333" t="s">
        <v>4231</v>
      </c>
      <c r="G1333" t="s">
        <v>1897</v>
      </c>
    </row>
    <row r="1334" spans="1:7" hidden="1" x14ac:dyDescent="0.25">
      <c r="A1334" t="s">
        <v>4238</v>
      </c>
      <c r="F1334" t="s">
        <v>4234</v>
      </c>
      <c r="G1334" t="s">
        <v>1960</v>
      </c>
    </row>
    <row r="1335" spans="1:7" hidden="1" x14ac:dyDescent="0.25">
      <c r="A1335" t="s">
        <v>91</v>
      </c>
      <c r="B1335" t="s">
        <v>4135</v>
      </c>
      <c r="C1335" t="s">
        <v>1572</v>
      </c>
      <c r="E1335" t="s">
        <v>5008</v>
      </c>
      <c r="F1335" t="s">
        <v>4342</v>
      </c>
      <c r="G1335" t="s">
        <v>1074</v>
      </c>
    </row>
    <row r="1336" spans="1:7" hidden="1" x14ac:dyDescent="0.25">
      <c r="A1336" t="s">
        <v>62</v>
      </c>
      <c r="B1336" t="s">
        <v>4135</v>
      </c>
      <c r="C1336" t="s">
        <v>51</v>
      </c>
      <c r="E1336" t="s">
        <v>5009</v>
      </c>
      <c r="F1336" t="s">
        <v>4345</v>
      </c>
      <c r="G1336" t="s">
        <v>1074</v>
      </c>
    </row>
    <row r="1337" spans="1:7" hidden="1" x14ac:dyDescent="0.25">
      <c r="A1337" t="s">
        <v>91</v>
      </c>
      <c r="B1337" t="s">
        <v>70</v>
      </c>
      <c r="C1337" t="s">
        <v>5010</v>
      </c>
      <c r="F1337" t="s">
        <v>4348</v>
      </c>
      <c r="G1337" t="s">
        <v>1074</v>
      </c>
    </row>
    <row r="1338" spans="1:7" hidden="1" x14ac:dyDescent="0.25">
      <c r="A1338" t="s">
        <v>62</v>
      </c>
      <c r="B1338" t="s">
        <v>70</v>
      </c>
      <c r="C1338" t="s">
        <v>5010</v>
      </c>
      <c r="F1338" t="s">
        <v>4351</v>
      </c>
      <c r="G1338" t="s">
        <v>1074</v>
      </c>
    </row>
    <row r="1339" spans="1:7" hidden="1" x14ac:dyDescent="0.25">
      <c r="A1339" t="s">
        <v>91</v>
      </c>
      <c r="B1339" t="s">
        <v>70</v>
      </c>
      <c r="C1339" t="s">
        <v>5010</v>
      </c>
      <c r="F1339" t="s">
        <v>4354</v>
      </c>
      <c r="G1339" t="s">
        <v>1074</v>
      </c>
    </row>
    <row r="1340" spans="1:7" hidden="1" x14ac:dyDescent="0.25">
      <c r="A1340" t="s">
        <v>62</v>
      </c>
      <c r="B1340" t="s">
        <v>70</v>
      </c>
      <c r="C1340" t="s">
        <v>5010</v>
      </c>
      <c r="F1340" t="s">
        <v>4357</v>
      </c>
      <c r="G1340" t="s">
        <v>1074</v>
      </c>
    </row>
    <row r="1341" spans="1:7" hidden="1" x14ac:dyDescent="0.25">
      <c r="A1341" t="s">
        <v>1967</v>
      </c>
      <c r="F1341" t="s">
        <v>4360</v>
      </c>
      <c r="G1341" t="s">
        <v>1074</v>
      </c>
    </row>
    <row r="1342" spans="1:7" hidden="1" x14ac:dyDescent="0.25">
      <c r="A1342" t="s">
        <v>91</v>
      </c>
      <c r="B1342" t="s">
        <v>70</v>
      </c>
      <c r="C1342" t="s">
        <v>5010</v>
      </c>
      <c r="F1342" t="s">
        <v>4363</v>
      </c>
      <c r="G1342" t="s">
        <v>1074</v>
      </c>
    </row>
    <row r="1343" spans="1:7" hidden="1" x14ac:dyDescent="0.25">
      <c r="A1343" t="s">
        <v>62</v>
      </c>
      <c r="B1343" t="s">
        <v>70</v>
      </c>
      <c r="C1343" t="s">
        <v>5010</v>
      </c>
      <c r="F1343" t="s">
        <v>4366</v>
      </c>
      <c r="G1343" t="s">
        <v>1074</v>
      </c>
    </row>
    <row r="1344" spans="1:7" hidden="1" x14ac:dyDescent="0.25">
      <c r="A1344" t="s">
        <v>91</v>
      </c>
      <c r="B1344" t="s">
        <v>70</v>
      </c>
      <c r="C1344" t="s">
        <v>5010</v>
      </c>
      <c r="F1344" t="s">
        <v>4369</v>
      </c>
      <c r="G1344" t="s">
        <v>1074</v>
      </c>
    </row>
    <row r="1345" spans="1:7" hidden="1" x14ac:dyDescent="0.25">
      <c r="A1345" t="s">
        <v>62</v>
      </c>
      <c r="B1345" t="s">
        <v>70</v>
      </c>
      <c r="C1345" t="s">
        <v>5010</v>
      </c>
      <c r="F1345" t="s">
        <v>4372</v>
      </c>
      <c r="G1345" t="s">
        <v>1074</v>
      </c>
    </row>
    <row r="1346" spans="1:7" hidden="1" x14ac:dyDescent="0.25">
      <c r="A1346" t="s">
        <v>62</v>
      </c>
      <c r="B1346" t="s">
        <v>55</v>
      </c>
      <c r="C1346" t="s">
        <v>51</v>
      </c>
      <c r="F1346" t="s">
        <v>4375</v>
      </c>
      <c r="G1346" t="s">
        <v>1074</v>
      </c>
    </row>
    <row r="1347" spans="1:7" hidden="1" x14ac:dyDescent="0.25">
      <c r="A1347" t="s">
        <v>91</v>
      </c>
      <c r="B1347" t="s">
        <v>55</v>
      </c>
      <c r="C1347" t="s">
        <v>5011</v>
      </c>
      <c r="F1347" t="s">
        <v>4378</v>
      </c>
      <c r="G1347" t="s">
        <v>1074</v>
      </c>
    </row>
    <row r="1348" spans="1:7" hidden="1" x14ac:dyDescent="0.25">
      <c r="A1348" t="s">
        <v>91</v>
      </c>
      <c r="B1348" t="s">
        <v>70</v>
      </c>
      <c r="C1348" t="s">
        <v>5010</v>
      </c>
      <c r="F1348" t="s">
        <v>4381</v>
      </c>
      <c r="G1348" t="s">
        <v>1074</v>
      </c>
    </row>
    <row r="1349" spans="1:7" hidden="1" x14ac:dyDescent="0.25">
      <c r="A1349" t="s">
        <v>62</v>
      </c>
      <c r="B1349" t="s">
        <v>70</v>
      </c>
      <c r="C1349" t="s">
        <v>5010</v>
      </c>
      <c r="F1349" t="s">
        <v>4384</v>
      </c>
      <c r="G1349" t="s">
        <v>1074</v>
      </c>
    </row>
    <row r="1350" spans="1:7" hidden="1" x14ac:dyDescent="0.25">
      <c r="A1350" t="s">
        <v>1967</v>
      </c>
      <c r="F1350" t="s">
        <v>4387</v>
      </c>
      <c r="G1350" t="s">
        <v>1074</v>
      </c>
    </row>
    <row r="1351" spans="1:7" hidden="1" x14ac:dyDescent="0.25">
      <c r="A1351" t="s">
        <v>5012</v>
      </c>
      <c r="B1351" t="s">
        <v>1570</v>
      </c>
      <c r="C1351" t="s">
        <v>5013</v>
      </c>
      <c r="E1351" t="s">
        <v>5014</v>
      </c>
      <c r="F1351" t="s">
        <v>4239</v>
      </c>
      <c r="G1351" t="s">
        <v>1075</v>
      </c>
    </row>
    <row r="1352" spans="1:7" hidden="1" x14ac:dyDescent="0.25">
      <c r="A1352" t="s">
        <v>5015</v>
      </c>
      <c r="B1352" t="s">
        <v>86</v>
      </c>
      <c r="C1352" t="s">
        <v>3026</v>
      </c>
      <c r="E1352" t="s">
        <v>5016</v>
      </c>
      <c r="F1352" t="s">
        <v>4242</v>
      </c>
      <c r="G1352" t="s">
        <v>1075</v>
      </c>
    </row>
    <row r="1353" spans="1:7" hidden="1" x14ac:dyDescent="0.25">
      <c r="A1353" t="s">
        <v>4</v>
      </c>
      <c r="B1353" t="s">
        <v>86</v>
      </c>
      <c r="C1353" t="s">
        <v>51</v>
      </c>
      <c r="F1353" t="s">
        <v>4245</v>
      </c>
      <c r="G1353" t="s">
        <v>1075</v>
      </c>
    </row>
    <row r="1354" spans="1:7" hidden="1" x14ac:dyDescent="0.25">
      <c r="A1354" t="s">
        <v>4</v>
      </c>
      <c r="B1354" t="s">
        <v>86</v>
      </c>
      <c r="C1354" t="s">
        <v>2893</v>
      </c>
      <c r="F1354" t="s">
        <v>4248</v>
      </c>
      <c r="G1354" t="s">
        <v>1075</v>
      </c>
    </row>
    <row r="1355" spans="1:7" hidden="1" x14ac:dyDescent="0.25">
      <c r="A1355" t="s">
        <v>5015</v>
      </c>
      <c r="B1355" t="s">
        <v>86</v>
      </c>
      <c r="C1355" t="s">
        <v>2893</v>
      </c>
      <c r="E1355" t="s">
        <v>5016</v>
      </c>
      <c r="F1355" t="s">
        <v>4251</v>
      </c>
      <c r="G1355" t="s">
        <v>1075</v>
      </c>
    </row>
    <row r="1356" spans="1:7" hidden="1" x14ac:dyDescent="0.25">
      <c r="A1356" t="s">
        <v>4</v>
      </c>
      <c r="B1356" t="s">
        <v>86</v>
      </c>
      <c r="C1356" t="s">
        <v>5017</v>
      </c>
      <c r="E1356" t="s">
        <v>5018</v>
      </c>
      <c r="F1356" t="s">
        <v>4254</v>
      </c>
      <c r="G1356" t="s">
        <v>1075</v>
      </c>
    </row>
    <row r="1357" spans="1:7" hidden="1" x14ac:dyDescent="0.25">
      <c r="A1357" t="s">
        <v>4</v>
      </c>
      <c r="B1357" t="s">
        <v>8</v>
      </c>
      <c r="F1357" t="s">
        <v>4258</v>
      </c>
      <c r="G1357" t="s">
        <v>1075</v>
      </c>
    </row>
    <row r="1358" spans="1:7" hidden="1" x14ac:dyDescent="0.25">
      <c r="A1358" t="s">
        <v>158</v>
      </c>
      <c r="B1358" t="s">
        <v>86</v>
      </c>
      <c r="C1358" t="s">
        <v>60</v>
      </c>
      <c r="D1358">
        <v>2</v>
      </c>
      <c r="E1358" t="s">
        <v>3030</v>
      </c>
      <c r="F1358" t="s">
        <v>4261</v>
      </c>
      <c r="G1358" t="s">
        <v>1075</v>
      </c>
    </row>
    <row r="1359" spans="1:7" hidden="1" x14ac:dyDescent="0.25">
      <c r="A1359" t="s">
        <v>158</v>
      </c>
      <c r="B1359" t="s">
        <v>86</v>
      </c>
      <c r="C1359" t="s">
        <v>60</v>
      </c>
      <c r="D1359">
        <v>1</v>
      </c>
      <c r="E1359" t="s">
        <v>3030</v>
      </c>
      <c r="F1359" t="s">
        <v>4264</v>
      </c>
      <c r="G1359" t="s">
        <v>1075</v>
      </c>
    </row>
    <row r="1360" spans="1:7" hidden="1" x14ac:dyDescent="0.25">
      <c r="A1360" t="s">
        <v>158</v>
      </c>
      <c r="B1360" t="s">
        <v>86</v>
      </c>
      <c r="C1360" t="s">
        <v>60</v>
      </c>
      <c r="D1360">
        <v>2</v>
      </c>
      <c r="E1360" t="s">
        <v>3030</v>
      </c>
      <c r="F1360" t="s">
        <v>4267</v>
      </c>
      <c r="G1360" t="s">
        <v>1075</v>
      </c>
    </row>
    <row r="1361" spans="1:7" hidden="1" x14ac:dyDescent="0.25">
      <c r="A1361" t="s">
        <v>158</v>
      </c>
      <c r="B1361" t="s">
        <v>86</v>
      </c>
      <c r="C1361" t="s">
        <v>200</v>
      </c>
      <c r="D1361">
        <v>2</v>
      </c>
      <c r="E1361" t="s">
        <v>3030</v>
      </c>
      <c r="F1361" t="s">
        <v>4270</v>
      </c>
      <c r="G1361" t="s">
        <v>1075</v>
      </c>
    </row>
    <row r="1362" spans="1:7" hidden="1" x14ac:dyDescent="0.25">
      <c r="A1362" t="s">
        <v>158</v>
      </c>
      <c r="B1362" t="s">
        <v>86</v>
      </c>
      <c r="C1362" t="s">
        <v>200</v>
      </c>
      <c r="D1362">
        <v>4</v>
      </c>
      <c r="E1362" t="s">
        <v>3030</v>
      </c>
      <c r="F1362" t="s">
        <v>4273</v>
      </c>
      <c r="G1362" t="s">
        <v>1075</v>
      </c>
    </row>
    <row r="1363" spans="1:7" hidden="1" x14ac:dyDescent="0.25">
      <c r="A1363" t="s">
        <v>158</v>
      </c>
      <c r="B1363" t="s">
        <v>86</v>
      </c>
      <c r="C1363" t="s">
        <v>200</v>
      </c>
      <c r="D1363">
        <v>4</v>
      </c>
      <c r="E1363" t="s">
        <v>3030</v>
      </c>
      <c r="F1363" t="s">
        <v>4276</v>
      </c>
      <c r="G1363" t="s">
        <v>1075</v>
      </c>
    </row>
    <row r="1364" spans="1:7" hidden="1" x14ac:dyDescent="0.25">
      <c r="A1364" t="s">
        <v>158</v>
      </c>
      <c r="B1364" t="s">
        <v>86</v>
      </c>
      <c r="C1364" t="s">
        <v>200</v>
      </c>
      <c r="D1364">
        <v>1</v>
      </c>
      <c r="E1364" t="s">
        <v>3030</v>
      </c>
      <c r="F1364" t="s">
        <v>4279</v>
      </c>
      <c r="G1364" t="s">
        <v>1075</v>
      </c>
    </row>
    <row r="1365" spans="1:7" hidden="1" x14ac:dyDescent="0.25">
      <c r="A1365" t="s">
        <v>158</v>
      </c>
      <c r="B1365" t="s">
        <v>86</v>
      </c>
      <c r="C1365" t="s">
        <v>5019</v>
      </c>
      <c r="D1365">
        <v>3</v>
      </c>
      <c r="E1365" t="s">
        <v>3030</v>
      </c>
      <c r="F1365" t="s">
        <v>4282</v>
      </c>
      <c r="G1365" t="s">
        <v>1075</v>
      </c>
    </row>
    <row r="1366" spans="1:7" hidden="1" x14ac:dyDescent="0.25">
      <c r="A1366" t="s">
        <v>158</v>
      </c>
      <c r="B1366" t="s">
        <v>86</v>
      </c>
      <c r="C1366" t="s">
        <v>5019</v>
      </c>
      <c r="D1366">
        <v>3</v>
      </c>
      <c r="E1366" t="s">
        <v>3030</v>
      </c>
      <c r="F1366" t="s">
        <v>4285</v>
      </c>
      <c r="G1366" t="s">
        <v>1075</v>
      </c>
    </row>
    <row r="1367" spans="1:7" hidden="1" x14ac:dyDescent="0.25">
      <c r="A1367" t="s">
        <v>158</v>
      </c>
      <c r="B1367" t="s">
        <v>86</v>
      </c>
      <c r="C1367" t="s">
        <v>5019</v>
      </c>
      <c r="D1367">
        <v>3</v>
      </c>
      <c r="E1367" t="s">
        <v>3030</v>
      </c>
      <c r="F1367" t="s">
        <v>4288</v>
      </c>
      <c r="G1367" t="s">
        <v>1075</v>
      </c>
    </row>
    <row r="1368" spans="1:7" hidden="1" x14ac:dyDescent="0.25">
      <c r="A1368" t="s">
        <v>4162</v>
      </c>
      <c r="B1368" t="s">
        <v>86</v>
      </c>
      <c r="C1368" t="s">
        <v>4181</v>
      </c>
      <c r="E1368" t="s">
        <v>4177</v>
      </c>
      <c r="F1368" t="s">
        <v>4291</v>
      </c>
      <c r="G1368" t="s">
        <v>1075</v>
      </c>
    </row>
    <row r="1369" spans="1:7" hidden="1" x14ac:dyDescent="0.25">
      <c r="A1369" t="s">
        <v>4162</v>
      </c>
      <c r="B1369" t="s">
        <v>86</v>
      </c>
      <c r="C1369" t="s">
        <v>4181</v>
      </c>
      <c r="E1369" t="s">
        <v>2891</v>
      </c>
      <c r="F1369" t="s">
        <v>4294</v>
      </c>
      <c r="G1369" t="s">
        <v>1075</v>
      </c>
    </row>
    <row r="1370" spans="1:7" hidden="1" x14ac:dyDescent="0.25">
      <c r="A1370" t="s">
        <v>158</v>
      </c>
      <c r="B1370" t="s">
        <v>86</v>
      </c>
      <c r="C1370" t="s">
        <v>5019</v>
      </c>
      <c r="D1370">
        <v>3</v>
      </c>
      <c r="E1370" t="s">
        <v>3030</v>
      </c>
      <c r="F1370" t="s">
        <v>4297</v>
      </c>
      <c r="G1370" t="s">
        <v>1075</v>
      </c>
    </row>
    <row r="1371" spans="1:7" hidden="1" x14ac:dyDescent="0.25">
      <c r="A1371" t="s">
        <v>158</v>
      </c>
      <c r="B1371" t="s">
        <v>86</v>
      </c>
      <c r="C1371" t="s">
        <v>200</v>
      </c>
      <c r="D1371">
        <v>2</v>
      </c>
      <c r="E1371" t="s">
        <v>3030</v>
      </c>
      <c r="F1371" t="s">
        <v>4300</v>
      </c>
      <c r="G1371" t="s">
        <v>1075</v>
      </c>
    </row>
    <row r="1372" spans="1:7" hidden="1" x14ac:dyDescent="0.25">
      <c r="A1372" t="s">
        <v>158</v>
      </c>
      <c r="B1372" t="s">
        <v>86</v>
      </c>
      <c r="C1372" t="s">
        <v>200</v>
      </c>
      <c r="D1372">
        <v>5</v>
      </c>
      <c r="E1372" t="s">
        <v>3030</v>
      </c>
      <c r="F1372" t="s">
        <v>4303</v>
      </c>
      <c r="G1372" t="s">
        <v>1075</v>
      </c>
    </row>
    <row r="1373" spans="1:7" hidden="1" x14ac:dyDescent="0.25">
      <c r="A1373" t="s">
        <v>158</v>
      </c>
      <c r="B1373" t="s">
        <v>86</v>
      </c>
      <c r="C1373" t="s">
        <v>200</v>
      </c>
      <c r="D1373">
        <v>4</v>
      </c>
      <c r="E1373" t="s">
        <v>3030</v>
      </c>
      <c r="F1373" t="s">
        <v>4306</v>
      </c>
      <c r="G1373" t="s">
        <v>1075</v>
      </c>
    </row>
    <row r="1374" spans="1:7" hidden="1" x14ac:dyDescent="0.25">
      <c r="A1374" t="s">
        <v>158</v>
      </c>
      <c r="B1374" t="s">
        <v>86</v>
      </c>
      <c r="C1374" t="s">
        <v>200</v>
      </c>
      <c r="D1374">
        <v>4</v>
      </c>
      <c r="E1374" t="s">
        <v>3030</v>
      </c>
      <c r="F1374" t="s">
        <v>4309</v>
      </c>
      <c r="G1374" t="s">
        <v>1075</v>
      </c>
    </row>
    <row r="1375" spans="1:7" hidden="1" x14ac:dyDescent="0.25">
      <c r="A1375" t="s">
        <v>158</v>
      </c>
      <c r="B1375" t="s">
        <v>86</v>
      </c>
      <c r="C1375" t="s">
        <v>60</v>
      </c>
      <c r="D1375">
        <v>2</v>
      </c>
      <c r="E1375" t="s">
        <v>3030</v>
      </c>
      <c r="F1375" t="s">
        <v>4312</v>
      </c>
      <c r="G1375" t="s">
        <v>1075</v>
      </c>
    </row>
    <row r="1376" spans="1:7" hidden="1" x14ac:dyDescent="0.25">
      <c r="A1376" t="s">
        <v>158</v>
      </c>
      <c r="B1376" t="s">
        <v>86</v>
      </c>
      <c r="C1376" t="s">
        <v>200</v>
      </c>
      <c r="D1376">
        <v>1</v>
      </c>
      <c r="E1376" t="s">
        <v>3030</v>
      </c>
      <c r="F1376" t="s">
        <v>4315</v>
      </c>
      <c r="G1376" t="s">
        <v>1075</v>
      </c>
    </row>
    <row r="1377" spans="1:7" hidden="1" x14ac:dyDescent="0.25">
      <c r="A1377" t="s">
        <v>4162</v>
      </c>
      <c r="B1377" t="s">
        <v>86</v>
      </c>
      <c r="C1377" t="s">
        <v>2893</v>
      </c>
      <c r="E1377" t="s">
        <v>4177</v>
      </c>
      <c r="F1377" t="s">
        <v>4318</v>
      </c>
      <c r="G1377" t="s">
        <v>1075</v>
      </c>
    </row>
    <row r="1378" spans="1:7" hidden="1" x14ac:dyDescent="0.25">
      <c r="A1378" t="s">
        <v>4162</v>
      </c>
      <c r="B1378" t="s">
        <v>86</v>
      </c>
      <c r="C1378" t="s">
        <v>2893</v>
      </c>
      <c r="E1378" t="s">
        <v>2891</v>
      </c>
      <c r="F1378" t="s">
        <v>4321</v>
      </c>
      <c r="G1378" t="s">
        <v>1075</v>
      </c>
    </row>
    <row r="1379" spans="1:7" hidden="1" x14ac:dyDescent="0.25">
      <c r="A1379" t="s">
        <v>158</v>
      </c>
      <c r="B1379" t="s">
        <v>86</v>
      </c>
      <c r="C1379" t="s">
        <v>200</v>
      </c>
      <c r="D1379">
        <v>4</v>
      </c>
      <c r="E1379" t="s">
        <v>3030</v>
      </c>
      <c r="F1379" t="s">
        <v>4324</v>
      </c>
      <c r="G1379" t="s">
        <v>1075</v>
      </c>
    </row>
    <row r="1380" spans="1:7" hidden="1" x14ac:dyDescent="0.25">
      <c r="A1380" t="s">
        <v>158</v>
      </c>
      <c r="B1380" t="s">
        <v>86</v>
      </c>
      <c r="C1380" t="s">
        <v>200</v>
      </c>
      <c r="D1380">
        <v>3</v>
      </c>
      <c r="E1380" t="s">
        <v>3030</v>
      </c>
      <c r="F1380" t="s">
        <v>4327</v>
      </c>
      <c r="G1380" t="s">
        <v>1075</v>
      </c>
    </row>
    <row r="1381" spans="1:7" hidden="1" x14ac:dyDescent="0.25">
      <c r="A1381" t="s">
        <v>158</v>
      </c>
      <c r="B1381" t="s">
        <v>86</v>
      </c>
      <c r="C1381" t="s">
        <v>200</v>
      </c>
      <c r="D1381">
        <v>2</v>
      </c>
      <c r="E1381" t="s">
        <v>3030</v>
      </c>
      <c r="F1381" t="s">
        <v>4330</v>
      </c>
      <c r="G1381" t="s">
        <v>1075</v>
      </c>
    </row>
    <row r="1382" spans="1:7" hidden="1" x14ac:dyDescent="0.25">
      <c r="A1382" t="s">
        <v>158</v>
      </c>
      <c r="B1382" t="s">
        <v>86</v>
      </c>
      <c r="C1382" t="s">
        <v>200</v>
      </c>
      <c r="D1382">
        <v>3</v>
      </c>
      <c r="E1382" t="s">
        <v>3030</v>
      </c>
      <c r="F1382" t="s">
        <v>4333</v>
      </c>
      <c r="G1382" t="s">
        <v>1075</v>
      </c>
    </row>
    <row r="1383" spans="1:7" hidden="1" x14ac:dyDescent="0.25">
      <c r="A1383" t="s">
        <v>158</v>
      </c>
      <c r="B1383" t="s">
        <v>86</v>
      </c>
      <c r="C1383" t="s">
        <v>200</v>
      </c>
      <c r="D1383">
        <v>4</v>
      </c>
      <c r="E1383" t="s">
        <v>3030</v>
      </c>
      <c r="F1383" t="s">
        <v>4336</v>
      </c>
      <c r="G1383" t="s">
        <v>1075</v>
      </c>
    </row>
    <row r="1384" spans="1:7" hidden="1" x14ac:dyDescent="0.25">
      <c r="A1384" t="s">
        <v>1967</v>
      </c>
      <c r="F1384" t="s">
        <v>4339</v>
      </c>
      <c r="G1384" t="s">
        <v>1075</v>
      </c>
    </row>
    <row r="1385" spans="1:7" x14ac:dyDescent="0.25">
      <c r="A1385" t="s">
        <v>4</v>
      </c>
      <c r="B1385" t="s">
        <v>8</v>
      </c>
      <c r="F1385" t="s">
        <v>4498</v>
      </c>
      <c r="G1385" t="s">
        <v>13425</v>
      </c>
    </row>
    <row r="1386" spans="1:7" x14ac:dyDescent="0.25">
      <c r="A1386" t="s">
        <v>4</v>
      </c>
      <c r="B1386" t="s">
        <v>4135</v>
      </c>
      <c r="E1386" t="s">
        <v>5023</v>
      </c>
      <c r="F1386" t="s">
        <v>4500</v>
      </c>
      <c r="G1386" t="s">
        <v>13425</v>
      </c>
    </row>
    <row r="1387" spans="1:7" x14ac:dyDescent="0.25">
      <c r="A1387" t="s">
        <v>4</v>
      </c>
      <c r="B1387" t="s">
        <v>8</v>
      </c>
      <c r="F1387" t="s">
        <v>4502</v>
      </c>
      <c r="G1387" t="s">
        <v>13425</v>
      </c>
    </row>
    <row r="1388" spans="1:7" x14ac:dyDescent="0.25">
      <c r="A1388" t="s">
        <v>4</v>
      </c>
      <c r="B1388" t="s">
        <v>8</v>
      </c>
      <c r="F1388" t="s">
        <v>4504</v>
      </c>
      <c r="G1388" t="s">
        <v>13425</v>
      </c>
    </row>
    <row r="1389" spans="1:7" x14ac:dyDescent="0.25">
      <c r="A1389" t="s">
        <v>261</v>
      </c>
      <c r="B1389" t="s">
        <v>2882</v>
      </c>
      <c r="C1389" t="s">
        <v>53</v>
      </c>
      <c r="D1389">
        <v>3</v>
      </c>
      <c r="F1389" t="s">
        <v>5020</v>
      </c>
      <c r="G1389" t="s">
        <v>13425</v>
      </c>
    </row>
    <row r="1390" spans="1:7" x14ac:dyDescent="0.25">
      <c r="A1390" t="s">
        <v>4</v>
      </c>
      <c r="B1390" t="s">
        <v>8</v>
      </c>
      <c r="F1390" t="s">
        <v>4506</v>
      </c>
      <c r="G1390" t="s">
        <v>13425</v>
      </c>
    </row>
    <row r="1391" spans="1:7" x14ac:dyDescent="0.25">
      <c r="A1391" t="s">
        <v>1967</v>
      </c>
      <c r="F1391" t="s">
        <v>4508</v>
      </c>
      <c r="G1391" t="s">
        <v>13425</v>
      </c>
    </row>
    <row r="1392" spans="1:7" hidden="1" x14ac:dyDescent="0.25">
      <c r="A1392" t="s">
        <v>262</v>
      </c>
      <c r="B1392" t="s">
        <v>4135</v>
      </c>
      <c r="C1392" t="s">
        <v>5027</v>
      </c>
      <c r="F1392" t="s">
        <v>4390</v>
      </c>
      <c r="G1392" t="s">
        <v>1076</v>
      </c>
    </row>
    <row r="1393" spans="1:7" hidden="1" x14ac:dyDescent="0.25">
      <c r="A1393" t="s">
        <v>262</v>
      </c>
      <c r="B1393" t="s">
        <v>4135</v>
      </c>
      <c r="C1393" t="s">
        <v>5027</v>
      </c>
      <c r="F1393" t="s">
        <v>4393</v>
      </c>
      <c r="G1393" t="s">
        <v>1076</v>
      </c>
    </row>
    <row r="1394" spans="1:7" hidden="1" x14ac:dyDescent="0.25">
      <c r="A1394" t="s">
        <v>622</v>
      </c>
      <c r="B1394" t="s">
        <v>4135</v>
      </c>
      <c r="F1394" t="s">
        <v>4396</v>
      </c>
      <c r="G1394" t="s">
        <v>1076</v>
      </c>
    </row>
    <row r="1395" spans="1:7" hidden="1" x14ac:dyDescent="0.25">
      <c r="A1395" t="s">
        <v>261</v>
      </c>
      <c r="B1395" t="s">
        <v>70</v>
      </c>
      <c r="C1395" t="s">
        <v>5027</v>
      </c>
      <c r="E1395" t="s">
        <v>5028</v>
      </c>
      <c r="F1395" t="s">
        <v>4399</v>
      </c>
      <c r="G1395" t="s">
        <v>1076</v>
      </c>
    </row>
    <row r="1396" spans="1:7" hidden="1" x14ac:dyDescent="0.25">
      <c r="A1396" t="s">
        <v>262</v>
      </c>
      <c r="B1396" t="s">
        <v>70</v>
      </c>
      <c r="C1396" t="s">
        <v>5027</v>
      </c>
      <c r="E1396" t="s">
        <v>5028</v>
      </c>
      <c r="F1396" t="s">
        <v>5024</v>
      </c>
      <c r="G1396" t="s">
        <v>1076</v>
      </c>
    </row>
    <row r="1397" spans="1:7" hidden="1" x14ac:dyDescent="0.25">
      <c r="A1397" t="s">
        <v>622</v>
      </c>
      <c r="B1397" t="s">
        <v>70</v>
      </c>
      <c r="F1397" t="s">
        <v>4402</v>
      </c>
      <c r="G1397" t="s">
        <v>1076</v>
      </c>
    </row>
    <row r="1398" spans="1:7" hidden="1" x14ac:dyDescent="0.25">
      <c r="A1398" t="s">
        <v>1967</v>
      </c>
      <c r="B1398" t="s">
        <v>8</v>
      </c>
      <c r="F1398" t="s">
        <v>4405</v>
      </c>
      <c r="G1398" t="s">
        <v>1076</v>
      </c>
    </row>
    <row r="1399" spans="1:7" hidden="1" x14ac:dyDescent="0.25">
      <c r="A1399" t="s">
        <v>261</v>
      </c>
      <c r="B1399" t="s">
        <v>70</v>
      </c>
      <c r="C1399" t="s">
        <v>5027</v>
      </c>
      <c r="E1399" t="s">
        <v>5029</v>
      </c>
      <c r="F1399" t="s">
        <v>4408</v>
      </c>
      <c r="G1399" t="s">
        <v>1076</v>
      </c>
    </row>
    <row r="1400" spans="1:7" hidden="1" x14ac:dyDescent="0.25">
      <c r="A1400" t="s">
        <v>261</v>
      </c>
      <c r="B1400" t="s">
        <v>70</v>
      </c>
      <c r="C1400" t="s">
        <v>5027</v>
      </c>
      <c r="E1400" t="s">
        <v>2891</v>
      </c>
      <c r="F1400" t="s">
        <v>4411</v>
      </c>
      <c r="G1400" t="s">
        <v>1076</v>
      </c>
    </row>
    <row r="1401" spans="1:7" hidden="1" x14ac:dyDescent="0.25">
      <c r="A1401" t="s">
        <v>261</v>
      </c>
      <c r="B1401" t="s">
        <v>70</v>
      </c>
      <c r="C1401" t="s">
        <v>5027</v>
      </c>
      <c r="E1401" t="s">
        <v>2891</v>
      </c>
      <c r="F1401" t="s">
        <v>4414</v>
      </c>
      <c r="G1401" t="s">
        <v>1076</v>
      </c>
    </row>
    <row r="1402" spans="1:7" hidden="1" x14ac:dyDescent="0.25">
      <c r="A1402" t="s">
        <v>261</v>
      </c>
      <c r="B1402" t="s">
        <v>70</v>
      </c>
      <c r="C1402" t="s">
        <v>5027</v>
      </c>
      <c r="E1402" t="s">
        <v>5030</v>
      </c>
      <c r="F1402" t="s">
        <v>4417</v>
      </c>
      <c r="G1402" t="s">
        <v>1076</v>
      </c>
    </row>
    <row r="1403" spans="1:7" hidden="1" x14ac:dyDescent="0.25">
      <c r="A1403" t="s">
        <v>622</v>
      </c>
      <c r="B1403" t="s">
        <v>70</v>
      </c>
      <c r="F1403" t="s">
        <v>4420</v>
      </c>
      <c r="G1403" t="s">
        <v>1076</v>
      </c>
    </row>
    <row r="1404" spans="1:7" hidden="1" x14ac:dyDescent="0.25">
      <c r="A1404" t="s">
        <v>4</v>
      </c>
      <c r="B1404" t="s">
        <v>8</v>
      </c>
      <c r="F1404" t="s">
        <v>4423</v>
      </c>
      <c r="G1404" t="s">
        <v>1076</v>
      </c>
    </row>
    <row r="1405" spans="1:7" hidden="1" x14ac:dyDescent="0.25">
      <c r="A1405" t="s">
        <v>1967</v>
      </c>
      <c r="B1405" t="s">
        <v>8</v>
      </c>
      <c r="F1405" t="s">
        <v>4426</v>
      </c>
      <c r="G1405" t="s">
        <v>1076</v>
      </c>
    </row>
    <row r="1406" spans="1:7" hidden="1" x14ac:dyDescent="0.25">
      <c r="A1406" t="s">
        <v>1066</v>
      </c>
      <c r="B1406" t="s">
        <v>4188</v>
      </c>
      <c r="C1406" t="s">
        <v>58</v>
      </c>
      <c r="E1406" t="s">
        <v>5036</v>
      </c>
      <c r="F1406" t="s">
        <v>5031</v>
      </c>
      <c r="G1406" t="s">
        <v>1077</v>
      </c>
    </row>
    <row r="1407" spans="1:7" hidden="1" x14ac:dyDescent="0.25">
      <c r="A1407" t="s">
        <v>4</v>
      </c>
      <c r="B1407" t="s">
        <v>8</v>
      </c>
      <c r="F1407" t="s">
        <v>4429</v>
      </c>
      <c r="G1407" t="s">
        <v>1077</v>
      </c>
    </row>
    <row r="1408" spans="1:7" hidden="1" x14ac:dyDescent="0.25">
      <c r="A1408" t="s">
        <v>1578</v>
      </c>
      <c r="B1408" t="s">
        <v>86</v>
      </c>
      <c r="C1408" t="s">
        <v>200</v>
      </c>
      <c r="F1408" t="s">
        <v>4432</v>
      </c>
      <c r="G1408" t="s">
        <v>1077</v>
      </c>
    </row>
    <row r="1409" spans="1:7" hidden="1" x14ac:dyDescent="0.25">
      <c r="A1409" t="s">
        <v>4</v>
      </c>
      <c r="B1409" t="s">
        <v>8</v>
      </c>
      <c r="F1409" t="s">
        <v>4435</v>
      </c>
      <c r="G1409" t="s">
        <v>1077</v>
      </c>
    </row>
    <row r="1410" spans="1:7" hidden="1" x14ac:dyDescent="0.25">
      <c r="A1410" t="s">
        <v>1578</v>
      </c>
      <c r="B1410" t="s">
        <v>86</v>
      </c>
      <c r="C1410" t="s">
        <v>200</v>
      </c>
      <c r="F1410" t="s">
        <v>4438</v>
      </c>
      <c r="G1410" t="s">
        <v>1077</v>
      </c>
    </row>
    <row r="1411" spans="1:7" hidden="1" x14ac:dyDescent="0.25">
      <c r="A1411" t="s">
        <v>1578</v>
      </c>
      <c r="B1411" t="s">
        <v>86</v>
      </c>
      <c r="C1411" t="s">
        <v>5037</v>
      </c>
      <c r="E1411" t="s">
        <v>5038</v>
      </c>
      <c r="F1411" t="s">
        <v>4441</v>
      </c>
      <c r="G1411" t="s">
        <v>1077</v>
      </c>
    </row>
    <row r="1412" spans="1:7" hidden="1" x14ac:dyDescent="0.25">
      <c r="A1412" t="s">
        <v>1578</v>
      </c>
      <c r="B1412" t="s">
        <v>86</v>
      </c>
      <c r="C1412" t="s">
        <v>200</v>
      </c>
      <c r="F1412" t="s">
        <v>4444</v>
      </c>
      <c r="G1412" t="s">
        <v>1077</v>
      </c>
    </row>
    <row r="1413" spans="1:7" hidden="1" x14ac:dyDescent="0.25">
      <c r="A1413" t="s">
        <v>1066</v>
      </c>
      <c r="B1413" t="s">
        <v>4188</v>
      </c>
      <c r="C1413" t="s">
        <v>60</v>
      </c>
      <c r="E1413" t="s">
        <v>5036</v>
      </c>
      <c r="F1413" t="s">
        <v>4447</v>
      </c>
      <c r="G1413" t="s">
        <v>1077</v>
      </c>
    </row>
    <row r="1414" spans="1:7" hidden="1" x14ac:dyDescent="0.25">
      <c r="A1414" t="s">
        <v>1066</v>
      </c>
      <c r="B1414" t="s">
        <v>4188</v>
      </c>
      <c r="C1414" t="s">
        <v>60</v>
      </c>
      <c r="E1414" t="s">
        <v>2891</v>
      </c>
      <c r="F1414" t="s">
        <v>4450</v>
      </c>
      <c r="G1414" t="s">
        <v>1077</v>
      </c>
    </row>
    <row r="1415" spans="1:7" hidden="1" x14ac:dyDescent="0.25">
      <c r="A1415" t="s">
        <v>4</v>
      </c>
      <c r="B1415" t="s">
        <v>8</v>
      </c>
      <c r="E1415" t="s">
        <v>2891</v>
      </c>
      <c r="F1415" t="s">
        <v>4453</v>
      </c>
      <c r="G1415" t="s">
        <v>1077</v>
      </c>
    </row>
    <row r="1416" spans="1:7" hidden="1" x14ac:dyDescent="0.25">
      <c r="A1416" t="s">
        <v>4</v>
      </c>
      <c r="B1416" t="s">
        <v>8</v>
      </c>
      <c r="E1416" t="s">
        <v>2891</v>
      </c>
      <c r="F1416" t="s">
        <v>4456</v>
      </c>
      <c r="G1416" t="s">
        <v>1077</v>
      </c>
    </row>
    <row r="1417" spans="1:7" hidden="1" x14ac:dyDescent="0.25">
      <c r="A1417" t="s">
        <v>4</v>
      </c>
      <c r="B1417" t="s">
        <v>8</v>
      </c>
      <c r="E1417" t="s">
        <v>2891</v>
      </c>
      <c r="F1417" t="s">
        <v>4459</v>
      </c>
      <c r="G1417" t="s">
        <v>1077</v>
      </c>
    </row>
    <row r="1418" spans="1:7" hidden="1" x14ac:dyDescent="0.25">
      <c r="A1418" t="s">
        <v>1569</v>
      </c>
      <c r="B1418" t="s">
        <v>70</v>
      </c>
      <c r="F1418" t="s">
        <v>4462</v>
      </c>
      <c r="G1418" t="s">
        <v>1077</v>
      </c>
    </row>
    <row r="1419" spans="1:7" hidden="1" x14ac:dyDescent="0.25">
      <c r="A1419" t="s">
        <v>262</v>
      </c>
      <c r="B1419" t="s">
        <v>70</v>
      </c>
      <c r="C1419" t="s">
        <v>5027</v>
      </c>
      <c r="F1419" t="s">
        <v>4465</v>
      </c>
      <c r="G1419" t="s">
        <v>1077</v>
      </c>
    </row>
    <row r="1420" spans="1:7" hidden="1" x14ac:dyDescent="0.25">
      <c r="A1420" t="s">
        <v>438</v>
      </c>
      <c r="B1420" t="s">
        <v>86</v>
      </c>
      <c r="C1420" t="s">
        <v>5027</v>
      </c>
      <c r="F1420" t="s">
        <v>4468</v>
      </c>
      <c r="G1420" t="s">
        <v>1077</v>
      </c>
    </row>
    <row r="1421" spans="1:7" hidden="1" x14ac:dyDescent="0.25">
      <c r="A1421" t="s">
        <v>1578</v>
      </c>
      <c r="B1421" t="s">
        <v>86</v>
      </c>
      <c r="C1421" t="s">
        <v>5027</v>
      </c>
      <c r="F1421" t="s">
        <v>4471</v>
      </c>
      <c r="G1421" t="s">
        <v>1077</v>
      </c>
    </row>
    <row r="1422" spans="1:7" hidden="1" x14ac:dyDescent="0.25">
      <c r="A1422" t="s">
        <v>438</v>
      </c>
      <c r="B1422" t="s">
        <v>86</v>
      </c>
      <c r="C1422" t="s">
        <v>5027</v>
      </c>
      <c r="F1422" t="s">
        <v>5033</v>
      </c>
      <c r="G1422" t="s">
        <v>1077</v>
      </c>
    </row>
    <row r="1423" spans="1:7" hidden="1" x14ac:dyDescent="0.25">
      <c r="A1423" t="s">
        <v>5039</v>
      </c>
      <c r="F1423" t="s">
        <v>4474</v>
      </c>
      <c r="G1423" t="s">
        <v>1077</v>
      </c>
    </row>
    <row r="1424" spans="1:7" hidden="1" x14ac:dyDescent="0.25">
      <c r="A1424" t="s">
        <v>1578</v>
      </c>
      <c r="B1424" t="s">
        <v>86</v>
      </c>
      <c r="C1424" t="s">
        <v>5027</v>
      </c>
      <c r="F1424" t="s">
        <v>4477</v>
      </c>
      <c r="G1424" t="s">
        <v>1077</v>
      </c>
    </row>
    <row r="1425" spans="1:7" hidden="1" x14ac:dyDescent="0.25">
      <c r="A1425" t="s">
        <v>4</v>
      </c>
      <c r="B1425" t="s">
        <v>8</v>
      </c>
      <c r="F1425" t="s">
        <v>4480</v>
      </c>
      <c r="G1425" t="s">
        <v>1077</v>
      </c>
    </row>
    <row r="1426" spans="1:7" hidden="1" x14ac:dyDescent="0.25">
      <c r="A1426" t="s">
        <v>1569</v>
      </c>
      <c r="B1426" t="s">
        <v>70</v>
      </c>
      <c r="F1426" t="s">
        <v>4483</v>
      </c>
      <c r="G1426" t="s">
        <v>1077</v>
      </c>
    </row>
    <row r="1427" spans="1:7" hidden="1" x14ac:dyDescent="0.25">
      <c r="A1427" t="s">
        <v>1569</v>
      </c>
      <c r="B1427" t="s">
        <v>55</v>
      </c>
      <c r="F1427" t="s">
        <v>4486</v>
      </c>
      <c r="G1427" t="s">
        <v>1077</v>
      </c>
    </row>
    <row r="1428" spans="1:7" hidden="1" x14ac:dyDescent="0.25">
      <c r="A1428" t="s">
        <v>262</v>
      </c>
      <c r="B1428" t="s">
        <v>70</v>
      </c>
      <c r="C1428" t="s">
        <v>5027</v>
      </c>
      <c r="F1428" t="s">
        <v>4489</v>
      </c>
      <c r="G1428" t="s">
        <v>1077</v>
      </c>
    </row>
    <row r="1429" spans="1:7" hidden="1" x14ac:dyDescent="0.25">
      <c r="A1429" t="s">
        <v>4</v>
      </c>
      <c r="B1429" t="s">
        <v>8</v>
      </c>
      <c r="F1429" t="s">
        <v>4492</v>
      </c>
      <c r="G1429" t="s">
        <v>1077</v>
      </c>
    </row>
    <row r="1430" spans="1:7" hidden="1" x14ac:dyDescent="0.25">
      <c r="A1430" t="s">
        <v>1967</v>
      </c>
      <c r="F1430" t="s">
        <v>4495</v>
      </c>
      <c r="G1430" t="s">
        <v>1077</v>
      </c>
    </row>
    <row r="1431" spans="1:7" hidden="1" x14ac:dyDescent="0.25">
      <c r="A1431" t="s">
        <v>1578</v>
      </c>
      <c r="B1431" t="s">
        <v>86</v>
      </c>
      <c r="C1431" t="s">
        <v>200</v>
      </c>
      <c r="F1431" t="s">
        <v>5044</v>
      </c>
      <c r="G1431" t="s">
        <v>1078</v>
      </c>
    </row>
    <row r="1432" spans="1:7" hidden="1" x14ac:dyDescent="0.25">
      <c r="A1432" t="s">
        <v>1066</v>
      </c>
      <c r="B1432" t="s">
        <v>4188</v>
      </c>
      <c r="C1432" t="s">
        <v>60</v>
      </c>
      <c r="F1432" t="s">
        <v>5046</v>
      </c>
      <c r="G1432" t="s">
        <v>1078</v>
      </c>
    </row>
    <row r="1433" spans="1:7" hidden="1" x14ac:dyDescent="0.25">
      <c r="A1433" t="s">
        <v>505</v>
      </c>
      <c r="B1433" t="s">
        <v>1570</v>
      </c>
      <c r="C1433" t="s">
        <v>58</v>
      </c>
      <c r="F1433" t="s">
        <v>5048</v>
      </c>
      <c r="G1433" t="s">
        <v>1078</v>
      </c>
    </row>
    <row r="1434" spans="1:7" hidden="1" x14ac:dyDescent="0.25">
      <c r="A1434" t="s">
        <v>1578</v>
      </c>
      <c r="B1434" t="s">
        <v>86</v>
      </c>
      <c r="C1434" t="s">
        <v>200</v>
      </c>
      <c r="F1434" t="s">
        <v>4510</v>
      </c>
      <c r="G1434" t="s">
        <v>1078</v>
      </c>
    </row>
    <row r="1435" spans="1:7" hidden="1" x14ac:dyDescent="0.25">
      <c r="A1435" t="s">
        <v>1066</v>
      </c>
      <c r="B1435" t="s">
        <v>4188</v>
      </c>
      <c r="C1435" t="s">
        <v>200</v>
      </c>
      <c r="F1435" t="s">
        <v>4513</v>
      </c>
      <c r="G1435" t="s">
        <v>1078</v>
      </c>
    </row>
    <row r="1436" spans="1:7" hidden="1" x14ac:dyDescent="0.25">
      <c r="A1436" t="s">
        <v>1066</v>
      </c>
      <c r="B1436" t="s">
        <v>4188</v>
      </c>
      <c r="C1436" t="s">
        <v>200</v>
      </c>
      <c r="F1436" t="s">
        <v>4516</v>
      </c>
      <c r="G1436" t="s">
        <v>1078</v>
      </c>
    </row>
    <row r="1437" spans="1:7" hidden="1" x14ac:dyDescent="0.25">
      <c r="A1437" t="s">
        <v>5043</v>
      </c>
      <c r="B1437" t="s">
        <v>86</v>
      </c>
      <c r="F1437" t="s">
        <v>4519</v>
      </c>
      <c r="G1437" t="s">
        <v>1078</v>
      </c>
    </row>
    <row r="1438" spans="1:7" hidden="1" x14ac:dyDescent="0.25">
      <c r="A1438" t="s">
        <v>4</v>
      </c>
      <c r="B1438" t="s">
        <v>8</v>
      </c>
      <c r="F1438" t="s">
        <v>4522</v>
      </c>
      <c r="G1438" t="s">
        <v>1078</v>
      </c>
    </row>
    <row r="1439" spans="1:7" hidden="1" x14ac:dyDescent="0.25">
      <c r="A1439" t="s">
        <v>5043</v>
      </c>
      <c r="B1439" t="s">
        <v>86</v>
      </c>
      <c r="F1439" t="s">
        <v>4525</v>
      </c>
      <c r="G1439" t="s">
        <v>1078</v>
      </c>
    </row>
    <row r="1440" spans="1:7" hidden="1" x14ac:dyDescent="0.25">
      <c r="A1440" t="s">
        <v>5043</v>
      </c>
      <c r="B1440" t="s">
        <v>86</v>
      </c>
      <c r="F1440" t="s">
        <v>4528</v>
      </c>
      <c r="G1440" t="s">
        <v>1078</v>
      </c>
    </row>
    <row r="1441" spans="1:7" hidden="1" x14ac:dyDescent="0.25">
      <c r="A1441" t="s">
        <v>1967</v>
      </c>
      <c r="B1441" t="s">
        <v>8</v>
      </c>
      <c r="F1441" t="s">
        <v>4531</v>
      </c>
      <c r="G1441" t="s">
        <v>1078</v>
      </c>
    </row>
    <row r="1442" spans="1:7" hidden="1" x14ac:dyDescent="0.25">
      <c r="A1442" t="s">
        <v>261</v>
      </c>
      <c r="B1442" t="s">
        <v>86</v>
      </c>
      <c r="C1442" t="s">
        <v>200</v>
      </c>
      <c r="F1442" t="s">
        <v>4933</v>
      </c>
      <c r="G1442" t="s">
        <v>1079</v>
      </c>
    </row>
    <row r="1443" spans="1:7" hidden="1" x14ac:dyDescent="0.25">
      <c r="A1443" t="s">
        <v>261</v>
      </c>
      <c r="B1443" t="s">
        <v>86</v>
      </c>
      <c r="C1443" t="s">
        <v>200</v>
      </c>
      <c r="F1443" t="s">
        <v>4936</v>
      </c>
      <c r="G1443" t="s">
        <v>1079</v>
      </c>
    </row>
    <row r="1444" spans="1:7" hidden="1" x14ac:dyDescent="0.25">
      <c r="A1444" t="s">
        <v>261</v>
      </c>
      <c r="B1444" t="s">
        <v>86</v>
      </c>
      <c r="C1444" t="s">
        <v>200</v>
      </c>
      <c r="F1444" t="s">
        <v>4939</v>
      </c>
      <c r="G1444" t="s">
        <v>1079</v>
      </c>
    </row>
    <row r="1445" spans="1:7" hidden="1" x14ac:dyDescent="0.25">
      <c r="A1445" t="s">
        <v>1066</v>
      </c>
      <c r="B1445" t="s">
        <v>4188</v>
      </c>
      <c r="C1445" t="s">
        <v>58</v>
      </c>
      <c r="F1445" t="s">
        <v>4942</v>
      </c>
      <c r="G1445" t="s">
        <v>1079</v>
      </c>
    </row>
    <row r="1446" spans="1:7" hidden="1" x14ac:dyDescent="0.25">
      <c r="A1446" t="s">
        <v>261</v>
      </c>
      <c r="B1446" t="s">
        <v>86</v>
      </c>
      <c r="C1446" t="s">
        <v>200</v>
      </c>
      <c r="F1446" t="s">
        <v>4945</v>
      </c>
      <c r="G1446" t="s">
        <v>1079</v>
      </c>
    </row>
    <row r="1447" spans="1:7" hidden="1" x14ac:dyDescent="0.25">
      <c r="A1447" t="s">
        <v>1066</v>
      </c>
      <c r="B1447" t="s">
        <v>4188</v>
      </c>
      <c r="C1447" t="s">
        <v>58</v>
      </c>
      <c r="F1447" t="s">
        <v>4948</v>
      </c>
      <c r="G1447" t="s">
        <v>1079</v>
      </c>
    </row>
    <row r="1448" spans="1:7" hidden="1" x14ac:dyDescent="0.25">
      <c r="A1448" t="s">
        <v>1066</v>
      </c>
      <c r="B1448" t="s">
        <v>503</v>
      </c>
      <c r="C1448" t="s">
        <v>58</v>
      </c>
      <c r="F1448" t="s">
        <v>4951</v>
      </c>
      <c r="G1448" t="s">
        <v>1079</v>
      </c>
    </row>
    <row r="1449" spans="1:7" hidden="1" x14ac:dyDescent="0.25">
      <c r="A1449" t="s">
        <v>4</v>
      </c>
      <c r="B1449" t="s">
        <v>8</v>
      </c>
      <c r="F1449" t="s">
        <v>4954</v>
      </c>
      <c r="G1449" t="s">
        <v>1079</v>
      </c>
    </row>
    <row r="1450" spans="1:7" hidden="1" x14ac:dyDescent="0.25">
      <c r="A1450" t="s">
        <v>261</v>
      </c>
      <c r="B1450" t="s">
        <v>86</v>
      </c>
      <c r="C1450" t="s">
        <v>60</v>
      </c>
      <c r="F1450" t="s">
        <v>4957</v>
      </c>
      <c r="G1450" t="s">
        <v>1079</v>
      </c>
    </row>
    <row r="1451" spans="1:7" hidden="1" x14ac:dyDescent="0.25">
      <c r="A1451" t="s">
        <v>261</v>
      </c>
      <c r="B1451" t="s">
        <v>86</v>
      </c>
      <c r="C1451" t="s">
        <v>60</v>
      </c>
      <c r="F1451" t="s">
        <v>4960</v>
      </c>
      <c r="G1451" t="s">
        <v>1079</v>
      </c>
    </row>
    <row r="1452" spans="1:7" hidden="1" x14ac:dyDescent="0.25">
      <c r="A1452" t="s">
        <v>261</v>
      </c>
      <c r="B1452" t="s">
        <v>86</v>
      </c>
      <c r="C1452" t="s">
        <v>200</v>
      </c>
      <c r="F1452" t="s">
        <v>4963</v>
      </c>
      <c r="G1452" t="s">
        <v>1079</v>
      </c>
    </row>
    <row r="1453" spans="1:7" hidden="1" x14ac:dyDescent="0.25">
      <c r="A1453" t="s">
        <v>4</v>
      </c>
      <c r="B1453" t="s">
        <v>8</v>
      </c>
      <c r="F1453" t="s">
        <v>4966</v>
      </c>
      <c r="G1453" t="s">
        <v>1079</v>
      </c>
    </row>
    <row r="1454" spans="1:7" hidden="1" x14ac:dyDescent="0.25">
      <c r="A1454" t="s">
        <v>261</v>
      </c>
      <c r="B1454" t="s">
        <v>86</v>
      </c>
      <c r="C1454" t="s">
        <v>60</v>
      </c>
      <c r="F1454" t="s">
        <v>4969</v>
      </c>
      <c r="G1454" t="s">
        <v>1079</v>
      </c>
    </row>
    <row r="1455" spans="1:7" hidden="1" x14ac:dyDescent="0.25">
      <c r="A1455" t="s">
        <v>261</v>
      </c>
      <c r="B1455" t="s">
        <v>86</v>
      </c>
      <c r="C1455" t="s">
        <v>60</v>
      </c>
      <c r="F1455" t="s">
        <v>4972</v>
      </c>
      <c r="G1455" t="s">
        <v>1079</v>
      </c>
    </row>
    <row r="1456" spans="1:7" hidden="1" x14ac:dyDescent="0.25">
      <c r="A1456" t="s">
        <v>4</v>
      </c>
      <c r="B1456" t="s">
        <v>8</v>
      </c>
      <c r="F1456" t="s">
        <v>4975</v>
      </c>
      <c r="G1456" t="s">
        <v>1079</v>
      </c>
    </row>
    <row r="1457" spans="1:7" hidden="1" x14ac:dyDescent="0.25">
      <c r="A1457" t="s">
        <v>1066</v>
      </c>
      <c r="B1457" t="s">
        <v>4188</v>
      </c>
      <c r="C1457" t="s">
        <v>60</v>
      </c>
      <c r="F1457" t="s">
        <v>5050</v>
      </c>
      <c r="G1457" t="s">
        <v>1079</v>
      </c>
    </row>
    <row r="1458" spans="1:7" hidden="1" x14ac:dyDescent="0.25">
      <c r="A1458" t="s">
        <v>1066</v>
      </c>
      <c r="B1458" t="s">
        <v>4188</v>
      </c>
      <c r="C1458" t="s">
        <v>200</v>
      </c>
      <c r="F1458" t="s">
        <v>5053</v>
      </c>
      <c r="G1458" t="s">
        <v>1079</v>
      </c>
    </row>
    <row r="1459" spans="1:7" hidden="1" x14ac:dyDescent="0.25">
      <c r="A1459" t="s">
        <v>1066</v>
      </c>
      <c r="B1459" t="s">
        <v>4188</v>
      </c>
      <c r="C1459" t="s">
        <v>200</v>
      </c>
      <c r="F1459" t="s">
        <v>5056</v>
      </c>
      <c r="G1459" t="s">
        <v>1079</v>
      </c>
    </row>
    <row r="1460" spans="1:7" hidden="1" x14ac:dyDescent="0.25">
      <c r="A1460" t="s">
        <v>4</v>
      </c>
      <c r="B1460" t="s">
        <v>8</v>
      </c>
      <c r="E1460" t="s">
        <v>2891</v>
      </c>
      <c r="F1460" t="s">
        <v>5059</v>
      </c>
      <c r="G1460" t="s">
        <v>1079</v>
      </c>
    </row>
    <row r="1461" spans="1:7" hidden="1" x14ac:dyDescent="0.25">
      <c r="A1461" t="s">
        <v>4</v>
      </c>
      <c r="B1461" t="s">
        <v>8</v>
      </c>
      <c r="E1461" t="s">
        <v>2891</v>
      </c>
      <c r="F1461" t="s">
        <v>5062</v>
      </c>
      <c r="G1461" t="s">
        <v>1079</v>
      </c>
    </row>
    <row r="1462" spans="1:7" hidden="1" x14ac:dyDescent="0.25">
      <c r="A1462" t="s">
        <v>4</v>
      </c>
      <c r="B1462" t="s">
        <v>8</v>
      </c>
      <c r="E1462" t="s">
        <v>2891</v>
      </c>
      <c r="F1462" t="s">
        <v>5065</v>
      </c>
      <c r="G1462" t="s">
        <v>1079</v>
      </c>
    </row>
    <row r="1463" spans="1:7" hidden="1" x14ac:dyDescent="0.25">
      <c r="A1463" t="s">
        <v>4</v>
      </c>
      <c r="B1463" t="s">
        <v>8</v>
      </c>
      <c r="E1463" t="s">
        <v>2891</v>
      </c>
      <c r="F1463" t="s">
        <v>4978</v>
      </c>
      <c r="G1463" t="s">
        <v>1079</v>
      </c>
    </row>
    <row r="1464" spans="1:7" hidden="1" x14ac:dyDescent="0.25">
      <c r="A1464" t="s">
        <v>4</v>
      </c>
      <c r="B1464" t="s">
        <v>8</v>
      </c>
      <c r="E1464" t="s">
        <v>2891</v>
      </c>
      <c r="F1464" t="s">
        <v>4981</v>
      </c>
      <c r="G1464" t="s">
        <v>1079</v>
      </c>
    </row>
    <row r="1465" spans="1:7" hidden="1" x14ac:dyDescent="0.25">
      <c r="A1465" t="s">
        <v>4</v>
      </c>
      <c r="B1465" t="s">
        <v>8</v>
      </c>
      <c r="E1465" t="s">
        <v>2891</v>
      </c>
      <c r="F1465" t="s">
        <v>4984</v>
      </c>
      <c r="G1465" t="s">
        <v>1079</v>
      </c>
    </row>
    <row r="1466" spans="1:7" hidden="1" x14ac:dyDescent="0.25">
      <c r="A1466" t="s">
        <v>261</v>
      </c>
      <c r="B1466" t="s">
        <v>86</v>
      </c>
      <c r="C1466" t="s">
        <v>200</v>
      </c>
      <c r="F1466" t="s">
        <v>4987</v>
      </c>
      <c r="G1466" t="s">
        <v>1079</v>
      </c>
    </row>
    <row r="1467" spans="1:7" hidden="1" x14ac:dyDescent="0.25">
      <c r="A1467" t="s">
        <v>261</v>
      </c>
      <c r="B1467" t="s">
        <v>86</v>
      </c>
      <c r="C1467" t="s">
        <v>200</v>
      </c>
      <c r="F1467" t="s">
        <v>4990</v>
      </c>
      <c r="G1467" t="s">
        <v>1079</v>
      </c>
    </row>
    <row r="1468" spans="1:7" hidden="1" x14ac:dyDescent="0.25">
      <c r="A1468" t="s">
        <v>261</v>
      </c>
      <c r="B1468" t="s">
        <v>86</v>
      </c>
      <c r="C1468" t="s">
        <v>200</v>
      </c>
      <c r="F1468" t="s">
        <v>4993</v>
      </c>
      <c r="G1468" t="s">
        <v>1079</v>
      </c>
    </row>
    <row r="1469" spans="1:7" hidden="1" x14ac:dyDescent="0.25">
      <c r="A1469" t="s">
        <v>261</v>
      </c>
      <c r="B1469" t="s">
        <v>86</v>
      </c>
      <c r="C1469" t="s">
        <v>200</v>
      </c>
      <c r="F1469" t="s">
        <v>4996</v>
      </c>
      <c r="G1469" t="s">
        <v>1079</v>
      </c>
    </row>
    <row r="1470" spans="1:7" hidden="1" x14ac:dyDescent="0.25">
      <c r="A1470" t="s">
        <v>261</v>
      </c>
      <c r="B1470" t="s">
        <v>86</v>
      </c>
      <c r="C1470" t="s">
        <v>200</v>
      </c>
      <c r="F1470" t="s">
        <v>4999</v>
      </c>
      <c r="G1470" t="s">
        <v>1079</v>
      </c>
    </row>
    <row r="1471" spans="1:7" hidden="1" x14ac:dyDescent="0.25">
      <c r="A1471" t="s">
        <v>5068</v>
      </c>
      <c r="F1471" t="s">
        <v>5002</v>
      </c>
      <c r="G1471" t="s">
        <v>1079</v>
      </c>
    </row>
    <row r="1472" spans="1:7" hidden="1" x14ac:dyDescent="0.25">
      <c r="A1472" t="s">
        <v>1967</v>
      </c>
      <c r="F1472" t="s">
        <v>5005</v>
      </c>
      <c r="G1472" t="s">
        <v>1079</v>
      </c>
    </row>
    <row r="1473" spans="1:7" hidden="1" x14ac:dyDescent="0.25">
      <c r="A1473" t="s">
        <v>4</v>
      </c>
      <c r="B1473" t="s">
        <v>9</v>
      </c>
      <c r="F1473" t="s">
        <v>4534</v>
      </c>
      <c r="G1473" t="s">
        <v>768</v>
      </c>
    </row>
    <row r="1474" spans="1:7" hidden="1" x14ac:dyDescent="0.25">
      <c r="A1474" t="s">
        <v>766</v>
      </c>
      <c r="B1474" t="s">
        <v>5069</v>
      </c>
      <c r="F1474" t="s">
        <v>4537</v>
      </c>
      <c r="G1474" t="s">
        <v>768</v>
      </c>
    </row>
    <row r="1475" spans="1:7" hidden="1" x14ac:dyDescent="0.25">
      <c r="A1475" t="s">
        <v>4</v>
      </c>
      <c r="B1475" t="s">
        <v>53</v>
      </c>
      <c r="F1475" t="s">
        <v>4540</v>
      </c>
      <c r="G1475" t="s">
        <v>768</v>
      </c>
    </row>
    <row r="1476" spans="1:7" hidden="1" x14ac:dyDescent="0.25">
      <c r="A1476" t="s">
        <v>1967</v>
      </c>
      <c r="B1476" t="s">
        <v>8</v>
      </c>
      <c r="F1476" t="s">
        <v>4543</v>
      </c>
      <c r="G1476" t="s">
        <v>768</v>
      </c>
    </row>
    <row r="1477" spans="1:7" hidden="1" x14ac:dyDescent="0.25">
      <c r="A1477" t="s">
        <v>1967</v>
      </c>
      <c r="B1477" t="s">
        <v>8</v>
      </c>
      <c r="F1477" t="s">
        <v>4546</v>
      </c>
      <c r="G1477" t="s">
        <v>768</v>
      </c>
    </row>
    <row r="1478" spans="1:7" hidden="1" x14ac:dyDescent="0.25">
      <c r="A1478" t="s">
        <v>1987</v>
      </c>
      <c r="B1478" t="s">
        <v>768</v>
      </c>
      <c r="F1478" t="s">
        <v>4549</v>
      </c>
      <c r="G1478" t="s">
        <v>768</v>
      </c>
    </row>
    <row r="1479" spans="1:7" hidden="1" x14ac:dyDescent="0.25">
      <c r="A1479" t="s">
        <v>1987</v>
      </c>
      <c r="B1479" t="s">
        <v>768</v>
      </c>
      <c r="F1479" t="s">
        <v>4552</v>
      </c>
      <c r="G1479" t="s">
        <v>768</v>
      </c>
    </row>
    <row r="1480" spans="1:7" hidden="1" x14ac:dyDescent="0.25">
      <c r="A1480" t="s">
        <v>1967</v>
      </c>
      <c r="B1480" t="s">
        <v>8</v>
      </c>
      <c r="F1480" t="s">
        <v>4555</v>
      </c>
      <c r="G1480" t="s">
        <v>768</v>
      </c>
    </row>
    <row r="1481" spans="1:7" hidden="1" x14ac:dyDescent="0.25">
      <c r="A1481" t="s">
        <v>1967</v>
      </c>
      <c r="B1481" t="s">
        <v>8</v>
      </c>
      <c r="F1481" t="s">
        <v>4558</v>
      </c>
      <c r="G1481" t="s">
        <v>768</v>
      </c>
    </row>
    <row r="1482" spans="1:7" hidden="1" x14ac:dyDescent="0.25">
      <c r="A1482" t="s">
        <v>4</v>
      </c>
      <c r="B1482" t="s">
        <v>9</v>
      </c>
      <c r="F1482" t="s">
        <v>4561</v>
      </c>
      <c r="G1482" t="s">
        <v>1072</v>
      </c>
    </row>
    <row r="1483" spans="1:7" hidden="1" x14ac:dyDescent="0.25">
      <c r="A1483" t="s">
        <v>5070</v>
      </c>
      <c r="B1483" t="s">
        <v>5069</v>
      </c>
      <c r="F1483" t="s">
        <v>4564</v>
      </c>
      <c r="G1483" t="s">
        <v>1072</v>
      </c>
    </row>
    <row r="1484" spans="1:7" hidden="1" x14ac:dyDescent="0.25">
      <c r="A1484" t="s">
        <v>5070</v>
      </c>
      <c r="B1484" t="s">
        <v>5069</v>
      </c>
      <c r="E1484" t="s">
        <v>2891</v>
      </c>
      <c r="F1484" t="s">
        <v>4567</v>
      </c>
      <c r="G1484" t="s">
        <v>1072</v>
      </c>
    </row>
    <row r="1485" spans="1:7" hidden="1" x14ac:dyDescent="0.25">
      <c r="A1485" t="s">
        <v>1063</v>
      </c>
      <c r="B1485" t="s">
        <v>5071</v>
      </c>
      <c r="C1485" t="s">
        <v>1071</v>
      </c>
      <c r="F1485" t="s">
        <v>4570</v>
      </c>
      <c r="G1485" t="s">
        <v>1072</v>
      </c>
    </row>
    <row r="1486" spans="1:7" hidden="1" x14ac:dyDescent="0.25">
      <c r="A1486" t="s">
        <v>1063</v>
      </c>
      <c r="B1486" t="s">
        <v>5071</v>
      </c>
      <c r="C1486" t="s">
        <v>1071</v>
      </c>
      <c r="E1486" t="s">
        <v>2891</v>
      </c>
      <c r="F1486" t="s">
        <v>4573</v>
      </c>
      <c r="G1486" t="s">
        <v>1072</v>
      </c>
    </row>
    <row r="1487" spans="1:7" hidden="1" x14ac:dyDescent="0.25">
      <c r="A1487" t="s">
        <v>4</v>
      </c>
      <c r="B1487" t="s">
        <v>9</v>
      </c>
      <c r="F1487" t="s">
        <v>4576</v>
      </c>
      <c r="G1487" t="s">
        <v>1072</v>
      </c>
    </row>
    <row r="1488" spans="1:7" hidden="1" x14ac:dyDescent="0.25">
      <c r="A1488" t="s">
        <v>4</v>
      </c>
      <c r="B1488" t="s">
        <v>9</v>
      </c>
      <c r="E1488" t="s">
        <v>2891</v>
      </c>
      <c r="F1488" t="s">
        <v>4579</v>
      </c>
      <c r="G1488" t="s">
        <v>1072</v>
      </c>
    </row>
    <row r="1489" spans="1:7" hidden="1" x14ac:dyDescent="0.25">
      <c r="A1489" t="s">
        <v>4</v>
      </c>
      <c r="B1489" t="s">
        <v>9</v>
      </c>
      <c r="E1489" t="s">
        <v>2891</v>
      </c>
      <c r="F1489" t="s">
        <v>4582</v>
      </c>
      <c r="G1489" t="s">
        <v>1072</v>
      </c>
    </row>
    <row r="1490" spans="1:7" hidden="1" x14ac:dyDescent="0.25">
      <c r="A1490" t="s">
        <v>4</v>
      </c>
      <c r="B1490" t="s">
        <v>9</v>
      </c>
      <c r="E1490" t="s">
        <v>2891</v>
      </c>
      <c r="F1490" t="s">
        <v>4585</v>
      </c>
      <c r="G1490" t="s">
        <v>1072</v>
      </c>
    </row>
    <row r="1491" spans="1:7" hidden="1" x14ac:dyDescent="0.25">
      <c r="A1491" t="s">
        <v>4</v>
      </c>
      <c r="B1491" t="s">
        <v>9</v>
      </c>
      <c r="E1491" t="s">
        <v>2891</v>
      </c>
      <c r="F1491" t="s">
        <v>4588</v>
      </c>
      <c r="G1491" t="s">
        <v>1072</v>
      </c>
    </row>
    <row r="1492" spans="1:7" hidden="1" x14ac:dyDescent="0.25">
      <c r="A1492" t="s">
        <v>4</v>
      </c>
      <c r="B1492" t="s">
        <v>9</v>
      </c>
      <c r="E1492" t="s">
        <v>2891</v>
      </c>
      <c r="F1492" t="s">
        <v>4591</v>
      </c>
      <c r="G1492" t="s">
        <v>1072</v>
      </c>
    </row>
    <row r="1493" spans="1:7" hidden="1" x14ac:dyDescent="0.25">
      <c r="A1493" t="s">
        <v>4</v>
      </c>
      <c r="B1493" t="s">
        <v>9</v>
      </c>
      <c r="E1493" t="s">
        <v>2891</v>
      </c>
      <c r="F1493" t="s">
        <v>4594</v>
      </c>
      <c r="G1493" t="s">
        <v>1072</v>
      </c>
    </row>
    <row r="1494" spans="1:7" hidden="1" x14ac:dyDescent="0.25">
      <c r="A1494" t="s">
        <v>4</v>
      </c>
      <c r="B1494" t="s">
        <v>9</v>
      </c>
      <c r="E1494" t="s">
        <v>2891</v>
      </c>
      <c r="F1494" t="s">
        <v>4597</v>
      </c>
      <c r="G1494" t="s">
        <v>1072</v>
      </c>
    </row>
    <row r="1495" spans="1:7" hidden="1" x14ac:dyDescent="0.25">
      <c r="A1495" t="s">
        <v>4</v>
      </c>
      <c r="B1495" t="s">
        <v>9</v>
      </c>
      <c r="E1495" t="s">
        <v>2891</v>
      </c>
      <c r="F1495" t="s">
        <v>4600</v>
      </c>
      <c r="G1495" t="s">
        <v>1072</v>
      </c>
    </row>
    <row r="1496" spans="1:7" hidden="1" x14ac:dyDescent="0.25">
      <c r="A1496" t="s">
        <v>4</v>
      </c>
      <c r="B1496" t="s">
        <v>9</v>
      </c>
      <c r="E1496" t="s">
        <v>2891</v>
      </c>
      <c r="F1496" t="s">
        <v>4603</v>
      </c>
      <c r="G1496" t="s">
        <v>1072</v>
      </c>
    </row>
    <row r="1497" spans="1:7" hidden="1" x14ac:dyDescent="0.25">
      <c r="A1497" t="s">
        <v>4</v>
      </c>
      <c r="B1497" t="s">
        <v>9</v>
      </c>
      <c r="E1497" t="s">
        <v>2891</v>
      </c>
      <c r="F1497" t="s">
        <v>4606</v>
      </c>
      <c r="G1497" t="s">
        <v>1072</v>
      </c>
    </row>
    <row r="1498" spans="1:7" hidden="1" x14ac:dyDescent="0.25">
      <c r="A1498" t="s">
        <v>4</v>
      </c>
      <c r="B1498" t="s">
        <v>9</v>
      </c>
      <c r="E1498" t="s">
        <v>2891</v>
      </c>
      <c r="F1498" t="s">
        <v>4609</v>
      </c>
      <c r="G1498" t="s">
        <v>1072</v>
      </c>
    </row>
    <row r="1499" spans="1:7" hidden="1" x14ac:dyDescent="0.25">
      <c r="A1499" t="s">
        <v>1063</v>
      </c>
      <c r="B1499" t="s">
        <v>1570</v>
      </c>
      <c r="C1499" t="s">
        <v>58</v>
      </c>
      <c r="F1499" t="s">
        <v>4612</v>
      </c>
      <c r="G1499" t="s">
        <v>1072</v>
      </c>
    </row>
    <row r="1500" spans="1:7" hidden="1" x14ac:dyDescent="0.25">
      <c r="A1500" t="s">
        <v>4</v>
      </c>
      <c r="B1500" t="s">
        <v>9</v>
      </c>
      <c r="E1500" t="s">
        <v>2891</v>
      </c>
      <c r="F1500" t="s">
        <v>4615</v>
      </c>
      <c r="G1500" t="s">
        <v>1072</v>
      </c>
    </row>
    <row r="1501" spans="1:7" hidden="1" x14ac:dyDescent="0.25">
      <c r="A1501" t="s">
        <v>1063</v>
      </c>
      <c r="B1501" t="s">
        <v>1570</v>
      </c>
      <c r="C1501" t="s">
        <v>58</v>
      </c>
      <c r="F1501" t="s">
        <v>4618</v>
      </c>
      <c r="G1501" t="s">
        <v>1072</v>
      </c>
    </row>
    <row r="1502" spans="1:7" hidden="1" x14ac:dyDescent="0.25">
      <c r="A1502" t="s">
        <v>4</v>
      </c>
      <c r="B1502" t="s">
        <v>9</v>
      </c>
      <c r="E1502" t="s">
        <v>2891</v>
      </c>
      <c r="F1502" t="s">
        <v>4621</v>
      </c>
      <c r="G1502" t="s">
        <v>1072</v>
      </c>
    </row>
    <row r="1503" spans="1:7" hidden="1" x14ac:dyDescent="0.25">
      <c r="A1503" t="s">
        <v>1063</v>
      </c>
      <c r="B1503" t="s">
        <v>1570</v>
      </c>
      <c r="C1503" t="s">
        <v>58</v>
      </c>
      <c r="F1503" t="s">
        <v>4624</v>
      </c>
      <c r="G1503" t="s">
        <v>1072</v>
      </c>
    </row>
    <row r="1504" spans="1:7" hidden="1" x14ac:dyDescent="0.25">
      <c r="A1504" t="s">
        <v>4</v>
      </c>
      <c r="B1504" t="s">
        <v>9</v>
      </c>
      <c r="E1504" t="s">
        <v>2891</v>
      </c>
      <c r="F1504" t="s">
        <v>4627</v>
      </c>
      <c r="G1504" t="s">
        <v>1072</v>
      </c>
    </row>
    <row r="1505" spans="1:7" hidden="1" x14ac:dyDescent="0.25">
      <c r="A1505" t="s">
        <v>1063</v>
      </c>
      <c r="B1505" t="s">
        <v>1570</v>
      </c>
      <c r="C1505" t="s">
        <v>58</v>
      </c>
      <c r="F1505" t="s">
        <v>4630</v>
      </c>
      <c r="G1505" t="s">
        <v>1072</v>
      </c>
    </row>
    <row r="1506" spans="1:7" hidden="1" x14ac:dyDescent="0.25">
      <c r="A1506" t="s">
        <v>4</v>
      </c>
      <c r="B1506" t="s">
        <v>9</v>
      </c>
      <c r="F1506" t="s">
        <v>4633</v>
      </c>
      <c r="G1506" t="s">
        <v>1072</v>
      </c>
    </row>
    <row r="1507" spans="1:7" hidden="1" x14ac:dyDescent="0.25">
      <c r="A1507" t="s">
        <v>4</v>
      </c>
      <c r="B1507" t="s">
        <v>9</v>
      </c>
      <c r="E1507" t="s">
        <v>2891</v>
      </c>
      <c r="F1507" t="s">
        <v>4636</v>
      </c>
      <c r="G1507" t="s">
        <v>1072</v>
      </c>
    </row>
    <row r="1508" spans="1:7" hidden="1" x14ac:dyDescent="0.25">
      <c r="A1508" t="s">
        <v>4</v>
      </c>
      <c r="B1508" t="s">
        <v>9</v>
      </c>
      <c r="E1508" t="s">
        <v>2891</v>
      </c>
      <c r="F1508" t="s">
        <v>4639</v>
      </c>
      <c r="G1508" t="s">
        <v>1072</v>
      </c>
    </row>
    <row r="1509" spans="1:7" hidden="1" x14ac:dyDescent="0.25">
      <c r="A1509" t="s">
        <v>4</v>
      </c>
      <c r="B1509" t="s">
        <v>9</v>
      </c>
      <c r="E1509" t="s">
        <v>2891</v>
      </c>
      <c r="F1509" t="s">
        <v>4642</v>
      </c>
      <c r="G1509" t="s">
        <v>1072</v>
      </c>
    </row>
    <row r="1510" spans="1:7" hidden="1" x14ac:dyDescent="0.25">
      <c r="A1510" t="s">
        <v>4</v>
      </c>
      <c r="B1510" t="s">
        <v>9</v>
      </c>
      <c r="E1510" t="s">
        <v>2891</v>
      </c>
      <c r="F1510" t="s">
        <v>4645</v>
      </c>
      <c r="G1510" t="s">
        <v>1072</v>
      </c>
    </row>
    <row r="1511" spans="1:7" hidden="1" x14ac:dyDescent="0.25">
      <c r="A1511" t="s">
        <v>4</v>
      </c>
      <c r="B1511" t="s">
        <v>9</v>
      </c>
      <c r="E1511" t="s">
        <v>2891</v>
      </c>
      <c r="F1511" t="s">
        <v>4648</v>
      </c>
      <c r="G1511" t="s">
        <v>1072</v>
      </c>
    </row>
    <row r="1512" spans="1:7" hidden="1" x14ac:dyDescent="0.25">
      <c r="A1512" t="s">
        <v>1063</v>
      </c>
      <c r="B1512" t="s">
        <v>503</v>
      </c>
      <c r="C1512" t="s">
        <v>2899</v>
      </c>
      <c r="F1512" t="s">
        <v>4651</v>
      </c>
      <c r="G1512" t="s">
        <v>1072</v>
      </c>
    </row>
    <row r="1513" spans="1:7" hidden="1" x14ac:dyDescent="0.25">
      <c r="A1513" t="s">
        <v>4</v>
      </c>
      <c r="B1513" t="s">
        <v>9</v>
      </c>
      <c r="E1513" t="s">
        <v>2891</v>
      </c>
      <c r="F1513" t="s">
        <v>4654</v>
      </c>
      <c r="G1513" t="s">
        <v>1072</v>
      </c>
    </row>
    <row r="1514" spans="1:7" hidden="1" x14ac:dyDescent="0.25">
      <c r="A1514" t="s">
        <v>1063</v>
      </c>
      <c r="B1514" t="s">
        <v>1570</v>
      </c>
      <c r="C1514" t="s">
        <v>58</v>
      </c>
      <c r="F1514" t="s">
        <v>4657</v>
      </c>
      <c r="G1514" t="s">
        <v>1072</v>
      </c>
    </row>
    <row r="1515" spans="1:7" hidden="1" x14ac:dyDescent="0.25">
      <c r="A1515" t="s">
        <v>4</v>
      </c>
      <c r="B1515" t="s">
        <v>9</v>
      </c>
      <c r="E1515" t="s">
        <v>2891</v>
      </c>
      <c r="F1515" t="s">
        <v>4660</v>
      </c>
      <c r="G1515" t="s">
        <v>1072</v>
      </c>
    </row>
    <row r="1516" spans="1:7" hidden="1" x14ac:dyDescent="0.25">
      <c r="A1516" t="s">
        <v>1063</v>
      </c>
      <c r="B1516" t="s">
        <v>1570</v>
      </c>
      <c r="C1516" t="s">
        <v>58</v>
      </c>
      <c r="F1516" t="s">
        <v>4663</v>
      </c>
      <c r="G1516" t="s">
        <v>1072</v>
      </c>
    </row>
    <row r="1517" spans="1:7" hidden="1" x14ac:dyDescent="0.25">
      <c r="A1517" t="s">
        <v>4</v>
      </c>
      <c r="B1517" t="s">
        <v>9</v>
      </c>
      <c r="E1517" t="s">
        <v>2891</v>
      </c>
      <c r="F1517" t="s">
        <v>4666</v>
      </c>
      <c r="G1517" t="s">
        <v>1072</v>
      </c>
    </row>
    <row r="1518" spans="1:7" hidden="1" x14ac:dyDescent="0.25">
      <c r="A1518" t="s">
        <v>4</v>
      </c>
      <c r="B1518" t="s">
        <v>9</v>
      </c>
      <c r="E1518" t="s">
        <v>2891</v>
      </c>
      <c r="F1518" t="s">
        <v>4669</v>
      </c>
      <c r="G1518" t="s">
        <v>1072</v>
      </c>
    </row>
    <row r="1519" spans="1:7" hidden="1" x14ac:dyDescent="0.25">
      <c r="A1519" t="s">
        <v>4</v>
      </c>
      <c r="B1519" t="s">
        <v>9</v>
      </c>
      <c r="E1519" t="s">
        <v>2891</v>
      </c>
      <c r="F1519" t="s">
        <v>4672</v>
      </c>
      <c r="G1519" t="s">
        <v>1072</v>
      </c>
    </row>
    <row r="1520" spans="1:7" hidden="1" x14ac:dyDescent="0.25">
      <c r="A1520" t="s">
        <v>4</v>
      </c>
      <c r="B1520" t="s">
        <v>9</v>
      </c>
      <c r="E1520" t="s">
        <v>2891</v>
      </c>
      <c r="F1520" t="s">
        <v>4675</v>
      </c>
      <c r="G1520" t="s">
        <v>1072</v>
      </c>
    </row>
    <row r="1521" spans="1:7" hidden="1" x14ac:dyDescent="0.25">
      <c r="A1521" t="s">
        <v>4</v>
      </c>
      <c r="B1521" t="s">
        <v>9</v>
      </c>
      <c r="E1521" t="s">
        <v>2891</v>
      </c>
      <c r="F1521" t="s">
        <v>4678</v>
      </c>
      <c r="G1521" t="s">
        <v>1072</v>
      </c>
    </row>
    <row r="1522" spans="1:7" hidden="1" x14ac:dyDescent="0.25">
      <c r="A1522" t="s">
        <v>4</v>
      </c>
      <c r="B1522" t="s">
        <v>9</v>
      </c>
      <c r="E1522" t="s">
        <v>2891</v>
      </c>
      <c r="F1522" t="s">
        <v>4681</v>
      </c>
      <c r="G1522" t="s">
        <v>1072</v>
      </c>
    </row>
    <row r="1523" spans="1:7" hidden="1" x14ac:dyDescent="0.25">
      <c r="A1523" t="s">
        <v>4</v>
      </c>
      <c r="B1523" t="s">
        <v>9</v>
      </c>
      <c r="E1523" t="s">
        <v>2891</v>
      </c>
      <c r="F1523" t="s">
        <v>4684</v>
      </c>
      <c r="G1523" t="s">
        <v>1072</v>
      </c>
    </row>
    <row r="1524" spans="1:7" hidden="1" x14ac:dyDescent="0.25">
      <c r="A1524" t="s">
        <v>4</v>
      </c>
      <c r="B1524" t="s">
        <v>503</v>
      </c>
      <c r="C1524" t="s">
        <v>1071</v>
      </c>
      <c r="E1524" t="s">
        <v>5072</v>
      </c>
      <c r="F1524" t="s">
        <v>4687</v>
      </c>
      <c r="G1524" t="s">
        <v>1072</v>
      </c>
    </row>
    <row r="1525" spans="1:7" hidden="1" x14ac:dyDescent="0.25">
      <c r="A1525" t="s">
        <v>4</v>
      </c>
      <c r="B1525" t="s">
        <v>9</v>
      </c>
      <c r="E1525" t="s">
        <v>2891</v>
      </c>
      <c r="F1525" t="s">
        <v>4690</v>
      </c>
      <c r="G1525" t="s">
        <v>1072</v>
      </c>
    </row>
    <row r="1526" spans="1:7" hidden="1" x14ac:dyDescent="0.25">
      <c r="A1526" t="s">
        <v>1063</v>
      </c>
      <c r="B1526" t="s">
        <v>1570</v>
      </c>
      <c r="C1526" t="s">
        <v>58</v>
      </c>
      <c r="F1526" t="s">
        <v>4693</v>
      </c>
      <c r="G1526" t="s">
        <v>1072</v>
      </c>
    </row>
    <row r="1527" spans="1:7" hidden="1" x14ac:dyDescent="0.25">
      <c r="A1527" t="s">
        <v>4</v>
      </c>
      <c r="B1527" t="s">
        <v>9</v>
      </c>
      <c r="E1527" t="s">
        <v>2891</v>
      </c>
      <c r="F1527" t="s">
        <v>4696</v>
      </c>
      <c r="G1527" t="s">
        <v>1072</v>
      </c>
    </row>
    <row r="1528" spans="1:7" hidden="1" x14ac:dyDescent="0.25">
      <c r="A1528" t="s">
        <v>1063</v>
      </c>
      <c r="B1528" t="s">
        <v>1570</v>
      </c>
      <c r="C1528" t="s">
        <v>58</v>
      </c>
      <c r="F1528" t="s">
        <v>4699</v>
      </c>
      <c r="G1528" t="s">
        <v>1072</v>
      </c>
    </row>
    <row r="1529" spans="1:7" hidden="1" x14ac:dyDescent="0.25">
      <c r="A1529" t="s">
        <v>4</v>
      </c>
      <c r="B1529" t="s">
        <v>9</v>
      </c>
      <c r="E1529" t="s">
        <v>2891</v>
      </c>
      <c r="F1529" t="s">
        <v>4702</v>
      </c>
      <c r="G1529" t="s">
        <v>1072</v>
      </c>
    </row>
    <row r="1530" spans="1:7" hidden="1" x14ac:dyDescent="0.25">
      <c r="A1530" t="s">
        <v>4</v>
      </c>
      <c r="B1530" t="s">
        <v>9</v>
      </c>
      <c r="E1530" t="s">
        <v>2891</v>
      </c>
      <c r="F1530" t="s">
        <v>4705</v>
      </c>
      <c r="G1530" t="s">
        <v>1072</v>
      </c>
    </row>
    <row r="1531" spans="1:7" hidden="1" x14ac:dyDescent="0.25">
      <c r="A1531" t="s">
        <v>4</v>
      </c>
      <c r="B1531" t="s">
        <v>9</v>
      </c>
      <c r="E1531" t="s">
        <v>2891</v>
      </c>
      <c r="F1531" t="s">
        <v>4708</v>
      </c>
      <c r="G1531" t="s">
        <v>1072</v>
      </c>
    </row>
    <row r="1532" spans="1:7" hidden="1" x14ac:dyDescent="0.25">
      <c r="A1532" t="s">
        <v>4</v>
      </c>
      <c r="B1532" t="s">
        <v>9</v>
      </c>
      <c r="E1532" t="s">
        <v>2891</v>
      </c>
      <c r="F1532" t="s">
        <v>4711</v>
      </c>
      <c r="G1532" t="s">
        <v>1072</v>
      </c>
    </row>
    <row r="1533" spans="1:7" hidden="1" x14ac:dyDescent="0.25">
      <c r="A1533" t="s">
        <v>4</v>
      </c>
      <c r="B1533" t="s">
        <v>9</v>
      </c>
      <c r="E1533" t="s">
        <v>2891</v>
      </c>
      <c r="F1533" t="s">
        <v>4714</v>
      </c>
      <c r="G1533" t="s">
        <v>1072</v>
      </c>
    </row>
    <row r="1534" spans="1:7" hidden="1" x14ac:dyDescent="0.25">
      <c r="A1534" t="s">
        <v>1063</v>
      </c>
      <c r="B1534" t="s">
        <v>1570</v>
      </c>
      <c r="C1534" t="s">
        <v>58</v>
      </c>
      <c r="F1534" t="s">
        <v>4717</v>
      </c>
      <c r="G1534" t="s">
        <v>1072</v>
      </c>
    </row>
    <row r="1535" spans="1:7" hidden="1" x14ac:dyDescent="0.25">
      <c r="A1535" t="s">
        <v>4</v>
      </c>
      <c r="B1535" t="s">
        <v>9</v>
      </c>
      <c r="E1535" t="s">
        <v>2891</v>
      </c>
      <c r="F1535" t="s">
        <v>4720</v>
      </c>
      <c r="G1535" t="s">
        <v>1072</v>
      </c>
    </row>
    <row r="1536" spans="1:7" hidden="1" x14ac:dyDescent="0.25">
      <c r="A1536" t="s">
        <v>1063</v>
      </c>
      <c r="B1536" t="s">
        <v>1570</v>
      </c>
      <c r="C1536" t="s">
        <v>58</v>
      </c>
      <c r="F1536" t="s">
        <v>4723</v>
      </c>
      <c r="G1536" t="s">
        <v>1072</v>
      </c>
    </row>
    <row r="1537" spans="1:7" hidden="1" x14ac:dyDescent="0.25">
      <c r="A1537" t="s">
        <v>4</v>
      </c>
      <c r="B1537" t="s">
        <v>9</v>
      </c>
      <c r="E1537" t="s">
        <v>2891</v>
      </c>
      <c r="F1537" t="s">
        <v>4726</v>
      </c>
      <c r="G1537" t="s">
        <v>1072</v>
      </c>
    </row>
    <row r="1538" spans="1:7" hidden="1" x14ac:dyDescent="0.25">
      <c r="A1538" t="s">
        <v>4</v>
      </c>
      <c r="B1538" t="s">
        <v>9</v>
      </c>
      <c r="E1538" t="s">
        <v>2891</v>
      </c>
      <c r="F1538" t="s">
        <v>4729</v>
      </c>
      <c r="G1538" t="s">
        <v>1072</v>
      </c>
    </row>
    <row r="1539" spans="1:7" hidden="1" x14ac:dyDescent="0.25">
      <c r="A1539" t="s">
        <v>4</v>
      </c>
      <c r="B1539" t="s">
        <v>9</v>
      </c>
      <c r="E1539" t="s">
        <v>2891</v>
      </c>
      <c r="F1539" t="s">
        <v>4732</v>
      </c>
      <c r="G1539" t="s">
        <v>1072</v>
      </c>
    </row>
    <row r="1540" spans="1:7" hidden="1" x14ac:dyDescent="0.25">
      <c r="A1540" t="s">
        <v>4</v>
      </c>
      <c r="B1540" t="s">
        <v>9</v>
      </c>
      <c r="E1540" t="s">
        <v>2891</v>
      </c>
      <c r="F1540" t="s">
        <v>4735</v>
      </c>
      <c r="G1540" t="s">
        <v>1072</v>
      </c>
    </row>
    <row r="1541" spans="1:7" hidden="1" x14ac:dyDescent="0.25">
      <c r="A1541" t="s">
        <v>4</v>
      </c>
      <c r="B1541" t="s">
        <v>9</v>
      </c>
      <c r="E1541" t="s">
        <v>2891</v>
      </c>
      <c r="F1541" t="s">
        <v>4738</v>
      </c>
      <c r="G1541" t="s">
        <v>1072</v>
      </c>
    </row>
    <row r="1542" spans="1:7" hidden="1" x14ac:dyDescent="0.25">
      <c r="A1542" t="s">
        <v>4</v>
      </c>
      <c r="B1542" t="s">
        <v>9</v>
      </c>
      <c r="E1542" t="s">
        <v>2891</v>
      </c>
      <c r="F1542" t="s">
        <v>4741</v>
      </c>
      <c r="G1542" t="s">
        <v>1072</v>
      </c>
    </row>
    <row r="1543" spans="1:7" hidden="1" x14ac:dyDescent="0.25">
      <c r="A1543" t="s">
        <v>4</v>
      </c>
      <c r="B1543" t="s">
        <v>9</v>
      </c>
      <c r="E1543" t="s">
        <v>2891</v>
      </c>
      <c r="F1543" t="s">
        <v>4744</v>
      </c>
      <c r="G1543" t="s">
        <v>1072</v>
      </c>
    </row>
    <row r="1544" spans="1:7" hidden="1" x14ac:dyDescent="0.25">
      <c r="A1544" t="s">
        <v>4</v>
      </c>
      <c r="B1544" t="s">
        <v>9</v>
      </c>
      <c r="E1544" t="s">
        <v>2891</v>
      </c>
      <c r="F1544" t="s">
        <v>4747</v>
      </c>
      <c r="G1544" t="s">
        <v>1072</v>
      </c>
    </row>
    <row r="1545" spans="1:7" hidden="1" x14ac:dyDescent="0.25">
      <c r="A1545" t="s">
        <v>4</v>
      </c>
      <c r="B1545" t="s">
        <v>9</v>
      </c>
      <c r="E1545" t="s">
        <v>2891</v>
      </c>
      <c r="F1545" t="s">
        <v>4750</v>
      </c>
      <c r="G1545" t="s">
        <v>1072</v>
      </c>
    </row>
    <row r="1546" spans="1:7" hidden="1" x14ac:dyDescent="0.25">
      <c r="A1546" t="s">
        <v>4</v>
      </c>
      <c r="B1546" t="s">
        <v>9</v>
      </c>
      <c r="E1546" t="s">
        <v>2891</v>
      </c>
      <c r="F1546" t="s">
        <v>4753</v>
      </c>
      <c r="G1546" t="s">
        <v>1072</v>
      </c>
    </row>
    <row r="1547" spans="1:7" hidden="1" x14ac:dyDescent="0.25">
      <c r="A1547" t="s">
        <v>4</v>
      </c>
      <c r="B1547" t="s">
        <v>9</v>
      </c>
      <c r="E1547" t="s">
        <v>2891</v>
      </c>
      <c r="F1547" t="s">
        <v>4756</v>
      </c>
      <c r="G1547" t="s">
        <v>1072</v>
      </c>
    </row>
    <row r="1548" spans="1:7" hidden="1" x14ac:dyDescent="0.25">
      <c r="A1548" t="s">
        <v>4</v>
      </c>
      <c r="B1548" t="s">
        <v>9</v>
      </c>
      <c r="E1548" t="s">
        <v>2891</v>
      </c>
      <c r="F1548" t="s">
        <v>4759</v>
      </c>
      <c r="G1548" t="s">
        <v>1072</v>
      </c>
    </row>
    <row r="1549" spans="1:7" hidden="1" x14ac:dyDescent="0.25">
      <c r="A1549" t="s">
        <v>4</v>
      </c>
      <c r="B1549" t="s">
        <v>9</v>
      </c>
      <c r="E1549" t="s">
        <v>2891</v>
      </c>
      <c r="F1549" t="s">
        <v>4762</v>
      </c>
      <c r="G1549" t="s">
        <v>1072</v>
      </c>
    </row>
    <row r="1550" spans="1:7" hidden="1" x14ac:dyDescent="0.25">
      <c r="A1550" t="s">
        <v>505</v>
      </c>
      <c r="B1550" t="s">
        <v>1570</v>
      </c>
      <c r="C1550" t="s">
        <v>1071</v>
      </c>
      <c r="E1550" t="s">
        <v>1583</v>
      </c>
      <c r="F1550" t="s">
        <v>4765</v>
      </c>
      <c r="G1550" s="1" t="s">
        <v>1566</v>
      </c>
    </row>
    <row r="1551" spans="1:7" hidden="1" x14ac:dyDescent="0.25">
      <c r="A1551" t="s">
        <v>4</v>
      </c>
      <c r="B1551" t="s">
        <v>8</v>
      </c>
      <c r="F1551" t="s">
        <v>4768</v>
      </c>
      <c r="G1551" s="1" t="s">
        <v>1566</v>
      </c>
    </row>
    <row r="1552" spans="1:7" hidden="1" x14ac:dyDescent="0.25">
      <c r="A1552" t="s">
        <v>505</v>
      </c>
      <c r="B1552" t="s">
        <v>503</v>
      </c>
      <c r="C1552" t="s">
        <v>58</v>
      </c>
      <c r="E1552" t="s">
        <v>4177</v>
      </c>
      <c r="F1552" t="s">
        <v>4771</v>
      </c>
      <c r="G1552" s="1" t="s">
        <v>1566</v>
      </c>
    </row>
    <row r="1553" spans="1:7" hidden="1" x14ac:dyDescent="0.25">
      <c r="A1553" t="s">
        <v>4</v>
      </c>
      <c r="B1553" t="s">
        <v>8</v>
      </c>
      <c r="F1553" t="s">
        <v>4774</v>
      </c>
      <c r="G1553" s="1" t="s">
        <v>1566</v>
      </c>
    </row>
    <row r="1554" spans="1:7" hidden="1" x14ac:dyDescent="0.25">
      <c r="A1554" t="s">
        <v>505</v>
      </c>
      <c r="B1554" t="s">
        <v>503</v>
      </c>
      <c r="C1554" t="s">
        <v>58</v>
      </c>
      <c r="E1554" t="s">
        <v>4177</v>
      </c>
      <c r="F1554" t="s">
        <v>4777</v>
      </c>
      <c r="G1554" s="1" t="s">
        <v>1566</v>
      </c>
    </row>
    <row r="1555" spans="1:7" hidden="1" x14ac:dyDescent="0.25">
      <c r="A1555" t="s">
        <v>261</v>
      </c>
      <c r="B1555" t="s">
        <v>86</v>
      </c>
      <c r="C1555" t="s">
        <v>4181</v>
      </c>
      <c r="F1555" t="s">
        <v>4780</v>
      </c>
      <c r="G1555" s="1" t="s">
        <v>1566</v>
      </c>
    </row>
    <row r="1556" spans="1:7" hidden="1" x14ac:dyDescent="0.25">
      <c r="A1556" t="s">
        <v>261</v>
      </c>
      <c r="B1556" t="s">
        <v>86</v>
      </c>
      <c r="C1556" t="s">
        <v>4181</v>
      </c>
      <c r="E1556" t="s">
        <v>2891</v>
      </c>
      <c r="F1556" t="s">
        <v>4783</v>
      </c>
      <c r="G1556" s="1" t="s">
        <v>1566</v>
      </c>
    </row>
    <row r="1557" spans="1:7" hidden="1" x14ac:dyDescent="0.25">
      <c r="A1557" t="s">
        <v>261</v>
      </c>
      <c r="B1557" t="s">
        <v>86</v>
      </c>
      <c r="C1557" t="s">
        <v>4181</v>
      </c>
      <c r="F1557" t="s">
        <v>4786</v>
      </c>
      <c r="G1557" s="1" t="s">
        <v>1566</v>
      </c>
    </row>
    <row r="1558" spans="1:7" hidden="1" x14ac:dyDescent="0.25">
      <c r="A1558" t="s">
        <v>4182</v>
      </c>
      <c r="B1558" t="s">
        <v>86</v>
      </c>
      <c r="C1558" t="s">
        <v>4181</v>
      </c>
      <c r="E1558" t="s">
        <v>4177</v>
      </c>
      <c r="F1558" t="s">
        <v>4789</v>
      </c>
      <c r="G1558" s="1" t="s">
        <v>1566</v>
      </c>
    </row>
    <row r="1559" spans="1:7" hidden="1" x14ac:dyDescent="0.25">
      <c r="A1559" t="s">
        <v>505</v>
      </c>
      <c r="B1559" t="s">
        <v>503</v>
      </c>
      <c r="C1559" t="s">
        <v>58</v>
      </c>
      <c r="E1559" t="s">
        <v>4177</v>
      </c>
      <c r="F1559" t="s">
        <v>4792</v>
      </c>
      <c r="G1559" s="1" t="s">
        <v>1566</v>
      </c>
    </row>
    <row r="1560" spans="1:7" hidden="1" x14ac:dyDescent="0.25">
      <c r="A1560" t="s">
        <v>505</v>
      </c>
      <c r="B1560" t="s">
        <v>503</v>
      </c>
      <c r="C1560" t="s">
        <v>58</v>
      </c>
      <c r="E1560" t="s">
        <v>4177</v>
      </c>
      <c r="F1560" t="s">
        <v>4795</v>
      </c>
      <c r="G1560" s="1" t="s">
        <v>1566</v>
      </c>
    </row>
    <row r="1561" spans="1:7" hidden="1" x14ac:dyDescent="0.25">
      <c r="A1561" t="s">
        <v>505</v>
      </c>
      <c r="B1561" t="s">
        <v>503</v>
      </c>
      <c r="C1561" t="s">
        <v>58</v>
      </c>
      <c r="E1561" t="s">
        <v>4177</v>
      </c>
      <c r="F1561" t="s">
        <v>4798</v>
      </c>
      <c r="G1561" s="1" t="s">
        <v>1566</v>
      </c>
    </row>
    <row r="1562" spans="1:7" hidden="1" x14ac:dyDescent="0.25">
      <c r="A1562" t="s">
        <v>261</v>
      </c>
      <c r="B1562" t="s">
        <v>86</v>
      </c>
      <c r="C1562" t="s">
        <v>4181</v>
      </c>
      <c r="F1562" t="s">
        <v>4801</v>
      </c>
      <c r="G1562" s="1" t="s">
        <v>1566</v>
      </c>
    </row>
    <row r="1563" spans="1:7" hidden="1" x14ac:dyDescent="0.25">
      <c r="A1563" t="s">
        <v>4182</v>
      </c>
      <c r="B1563" t="s">
        <v>86</v>
      </c>
      <c r="C1563" t="s">
        <v>4181</v>
      </c>
      <c r="E1563" t="s">
        <v>4177</v>
      </c>
      <c r="F1563" t="s">
        <v>4804</v>
      </c>
      <c r="G1563" s="1" t="s">
        <v>1566</v>
      </c>
    </row>
    <row r="1564" spans="1:7" hidden="1" x14ac:dyDescent="0.25">
      <c r="A1564" t="s">
        <v>505</v>
      </c>
      <c r="B1564" t="s">
        <v>503</v>
      </c>
      <c r="C1564" t="s">
        <v>58</v>
      </c>
      <c r="E1564" t="s">
        <v>4177</v>
      </c>
      <c r="F1564" t="s">
        <v>4807</v>
      </c>
      <c r="G1564" s="1" t="s">
        <v>1566</v>
      </c>
    </row>
    <row r="1565" spans="1:7" hidden="1" x14ac:dyDescent="0.25">
      <c r="A1565" t="s">
        <v>505</v>
      </c>
      <c r="B1565" t="s">
        <v>503</v>
      </c>
      <c r="C1565" t="s">
        <v>58</v>
      </c>
      <c r="E1565" t="s">
        <v>4177</v>
      </c>
      <c r="F1565" t="s">
        <v>4810</v>
      </c>
      <c r="G1565" s="1" t="s">
        <v>1566</v>
      </c>
    </row>
    <row r="1566" spans="1:7" hidden="1" x14ac:dyDescent="0.25">
      <c r="A1566" t="s">
        <v>261</v>
      </c>
      <c r="B1566" t="s">
        <v>86</v>
      </c>
      <c r="C1566" t="s">
        <v>4181</v>
      </c>
      <c r="F1566" t="s">
        <v>4813</v>
      </c>
      <c r="G1566" s="1" t="s">
        <v>1566</v>
      </c>
    </row>
    <row r="1567" spans="1:7" hidden="1" x14ac:dyDescent="0.25">
      <c r="A1567" t="s">
        <v>4182</v>
      </c>
      <c r="B1567" t="s">
        <v>86</v>
      </c>
      <c r="C1567" t="s">
        <v>4181</v>
      </c>
      <c r="E1567" t="s">
        <v>4177</v>
      </c>
      <c r="F1567" t="s">
        <v>4816</v>
      </c>
      <c r="G1567" s="1" t="s">
        <v>1566</v>
      </c>
    </row>
    <row r="1568" spans="1:7" hidden="1" x14ac:dyDescent="0.25">
      <c r="A1568" t="s">
        <v>505</v>
      </c>
      <c r="B1568" t="s">
        <v>503</v>
      </c>
      <c r="C1568" t="s">
        <v>1071</v>
      </c>
      <c r="E1568" t="s">
        <v>4177</v>
      </c>
      <c r="F1568" t="s">
        <v>4819</v>
      </c>
      <c r="G1568" s="1" t="s">
        <v>1566</v>
      </c>
    </row>
    <row r="1569" spans="1:7" hidden="1" x14ac:dyDescent="0.25">
      <c r="A1569" t="s">
        <v>505</v>
      </c>
      <c r="B1569" t="s">
        <v>503</v>
      </c>
      <c r="C1569" t="s">
        <v>58</v>
      </c>
      <c r="E1569" t="s">
        <v>4177</v>
      </c>
      <c r="F1569" t="s">
        <v>4822</v>
      </c>
      <c r="G1569" s="1" t="s">
        <v>1566</v>
      </c>
    </row>
    <row r="1570" spans="1:7" hidden="1" x14ac:dyDescent="0.25">
      <c r="A1570" t="s">
        <v>4168</v>
      </c>
      <c r="B1570" t="s">
        <v>503</v>
      </c>
      <c r="C1570" t="s">
        <v>4174</v>
      </c>
      <c r="E1570" t="s">
        <v>2912</v>
      </c>
      <c r="F1570" t="s">
        <v>4825</v>
      </c>
      <c r="G1570" s="1" t="s">
        <v>1566</v>
      </c>
    </row>
    <row r="1571" spans="1:7" hidden="1" x14ac:dyDescent="0.25">
      <c r="A1571" t="s">
        <v>4</v>
      </c>
      <c r="B1571" t="s">
        <v>8</v>
      </c>
      <c r="F1571" t="s">
        <v>4828</v>
      </c>
      <c r="G1571" s="1" t="s">
        <v>1566</v>
      </c>
    </row>
    <row r="1572" spans="1:7" hidden="1" x14ac:dyDescent="0.25">
      <c r="A1572" t="s">
        <v>1967</v>
      </c>
      <c r="B1572" t="s">
        <v>8</v>
      </c>
      <c r="F1572" t="s">
        <v>4831</v>
      </c>
      <c r="G1572" s="1" t="s">
        <v>1566</v>
      </c>
    </row>
    <row r="1573" spans="1:7" hidden="1" x14ac:dyDescent="0.25">
      <c r="A1573" t="s">
        <v>1967</v>
      </c>
      <c r="F1573" t="s">
        <v>4834</v>
      </c>
      <c r="G1573" t="s">
        <v>1780</v>
      </c>
    </row>
    <row r="1574" spans="1:7" hidden="1" x14ac:dyDescent="0.25">
      <c r="A1574" t="s">
        <v>1967</v>
      </c>
      <c r="F1574" t="s">
        <v>4837</v>
      </c>
      <c r="G1574" t="s">
        <v>1780</v>
      </c>
    </row>
    <row r="1575" spans="1:7" hidden="1" x14ac:dyDescent="0.25">
      <c r="A1575" t="s">
        <v>159</v>
      </c>
      <c r="B1575" t="s">
        <v>86</v>
      </c>
      <c r="C1575" t="s">
        <v>5037</v>
      </c>
      <c r="F1575" t="s">
        <v>4840</v>
      </c>
      <c r="G1575" t="s">
        <v>1780</v>
      </c>
    </row>
    <row r="1576" spans="1:7" hidden="1" x14ac:dyDescent="0.25">
      <c r="A1576" t="s">
        <v>3028</v>
      </c>
      <c r="B1576" t="s">
        <v>86</v>
      </c>
      <c r="C1576" t="s">
        <v>5037</v>
      </c>
      <c r="F1576" t="s">
        <v>4843</v>
      </c>
      <c r="G1576" t="s">
        <v>1780</v>
      </c>
    </row>
    <row r="1577" spans="1:7" hidden="1" x14ac:dyDescent="0.25">
      <c r="A1577" t="s">
        <v>1967</v>
      </c>
      <c r="F1577" t="s">
        <v>4846</v>
      </c>
      <c r="G1577" t="s">
        <v>1780</v>
      </c>
    </row>
    <row r="1578" spans="1:7" hidden="1" x14ac:dyDescent="0.25">
      <c r="A1578" t="s">
        <v>4</v>
      </c>
      <c r="B1578" t="s">
        <v>5073</v>
      </c>
      <c r="E1578" t="s">
        <v>5074</v>
      </c>
      <c r="F1578" t="s">
        <v>4849</v>
      </c>
      <c r="G1578" t="s">
        <v>1780</v>
      </c>
    </row>
    <row r="1579" spans="1:7" hidden="1" x14ac:dyDescent="0.25">
      <c r="A1579" t="s">
        <v>1967</v>
      </c>
      <c r="F1579" t="s">
        <v>4852</v>
      </c>
      <c r="G1579" t="s">
        <v>1780</v>
      </c>
    </row>
    <row r="1580" spans="1:7" hidden="1" x14ac:dyDescent="0.25">
      <c r="A1580" t="s">
        <v>4</v>
      </c>
      <c r="B1580" t="s">
        <v>8</v>
      </c>
      <c r="F1580" t="s">
        <v>4855</v>
      </c>
      <c r="G1580" t="s">
        <v>1897</v>
      </c>
    </row>
    <row r="1581" spans="1:7" hidden="1" x14ac:dyDescent="0.25">
      <c r="A1581" t="s">
        <v>4</v>
      </c>
      <c r="B1581" t="s">
        <v>8</v>
      </c>
      <c r="E1581" t="s">
        <v>2891</v>
      </c>
      <c r="F1581" t="s">
        <v>4858</v>
      </c>
      <c r="G1581" t="s">
        <v>1897</v>
      </c>
    </row>
    <row r="1582" spans="1:7" hidden="1" x14ac:dyDescent="0.25">
      <c r="A1582" t="s">
        <v>4</v>
      </c>
      <c r="B1582" t="s">
        <v>8</v>
      </c>
      <c r="E1582" t="s">
        <v>2891</v>
      </c>
      <c r="F1582" t="s">
        <v>4861</v>
      </c>
      <c r="G1582" t="s">
        <v>1897</v>
      </c>
    </row>
    <row r="1583" spans="1:7" hidden="1" x14ac:dyDescent="0.25">
      <c r="A1583" t="s">
        <v>4</v>
      </c>
      <c r="B1583" t="s">
        <v>8</v>
      </c>
      <c r="E1583" t="s">
        <v>2891</v>
      </c>
      <c r="F1583" t="s">
        <v>4864</v>
      </c>
      <c r="G1583" t="s">
        <v>1897</v>
      </c>
    </row>
    <row r="1584" spans="1:7" hidden="1" x14ac:dyDescent="0.25">
      <c r="A1584" t="s">
        <v>4</v>
      </c>
      <c r="B1584" t="s">
        <v>8</v>
      </c>
      <c r="E1584" t="s">
        <v>2891</v>
      </c>
      <c r="F1584" t="s">
        <v>4867</v>
      </c>
      <c r="G1584" t="s">
        <v>1897</v>
      </c>
    </row>
    <row r="1585" spans="1:7" hidden="1" x14ac:dyDescent="0.25">
      <c r="A1585" t="s">
        <v>4</v>
      </c>
      <c r="B1585" t="s">
        <v>8</v>
      </c>
      <c r="E1585" t="s">
        <v>2891</v>
      </c>
      <c r="F1585" t="s">
        <v>4870</v>
      </c>
      <c r="G1585" t="s">
        <v>1897</v>
      </c>
    </row>
    <row r="1586" spans="1:7" hidden="1" x14ac:dyDescent="0.25">
      <c r="A1586" t="s">
        <v>4</v>
      </c>
      <c r="B1586" t="s">
        <v>8</v>
      </c>
      <c r="E1586" t="s">
        <v>2891</v>
      </c>
      <c r="F1586" t="s">
        <v>4873</v>
      </c>
      <c r="G1586" t="s">
        <v>1897</v>
      </c>
    </row>
    <row r="1587" spans="1:7" hidden="1" x14ac:dyDescent="0.25">
      <c r="A1587" t="s">
        <v>4</v>
      </c>
      <c r="B1587" t="s">
        <v>8</v>
      </c>
      <c r="E1587" t="s">
        <v>2891</v>
      </c>
      <c r="F1587" t="s">
        <v>4876</v>
      </c>
      <c r="G1587" t="s">
        <v>1897</v>
      </c>
    </row>
    <row r="1588" spans="1:7" hidden="1" x14ac:dyDescent="0.25">
      <c r="A1588" t="s">
        <v>4</v>
      </c>
      <c r="B1588" t="s">
        <v>8</v>
      </c>
      <c r="E1588" t="s">
        <v>2891</v>
      </c>
      <c r="F1588" t="s">
        <v>4879</v>
      </c>
      <c r="G1588" t="s">
        <v>1897</v>
      </c>
    </row>
    <row r="1589" spans="1:7" hidden="1" x14ac:dyDescent="0.25">
      <c r="A1589" t="s">
        <v>4</v>
      </c>
      <c r="B1589" t="s">
        <v>8</v>
      </c>
      <c r="E1589" t="s">
        <v>2891</v>
      </c>
      <c r="F1589" t="s">
        <v>4882</v>
      </c>
      <c r="G1589" t="s">
        <v>1897</v>
      </c>
    </row>
    <row r="1590" spans="1:7" hidden="1" x14ac:dyDescent="0.25">
      <c r="A1590" t="s">
        <v>4</v>
      </c>
      <c r="B1590" t="s">
        <v>8</v>
      </c>
      <c r="E1590" t="s">
        <v>2891</v>
      </c>
      <c r="F1590" t="s">
        <v>4885</v>
      </c>
      <c r="G1590" t="s">
        <v>1897</v>
      </c>
    </row>
    <row r="1591" spans="1:7" hidden="1" x14ac:dyDescent="0.25">
      <c r="A1591" t="s">
        <v>4</v>
      </c>
      <c r="B1591" t="s">
        <v>8</v>
      </c>
      <c r="E1591" t="s">
        <v>2891</v>
      </c>
      <c r="F1591" t="s">
        <v>4888</v>
      </c>
      <c r="G1591" t="s">
        <v>1897</v>
      </c>
    </row>
    <row r="1592" spans="1:7" hidden="1" x14ac:dyDescent="0.25">
      <c r="A1592" t="s">
        <v>4</v>
      </c>
      <c r="B1592" t="s">
        <v>8</v>
      </c>
      <c r="E1592" t="s">
        <v>2891</v>
      </c>
      <c r="F1592" t="s">
        <v>4891</v>
      </c>
      <c r="G1592" t="s">
        <v>1897</v>
      </c>
    </row>
    <row r="1593" spans="1:7" hidden="1" x14ac:dyDescent="0.25">
      <c r="A1593" t="s">
        <v>4</v>
      </c>
      <c r="B1593" t="s">
        <v>8</v>
      </c>
      <c r="E1593" t="s">
        <v>2891</v>
      </c>
      <c r="F1593" t="s">
        <v>4894</v>
      </c>
      <c r="G1593" t="s">
        <v>1897</v>
      </c>
    </row>
    <row r="1594" spans="1:7" hidden="1" x14ac:dyDescent="0.25">
      <c r="A1594" t="s">
        <v>4</v>
      </c>
      <c r="B1594" t="s">
        <v>8</v>
      </c>
      <c r="E1594" t="s">
        <v>2891</v>
      </c>
      <c r="F1594" t="s">
        <v>4897</v>
      </c>
      <c r="G1594" t="s">
        <v>1897</v>
      </c>
    </row>
    <row r="1595" spans="1:7" hidden="1" x14ac:dyDescent="0.25">
      <c r="A1595" t="s">
        <v>4</v>
      </c>
      <c r="B1595" t="s">
        <v>8</v>
      </c>
      <c r="E1595" t="s">
        <v>2891</v>
      </c>
      <c r="F1595" t="s">
        <v>4900</v>
      </c>
      <c r="G1595" t="s">
        <v>1897</v>
      </c>
    </row>
    <row r="1596" spans="1:7" hidden="1" x14ac:dyDescent="0.25">
      <c r="A1596" t="s">
        <v>4</v>
      </c>
      <c r="B1596" t="s">
        <v>8</v>
      </c>
      <c r="E1596" t="s">
        <v>2891</v>
      </c>
      <c r="F1596" t="s">
        <v>4903</v>
      </c>
      <c r="G1596" t="s">
        <v>1897</v>
      </c>
    </row>
    <row r="1597" spans="1:7" hidden="1" x14ac:dyDescent="0.25">
      <c r="A1597" t="s">
        <v>4</v>
      </c>
      <c r="B1597" t="s">
        <v>8</v>
      </c>
      <c r="E1597" t="s">
        <v>2891</v>
      </c>
      <c r="F1597" t="s">
        <v>4906</v>
      </c>
      <c r="G1597" t="s">
        <v>1897</v>
      </c>
    </row>
    <row r="1598" spans="1:7" hidden="1" x14ac:dyDescent="0.25">
      <c r="A1598" t="s">
        <v>4</v>
      </c>
      <c r="B1598" t="s">
        <v>8</v>
      </c>
      <c r="E1598" t="s">
        <v>2891</v>
      </c>
      <c r="F1598" t="s">
        <v>4909</v>
      </c>
      <c r="G1598" t="s">
        <v>1897</v>
      </c>
    </row>
    <row r="1599" spans="1:7" hidden="1" x14ac:dyDescent="0.25">
      <c r="A1599" t="s">
        <v>1967</v>
      </c>
      <c r="B1599" t="s">
        <v>8</v>
      </c>
      <c r="F1599" t="s">
        <v>4912</v>
      </c>
      <c r="G1599" t="s">
        <v>1897</v>
      </c>
    </row>
    <row r="1600" spans="1:7" hidden="1" x14ac:dyDescent="0.25">
      <c r="A1600" t="s">
        <v>1977</v>
      </c>
      <c r="F1600" t="s">
        <v>4915</v>
      </c>
      <c r="G1600" t="s">
        <v>1960</v>
      </c>
    </row>
    <row r="1601" spans="1:7" hidden="1" x14ac:dyDescent="0.25">
      <c r="A1601" t="s">
        <v>1977</v>
      </c>
      <c r="F1601" t="s">
        <v>4918</v>
      </c>
      <c r="G1601" t="s">
        <v>1960</v>
      </c>
    </row>
    <row r="1602" spans="1:7" hidden="1" x14ac:dyDescent="0.25">
      <c r="A1602" t="s">
        <v>1977</v>
      </c>
      <c r="F1602" t="s">
        <v>4921</v>
      </c>
      <c r="G1602" t="s">
        <v>1960</v>
      </c>
    </row>
    <row r="1603" spans="1:7" hidden="1" x14ac:dyDescent="0.25">
      <c r="A1603" t="s">
        <v>1977</v>
      </c>
      <c r="F1603" t="s">
        <v>4924</v>
      </c>
      <c r="G1603" t="s">
        <v>1960</v>
      </c>
    </row>
    <row r="1604" spans="1:7" hidden="1" x14ac:dyDescent="0.25">
      <c r="A1604" t="s">
        <v>1977</v>
      </c>
      <c r="F1604" t="s">
        <v>4927</v>
      </c>
      <c r="G1604" t="s">
        <v>1960</v>
      </c>
    </row>
    <row r="1605" spans="1:7" hidden="1" x14ac:dyDescent="0.25">
      <c r="A1605" t="s">
        <v>1977</v>
      </c>
      <c r="F1605" t="s">
        <v>4930</v>
      </c>
      <c r="G1605" t="s">
        <v>1960</v>
      </c>
    </row>
    <row r="1606" spans="1:7" hidden="1" x14ac:dyDescent="0.25">
      <c r="A1606" t="s">
        <v>91</v>
      </c>
      <c r="B1606" t="s">
        <v>5192</v>
      </c>
      <c r="C1606" t="s">
        <v>51</v>
      </c>
      <c r="F1606" t="s">
        <v>5077</v>
      </c>
      <c r="G1606" t="s">
        <v>1074</v>
      </c>
    </row>
    <row r="1607" spans="1:7" hidden="1" x14ac:dyDescent="0.25">
      <c r="A1607" t="s">
        <v>62</v>
      </c>
      <c r="B1607" t="s">
        <v>5192</v>
      </c>
      <c r="C1607" t="s">
        <v>5193</v>
      </c>
      <c r="E1607" t="s">
        <v>5194</v>
      </c>
      <c r="F1607" t="s">
        <v>5079</v>
      </c>
      <c r="G1607" t="s">
        <v>1074</v>
      </c>
    </row>
    <row r="1608" spans="1:7" hidden="1" x14ac:dyDescent="0.25">
      <c r="A1608" t="s">
        <v>1967</v>
      </c>
      <c r="F1608" t="s">
        <v>5129</v>
      </c>
      <c r="G1608" t="s">
        <v>1075</v>
      </c>
    </row>
    <row r="1609" spans="1:7" x14ac:dyDescent="0.25">
      <c r="A1609" t="s">
        <v>4</v>
      </c>
      <c r="B1609" t="s">
        <v>5195</v>
      </c>
      <c r="C1609" t="s">
        <v>1572</v>
      </c>
      <c r="F1609" t="s">
        <v>5075</v>
      </c>
      <c r="G1609" t="s">
        <v>13425</v>
      </c>
    </row>
    <row r="1610" spans="1:7" hidden="1" x14ac:dyDescent="0.25">
      <c r="A1610" t="s">
        <v>4</v>
      </c>
      <c r="B1610" t="s">
        <v>8</v>
      </c>
      <c r="F1610" t="s">
        <v>5159</v>
      </c>
      <c r="G1610" t="s">
        <v>1076</v>
      </c>
    </row>
    <row r="1611" spans="1:7" hidden="1" x14ac:dyDescent="0.25">
      <c r="A1611" t="s">
        <v>1569</v>
      </c>
      <c r="B1611" t="s">
        <v>5196</v>
      </c>
      <c r="C1611" t="s">
        <v>4174</v>
      </c>
      <c r="F1611" t="s">
        <v>5081</v>
      </c>
      <c r="G1611" t="s">
        <v>1077</v>
      </c>
    </row>
    <row r="1612" spans="1:7" hidden="1" x14ac:dyDescent="0.25">
      <c r="A1612" t="s">
        <v>261</v>
      </c>
      <c r="B1612" t="s">
        <v>5196</v>
      </c>
      <c r="C1612" t="s">
        <v>5027</v>
      </c>
      <c r="F1612" t="s">
        <v>5084</v>
      </c>
      <c r="G1612" t="s">
        <v>1077</v>
      </c>
    </row>
    <row r="1613" spans="1:7" hidden="1" x14ac:dyDescent="0.25">
      <c r="A1613" t="s">
        <v>261</v>
      </c>
      <c r="B1613" t="s">
        <v>5196</v>
      </c>
      <c r="C1613" t="s">
        <v>5027</v>
      </c>
      <c r="E1613" t="s">
        <v>2891</v>
      </c>
      <c r="F1613" t="s">
        <v>5087</v>
      </c>
      <c r="G1613" t="s">
        <v>1077</v>
      </c>
    </row>
    <row r="1614" spans="1:7" hidden="1" x14ac:dyDescent="0.25">
      <c r="A1614" t="s">
        <v>261</v>
      </c>
      <c r="B1614" t="s">
        <v>5196</v>
      </c>
      <c r="C1614" t="s">
        <v>5027</v>
      </c>
      <c r="E1614" t="s">
        <v>2891</v>
      </c>
      <c r="F1614" t="s">
        <v>5090</v>
      </c>
      <c r="G1614" t="s">
        <v>1077</v>
      </c>
    </row>
    <row r="1615" spans="1:7" hidden="1" x14ac:dyDescent="0.25">
      <c r="A1615" t="s">
        <v>261</v>
      </c>
      <c r="B1615" t="s">
        <v>5196</v>
      </c>
      <c r="C1615" t="s">
        <v>5027</v>
      </c>
      <c r="E1615" t="s">
        <v>2891</v>
      </c>
      <c r="F1615" t="s">
        <v>5093</v>
      </c>
      <c r="G1615" t="s">
        <v>1077</v>
      </c>
    </row>
    <row r="1616" spans="1:7" hidden="1" x14ac:dyDescent="0.25">
      <c r="A1616" t="s">
        <v>261</v>
      </c>
      <c r="B1616" t="s">
        <v>5196</v>
      </c>
      <c r="C1616" t="s">
        <v>5027</v>
      </c>
      <c r="E1616" t="s">
        <v>2891</v>
      </c>
      <c r="F1616" t="s">
        <v>5096</v>
      </c>
      <c r="G1616" t="s">
        <v>1077</v>
      </c>
    </row>
    <row r="1617" spans="1:7" hidden="1" x14ac:dyDescent="0.25">
      <c r="A1617" t="s">
        <v>261</v>
      </c>
      <c r="B1617" t="s">
        <v>5196</v>
      </c>
      <c r="C1617" t="s">
        <v>5027</v>
      </c>
      <c r="E1617" t="s">
        <v>2891</v>
      </c>
      <c r="F1617" t="s">
        <v>5099</v>
      </c>
      <c r="G1617" t="s">
        <v>1077</v>
      </c>
    </row>
    <row r="1618" spans="1:7" hidden="1" x14ac:dyDescent="0.25">
      <c r="A1618" t="s">
        <v>4173</v>
      </c>
      <c r="B1618" t="s">
        <v>5196</v>
      </c>
      <c r="C1618" t="s">
        <v>1572</v>
      </c>
      <c r="F1618" t="s">
        <v>5102</v>
      </c>
      <c r="G1618" t="s">
        <v>1077</v>
      </c>
    </row>
    <row r="1619" spans="1:7" hidden="1" x14ac:dyDescent="0.25">
      <c r="A1619" t="s">
        <v>622</v>
      </c>
      <c r="B1619" t="s">
        <v>5196</v>
      </c>
      <c r="C1619" t="s">
        <v>1572</v>
      </c>
      <c r="F1619" t="s">
        <v>5105</v>
      </c>
      <c r="G1619" t="s">
        <v>1077</v>
      </c>
    </row>
    <row r="1620" spans="1:7" hidden="1" x14ac:dyDescent="0.25">
      <c r="A1620" t="s">
        <v>1967</v>
      </c>
      <c r="B1620" t="s">
        <v>8</v>
      </c>
      <c r="F1620" t="s">
        <v>5108</v>
      </c>
      <c r="G1620" t="s">
        <v>1078</v>
      </c>
    </row>
    <row r="1621" spans="1:7" hidden="1" x14ac:dyDescent="0.25">
      <c r="A1621" t="s">
        <v>1967</v>
      </c>
      <c r="F1621" t="s">
        <v>5162</v>
      </c>
      <c r="G1621" t="s">
        <v>1079</v>
      </c>
    </row>
    <row r="1622" spans="1:7" hidden="1" x14ac:dyDescent="0.25">
      <c r="A1622" t="s">
        <v>1967</v>
      </c>
      <c r="B1622" t="s">
        <v>8</v>
      </c>
      <c r="F1622" t="s">
        <v>5111</v>
      </c>
      <c r="G1622" t="s">
        <v>768</v>
      </c>
    </row>
    <row r="1623" spans="1:7" hidden="1" x14ac:dyDescent="0.25">
      <c r="A1623" t="s">
        <v>4</v>
      </c>
      <c r="B1623" t="s">
        <v>9</v>
      </c>
      <c r="F1623" t="s">
        <v>5165</v>
      </c>
      <c r="G1623" t="s">
        <v>1072</v>
      </c>
    </row>
    <row r="1624" spans="1:7" hidden="1" x14ac:dyDescent="0.25">
      <c r="A1624" t="s">
        <v>4</v>
      </c>
      <c r="B1624" t="s">
        <v>9</v>
      </c>
      <c r="E1624" t="s">
        <v>5197</v>
      </c>
      <c r="F1624" t="s">
        <v>5168</v>
      </c>
      <c r="G1624" t="s">
        <v>1072</v>
      </c>
    </row>
    <row r="1625" spans="1:7" hidden="1" x14ac:dyDescent="0.25">
      <c r="A1625" t="s">
        <v>1987</v>
      </c>
      <c r="B1625" t="s">
        <v>1267</v>
      </c>
      <c r="F1625" t="s">
        <v>5171</v>
      </c>
      <c r="G1625" t="s">
        <v>1072</v>
      </c>
    </row>
    <row r="1626" spans="1:7" hidden="1" x14ac:dyDescent="0.25">
      <c r="A1626" t="s">
        <v>1987</v>
      </c>
      <c r="B1626" t="s">
        <v>1267</v>
      </c>
      <c r="F1626" t="s">
        <v>5174</v>
      </c>
      <c r="G1626" t="s">
        <v>1072</v>
      </c>
    </row>
    <row r="1627" spans="1:7" hidden="1" x14ac:dyDescent="0.25">
      <c r="A1627" t="s">
        <v>4</v>
      </c>
      <c r="B1627" t="s">
        <v>9</v>
      </c>
      <c r="E1627" t="s">
        <v>2891</v>
      </c>
      <c r="F1627" t="s">
        <v>5177</v>
      </c>
      <c r="G1627" t="s">
        <v>1072</v>
      </c>
    </row>
    <row r="1628" spans="1:7" hidden="1" x14ac:dyDescent="0.25">
      <c r="A1628" t="s">
        <v>4</v>
      </c>
      <c r="B1628" t="s">
        <v>9</v>
      </c>
      <c r="E1628" t="s">
        <v>2891</v>
      </c>
      <c r="F1628" t="s">
        <v>5180</v>
      </c>
      <c r="G1628" t="s">
        <v>1072</v>
      </c>
    </row>
    <row r="1629" spans="1:7" hidden="1" x14ac:dyDescent="0.25">
      <c r="A1629" t="s">
        <v>4</v>
      </c>
      <c r="B1629" t="s">
        <v>9</v>
      </c>
      <c r="E1629" t="s">
        <v>2891</v>
      </c>
      <c r="F1629" t="s">
        <v>5183</v>
      </c>
      <c r="G1629" t="s">
        <v>1072</v>
      </c>
    </row>
    <row r="1630" spans="1:7" hidden="1" x14ac:dyDescent="0.25">
      <c r="A1630" t="s">
        <v>4</v>
      </c>
      <c r="B1630" t="s">
        <v>9</v>
      </c>
      <c r="E1630" t="s">
        <v>2891</v>
      </c>
      <c r="F1630" t="s">
        <v>5186</v>
      </c>
      <c r="G1630" t="s">
        <v>1072</v>
      </c>
    </row>
    <row r="1631" spans="1:7" hidden="1" x14ac:dyDescent="0.25">
      <c r="A1631" t="s">
        <v>4</v>
      </c>
      <c r="B1631" t="s">
        <v>9</v>
      </c>
      <c r="E1631" t="s">
        <v>2891</v>
      </c>
      <c r="F1631" t="s">
        <v>5189</v>
      </c>
      <c r="G1631" t="s">
        <v>1072</v>
      </c>
    </row>
    <row r="1632" spans="1:7" hidden="1" x14ac:dyDescent="0.25">
      <c r="A1632" t="s">
        <v>4</v>
      </c>
      <c r="B1632" t="s">
        <v>8</v>
      </c>
      <c r="F1632" t="s">
        <v>5114</v>
      </c>
      <c r="G1632" s="1" t="s">
        <v>1566</v>
      </c>
    </row>
    <row r="1633" spans="1:7" hidden="1" x14ac:dyDescent="0.25">
      <c r="A1633" t="s">
        <v>1569</v>
      </c>
      <c r="B1633" t="s">
        <v>5196</v>
      </c>
      <c r="C1633" t="s">
        <v>51</v>
      </c>
      <c r="F1633" t="s">
        <v>5117</v>
      </c>
      <c r="G1633" s="1" t="s">
        <v>1566</v>
      </c>
    </row>
    <row r="1634" spans="1:7" hidden="1" x14ac:dyDescent="0.25">
      <c r="A1634" t="s">
        <v>261</v>
      </c>
      <c r="B1634" t="s">
        <v>5196</v>
      </c>
      <c r="C1634" t="s">
        <v>4174</v>
      </c>
      <c r="F1634" t="s">
        <v>5120</v>
      </c>
      <c r="G1634" s="1" t="s">
        <v>1566</v>
      </c>
    </row>
    <row r="1635" spans="1:7" hidden="1" x14ac:dyDescent="0.25">
      <c r="A1635" t="s">
        <v>261</v>
      </c>
      <c r="B1635" t="s">
        <v>5196</v>
      </c>
      <c r="C1635" t="s">
        <v>4174</v>
      </c>
      <c r="E1635" t="s">
        <v>2891</v>
      </c>
      <c r="F1635" t="s">
        <v>5123</v>
      </c>
      <c r="G1635" s="1" t="s">
        <v>1566</v>
      </c>
    </row>
    <row r="1636" spans="1:7" hidden="1" x14ac:dyDescent="0.25">
      <c r="A1636" t="s">
        <v>4173</v>
      </c>
      <c r="B1636" t="s">
        <v>5196</v>
      </c>
      <c r="C1636" t="s">
        <v>4174</v>
      </c>
      <c r="F1636" t="s">
        <v>5126</v>
      </c>
      <c r="G1636" s="1" t="s">
        <v>1566</v>
      </c>
    </row>
    <row r="1637" spans="1:7" hidden="1" x14ac:dyDescent="0.25">
      <c r="A1637" t="s">
        <v>5198</v>
      </c>
      <c r="B1637" t="s">
        <v>5196</v>
      </c>
      <c r="C1637" t="s">
        <v>4174</v>
      </c>
      <c r="F1637" t="s">
        <v>5132</v>
      </c>
      <c r="G1637" t="s">
        <v>1780</v>
      </c>
    </row>
    <row r="1638" spans="1:7" hidden="1" x14ac:dyDescent="0.25">
      <c r="A1638" t="s">
        <v>5198</v>
      </c>
      <c r="B1638" t="s">
        <v>5196</v>
      </c>
      <c r="C1638" t="s">
        <v>4174</v>
      </c>
      <c r="E1638" t="s">
        <v>2891</v>
      </c>
      <c r="F1638" t="s">
        <v>5135</v>
      </c>
      <c r="G1638" t="s">
        <v>1780</v>
      </c>
    </row>
    <row r="1639" spans="1:7" hidden="1" x14ac:dyDescent="0.25">
      <c r="A1639" t="s">
        <v>5198</v>
      </c>
      <c r="B1639" t="s">
        <v>5196</v>
      </c>
      <c r="C1639" t="s">
        <v>4174</v>
      </c>
      <c r="E1639" t="s">
        <v>2891</v>
      </c>
      <c r="F1639" t="s">
        <v>5138</v>
      </c>
      <c r="G1639" t="s">
        <v>1780</v>
      </c>
    </row>
    <row r="1640" spans="1:7" hidden="1" x14ac:dyDescent="0.25">
      <c r="A1640" t="s">
        <v>5198</v>
      </c>
      <c r="B1640" t="s">
        <v>5196</v>
      </c>
      <c r="C1640" t="s">
        <v>4174</v>
      </c>
      <c r="E1640" t="s">
        <v>2891</v>
      </c>
      <c r="F1640" t="s">
        <v>5141</v>
      </c>
      <c r="G1640" t="s">
        <v>1780</v>
      </c>
    </row>
    <row r="1641" spans="1:7" hidden="1" x14ac:dyDescent="0.25">
      <c r="A1641" t="s">
        <v>5198</v>
      </c>
      <c r="B1641" t="s">
        <v>5196</v>
      </c>
      <c r="C1641" t="s">
        <v>4174</v>
      </c>
      <c r="E1641" t="s">
        <v>2891</v>
      </c>
      <c r="F1641" t="s">
        <v>5144</v>
      </c>
      <c r="G1641" t="s">
        <v>1780</v>
      </c>
    </row>
    <row r="1642" spans="1:7" hidden="1" x14ac:dyDescent="0.25">
      <c r="A1642" t="s">
        <v>4176</v>
      </c>
      <c r="B1642" t="s">
        <v>5196</v>
      </c>
      <c r="C1642" t="s">
        <v>4174</v>
      </c>
      <c r="F1642" t="s">
        <v>5147</v>
      </c>
      <c r="G1642" t="s">
        <v>1780</v>
      </c>
    </row>
    <row r="1643" spans="1:7" hidden="1" x14ac:dyDescent="0.25">
      <c r="A1643" t="s">
        <v>1967</v>
      </c>
      <c r="B1643" t="s">
        <v>8</v>
      </c>
      <c r="F1643" t="s">
        <v>5150</v>
      </c>
      <c r="G1643" t="s">
        <v>1897</v>
      </c>
    </row>
    <row r="1644" spans="1:7" hidden="1" x14ac:dyDescent="0.25">
      <c r="A1644" t="s">
        <v>4</v>
      </c>
      <c r="B1644" t="s">
        <v>5199</v>
      </c>
      <c r="F1644" t="s">
        <v>5153</v>
      </c>
      <c r="G1644" t="s">
        <v>1960</v>
      </c>
    </row>
    <row r="1645" spans="1:7" hidden="1" x14ac:dyDescent="0.25">
      <c r="A1645" t="s">
        <v>4</v>
      </c>
      <c r="B1645" t="s">
        <v>5200</v>
      </c>
      <c r="F1645" t="s">
        <v>5156</v>
      </c>
      <c r="G1645" t="s">
        <v>1960</v>
      </c>
    </row>
    <row r="1646" spans="1:7" hidden="1" x14ac:dyDescent="0.25">
      <c r="A1646" t="s">
        <v>64</v>
      </c>
      <c r="B1646" t="s">
        <v>4134</v>
      </c>
      <c r="C1646" t="s">
        <v>5010</v>
      </c>
      <c r="F1646" t="s">
        <v>5205</v>
      </c>
      <c r="G1646" t="s">
        <v>1074</v>
      </c>
    </row>
    <row r="1647" spans="1:7" hidden="1" x14ac:dyDescent="0.25">
      <c r="A1647" t="s">
        <v>85</v>
      </c>
      <c r="B1647" t="s">
        <v>4134</v>
      </c>
      <c r="C1647" t="s">
        <v>5010</v>
      </c>
      <c r="F1647" t="s">
        <v>5207</v>
      </c>
      <c r="G1647" t="s">
        <v>1074</v>
      </c>
    </row>
    <row r="1648" spans="1:7" hidden="1" x14ac:dyDescent="0.25">
      <c r="A1648" t="s">
        <v>261</v>
      </c>
      <c r="B1648" t="s">
        <v>86</v>
      </c>
      <c r="C1648" t="s">
        <v>4181</v>
      </c>
      <c r="F1648" t="s">
        <v>5316</v>
      </c>
      <c r="G1648" s="1" t="s">
        <v>1566</v>
      </c>
    </row>
    <row r="1649" spans="1:7" hidden="1" x14ac:dyDescent="0.25">
      <c r="A1649" t="s">
        <v>4182</v>
      </c>
      <c r="B1649" t="s">
        <v>86</v>
      </c>
      <c r="C1649" t="s">
        <v>4181</v>
      </c>
      <c r="F1649" t="s">
        <v>5319</v>
      </c>
      <c r="G1649" s="1" t="s">
        <v>1566</v>
      </c>
    </row>
    <row r="1650" spans="1:7" hidden="1" x14ac:dyDescent="0.25">
      <c r="A1650" t="s">
        <v>505</v>
      </c>
      <c r="B1650" t="s">
        <v>503</v>
      </c>
      <c r="C1650" t="s">
        <v>1071</v>
      </c>
      <c r="E1650" t="s">
        <v>1583</v>
      </c>
      <c r="F1650" t="s">
        <v>5322</v>
      </c>
      <c r="G1650" s="1" t="s">
        <v>1566</v>
      </c>
    </row>
    <row r="1651" spans="1:7" hidden="1" x14ac:dyDescent="0.25">
      <c r="A1651" t="s">
        <v>4</v>
      </c>
      <c r="B1651" t="s">
        <v>8</v>
      </c>
      <c r="F1651" t="s">
        <v>5325</v>
      </c>
      <c r="G1651" s="1" t="s">
        <v>1566</v>
      </c>
    </row>
    <row r="1652" spans="1:7" hidden="1" x14ac:dyDescent="0.25">
      <c r="A1652" t="s">
        <v>505</v>
      </c>
      <c r="B1652" t="s">
        <v>503</v>
      </c>
      <c r="C1652" t="s">
        <v>58</v>
      </c>
      <c r="E1652" t="s">
        <v>4177</v>
      </c>
      <c r="F1652" t="s">
        <v>5327</v>
      </c>
      <c r="G1652" s="1" t="s">
        <v>1566</v>
      </c>
    </row>
    <row r="1653" spans="1:7" hidden="1" x14ac:dyDescent="0.25">
      <c r="A1653" t="s">
        <v>505</v>
      </c>
      <c r="B1653" t="s">
        <v>503</v>
      </c>
      <c r="C1653" t="s">
        <v>58</v>
      </c>
      <c r="E1653" t="s">
        <v>4177</v>
      </c>
      <c r="F1653" t="s">
        <v>5330</v>
      </c>
      <c r="G1653" s="1" t="s">
        <v>1566</v>
      </c>
    </row>
    <row r="1654" spans="1:7" hidden="1" x14ac:dyDescent="0.25">
      <c r="A1654" t="s">
        <v>505</v>
      </c>
      <c r="B1654" t="s">
        <v>503</v>
      </c>
      <c r="C1654" t="s">
        <v>58</v>
      </c>
      <c r="E1654" t="s">
        <v>4177</v>
      </c>
      <c r="F1654" t="s">
        <v>5333</v>
      </c>
      <c r="G1654" s="1" t="s">
        <v>1566</v>
      </c>
    </row>
    <row r="1655" spans="1:7" hidden="1" x14ac:dyDescent="0.25">
      <c r="A1655" t="s">
        <v>505</v>
      </c>
      <c r="B1655" t="s">
        <v>503</v>
      </c>
      <c r="C1655" t="s">
        <v>58</v>
      </c>
      <c r="E1655" t="s">
        <v>4177</v>
      </c>
      <c r="F1655" t="s">
        <v>5336</v>
      </c>
      <c r="G1655" s="1" t="s">
        <v>1566</v>
      </c>
    </row>
    <row r="1656" spans="1:7" hidden="1" x14ac:dyDescent="0.25">
      <c r="A1656" t="s">
        <v>505</v>
      </c>
      <c r="B1656" t="s">
        <v>503</v>
      </c>
      <c r="C1656" t="s">
        <v>58</v>
      </c>
      <c r="E1656" t="s">
        <v>4177</v>
      </c>
      <c r="F1656" t="s">
        <v>5339</v>
      </c>
      <c r="G1656" s="1" t="s">
        <v>1566</v>
      </c>
    </row>
    <row r="1657" spans="1:7" hidden="1" x14ac:dyDescent="0.25">
      <c r="A1657" t="s">
        <v>4164</v>
      </c>
      <c r="B1657" t="s">
        <v>86</v>
      </c>
      <c r="C1657" t="s">
        <v>58</v>
      </c>
      <c r="F1657" t="s">
        <v>5342</v>
      </c>
      <c r="G1657" s="1" t="s">
        <v>1566</v>
      </c>
    </row>
    <row r="1658" spans="1:7" hidden="1" x14ac:dyDescent="0.25">
      <c r="A1658" t="s">
        <v>4164</v>
      </c>
      <c r="B1658" t="s">
        <v>86</v>
      </c>
      <c r="C1658" t="s">
        <v>58</v>
      </c>
      <c r="E1658" t="s">
        <v>2909</v>
      </c>
      <c r="F1658" t="s">
        <v>5345</v>
      </c>
      <c r="G1658" s="1" t="s">
        <v>1566</v>
      </c>
    </row>
    <row r="1659" spans="1:7" hidden="1" x14ac:dyDescent="0.25">
      <c r="A1659" t="s">
        <v>4164</v>
      </c>
      <c r="B1659" t="s">
        <v>86</v>
      </c>
      <c r="C1659" t="s">
        <v>58</v>
      </c>
      <c r="F1659" t="s">
        <v>5348</v>
      </c>
      <c r="G1659" s="1" t="s">
        <v>1566</v>
      </c>
    </row>
    <row r="1660" spans="1:7" hidden="1" x14ac:dyDescent="0.25">
      <c r="A1660" t="s">
        <v>4164</v>
      </c>
      <c r="B1660" t="s">
        <v>86</v>
      </c>
      <c r="C1660" t="s">
        <v>58</v>
      </c>
      <c r="E1660" t="s">
        <v>2909</v>
      </c>
      <c r="F1660" t="s">
        <v>5351</v>
      </c>
      <c r="G1660" s="1" t="s">
        <v>1566</v>
      </c>
    </row>
    <row r="1661" spans="1:7" hidden="1" x14ac:dyDescent="0.25">
      <c r="A1661" t="s">
        <v>4164</v>
      </c>
      <c r="B1661" t="s">
        <v>86</v>
      </c>
      <c r="C1661" t="s">
        <v>58</v>
      </c>
      <c r="F1661" t="s">
        <v>5354</v>
      </c>
      <c r="G1661" s="1" t="s">
        <v>1566</v>
      </c>
    </row>
    <row r="1662" spans="1:7" hidden="1" x14ac:dyDescent="0.25">
      <c r="A1662" t="s">
        <v>4164</v>
      </c>
      <c r="B1662" t="s">
        <v>86</v>
      </c>
      <c r="C1662" t="s">
        <v>58</v>
      </c>
      <c r="E1662" t="s">
        <v>2891</v>
      </c>
      <c r="F1662" t="s">
        <v>5357</v>
      </c>
      <c r="G1662" s="1" t="s">
        <v>1566</v>
      </c>
    </row>
    <row r="1663" spans="1:7" hidden="1" x14ac:dyDescent="0.25">
      <c r="A1663" t="s">
        <v>4164</v>
      </c>
      <c r="B1663" t="s">
        <v>86</v>
      </c>
      <c r="C1663" t="s">
        <v>58</v>
      </c>
      <c r="E1663" t="s">
        <v>4177</v>
      </c>
      <c r="F1663" t="s">
        <v>5360</v>
      </c>
      <c r="G1663" s="1" t="s">
        <v>1566</v>
      </c>
    </row>
    <row r="1664" spans="1:7" hidden="1" x14ac:dyDescent="0.25">
      <c r="A1664" t="s">
        <v>4164</v>
      </c>
      <c r="B1664" t="s">
        <v>86</v>
      </c>
      <c r="C1664" t="s">
        <v>58</v>
      </c>
      <c r="F1664" t="s">
        <v>5363</v>
      </c>
      <c r="G1664" s="1" t="s">
        <v>1566</v>
      </c>
    </row>
    <row r="1665" spans="1:7" hidden="1" x14ac:dyDescent="0.25">
      <c r="A1665" t="s">
        <v>4164</v>
      </c>
      <c r="B1665" t="s">
        <v>86</v>
      </c>
      <c r="C1665" t="s">
        <v>58</v>
      </c>
      <c r="E1665" t="s">
        <v>2909</v>
      </c>
      <c r="F1665" t="s">
        <v>5366</v>
      </c>
      <c r="G1665" s="1" t="s">
        <v>1566</v>
      </c>
    </row>
    <row r="1666" spans="1:7" hidden="1" x14ac:dyDescent="0.25">
      <c r="A1666" t="s">
        <v>505</v>
      </c>
      <c r="B1666" t="s">
        <v>503</v>
      </c>
      <c r="C1666" t="s">
        <v>58</v>
      </c>
      <c r="E1666" t="s">
        <v>4177</v>
      </c>
      <c r="F1666" t="s">
        <v>5369</v>
      </c>
      <c r="G1666" s="1" t="s">
        <v>1566</v>
      </c>
    </row>
    <row r="1667" spans="1:7" hidden="1" x14ac:dyDescent="0.25">
      <c r="A1667" t="s">
        <v>505</v>
      </c>
      <c r="B1667" t="s">
        <v>503</v>
      </c>
      <c r="C1667" t="s">
        <v>58</v>
      </c>
      <c r="E1667" t="s">
        <v>4177</v>
      </c>
      <c r="F1667" t="s">
        <v>5372</v>
      </c>
      <c r="G1667" s="1" t="s">
        <v>1566</v>
      </c>
    </row>
    <row r="1668" spans="1:7" hidden="1" x14ac:dyDescent="0.25">
      <c r="A1668" t="s">
        <v>4164</v>
      </c>
      <c r="B1668" t="s">
        <v>86</v>
      </c>
      <c r="C1668" t="s">
        <v>200</v>
      </c>
      <c r="E1668" t="s">
        <v>1568</v>
      </c>
      <c r="F1668" t="s">
        <v>5375</v>
      </c>
      <c r="G1668" s="1" t="s">
        <v>1566</v>
      </c>
    </row>
    <row r="1669" spans="1:7" hidden="1" x14ac:dyDescent="0.25">
      <c r="A1669" t="s">
        <v>4164</v>
      </c>
      <c r="B1669" t="s">
        <v>86</v>
      </c>
      <c r="C1669" t="s">
        <v>200</v>
      </c>
      <c r="E1669" t="s">
        <v>1568</v>
      </c>
      <c r="F1669" t="s">
        <v>5378</v>
      </c>
      <c r="G1669" s="1" t="s">
        <v>1566</v>
      </c>
    </row>
    <row r="1670" spans="1:7" hidden="1" x14ac:dyDescent="0.25">
      <c r="A1670" t="s">
        <v>4</v>
      </c>
      <c r="B1670" t="s">
        <v>8</v>
      </c>
      <c r="F1670" t="s">
        <v>5381</v>
      </c>
      <c r="G1670" s="1" t="s">
        <v>1566</v>
      </c>
    </row>
    <row r="1671" spans="1:7" hidden="1" x14ac:dyDescent="0.25">
      <c r="A1671" t="s">
        <v>4</v>
      </c>
      <c r="B1671" t="s">
        <v>4134</v>
      </c>
      <c r="C1671" t="s">
        <v>5010</v>
      </c>
      <c r="F1671" t="s">
        <v>5213</v>
      </c>
      <c r="G1671" t="s">
        <v>1075</v>
      </c>
    </row>
    <row r="1672" spans="1:7" hidden="1" x14ac:dyDescent="0.25">
      <c r="A1672" t="s">
        <v>4</v>
      </c>
      <c r="B1672" t="s">
        <v>4134</v>
      </c>
      <c r="C1672" t="s">
        <v>5010</v>
      </c>
      <c r="E1672" t="s">
        <v>5405</v>
      </c>
      <c r="F1672" t="s">
        <v>5202</v>
      </c>
      <c r="G1672" t="s">
        <v>1075</v>
      </c>
    </row>
    <row r="1673" spans="1:7" hidden="1" x14ac:dyDescent="0.25">
      <c r="A1673" t="s">
        <v>158</v>
      </c>
      <c r="B1673" t="s">
        <v>86</v>
      </c>
      <c r="C1673" t="s">
        <v>200</v>
      </c>
      <c r="D1673">
        <v>3</v>
      </c>
      <c r="E1673" t="s">
        <v>3030</v>
      </c>
      <c r="F1673" t="s">
        <v>5216</v>
      </c>
      <c r="G1673" t="s">
        <v>1075</v>
      </c>
    </row>
    <row r="1674" spans="1:7" hidden="1" x14ac:dyDescent="0.25">
      <c r="A1674" t="s">
        <v>158</v>
      </c>
      <c r="B1674" t="s">
        <v>86</v>
      </c>
      <c r="C1674" t="s">
        <v>200</v>
      </c>
      <c r="D1674">
        <v>4</v>
      </c>
      <c r="E1674" t="s">
        <v>3030</v>
      </c>
      <c r="F1674" t="s">
        <v>5219</v>
      </c>
      <c r="G1674" t="s">
        <v>1075</v>
      </c>
    </row>
    <row r="1675" spans="1:7" hidden="1" x14ac:dyDescent="0.25">
      <c r="A1675" t="s">
        <v>4</v>
      </c>
      <c r="B1675" t="s">
        <v>5406</v>
      </c>
      <c r="C1675" t="s">
        <v>5010</v>
      </c>
      <c r="E1675" t="s">
        <v>5405</v>
      </c>
      <c r="F1675" t="s">
        <v>5222</v>
      </c>
      <c r="G1675" t="s">
        <v>1075</v>
      </c>
    </row>
    <row r="1676" spans="1:7" hidden="1" x14ac:dyDescent="0.25">
      <c r="A1676" t="s">
        <v>4</v>
      </c>
      <c r="B1676" t="s">
        <v>8</v>
      </c>
      <c r="F1676" t="s">
        <v>5225</v>
      </c>
      <c r="G1676" t="s">
        <v>1075</v>
      </c>
    </row>
    <row r="1677" spans="1:7" x14ac:dyDescent="0.25">
      <c r="A1677" t="s">
        <v>4</v>
      </c>
      <c r="B1677" t="s">
        <v>8</v>
      </c>
      <c r="F1677" t="s">
        <v>5209</v>
      </c>
      <c r="G1677" t="s">
        <v>13425</v>
      </c>
    </row>
    <row r="1678" spans="1:7" x14ac:dyDescent="0.25">
      <c r="A1678" t="s">
        <v>1967</v>
      </c>
      <c r="F1678" t="s">
        <v>5211</v>
      </c>
      <c r="G1678" t="s">
        <v>13425</v>
      </c>
    </row>
    <row r="1679" spans="1:7" hidden="1" x14ac:dyDescent="0.25">
      <c r="A1679" t="s">
        <v>1967</v>
      </c>
      <c r="B1679" t="s">
        <v>8</v>
      </c>
      <c r="F1679" t="s">
        <v>5228</v>
      </c>
      <c r="G1679" t="s">
        <v>1076</v>
      </c>
    </row>
    <row r="1680" spans="1:7" hidden="1" x14ac:dyDescent="0.25">
      <c r="A1680" t="s">
        <v>4</v>
      </c>
      <c r="B1680" t="s">
        <v>8</v>
      </c>
      <c r="F1680" t="s">
        <v>5235</v>
      </c>
      <c r="G1680" t="s">
        <v>1077</v>
      </c>
    </row>
    <row r="1681" spans="1:7" hidden="1" x14ac:dyDescent="0.25">
      <c r="A1681" t="s">
        <v>1967</v>
      </c>
      <c r="B1681" t="s">
        <v>8</v>
      </c>
      <c r="F1681" t="s">
        <v>5238</v>
      </c>
      <c r="G1681" t="s">
        <v>1077</v>
      </c>
    </row>
    <row r="1682" spans="1:7" hidden="1" x14ac:dyDescent="0.25">
      <c r="A1682" t="s">
        <v>4</v>
      </c>
      <c r="B1682" t="s">
        <v>8</v>
      </c>
      <c r="F1682" t="s">
        <v>5241</v>
      </c>
      <c r="G1682" t="s">
        <v>1078</v>
      </c>
    </row>
    <row r="1683" spans="1:7" hidden="1" x14ac:dyDescent="0.25">
      <c r="A1683" t="s">
        <v>1967</v>
      </c>
      <c r="B1683" t="s">
        <v>8</v>
      </c>
      <c r="F1683" t="s">
        <v>5244</v>
      </c>
      <c r="G1683" t="s">
        <v>1078</v>
      </c>
    </row>
    <row r="1684" spans="1:7" hidden="1" x14ac:dyDescent="0.25">
      <c r="A1684" t="s">
        <v>4</v>
      </c>
      <c r="B1684" t="s">
        <v>8</v>
      </c>
      <c r="F1684" t="s">
        <v>5247</v>
      </c>
      <c r="G1684" t="s">
        <v>1079</v>
      </c>
    </row>
    <row r="1685" spans="1:7" hidden="1" x14ac:dyDescent="0.25">
      <c r="A1685" t="s">
        <v>261</v>
      </c>
      <c r="B1685" t="s">
        <v>86</v>
      </c>
      <c r="C1685" t="s">
        <v>200</v>
      </c>
      <c r="F1685" t="s">
        <v>5250</v>
      </c>
      <c r="G1685" t="s">
        <v>1079</v>
      </c>
    </row>
    <row r="1686" spans="1:7" hidden="1" x14ac:dyDescent="0.25">
      <c r="A1686" t="s">
        <v>261</v>
      </c>
      <c r="B1686" t="s">
        <v>86</v>
      </c>
      <c r="C1686" t="s">
        <v>200</v>
      </c>
      <c r="F1686" t="s">
        <v>5253</v>
      </c>
      <c r="G1686" t="s">
        <v>1079</v>
      </c>
    </row>
    <row r="1687" spans="1:7" hidden="1" x14ac:dyDescent="0.25">
      <c r="A1687" t="s">
        <v>1967</v>
      </c>
      <c r="B1687" t="s">
        <v>8</v>
      </c>
      <c r="F1687" t="s">
        <v>5256</v>
      </c>
      <c r="G1687" t="s">
        <v>768</v>
      </c>
    </row>
    <row r="1688" spans="1:7" hidden="1" x14ac:dyDescent="0.25">
      <c r="A1688" t="s">
        <v>4</v>
      </c>
      <c r="B1688" t="s">
        <v>9</v>
      </c>
      <c r="F1688" t="s">
        <v>5259</v>
      </c>
      <c r="G1688" t="s">
        <v>1072</v>
      </c>
    </row>
    <row r="1689" spans="1:7" hidden="1" x14ac:dyDescent="0.25">
      <c r="A1689" t="s">
        <v>4</v>
      </c>
      <c r="B1689" t="s">
        <v>9</v>
      </c>
      <c r="E1689" t="s">
        <v>2891</v>
      </c>
      <c r="F1689" t="s">
        <v>5262</v>
      </c>
      <c r="G1689" t="s">
        <v>1072</v>
      </c>
    </row>
    <row r="1690" spans="1:7" hidden="1" x14ac:dyDescent="0.25">
      <c r="A1690" t="s">
        <v>4</v>
      </c>
      <c r="B1690" t="s">
        <v>9</v>
      </c>
      <c r="E1690" t="s">
        <v>2891</v>
      </c>
      <c r="F1690" t="s">
        <v>5265</v>
      </c>
      <c r="G1690" t="s">
        <v>1072</v>
      </c>
    </row>
    <row r="1691" spans="1:7" hidden="1" x14ac:dyDescent="0.25">
      <c r="A1691" t="s">
        <v>5070</v>
      </c>
      <c r="F1691" t="s">
        <v>5268</v>
      </c>
      <c r="G1691" t="s">
        <v>1072</v>
      </c>
    </row>
    <row r="1692" spans="1:7" hidden="1" x14ac:dyDescent="0.25">
      <c r="A1692" t="s">
        <v>4</v>
      </c>
      <c r="B1692" t="s">
        <v>53</v>
      </c>
      <c r="F1692" t="s">
        <v>5271</v>
      </c>
      <c r="G1692" t="s">
        <v>1072</v>
      </c>
    </row>
    <row r="1693" spans="1:7" hidden="1" x14ac:dyDescent="0.25">
      <c r="A1693" t="s">
        <v>1063</v>
      </c>
      <c r="B1693" t="s">
        <v>53</v>
      </c>
      <c r="F1693" t="s">
        <v>5274</v>
      </c>
      <c r="G1693" t="s">
        <v>1072</v>
      </c>
    </row>
    <row r="1694" spans="1:7" hidden="1" x14ac:dyDescent="0.25">
      <c r="A1694" t="s">
        <v>1063</v>
      </c>
      <c r="B1694" t="s">
        <v>58</v>
      </c>
      <c r="F1694" t="s">
        <v>5277</v>
      </c>
      <c r="G1694" t="s">
        <v>1072</v>
      </c>
    </row>
    <row r="1695" spans="1:7" hidden="1" x14ac:dyDescent="0.25">
      <c r="A1695" t="s">
        <v>4</v>
      </c>
      <c r="B1695" t="s">
        <v>9</v>
      </c>
      <c r="E1695" t="s">
        <v>2891</v>
      </c>
      <c r="F1695" t="s">
        <v>5280</v>
      </c>
      <c r="G1695" t="s">
        <v>1072</v>
      </c>
    </row>
    <row r="1696" spans="1:7" hidden="1" x14ac:dyDescent="0.25">
      <c r="A1696" t="s">
        <v>4</v>
      </c>
      <c r="B1696" t="s">
        <v>9</v>
      </c>
      <c r="E1696" t="s">
        <v>2891</v>
      </c>
      <c r="F1696" t="s">
        <v>5283</v>
      </c>
      <c r="G1696" t="s">
        <v>1072</v>
      </c>
    </row>
    <row r="1697" spans="1:7" hidden="1" x14ac:dyDescent="0.25">
      <c r="A1697" t="s">
        <v>4</v>
      </c>
      <c r="B1697" t="s">
        <v>9</v>
      </c>
      <c r="E1697" t="s">
        <v>2891</v>
      </c>
      <c r="F1697" t="s">
        <v>5286</v>
      </c>
      <c r="G1697" t="s">
        <v>1072</v>
      </c>
    </row>
    <row r="1698" spans="1:7" hidden="1" x14ac:dyDescent="0.25">
      <c r="A1698" t="s">
        <v>5407</v>
      </c>
      <c r="B1698" t="s">
        <v>86</v>
      </c>
      <c r="C1698" t="s">
        <v>58</v>
      </c>
      <c r="F1698" t="s">
        <v>5289</v>
      </c>
      <c r="G1698" t="s">
        <v>1072</v>
      </c>
    </row>
    <row r="1699" spans="1:7" hidden="1" x14ac:dyDescent="0.25">
      <c r="A1699" t="s">
        <v>5407</v>
      </c>
      <c r="B1699" t="s">
        <v>86</v>
      </c>
      <c r="C1699" t="s">
        <v>58</v>
      </c>
      <c r="F1699" t="s">
        <v>5292</v>
      </c>
      <c r="G1699" t="s">
        <v>1072</v>
      </c>
    </row>
    <row r="1700" spans="1:7" hidden="1" x14ac:dyDescent="0.25">
      <c r="A1700" t="s">
        <v>4</v>
      </c>
      <c r="B1700" t="s">
        <v>5408</v>
      </c>
      <c r="F1700" t="s">
        <v>5295</v>
      </c>
      <c r="G1700" t="s">
        <v>1072</v>
      </c>
    </row>
    <row r="1701" spans="1:7" hidden="1" x14ac:dyDescent="0.25">
      <c r="A1701" t="s">
        <v>4</v>
      </c>
      <c r="B1701" t="s">
        <v>9</v>
      </c>
      <c r="F1701" t="s">
        <v>5298</v>
      </c>
      <c r="G1701" t="s">
        <v>1072</v>
      </c>
    </row>
    <row r="1702" spans="1:7" hidden="1" x14ac:dyDescent="0.25">
      <c r="A1702" t="s">
        <v>4</v>
      </c>
      <c r="B1702" t="s">
        <v>9</v>
      </c>
      <c r="E1702" t="s">
        <v>2891</v>
      </c>
      <c r="F1702" t="s">
        <v>5301</v>
      </c>
      <c r="G1702" t="s">
        <v>1072</v>
      </c>
    </row>
    <row r="1703" spans="1:7" hidden="1" x14ac:dyDescent="0.25">
      <c r="A1703" t="s">
        <v>4</v>
      </c>
      <c r="B1703" t="s">
        <v>9</v>
      </c>
      <c r="E1703" t="s">
        <v>2891</v>
      </c>
      <c r="F1703" t="s">
        <v>5304</v>
      </c>
      <c r="G1703" t="s">
        <v>1072</v>
      </c>
    </row>
    <row r="1704" spans="1:7" hidden="1" x14ac:dyDescent="0.25">
      <c r="A1704" t="s">
        <v>5407</v>
      </c>
      <c r="B1704" t="s">
        <v>86</v>
      </c>
      <c r="C1704" t="s">
        <v>58</v>
      </c>
      <c r="F1704" t="s">
        <v>5307</v>
      </c>
      <c r="G1704" t="s">
        <v>1072</v>
      </c>
    </row>
    <row r="1705" spans="1:7" hidden="1" x14ac:dyDescent="0.25">
      <c r="A1705" t="s">
        <v>4</v>
      </c>
      <c r="B1705" t="s">
        <v>9</v>
      </c>
      <c r="F1705" t="s">
        <v>5310</v>
      </c>
      <c r="G1705" t="s">
        <v>1072</v>
      </c>
    </row>
    <row r="1706" spans="1:7" hidden="1" x14ac:dyDescent="0.25">
      <c r="A1706" t="s">
        <v>4</v>
      </c>
      <c r="B1706" t="s">
        <v>9</v>
      </c>
      <c r="F1706" t="s">
        <v>5313</v>
      </c>
      <c r="G1706" t="s">
        <v>1072</v>
      </c>
    </row>
    <row r="1707" spans="1:7" hidden="1" x14ac:dyDescent="0.25">
      <c r="A1707" t="s">
        <v>1066</v>
      </c>
      <c r="B1707" t="s">
        <v>86</v>
      </c>
      <c r="C1707" t="s">
        <v>58</v>
      </c>
      <c r="E1707" t="s">
        <v>1583</v>
      </c>
      <c r="F1707" t="s">
        <v>5384</v>
      </c>
      <c r="G1707" t="s">
        <v>1780</v>
      </c>
    </row>
    <row r="1708" spans="1:7" hidden="1" x14ac:dyDescent="0.25">
      <c r="A1708" t="s">
        <v>1066</v>
      </c>
      <c r="B1708" t="s">
        <v>86</v>
      </c>
      <c r="C1708" t="s">
        <v>58</v>
      </c>
      <c r="E1708" t="s">
        <v>1583</v>
      </c>
      <c r="F1708" t="s">
        <v>5387</v>
      </c>
      <c r="G1708" t="s">
        <v>1780</v>
      </c>
    </row>
    <row r="1709" spans="1:7" hidden="1" x14ac:dyDescent="0.25">
      <c r="A1709" t="s">
        <v>4</v>
      </c>
      <c r="B1709" t="s">
        <v>5409</v>
      </c>
      <c r="F1709" t="s">
        <v>5390</v>
      </c>
      <c r="G1709" t="s">
        <v>1897</v>
      </c>
    </row>
    <row r="1710" spans="1:7" hidden="1" x14ac:dyDescent="0.25">
      <c r="A1710" t="s">
        <v>4</v>
      </c>
      <c r="B1710" t="s">
        <v>8</v>
      </c>
      <c r="F1710" t="s">
        <v>5393</v>
      </c>
      <c r="G1710" t="s">
        <v>1897</v>
      </c>
    </row>
    <row r="1711" spans="1:7" hidden="1" x14ac:dyDescent="0.25">
      <c r="A1711" t="s">
        <v>4</v>
      </c>
      <c r="B1711" t="s">
        <v>5409</v>
      </c>
      <c r="E1711" t="s">
        <v>5410</v>
      </c>
      <c r="F1711" t="s">
        <v>5396</v>
      </c>
      <c r="G1711" t="s">
        <v>1897</v>
      </c>
    </row>
    <row r="1712" spans="1:7" hidden="1" x14ac:dyDescent="0.25">
      <c r="A1712" t="s">
        <v>159</v>
      </c>
      <c r="B1712" t="s">
        <v>5411</v>
      </c>
      <c r="C1712" t="s">
        <v>4181</v>
      </c>
      <c r="F1712" t="s">
        <v>5399</v>
      </c>
      <c r="G1712" t="s">
        <v>1960</v>
      </c>
    </row>
    <row r="1713" spans="1:7" hidden="1" x14ac:dyDescent="0.25">
      <c r="A1713" t="s">
        <v>4</v>
      </c>
      <c r="B1713" t="s">
        <v>8</v>
      </c>
      <c r="F1713" t="s">
        <v>5402</v>
      </c>
      <c r="G1713" t="s">
        <v>1960</v>
      </c>
    </row>
    <row r="1714" spans="1:7" hidden="1" x14ac:dyDescent="0.25">
      <c r="A1714" t="s">
        <v>64</v>
      </c>
      <c r="B1714" t="s">
        <v>4134</v>
      </c>
      <c r="C1714" t="s">
        <v>5010</v>
      </c>
      <c r="F1714" t="s">
        <v>5412</v>
      </c>
      <c r="G1714" t="s">
        <v>1074</v>
      </c>
    </row>
    <row r="1715" spans="1:7" hidden="1" x14ac:dyDescent="0.25">
      <c r="A1715" t="s">
        <v>85</v>
      </c>
      <c r="B1715" t="s">
        <v>4134</v>
      </c>
      <c r="C1715" t="s">
        <v>5010</v>
      </c>
      <c r="F1715" t="s">
        <v>5415</v>
      </c>
      <c r="G1715" t="s">
        <v>1074</v>
      </c>
    </row>
    <row r="1716" spans="1:7" hidden="1" x14ac:dyDescent="0.25">
      <c r="A1716" t="s">
        <v>91</v>
      </c>
      <c r="B1716" t="s">
        <v>5436</v>
      </c>
      <c r="C1716" t="s">
        <v>51</v>
      </c>
      <c r="F1716" t="s">
        <v>5418</v>
      </c>
      <c r="G1716" t="s">
        <v>1074</v>
      </c>
    </row>
    <row r="1717" spans="1:7" hidden="1" x14ac:dyDescent="0.25">
      <c r="A1717" t="s">
        <v>2974</v>
      </c>
      <c r="B1717" t="s">
        <v>5436</v>
      </c>
      <c r="C1717" t="s">
        <v>51</v>
      </c>
      <c r="F1717" t="s">
        <v>5421</v>
      </c>
      <c r="G1717" t="s">
        <v>1074</v>
      </c>
    </row>
    <row r="1718" spans="1:7" hidden="1" x14ac:dyDescent="0.25">
      <c r="A1718" t="s">
        <v>64</v>
      </c>
      <c r="B1718" t="s">
        <v>4134</v>
      </c>
      <c r="C1718" t="s">
        <v>5010</v>
      </c>
      <c r="F1718" t="s">
        <v>5424</v>
      </c>
      <c r="G1718" t="s">
        <v>1074</v>
      </c>
    </row>
    <row r="1719" spans="1:7" hidden="1" x14ac:dyDescent="0.25">
      <c r="A1719" t="s">
        <v>85</v>
      </c>
      <c r="B1719" t="s">
        <v>4134</v>
      </c>
      <c r="C1719" t="s">
        <v>5010</v>
      </c>
      <c r="F1719" t="s">
        <v>5427</v>
      </c>
      <c r="G1719" t="s">
        <v>1074</v>
      </c>
    </row>
    <row r="1720" spans="1:7" hidden="1" x14ac:dyDescent="0.25">
      <c r="A1720" t="s">
        <v>64</v>
      </c>
      <c r="B1720" t="s">
        <v>4134</v>
      </c>
      <c r="C1720" t="s">
        <v>5010</v>
      </c>
      <c r="F1720" t="s">
        <v>5430</v>
      </c>
      <c r="G1720" t="s">
        <v>1074</v>
      </c>
    </row>
    <row r="1721" spans="1:7" hidden="1" x14ac:dyDescent="0.25">
      <c r="A1721" t="s">
        <v>85</v>
      </c>
      <c r="B1721" t="s">
        <v>4134</v>
      </c>
      <c r="C1721" t="s">
        <v>5010</v>
      </c>
      <c r="F1721" t="s">
        <v>5433</v>
      </c>
      <c r="G1721" t="s">
        <v>1074</v>
      </c>
    </row>
    <row r="1722" spans="1:7" hidden="1" x14ac:dyDescent="0.25">
      <c r="A1722" t="s">
        <v>1967</v>
      </c>
      <c r="B1722" t="s">
        <v>8</v>
      </c>
      <c r="F1722" t="s">
        <v>5767</v>
      </c>
      <c r="G1722" t="s">
        <v>1074</v>
      </c>
    </row>
    <row r="1723" spans="1:7" hidden="1" x14ac:dyDescent="0.25">
      <c r="A1723" t="s">
        <v>91</v>
      </c>
      <c r="B1723" t="s">
        <v>55</v>
      </c>
      <c r="C1723" t="s">
        <v>51</v>
      </c>
      <c r="F1723" t="s">
        <v>5770</v>
      </c>
      <c r="G1723" t="s">
        <v>1074</v>
      </c>
    </row>
    <row r="1724" spans="1:7" hidden="1" x14ac:dyDescent="0.25">
      <c r="A1724" t="s">
        <v>62</v>
      </c>
      <c r="B1724" t="s">
        <v>6088</v>
      </c>
      <c r="C1724" t="s">
        <v>58</v>
      </c>
      <c r="E1724" t="s">
        <v>6085</v>
      </c>
      <c r="F1724" t="s">
        <v>5947</v>
      </c>
      <c r="G1724" t="s">
        <v>1074</v>
      </c>
    </row>
    <row r="1725" spans="1:7" hidden="1" x14ac:dyDescent="0.25">
      <c r="A1725" t="s">
        <v>91</v>
      </c>
      <c r="B1725" t="s">
        <v>6087</v>
      </c>
      <c r="C1725" t="s">
        <v>51</v>
      </c>
      <c r="F1725" t="s">
        <v>5950</v>
      </c>
      <c r="G1725" t="s">
        <v>1074</v>
      </c>
    </row>
    <row r="1726" spans="1:7" hidden="1" x14ac:dyDescent="0.25">
      <c r="A1726" t="s">
        <v>91</v>
      </c>
      <c r="B1726" t="s">
        <v>6086</v>
      </c>
      <c r="C1726" t="s">
        <v>51</v>
      </c>
      <c r="F1726" t="s">
        <v>5953</v>
      </c>
      <c r="G1726" t="s">
        <v>1074</v>
      </c>
    </row>
    <row r="1727" spans="1:7" hidden="1" x14ac:dyDescent="0.25">
      <c r="A1727" t="s">
        <v>62</v>
      </c>
      <c r="B1727" t="s">
        <v>6087</v>
      </c>
      <c r="C1727" t="s">
        <v>51</v>
      </c>
      <c r="F1727" t="s">
        <v>5956</v>
      </c>
      <c r="G1727" t="s">
        <v>1074</v>
      </c>
    </row>
    <row r="1728" spans="1:7" hidden="1" x14ac:dyDescent="0.25">
      <c r="A1728" t="s">
        <v>2974</v>
      </c>
      <c r="B1728" t="s">
        <v>6086</v>
      </c>
      <c r="C1728" t="s">
        <v>51</v>
      </c>
      <c r="F1728" t="s">
        <v>5959</v>
      </c>
      <c r="G1728" t="s">
        <v>1074</v>
      </c>
    </row>
    <row r="1729" spans="1:7" hidden="1" x14ac:dyDescent="0.25">
      <c r="A1729" t="s">
        <v>91</v>
      </c>
      <c r="B1729" t="s">
        <v>6088</v>
      </c>
      <c r="C1729" t="s">
        <v>58</v>
      </c>
      <c r="F1729" t="s">
        <v>5962</v>
      </c>
      <c r="G1729" t="s">
        <v>1074</v>
      </c>
    </row>
    <row r="1730" spans="1:7" hidden="1" x14ac:dyDescent="0.25">
      <c r="A1730" t="s">
        <v>62</v>
      </c>
      <c r="B1730" t="s">
        <v>6088</v>
      </c>
      <c r="C1730" t="s">
        <v>6089</v>
      </c>
      <c r="E1730" t="s">
        <v>6090</v>
      </c>
      <c r="F1730" t="s">
        <v>5965</v>
      </c>
      <c r="G1730" t="s">
        <v>1074</v>
      </c>
    </row>
    <row r="1731" spans="1:7" hidden="1" x14ac:dyDescent="0.25">
      <c r="A1731" t="s">
        <v>4139</v>
      </c>
      <c r="B1731" t="s">
        <v>86</v>
      </c>
      <c r="C1731" t="s">
        <v>6091</v>
      </c>
      <c r="F1731" t="s">
        <v>5437</v>
      </c>
      <c r="G1731" t="s">
        <v>1075</v>
      </c>
    </row>
    <row r="1732" spans="1:7" hidden="1" x14ac:dyDescent="0.25">
      <c r="A1732" t="s">
        <v>1569</v>
      </c>
      <c r="B1732" t="s">
        <v>4134</v>
      </c>
      <c r="C1732" t="s">
        <v>5010</v>
      </c>
      <c r="F1732" t="s">
        <v>5440</v>
      </c>
      <c r="G1732" t="s">
        <v>1075</v>
      </c>
    </row>
    <row r="1733" spans="1:7" hidden="1" x14ac:dyDescent="0.25">
      <c r="A1733" t="s">
        <v>6092</v>
      </c>
      <c r="B1733" t="s">
        <v>4134</v>
      </c>
      <c r="C1733" t="s">
        <v>5010</v>
      </c>
      <c r="E1733" t="s">
        <v>5405</v>
      </c>
      <c r="F1733" t="s">
        <v>5443</v>
      </c>
      <c r="G1733" t="s">
        <v>1075</v>
      </c>
    </row>
    <row r="1734" spans="1:7" hidden="1" x14ac:dyDescent="0.25">
      <c r="A1734" t="s">
        <v>1569</v>
      </c>
      <c r="B1734" t="s">
        <v>4134</v>
      </c>
      <c r="C1734" t="s">
        <v>5010</v>
      </c>
      <c r="F1734" t="s">
        <v>5446</v>
      </c>
      <c r="G1734" t="s">
        <v>1075</v>
      </c>
    </row>
    <row r="1735" spans="1:7" hidden="1" x14ac:dyDescent="0.25">
      <c r="A1735" t="s">
        <v>6092</v>
      </c>
      <c r="B1735" t="s">
        <v>4134</v>
      </c>
      <c r="C1735" t="s">
        <v>5010</v>
      </c>
      <c r="E1735" t="s">
        <v>5405</v>
      </c>
      <c r="F1735" t="s">
        <v>5449</v>
      </c>
      <c r="G1735" t="s">
        <v>1075</v>
      </c>
    </row>
    <row r="1736" spans="1:7" hidden="1" x14ac:dyDescent="0.25">
      <c r="A1736" t="s">
        <v>4139</v>
      </c>
      <c r="B1736" t="s">
        <v>86</v>
      </c>
      <c r="C1736" t="s">
        <v>2899</v>
      </c>
      <c r="F1736" t="s">
        <v>5452</v>
      </c>
      <c r="G1736" t="s">
        <v>1075</v>
      </c>
    </row>
    <row r="1737" spans="1:7" hidden="1" x14ac:dyDescent="0.25">
      <c r="A1737" t="s">
        <v>4139</v>
      </c>
      <c r="B1737" t="s">
        <v>86</v>
      </c>
      <c r="C1737" t="s">
        <v>2899</v>
      </c>
      <c r="E1737" t="s">
        <v>2891</v>
      </c>
      <c r="F1737" t="s">
        <v>5455</v>
      </c>
      <c r="G1737" t="s">
        <v>1075</v>
      </c>
    </row>
    <row r="1738" spans="1:7" hidden="1" x14ac:dyDescent="0.25">
      <c r="A1738" t="s">
        <v>4139</v>
      </c>
      <c r="B1738" t="s">
        <v>86</v>
      </c>
      <c r="C1738" t="s">
        <v>500</v>
      </c>
      <c r="F1738" t="s">
        <v>5458</v>
      </c>
      <c r="G1738" t="s">
        <v>1075</v>
      </c>
    </row>
    <row r="1739" spans="1:7" hidden="1" x14ac:dyDescent="0.25">
      <c r="A1739" t="s">
        <v>4139</v>
      </c>
      <c r="B1739" t="s">
        <v>86</v>
      </c>
      <c r="C1739" t="s">
        <v>500</v>
      </c>
      <c r="E1739" t="s">
        <v>2891</v>
      </c>
      <c r="F1739" t="s">
        <v>5461</v>
      </c>
      <c r="G1739" t="s">
        <v>1075</v>
      </c>
    </row>
    <row r="1740" spans="1:7" hidden="1" x14ac:dyDescent="0.25">
      <c r="A1740" t="s">
        <v>1569</v>
      </c>
      <c r="B1740" t="s">
        <v>4134</v>
      </c>
      <c r="C1740" t="s">
        <v>5010</v>
      </c>
      <c r="F1740" t="s">
        <v>5464</v>
      </c>
      <c r="G1740" t="s">
        <v>1075</v>
      </c>
    </row>
    <row r="1741" spans="1:7" hidden="1" x14ac:dyDescent="0.25">
      <c r="A1741" t="s">
        <v>6092</v>
      </c>
      <c r="B1741" t="s">
        <v>4134</v>
      </c>
      <c r="C1741" t="s">
        <v>5010</v>
      </c>
      <c r="E1741" t="s">
        <v>5405</v>
      </c>
      <c r="F1741" t="s">
        <v>5467</v>
      </c>
      <c r="G1741" t="s">
        <v>1075</v>
      </c>
    </row>
    <row r="1742" spans="1:7" hidden="1" x14ac:dyDescent="0.25">
      <c r="A1742" t="s">
        <v>4</v>
      </c>
      <c r="B1742" t="s">
        <v>8</v>
      </c>
      <c r="F1742" t="s">
        <v>5728</v>
      </c>
      <c r="G1742" t="s">
        <v>1075</v>
      </c>
    </row>
    <row r="1743" spans="1:7" hidden="1" x14ac:dyDescent="0.25">
      <c r="A1743" t="s">
        <v>4139</v>
      </c>
      <c r="B1743" t="s">
        <v>86</v>
      </c>
      <c r="C1743" t="s">
        <v>6093</v>
      </c>
      <c r="F1743" t="s">
        <v>5731</v>
      </c>
      <c r="G1743" t="s">
        <v>1075</v>
      </c>
    </row>
    <row r="1744" spans="1:7" hidden="1" x14ac:dyDescent="0.25">
      <c r="A1744" t="s">
        <v>158</v>
      </c>
      <c r="B1744" t="s">
        <v>86</v>
      </c>
      <c r="C1744" t="s">
        <v>200</v>
      </c>
      <c r="D1744">
        <v>3</v>
      </c>
      <c r="E1744" t="s">
        <v>3030</v>
      </c>
      <c r="F1744" t="s">
        <v>5734</v>
      </c>
      <c r="G1744" t="s">
        <v>1075</v>
      </c>
    </row>
    <row r="1745" spans="1:7" hidden="1" x14ac:dyDescent="0.25">
      <c r="A1745" t="s">
        <v>158</v>
      </c>
      <c r="B1745" t="s">
        <v>86</v>
      </c>
      <c r="C1745" t="s">
        <v>200</v>
      </c>
      <c r="D1745">
        <v>4</v>
      </c>
      <c r="E1745" t="s">
        <v>3030</v>
      </c>
      <c r="F1745" t="s">
        <v>5737</v>
      </c>
      <c r="G1745" t="s">
        <v>1075</v>
      </c>
    </row>
    <row r="1746" spans="1:7" hidden="1" x14ac:dyDescent="0.25">
      <c r="A1746" t="s">
        <v>158</v>
      </c>
      <c r="B1746" t="s">
        <v>86</v>
      </c>
      <c r="C1746" t="s">
        <v>60</v>
      </c>
      <c r="D1746">
        <v>2</v>
      </c>
      <c r="E1746" t="s">
        <v>3030</v>
      </c>
      <c r="F1746" t="s">
        <v>5740</v>
      </c>
      <c r="G1746" t="s">
        <v>1075</v>
      </c>
    </row>
    <row r="1747" spans="1:7" hidden="1" x14ac:dyDescent="0.25">
      <c r="A1747" t="s">
        <v>158</v>
      </c>
      <c r="B1747" t="s">
        <v>86</v>
      </c>
      <c r="C1747" t="s">
        <v>200</v>
      </c>
      <c r="D1747">
        <v>2</v>
      </c>
      <c r="E1747" t="s">
        <v>3030</v>
      </c>
      <c r="F1747" t="s">
        <v>5743</v>
      </c>
      <c r="G1747" t="s">
        <v>1075</v>
      </c>
    </row>
    <row r="1748" spans="1:7" hidden="1" x14ac:dyDescent="0.25">
      <c r="A1748" t="s">
        <v>158</v>
      </c>
      <c r="B1748" t="s">
        <v>86</v>
      </c>
      <c r="C1748" t="s">
        <v>60</v>
      </c>
      <c r="D1748">
        <v>3</v>
      </c>
      <c r="E1748" t="s">
        <v>3030</v>
      </c>
      <c r="F1748" t="s">
        <v>5746</v>
      </c>
      <c r="G1748" t="s">
        <v>1075</v>
      </c>
    </row>
    <row r="1749" spans="1:7" hidden="1" x14ac:dyDescent="0.25">
      <c r="A1749" t="s">
        <v>158</v>
      </c>
      <c r="B1749" t="s">
        <v>86</v>
      </c>
      <c r="C1749" t="s">
        <v>60</v>
      </c>
      <c r="D1749">
        <v>3</v>
      </c>
      <c r="E1749" t="s">
        <v>3030</v>
      </c>
      <c r="F1749" t="s">
        <v>5749</v>
      </c>
      <c r="G1749" t="s">
        <v>1075</v>
      </c>
    </row>
    <row r="1750" spans="1:7" hidden="1" x14ac:dyDescent="0.25">
      <c r="A1750" t="s">
        <v>158</v>
      </c>
      <c r="B1750" t="s">
        <v>86</v>
      </c>
      <c r="C1750" t="s">
        <v>200</v>
      </c>
      <c r="D1750">
        <v>2</v>
      </c>
      <c r="E1750" t="s">
        <v>3030</v>
      </c>
      <c r="F1750" t="s">
        <v>5752</v>
      </c>
      <c r="G1750" t="s">
        <v>1075</v>
      </c>
    </row>
    <row r="1751" spans="1:7" hidden="1" x14ac:dyDescent="0.25">
      <c r="A1751" t="s">
        <v>1967</v>
      </c>
      <c r="B1751" t="s">
        <v>8</v>
      </c>
      <c r="F1751" t="s">
        <v>5944</v>
      </c>
      <c r="G1751" t="s">
        <v>1075</v>
      </c>
    </row>
    <row r="1752" spans="1:7" x14ac:dyDescent="0.25">
      <c r="A1752" t="s">
        <v>4</v>
      </c>
      <c r="B1752" t="s">
        <v>8</v>
      </c>
      <c r="F1752" t="s">
        <v>5615</v>
      </c>
      <c r="G1752" t="s">
        <v>13425</v>
      </c>
    </row>
    <row r="1753" spans="1:7" x14ac:dyDescent="0.25">
      <c r="A1753" t="s">
        <v>4</v>
      </c>
      <c r="B1753" t="s">
        <v>8</v>
      </c>
      <c r="F1753" t="s">
        <v>5617</v>
      </c>
      <c r="G1753" t="s">
        <v>13425</v>
      </c>
    </row>
    <row r="1754" spans="1:7" x14ac:dyDescent="0.25">
      <c r="A1754" t="s">
        <v>4</v>
      </c>
      <c r="B1754" t="s">
        <v>8</v>
      </c>
      <c r="F1754" t="s">
        <v>5619</v>
      </c>
      <c r="G1754" t="s">
        <v>13425</v>
      </c>
    </row>
    <row r="1755" spans="1:7" x14ac:dyDescent="0.25">
      <c r="A1755" t="s">
        <v>1967</v>
      </c>
      <c r="B1755" t="s">
        <v>8</v>
      </c>
      <c r="F1755" t="s">
        <v>5621</v>
      </c>
      <c r="G1755" t="s">
        <v>13425</v>
      </c>
    </row>
    <row r="1756" spans="1:7" x14ac:dyDescent="0.25">
      <c r="A1756" t="s">
        <v>4</v>
      </c>
      <c r="B1756" t="s">
        <v>8</v>
      </c>
      <c r="F1756" t="s">
        <v>5773</v>
      </c>
      <c r="G1756" t="s">
        <v>13425</v>
      </c>
    </row>
    <row r="1757" spans="1:7" x14ac:dyDescent="0.25">
      <c r="A1757" t="s">
        <v>1967</v>
      </c>
      <c r="B1757" t="s">
        <v>8</v>
      </c>
      <c r="F1757" t="s">
        <v>5775</v>
      </c>
      <c r="G1757" t="s">
        <v>13425</v>
      </c>
    </row>
    <row r="1758" spans="1:7" x14ac:dyDescent="0.25">
      <c r="A1758" t="s">
        <v>1967</v>
      </c>
      <c r="B1758" t="s">
        <v>8</v>
      </c>
      <c r="F1758" t="s">
        <v>5777</v>
      </c>
      <c r="G1758" t="s">
        <v>13425</v>
      </c>
    </row>
    <row r="1759" spans="1:7" x14ac:dyDescent="0.25">
      <c r="A1759" t="s">
        <v>4</v>
      </c>
      <c r="B1759" t="s">
        <v>8</v>
      </c>
      <c r="F1759" t="s">
        <v>5989</v>
      </c>
      <c r="G1759" t="s">
        <v>13425</v>
      </c>
    </row>
    <row r="1760" spans="1:7" x14ac:dyDescent="0.25">
      <c r="A1760" t="s">
        <v>4</v>
      </c>
      <c r="B1760" t="s">
        <v>8</v>
      </c>
      <c r="F1760" t="s">
        <v>5991</v>
      </c>
      <c r="G1760" t="s">
        <v>13425</v>
      </c>
    </row>
    <row r="1761" spans="1:7" x14ac:dyDescent="0.25">
      <c r="A1761" t="s">
        <v>4</v>
      </c>
      <c r="B1761" t="s">
        <v>8</v>
      </c>
      <c r="F1761" t="s">
        <v>5993</v>
      </c>
      <c r="G1761" t="s">
        <v>13425</v>
      </c>
    </row>
    <row r="1762" spans="1:7" hidden="1" x14ac:dyDescent="0.25">
      <c r="A1762" t="s">
        <v>262</v>
      </c>
      <c r="B1762" t="s">
        <v>5436</v>
      </c>
      <c r="C1762" t="s">
        <v>6094</v>
      </c>
      <c r="F1762" t="s">
        <v>5623</v>
      </c>
      <c r="G1762" t="s">
        <v>1076</v>
      </c>
    </row>
    <row r="1763" spans="1:7" hidden="1" x14ac:dyDescent="0.25">
      <c r="A1763" t="s">
        <v>262</v>
      </c>
      <c r="B1763" t="s">
        <v>5436</v>
      </c>
      <c r="C1763" t="s">
        <v>6094</v>
      </c>
      <c r="E1763" t="s">
        <v>2891</v>
      </c>
      <c r="F1763" t="s">
        <v>5626</v>
      </c>
      <c r="G1763" t="s">
        <v>1076</v>
      </c>
    </row>
    <row r="1764" spans="1:7" hidden="1" x14ac:dyDescent="0.25">
      <c r="A1764" t="s">
        <v>262</v>
      </c>
      <c r="B1764" t="s">
        <v>5436</v>
      </c>
      <c r="C1764" t="s">
        <v>6094</v>
      </c>
      <c r="E1764" t="s">
        <v>2891</v>
      </c>
      <c r="F1764" t="s">
        <v>5629</v>
      </c>
      <c r="G1764" t="s">
        <v>1076</v>
      </c>
    </row>
    <row r="1765" spans="1:7" hidden="1" x14ac:dyDescent="0.25">
      <c r="A1765" t="s">
        <v>1967</v>
      </c>
      <c r="B1765" t="s">
        <v>8</v>
      </c>
      <c r="F1765" t="s">
        <v>5632</v>
      </c>
      <c r="G1765" t="s">
        <v>1076</v>
      </c>
    </row>
    <row r="1766" spans="1:7" hidden="1" x14ac:dyDescent="0.25">
      <c r="A1766" t="s">
        <v>4</v>
      </c>
      <c r="B1766" t="s">
        <v>8</v>
      </c>
      <c r="F1766" t="s">
        <v>5755</v>
      </c>
      <c r="G1766" t="s">
        <v>1076</v>
      </c>
    </row>
    <row r="1767" spans="1:7" hidden="1" x14ac:dyDescent="0.25">
      <c r="A1767" t="s">
        <v>4</v>
      </c>
      <c r="B1767" t="s">
        <v>8</v>
      </c>
      <c r="F1767" t="s">
        <v>5758</v>
      </c>
      <c r="G1767" t="s">
        <v>1076</v>
      </c>
    </row>
    <row r="1768" spans="1:7" hidden="1" x14ac:dyDescent="0.25">
      <c r="A1768" t="s">
        <v>4</v>
      </c>
      <c r="B1768" t="s">
        <v>8</v>
      </c>
      <c r="F1768" t="s">
        <v>5761</v>
      </c>
      <c r="G1768" t="s">
        <v>1076</v>
      </c>
    </row>
    <row r="1769" spans="1:7" hidden="1" x14ac:dyDescent="0.25">
      <c r="A1769" t="s">
        <v>1569</v>
      </c>
      <c r="B1769" t="s">
        <v>55</v>
      </c>
      <c r="C1769" t="s">
        <v>51</v>
      </c>
      <c r="F1769" t="s">
        <v>5764</v>
      </c>
      <c r="G1769" t="s">
        <v>1076</v>
      </c>
    </row>
    <row r="1770" spans="1:7" hidden="1" x14ac:dyDescent="0.25">
      <c r="A1770" t="s">
        <v>4</v>
      </c>
      <c r="B1770" t="s">
        <v>6088</v>
      </c>
      <c r="C1770" t="s">
        <v>58</v>
      </c>
      <c r="F1770" t="s">
        <v>5968</v>
      </c>
      <c r="G1770" t="s">
        <v>1076</v>
      </c>
    </row>
    <row r="1771" spans="1:7" hidden="1" x14ac:dyDescent="0.25">
      <c r="A1771" t="s">
        <v>4</v>
      </c>
      <c r="B1771" t="s">
        <v>6088</v>
      </c>
      <c r="C1771" t="s">
        <v>58</v>
      </c>
      <c r="E1771" t="s">
        <v>4146</v>
      </c>
      <c r="F1771" t="s">
        <v>5971</v>
      </c>
      <c r="G1771" t="s">
        <v>1076</v>
      </c>
    </row>
    <row r="1772" spans="1:7" hidden="1" x14ac:dyDescent="0.25">
      <c r="A1772" t="s">
        <v>1569</v>
      </c>
      <c r="B1772" t="s">
        <v>6087</v>
      </c>
      <c r="C1772" t="s">
        <v>51</v>
      </c>
      <c r="F1772" t="s">
        <v>5974</v>
      </c>
      <c r="G1772" t="s">
        <v>1076</v>
      </c>
    </row>
    <row r="1773" spans="1:7" hidden="1" x14ac:dyDescent="0.25">
      <c r="A1773" t="s">
        <v>1569</v>
      </c>
      <c r="B1773" t="s">
        <v>6086</v>
      </c>
      <c r="C1773" t="s">
        <v>51</v>
      </c>
      <c r="F1773" t="s">
        <v>5977</v>
      </c>
      <c r="G1773" t="s">
        <v>1076</v>
      </c>
    </row>
    <row r="1774" spans="1:7" hidden="1" x14ac:dyDescent="0.25">
      <c r="A1774" t="s">
        <v>622</v>
      </c>
      <c r="B1774" t="s">
        <v>6087</v>
      </c>
      <c r="C1774" t="s">
        <v>51</v>
      </c>
      <c r="F1774" t="s">
        <v>5980</v>
      </c>
      <c r="G1774" t="s">
        <v>1076</v>
      </c>
    </row>
    <row r="1775" spans="1:7" hidden="1" x14ac:dyDescent="0.25">
      <c r="A1775" t="s">
        <v>622</v>
      </c>
      <c r="B1775" t="s">
        <v>6086</v>
      </c>
      <c r="C1775" t="s">
        <v>51</v>
      </c>
      <c r="F1775" t="s">
        <v>5983</v>
      </c>
      <c r="G1775" t="s">
        <v>1076</v>
      </c>
    </row>
    <row r="1776" spans="1:7" hidden="1" x14ac:dyDescent="0.25">
      <c r="A1776" t="s">
        <v>1569</v>
      </c>
      <c r="B1776" t="s">
        <v>6088</v>
      </c>
      <c r="C1776" t="s">
        <v>58</v>
      </c>
      <c r="F1776" t="s">
        <v>5986</v>
      </c>
      <c r="G1776" t="s">
        <v>1076</v>
      </c>
    </row>
    <row r="1777" spans="1:7" hidden="1" x14ac:dyDescent="0.25">
      <c r="A1777" t="s">
        <v>6095</v>
      </c>
      <c r="B1777" t="s">
        <v>6088</v>
      </c>
      <c r="C1777" t="s">
        <v>58</v>
      </c>
      <c r="F1777" t="s">
        <v>6082</v>
      </c>
      <c r="G1777" t="s">
        <v>1076</v>
      </c>
    </row>
    <row r="1778" spans="1:7" hidden="1" x14ac:dyDescent="0.25">
      <c r="A1778" t="s">
        <v>1967</v>
      </c>
      <c r="B1778" t="s">
        <v>8</v>
      </c>
      <c r="F1778" t="s">
        <v>5635</v>
      </c>
      <c r="G1778" t="s">
        <v>1077</v>
      </c>
    </row>
    <row r="1779" spans="1:7" hidden="1" x14ac:dyDescent="0.25">
      <c r="A1779" t="s">
        <v>4</v>
      </c>
      <c r="B1779" t="s">
        <v>1570</v>
      </c>
      <c r="C1779" t="s">
        <v>6096</v>
      </c>
      <c r="F1779" t="s">
        <v>5638</v>
      </c>
      <c r="G1779" t="s">
        <v>1077</v>
      </c>
    </row>
    <row r="1780" spans="1:7" hidden="1" x14ac:dyDescent="0.25">
      <c r="A1780" t="s">
        <v>1967</v>
      </c>
      <c r="B1780" t="s">
        <v>8</v>
      </c>
      <c r="F1780" t="s">
        <v>5641</v>
      </c>
      <c r="G1780" t="s">
        <v>1077</v>
      </c>
    </row>
    <row r="1781" spans="1:7" hidden="1" x14ac:dyDescent="0.25">
      <c r="A1781" t="s">
        <v>1967</v>
      </c>
      <c r="B1781" t="s">
        <v>8</v>
      </c>
      <c r="F1781" t="s">
        <v>5779</v>
      </c>
      <c r="G1781" t="s">
        <v>1077</v>
      </c>
    </row>
    <row r="1782" spans="1:7" hidden="1" x14ac:dyDescent="0.25">
      <c r="A1782" t="s">
        <v>4</v>
      </c>
      <c r="B1782" t="s">
        <v>55</v>
      </c>
      <c r="C1782" t="s">
        <v>51</v>
      </c>
      <c r="F1782" t="s">
        <v>5782</v>
      </c>
      <c r="G1782" t="s">
        <v>1077</v>
      </c>
    </row>
    <row r="1783" spans="1:7" hidden="1" x14ac:dyDescent="0.25">
      <c r="A1783" t="s">
        <v>622</v>
      </c>
      <c r="B1783" t="s">
        <v>55</v>
      </c>
      <c r="C1783" t="s">
        <v>51</v>
      </c>
      <c r="E1783" t="s">
        <v>6097</v>
      </c>
      <c r="F1783" t="s">
        <v>5785</v>
      </c>
      <c r="G1783" t="s">
        <v>1077</v>
      </c>
    </row>
    <row r="1784" spans="1:7" hidden="1" x14ac:dyDescent="0.25">
      <c r="A1784" t="s">
        <v>4</v>
      </c>
      <c r="B1784" t="s">
        <v>8</v>
      </c>
      <c r="F1784" t="s">
        <v>5788</v>
      </c>
      <c r="G1784" t="s">
        <v>1077</v>
      </c>
    </row>
    <row r="1785" spans="1:7" hidden="1" x14ac:dyDescent="0.25">
      <c r="A1785" t="s">
        <v>1967</v>
      </c>
      <c r="B1785" t="s">
        <v>8</v>
      </c>
      <c r="F1785" t="s">
        <v>5995</v>
      </c>
      <c r="G1785" t="s">
        <v>1077</v>
      </c>
    </row>
    <row r="1786" spans="1:7" hidden="1" x14ac:dyDescent="0.25">
      <c r="A1786" t="s">
        <v>1967</v>
      </c>
      <c r="B1786" t="s">
        <v>8</v>
      </c>
      <c r="F1786" t="s">
        <v>5470</v>
      </c>
      <c r="G1786" t="s">
        <v>1078</v>
      </c>
    </row>
    <row r="1787" spans="1:7" hidden="1" x14ac:dyDescent="0.25">
      <c r="A1787" t="s">
        <v>1967</v>
      </c>
      <c r="B1787" t="s">
        <v>8</v>
      </c>
      <c r="F1787" t="s">
        <v>5473</v>
      </c>
      <c r="G1787" t="s">
        <v>1078</v>
      </c>
    </row>
    <row r="1788" spans="1:7" hidden="1" x14ac:dyDescent="0.25">
      <c r="A1788" t="s">
        <v>1967</v>
      </c>
      <c r="B1788" t="s">
        <v>8</v>
      </c>
      <c r="F1788" t="s">
        <v>5476</v>
      </c>
      <c r="G1788" t="s">
        <v>1078</v>
      </c>
    </row>
    <row r="1789" spans="1:7" hidden="1" x14ac:dyDescent="0.25">
      <c r="A1789" t="s">
        <v>1578</v>
      </c>
      <c r="B1789" t="s">
        <v>86</v>
      </c>
      <c r="C1789" t="s">
        <v>200</v>
      </c>
      <c r="F1789" t="s">
        <v>5791</v>
      </c>
      <c r="G1789" t="s">
        <v>1078</v>
      </c>
    </row>
    <row r="1790" spans="1:7" hidden="1" x14ac:dyDescent="0.25">
      <c r="A1790" t="s">
        <v>1578</v>
      </c>
      <c r="B1790" t="s">
        <v>86</v>
      </c>
      <c r="C1790" t="s">
        <v>200</v>
      </c>
      <c r="F1790" t="s">
        <v>5794</v>
      </c>
      <c r="G1790" t="s">
        <v>1078</v>
      </c>
    </row>
    <row r="1791" spans="1:7" hidden="1" x14ac:dyDescent="0.25">
      <c r="A1791" t="s">
        <v>1578</v>
      </c>
      <c r="B1791" t="s">
        <v>86</v>
      </c>
      <c r="C1791" t="s">
        <v>200</v>
      </c>
      <c r="F1791" t="s">
        <v>5797</v>
      </c>
      <c r="G1791" t="s">
        <v>1078</v>
      </c>
    </row>
    <row r="1792" spans="1:7" hidden="1" x14ac:dyDescent="0.25">
      <c r="A1792" t="s">
        <v>1967</v>
      </c>
      <c r="B1792" t="s">
        <v>8</v>
      </c>
      <c r="F1792" t="s">
        <v>5998</v>
      </c>
      <c r="G1792" t="s">
        <v>1078</v>
      </c>
    </row>
    <row r="1793" spans="1:7" hidden="1" x14ac:dyDescent="0.25">
      <c r="A1793" t="s">
        <v>1967</v>
      </c>
      <c r="B1793" t="s">
        <v>8</v>
      </c>
      <c r="F1793" t="s">
        <v>5479</v>
      </c>
      <c r="G1793" t="s">
        <v>1079</v>
      </c>
    </row>
    <row r="1794" spans="1:7" hidden="1" x14ac:dyDescent="0.25">
      <c r="A1794" t="s">
        <v>1967</v>
      </c>
      <c r="B1794" t="s">
        <v>8</v>
      </c>
      <c r="F1794" t="s">
        <v>5482</v>
      </c>
      <c r="G1794" t="s">
        <v>1079</v>
      </c>
    </row>
    <row r="1795" spans="1:7" hidden="1" x14ac:dyDescent="0.25">
      <c r="A1795" t="s">
        <v>1967</v>
      </c>
      <c r="B1795" t="s">
        <v>8</v>
      </c>
      <c r="F1795" t="s">
        <v>5485</v>
      </c>
      <c r="G1795" t="s">
        <v>1079</v>
      </c>
    </row>
    <row r="1796" spans="1:7" hidden="1" x14ac:dyDescent="0.25">
      <c r="A1796" t="s">
        <v>1967</v>
      </c>
      <c r="B1796" t="s">
        <v>8</v>
      </c>
      <c r="F1796" t="s">
        <v>5644</v>
      </c>
      <c r="G1796" t="s">
        <v>768</v>
      </c>
    </row>
    <row r="1797" spans="1:7" hidden="1" x14ac:dyDescent="0.25">
      <c r="A1797" t="s">
        <v>4</v>
      </c>
      <c r="B1797" t="s">
        <v>9</v>
      </c>
      <c r="F1797" t="s">
        <v>5647</v>
      </c>
      <c r="G1797" t="s">
        <v>768</v>
      </c>
    </row>
    <row r="1798" spans="1:7" hidden="1" x14ac:dyDescent="0.25">
      <c r="A1798" t="s">
        <v>766</v>
      </c>
      <c r="F1798" t="s">
        <v>5650</v>
      </c>
      <c r="G1798" t="s">
        <v>768</v>
      </c>
    </row>
    <row r="1799" spans="1:7" hidden="1" x14ac:dyDescent="0.25">
      <c r="A1799" t="s">
        <v>766</v>
      </c>
      <c r="F1799" t="s">
        <v>5653</v>
      </c>
      <c r="G1799" t="s">
        <v>768</v>
      </c>
    </row>
    <row r="1800" spans="1:7" hidden="1" x14ac:dyDescent="0.25">
      <c r="A1800" t="s">
        <v>765</v>
      </c>
      <c r="B1800" t="s">
        <v>503</v>
      </c>
      <c r="F1800" t="s">
        <v>5656</v>
      </c>
      <c r="G1800" t="s">
        <v>768</v>
      </c>
    </row>
    <row r="1801" spans="1:7" hidden="1" x14ac:dyDescent="0.25">
      <c r="A1801" t="s">
        <v>4</v>
      </c>
      <c r="B1801" t="s">
        <v>9</v>
      </c>
      <c r="F1801" t="s">
        <v>5659</v>
      </c>
      <c r="G1801" t="s">
        <v>768</v>
      </c>
    </row>
    <row r="1802" spans="1:7" hidden="1" x14ac:dyDescent="0.25">
      <c r="A1802" t="s">
        <v>4</v>
      </c>
      <c r="B1802" t="s">
        <v>9</v>
      </c>
      <c r="E1802" t="s">
        <v>2891</v>
      </c>
      <c r="F1802" t="s">
        <v>5662</v>
      </c>
      <c r="G1802" t="s">
        <v>768</v>
      </c>
    </row>
    <row r="1803" spans="1:7" hidden="1" x14ac:dyDescent="0.25">
      <c r="A1803" t="s">
        <v>4</v>
      </c>
      <c r="B1803" t="s">
        <v>9</v>
      </c>
      <c r="E1803" t="s">
        <v>2891</v>
      </c>
      <c r="F1803" t="s">
        <v>5665</v>
      </c>
      <c r="G1803" t="s">
        <v>768</v>
      </c>
    </row>
    <row r="1804" spans="1:7" hidden="1" x14ac:dyDescent="0.25">
      <c r="A1804" t="s">
        <v>1967</v>
      </c>
      <c r="B1804" t="s">
        <v>8</v>
      </c>
      <c r="F1804" t="s">
        <v>5668</v>
      </c>
      <c r="G1804" t="s">
        <v>768</v>
      </c>
    </row>
    <row r="1805" spans="1:7" hidden="1" x14ac:dyDescent="0.25">
      <c r="A1805" t="s">
        <v>1967</v>
      </c>
      <c r="B1805" t="s">
        <v>8</v>
      </c>
      <c r="F1805" t="s">
        <v>5800</v>
      </c>
      <c r="G1805" t="s">
        <v>768</v>
      </c>
    </row>
    <row r="1806" spans="1:7" hidden="1" x14ac:dyDescent="0.25">
      <c r="A1806" t="s">
        <v>1967</v>
      </c>
      <c r="B1806" t="s">
        <v>8</v>
      </c>
      <c r="F1806" t="s">
        <v>6001</v>
      </c>
      <c r="G1806" t="s">
        <v>768</v>
      </c>
    </row>
    <row r="1807" spans="1:7" hidden="1" x14ac:dyDescent="0.25">
      <c r="A1807" t="s">
        <v>4</v>
      </c>
      <c r="B1807" t="s">
        <v>9</v>
      </c>
      <c r="F1807" t="s">
        <v>5488</v>
      </c>
      <c r="G1807" t="s">
        <v>1072</v>
      </c>
    </row>
    <row r="1808" spans="1:7" hidden="1" x14ac:dyDescent="0.25">
      <c r="A1808" t="s">
        <v>4</v>
      </c>
      <c r="B1808" t="s">
        <v>86</v>
      </c>
      <c r="C1808" t="s">
        <v>500</v>
      </c>
      <c r="E1808" t="s">
        <v>6098</v>
      </c>
      <c r="F1808" t="s">
        <v>5491</v>
      </c>
      <c r="G1808" t="s">
        <v>1072</v>
      </c>
    </row>
    <row r="1809" spans="1:7" hidden="1" x14ac:dyDescent="0.25">
      <c r="A1809" t="s">
        <v>4</v>
      </c>
      <c r="B1809" t="s">
        <v>9</v>
      </c>
      <c r="E1809" t="s">
        <v>2891</v>
      </c>
      <c r="F1809" t="s">
        <v>5494</v>
      </c>
      <c r="G1809" t="s">
        <v>1072</v>
      </c>
    </row>
    <row r="1810" spans="1:7" hidden="1" x14ac:dyDescent="0.25">
      <c r="A1810" t="s">
        <v>4</v>
      </c>
      <c r="B1810" t="s">
        <v>9</v>
      </c>
      <c r="E1810" t="s">
        <v>2891</v>
      </c>
      <c r="F1810" t="s">
        <v>5497</v>
      </c>
      <c r="G1810" t="s">
        <v>1072</v>
      </c>
    </row>
    <row r="1811" spans="1:7" hidden="1" x14ac:dyDescent="0.25">
      <c r="A1811" t="s">
        <v>4</v>
      </c>
      <c r="B1811" t="s">
        <v>9</v>
      </c>
      <c r="E1811" t="s">
        <v>2891</v>
      </c>
      <c r="F1811" t="s">
        <v>5500</v>
      </c>
      <c r="G1811" t="s">
        <v>1072</v>
      </c>
    </row>
    <row r="1812" spans="1:7" hidden="1" x14ac:dyDescent="0.25">
      <c r="A1812" t="s">
        <v>4</v>
      </c>
      <c r="B1812" t="s">
        <v>9</v>
      </c>
      <c r="E1812" t="s">
        <v>2891</v>
      </c>
      <c r="F1812" t="s">
        <v>5503</v>
      </c>
      <c r="G1812" t="s">
        <v>1072</v>
      </c>
    </row>
    <row r="1813" spans="1:7" hidden="1" x14ac:dyDescent="0.25">
      <c r="A1813" t="s">
        <v>4</v>
      </c>
      <c r="B1813" t="s">
        <v>9</v>
      </c>
      <c r="E1813" t="s">
        <v>2891</v>
      </c>
      <c r="F1813" t="s">
        <v>5506</v>
      </c>
      <c r="G1813" t="s">
        <v>1072</v>
      </c>
    </row>
    <row r="1814" spans="1:7" hidden="1" x14ac:dyDescent="0.25">
      <c r="A1814" t="s">
        <v>4</v>
      </c>
      <c r="B1814" t="s">
        <v>9</v>
      </c>
      <c r="E1814" t="s">
        <v>2891</v>
      </c>
      <c r="F1814" t="s">
        <v>5509</v>
      </c>
      <c r="G1814" t="s">
        <v>1072</v>
      </c>
    </row>
    <row r="1815" spans="1:7" hidden="1" x14ac:dyDescent="0.25">
      <c r="A1815" t="s">
        <v>4</v>
      </c>
      <c r="B1815" t="s">
        <v>9</v>
      </c>
      <c r="E1815" t="s">
        <v>2891</v>
      </c>
      <c r="F1815" t="s">
        <v>5512</v>
      </c>
      <c r="G1815" t="s">
        <v>1072</v>
      </c>
    </row>
    <row r="1816" spans="1:7" hidden="1" x14ac:dyDescent="0.25">
      <c r="A1816" t="s">
        <v>4</v>
      </c>
      <c r="B1816" t="s">
        <v>9</v>
      </c>
      <c r="E1816" t="s">
        <v>2891</v>
      </c>
      <c r="F1816" t="s">
        <v>5515</v>
      </c>
      <c r="G1816" t="s">
        <v>1072</v>
      </c>
    </row>
    <row r="1817" spans="1:7" hidden="1" x14ac:dyDescent="0.25">
      <c r="A1817" t="s">
        <v>4</v>
      </c>
      <c r="B1817" t="s">
        <v>9</v>
      </c>
      <c r="E1817" t="s">
        <v>2891</v>
      </c>
      <c r="F1817" t="s">
        <v>5518</v>
      </c>
      <c r="G1817" t="s">
        <v>1072</v>
      </c>
    </row>
    <row r="1818" spans="1:7" hidden="1" x14ac:dyDescent="0.25">
      <c r="A1818" t="s">
        <v>6099</v>
      </c>
      <c r="F1818" t="s">
        <v>5521</v>
      </c>
      <c r="G1818" t="s">
        <v>1072</v>
      </c>
    </row>
    <row r="1819" spans="1:7" hidden="1" x14ac:dyDescent="0.25">
      <c r="A1819" t="s">
        <v>1063</v>
      </c>
      <c r="B1819" t="s">
        <v>503</v>
      </c>
      <c r="C1819" t="s">
        <v>6100</v>
      </c>
      <c r="F1819" t="s">
        <v>5524</v>
      </c>
      <c r="G1819" t="s">
        <v>1072</v>
      </c>
    </row>
    <row r="1820" spans="1:7" hidden="1" x14ac:dyDescent="0.25">
      <c r="A1820" t="s">
        <v>4</v>
      </c>
      <c r="B1820" t="s">
        <v>9</v>
      </c>
      <c r="F1820" t="s">
        <v>5527</v>
      </c>
      <c r="G1820" t="s">
        <v>1072</v>
      </c>
    </row>
    <row r="1821" spans="1:7" hidden="1" x14ac:dyDescent="0.25">
      <c r="A1821" t="s">
        <v>4</v>
      </c>
      <c r="B1821" t="s">
        <v>9</v>
      </c>
      <c r="F1821" t="s">
        <v>5530</v>
      </c>
      <c r="G1821" t="s">
        <v>1072</v>
      </c>
    </row>
    <row r="1822" spans="1:7" hidden="1" x14ac:dyDescent="0.25">
      <c r="A1822" t="s">
        <v>4</v>
      </c>
      <c r="B1822" t="s">
        <v>9</v>
      </c>
      <c r="F1822" t="s">
        <v>5533</v>
      </c>
      <c r="G1822" t="s">
        <v>1072</v>
      </c>
    </row>
    <row r="1823" spans="1:7" hidden="1" x14ac:dyDescent="0.25">
      <c r="A1823" t="s">
        <v>4</v>
      </c>
      <c r="B1823" t="s">
        <v>9</v>
      </c>
      <c r="F1823" t="s">
        <v>5536</v>
      </c>
      <c r="G1823" t="s">
        <v>1072</v>
      </c>
    </row>
    <row r="1824" spans="1:7" hidden="1" x14ac:dyDescent="0.25">
      <c r="A1824" t="s">
        <v>6099</v>
      </c>
      <c r="F1824" t="s">
        <v>5539</v>
      </c>
      <c r="G1824" t="s">
        <v>1072</v>
      </c>
    </row>
    <row r="1825" spans="1:7" hidden="1" x14ac:dyDescent="0.25">
      <c r="A1825" t="s">
        <v>6101</v>
      </c>
      <c r="B1825" t="s">
        <v>503</v>
      </c>
      <c r="C1825" t="s">
        <v>6100</v>
      </c>
      <c r="F1825" t="s">
        <v>5542</v>
      </c>
      <c r="G1825" t="s">
        <v>1072</v>
      </c>
    </row>
    <row r="1826" spans="1:7" hidden="1" x14ac:dyDescent="0.25">
      <c r="A1826" t="s">
        <v>4</v>
      </c>
      <c r="B1826" t="s">
        <v>9</v>
      </c>
      <c r="F1826" t="s">
        <v>5545</v>
      </c>
      <c r="G1826" t="s">
        <v>1072</v>
      </c>
    </row>
    <row r="1827" spans="1:7" hidden="1" x14ac:dyDescent="0.25">
      <c r="A1827" t="s">
        <v>4</v>
      </c>
      <c r="B1827" t="s">
        <v>9</v>
      </c>
      <c r="F1827" t="s">
        <v>5548</v>
      </c>
      <c r="G1827" t="s">
        <v>1072</v>
      </c>
    </row>
    <row r="1828" spans="1:7" hidden="1" x14ac:dyDescent="0.25">
      <c r="A1828" t="s">
        <v>4</v>
      </c>
      <c r="B1828" t="s">
        <v>9</v>
      </c>
      <c r="E1828" t="s">
        <v>2891</v>
      </c>
      <c r="F1828" t="s">
        <v>5551</v>
      </c>
      <c r="G1828" t="s">
        <v>1072</v>
      </c>
    </row>
    <row r="1829" spans="1:7" hidden="1" x14ac:dyDescent="0.25">
      <c r="A1829" t="s">
        <v>4</v>
      </c>
      <c r="B1829" t="s">
        <v>9</v>
      </c>
      <c r="E1829" t="s">
        <v>2891</v>
      </c>
      <c r="F1829" t="s">
        <v>5554</v>
      </c>
      <c r="G1829" t="s">
        <v>1072</v>
      </c>
    </row>
    <row r="1830" spans="1:7" hidden="1" x14ac:dyDescent="0.25">
      <c r="A1830" t="s">
        <v>4</v>
      </c>
      <c r="B1830" t="s">
        <v>9</v>
      </c>
      <c r="E1830" t="s">
        <v>2891</v>
      </c>
      <c r="F1830" t="s">
        <v>5557</v>
      </c>
      <c r="G1830" t="s">
        <v>1072</v>
      </c>
    </row>
    <row r="1831" spans="1:7" hidden="1" x14ac:dyDescent="0.25">
      <c r="A1831" t="s">
        <v>4</v>
      </c>
      <c r="B1831" t="s">
        <v>9</v>
      </c>
      <c r="E1831" t="s">
        <v>2891</v>
      </c>
      <c r="F1831" t="s">
        <v>5560</v>
      </c>
      <c r="G1831" t="s">
        <v>1072</v>
      </c>
    </row>
    <row r="1832" spans="1:7" hidden="1" x14ac:dyDescent="0.25">
      <c r="A1832" t="s">
        <v>4</v>
      </c>
      <c r="B1832" t="s">
        <v>9</v>
      </c>
      <c r="E1832" t="s">
        <v>2891</v>
      </c>
      <c r="F1832" t="s">
        <v>5857</v>
      </c>
      <c r="G1832" t="s">
        <v>1072</v>
      </c>
    </row>
    <row r="1833" spans="1:7" hidden="1" x14ac:dyDescent="0.25">
      <c r="A1833" t="s">
        <v>4</v>
      </c>
      <c r="B1833" t="s">
        <v>9</v>
      </c>
      <c r="E1833" t="s">
        <v>2891</v>
      </c>
      <c r="F1833" t="s">
        <v>5860</v>
      </c>
      <c r="G1833" t="s">
        <v>1072</v>
      </c>
    </row>
    <row r="1834" spans="1:7" hidden="1" x14ac:dyDescent="0.25">
      <c r="A1834" t="s">
        <v>4</v>
      </c>
      <c r="B1834" t="s">
        <v>9</v>
      </c>
      <c r="E1834" t="s">
        <v>2891</v>
      </c>
      <c r="F1834" t="s">
        <v>5863</v>
      </c>
      <c r="G1834" t="s">
        <v>1072</v>
      </c>
    </row>
    <row r="1835" spans="1:7" hidden="1" x14ac:dyDescent="0.25">
      <c r="A1835" t="s">
        <v>4</v>
      </c>
      <c r="B1835" t="s">
        <v>9</v>
      </c>
      <c r="E1835" t="s">
        <v>2891</v>
      </c>
      <c r="F1835" t="s">
        <v>5866</v>
      </c>
      <c r="G1835" t="s">
        <v>1072</v>
      </c>
    </row>
    <row r="1836" spans="1:7" hidden="1" x14ac:dyDescent="0.25">
      <c r="A1836" t="s">
        <v>4</v>
      </c>
      <c r="B1836" t="s">
        <v>9</v>
      </c>
      <c r="E1836" t="s">
        <v>2891</v>
      </c>
      <c r="F1836" t="s">
        <v>5869</v>
      </c>
      <c r="G1836" t="s">
        <v>1072</v>
      </c>
    </row>
    <row r="1837" spans="1:7" hidden="1" x14ac:dyDescent="0.25">
      <c r="A1837" t="s">
        <v>4</v>
      </c>
      <c r="B1837" t="s">
        <v>9</v>
      </c>
      <c r="E1837" t="s">
        <v>2891</v>
      </c>
      <c r="F1837" t="s">
        <v>5872</v>
      </c>
      <c r="G1837" t="s">
        <v>1072</v>
      </c>
    </row>
    <row r="1838" spans="1:7" hidden="1" x14ac:dyDescent="0.25">
      <c r="A1838" t="s">
        <v>4</v>
      </c>
      <c r="B1838" t="s">
        <v>9</v>
      </c>
      <c r="E1838" t="s">
        <v>2891</v>
      </c>
      <c r="F1838" t="s">
        <v>5875</v>
      </c>
      <c r="G1838" t="s">
        <v>1072</v>
      </c>
    </row>
    <row r="1839" spans="1:7" hidden="1" x14ac:dyDescent="0.25">
      <c r="A1839" t="s">
        <v>4</v>
      </c>
      <c r="B1839" t="s">
        <v>9</v>
      </c>
      <c r="E1839" t="s">
        <v>2891</v>
      </c>
      <c r="F1839" t="s">
        <v>5878</v>
      </c>
      <c r="G1839" t="s">
        <v>1072</v>
      </c>
    </row>
    <row r="1840" spans="1:7" hidden="1" x14ac:dyDescent="0.25">
      <c r="A1840" t="s">
        <v>4</v>
      </c>
      <c r="B1840" t="s">
        <v>9</v>
      </c>
      <c r="E1840" t="s">
        <v>2891</v>
      </c>
      <c r="F1840" t="s">
        <v>5881</v>
      </c>
      <c r="G1840" t="s">
        <v>1072</v>
      </c>
    </row>
    <row r="1841" spans="1:7" hidden="1" x14ac:dyDescent="0.25">
      <c r="A1841" t="s">
        <v>1063</v>
      </c>
      <c r="B1841" t="s">
        <v>58</v>
      </c>
      <c r="F1841" t="s">
        <v>5884</v>
      </c>
      <c r="G1841" t="s">
        <v>1072</v>
      </c>
    </row>
    <row r="1842" spans="1:7" hidden="1" x14ac:dyDescent="0.25">
      <c r="A1842" t="s">
        <v>1063</v>
      </c>
      <c r="B1842" t="s">
        <v>6102</v>
      </c>
      <c r="F1842" t="s">
        <v>5887</v>
      </c>
      <c r="G1842" t="s">
        <v>1072</v>
      </c>
    </row>
    <row r="1843" spans="1:7" hidden="1" x14ac:dyDescent="0.25">
      <c r="A1843" t="s">
        <v>4</v>
      </c>
      <c r="B1843" t="s">
        <v>9</v>
      </c>
      <c r="F1843" t="s">
        <v>5890</v>
      </c>
      <c r="G1843" t="s">
        <v>1072</v>
      </c>
    </row>
    <row r="1844" spans="1:7" hidden="1" x14ac:dyDescent="0.25">
      <c r="A1844" t="s">
        <v>4</v>
      </c>
      <c r="B1844" t="s">
        <v>9</v>
      </c>
      <c r="E1844" t="s">
        <v>2891</v>
      </c>
      <c r="F1844" t="s">
        <v>5893</v>
      </c>
      <c r="G1844" t="s">
        <v>1072</v>
      </c>
    </row>
    <row r="1845" spans="1:7" hidden="1" x14ac:dyDescent="0.25">
      <c r="A1845" t="s">
        <v>4</v>
      </c>
      <c r="B1845" t="s">
        <v>9</v>
      </c>
      <c r="E1845" t="s">
        <v>2891</v>
      </c>
      <c r="F1845" t="s">
        <v>5896</v>
      </c>
      <c r="G1845" t="s">
        <v>1072</v>
      </c>
    </row>
    <row r="1846" spans="1:7" hidden="1" x14ac:dyDescent="0.25">
      <c r="A1846" t="s">
        <v>4</v>
      </c>
      <c r="B1846" t="s">
        <v>9</v>
      </c>
      <c r="E1846" t="s">
        <v>2891</v>
      </c>
      <c r="F1846" t="s">
        <v>5899</v>
      </c>
      <c r="G1846" t="s">
        <v>1072</v>
      </c>
    </row>
    <row r="1847" spans="1:7" hidden="1" x14ac:dyDescent="0.25">
      <c r="A1847" t="s">
        <v>4</v>
      </c>
      <c r="B1847" t="s">
        <v>9</v>
      </c>
      <c r="E1847" t="s">
        <v>2891</v>
      </c>
      <c r="F1847" t="s">
        <v>5902</v>
      </c>
      <c r="G1847" t="s">
        <v>1072</v>
      </c>
    </row>
    <row r="1848" spans="1:7" hidden="1" x14ac:dyDescent="0.25">
      <c r="A1848" t="s">
        <v>4</v>
      </c>
      <c r="B1848" t="s">
        <v>9</v>
      </c>
      <c r="E1848" t="s">
        <v>2891</v>
      </c>
      <c r="F1848" t="s">
        <v>5905</v>
      </c>
      <c r="G1848" t="s">
        <v>1072</v>
      </c>
    </row>
    <row r="1849" spans="1:7" hidden="1" x14ac:dyDescent="0.25">
      <c r="A1849" t="s">
        <v>4</v>
      </c>
      <c r="B1849" t="s">
        <v>9</v>
      </c>
      <c r="E1849" t="s">
        <v>2891</v>
      </c>
      <c r="F1849" t="s">
        <v>5908</v>
      </c>
      <c r="G1849" t="s">
        <v>1072</v>
      </c>
    </row>
    <row r="1850" spans="1:7" hidden="1" x14ac:dyDescent="0.25">
      <c r="A1850" t="s">
        <v>4</v>
      </c>
      <c r="B1850" t="s">
        <v>9</v>
      </c>
      <c r="E1850" t="s">
        <v>2891</v>
      </c>
      <c r="F1850" t="s">
        <v>5911</v>
      </c>
      <c r="G1850" t="s">
        <v>1072</v>
      </c>
    </row>
    <row r="1851" spans="1:7" hidden="1" x14ac:dyDescent="0.25">
      <c r="A1851" t="s">
        <v>4</v>
      </c>
      <c r="B1851" t="s">
        <v>9</v>
      </c>
      <c r="E1851" t="s">
        <v>2891</v>
      </c>
      <c r="F1851" t="s">
        <v>6004</v>
      </c>
      <c r="G1851" t="s">
        <v>1072</v>
      </c>
    </row>
    <row r="1852" spans="1:7" hidden="1" x14ac:dyDescent="0.25">
      <c r="A1852" t="s">
        <v>4</v>
      </c>
      <c r="B1852" t="s">
        <v>9</v>
      </c>
      <c r="E1852" t="s">
        <v>2891</v>
      </c>
      <c r="F1852" t="s">
        <v>6007</v>
      </c>
      <c r="G1852" t="s">
        <v>1072</v>
      </c>
    </row>
    <row r="1853" spans="1:7" hidden="1" x14ac:dyDescent="0.25">
      <c r="A1853" t="s">
        <v>4</v>
      </c>
      <c r="B1853" t="s">
        <v>9</v>
      </c>
      <c r="E1853" t="s">
        <v>2891</v>
      </c>
      <c r="F1853" t="s">
        <v>6010</v>
      </c>
      <c r="G1853" t="s">
        <v>1072</v>
      </c>
    </row>
    <row r="1854" spans="1:7" hidden="1" x14ac:dyDescent="0.25">
      <c r="A1854" t="s">
        <v>4</v>
      </c>
      <c r="B1854" t="s">
        <v>9</v>
      </c>
      <c r="F1854" t="s">
        <v>6013</v>
      </c>
      <c r="G1854" t="s">
        <v>1072</v>
      </c>
    </row>
    <row r="1855" spans="1:7" hidden="1" x14ac:dyDescent="0.25">
      <c r="A1855" t="s">
        <v>4</v>
      </c>
      <c r="B1855" t="s">
        <v>8</v>
      </c>
      <c r="F1855" t="s">
        <v>5671</v>
      </c>
      <c r="G1855" s="1" t="s">
        <v>1566</v>
      </c>
    </row>
    <row r="1856" spans="1:7" hidden="1" x14ac:dyDescent="0.25">
      <c r="A1856" t="s">
        <v>4164</v>
      </c>
      <c r="B1856" t="s">
        <v>86</v>
      </c>
      <c r="C1856" t="s">
        <v>7083</v>
      </c>
      <c r="F1856" t="s">
        <v>5674</v>
      </c>
      <c r="G1856" s="1" t="s">
        <v>1566</v>
      </c>
    </row>
    <row r="1857" spans="1:7" hidden="1" x14ac:dyDescent="0.25">
      <c r="A1857" t="s">
        <v>505</v>
      </c>
      <c r="B1857" t="s">
        <v>503</v>
      </c>
      <c r="C1857" t="s">
        <v>58</v>
      </c>
      <c r="E1857" t="s">
        <v>4177</v>
      </c>
      <c r="F1857" t="s">
        <v>5677</v>
      </c>
      <c r="G1857" s="1" t="s">
        <v>1566</v>
      </c>
    </row>
    <row r="1858" spans="1:7" hidden="1" x14ac:dyDescent="0.25">
      <c r="A1858" t="s">
        <v>158</v>
      </c>
      <c r="B1858" t="s">
        <v>86</v>
      </c>
      <c r="C1858" t="s">
        <v>500</v>
      </c>
      <c r="D1858">
        <v>1</v>
      </c>
      <c r="E1858" t="s">
        <v>1568</v>
      </c>
      <c r="F1858" t="s">
        <v>5680</v>
      </c>
      <c r="G1858" s="1" t="s">
        <v>1566</v>
      </c>
    </row>
    <row r="1859" spans="1:7" hidden="1" x14ac:dyDescent="0.25">
      <c r="A1859" t="s">
        <v>158</v>
      </c>
      <c r="B1859" t="s">
        <v>86</v>
      </c>
      <c r="C1859" t="s">
        <v>500</v>
      </c>
      <c r="D1859">
        <v>1</v>
      </c>
      <c r="E1859" t="s">
        <v>1568</v>
      </c>
      <c r="F1859" t="s">
        <v>5683</v>
      </c>
      <c r="G1859" s="1" t="s">
        <v>1566</v>
      </c>
    </row>
    <row r="1860" spans="1:7" hidden="1" x14ac:dyDescent="0.25">
      <c r="A1860" t="s">
        <v>158</v>
      </c>
      <c r="B1860" t="s">
        <v>86</v>
      </c>
      <c r="C1860" t="s">
        <v>500</v>
      </c>
      <c r="D1860">
        <v>1</v>
      </c>
      <c r="E1860" t="s">
        <v>1568</v>
      </c>
      <c r="F1860" t="s">
        <v>5686</v>
      </c>
      <c r="G1860" s="1" t="s">
        <v>1566</v>
      </c>
    </row>
    <row r="1861" spans="1:7" hidden="1" x14ac:dyDescent="0.25">
      <c r="A1861" t="s">
        <v>505</v>
      </c>
      <c r="B1861" t="s">
        <v>503</v>
      </c>
      <c r="C1861" t="s">
        <v>2899</v>
      </c>
      <c r="E1861" t="s">
        <v>1583</v>
      </c>
      <c r="F1861" t="s">
        <v>5689</v>
      </c>
      <c r="G1861" s="1" t="s">
        <v>1566</v>
      </c>
    </row>
    <row r="1862" spans="1:7" hidden="1" x14ac:dyDescent="0.25">
      <c r="A1862" t="s">
        <v>4164</v>
      </c>
      <c r="B1862" t="s">
        <v>86</v>
      </c>
      <c r="C1862" t="s">
        <v>6104</v>
      </c>
      <c r="F1862" t="s">
        <v>5692</v>
      </c>
      <c r="G1862" s="1" t="s">
        <v>1566</v>
      </c>
    </row>
    <row r="1863" spans="1:7" hidden="1" x14ac:dyDescent="0.25">
      <c r="A1863" t="s">
        <v>4164</v>
      </c>
      <c r="B1863" t="s">
        <v>86</v>
      </c>
      <c r="C1863" t="s">
        <v>6104</v>
      </c>
      <c r="E1863" t="s">
        <v>2891</v>
      </c>
      <c r="F1863" t="s">
        <v>5695</v>
      </c>
      <c r="G1863" s="1" t="s">
        <v>1566</v>
      </c>
    </row>
    <row r="1864" spans="1:7" hidden="1" x14ac:dyDescent="0.25">
      <c r="A1864" t="s">
        <v>505</v>
      </c>
      <c r="B1864" t="s">
        <v>503</v>
      </c>
      <c r="C1864" t="s">
        <v>2899</v>
      </c>
      <c r="E1864" t="s">
        <v>1583</v>
      </c>
      <c r="F1864" t="s">
        <v>5698</v>
      </c>
      <c r="G1864" s="1" t="s">
        <v>1566</v>
      </c>
    </row>
    <row r="1865" spans="1:7" hidden="1" x14ac:dyDescent="0.25">
      <c r="A1865" t="s">
        <v>4164</v>
      </c>
      <c r="B1865" t="s">
        <v>86</v>
      </c>
      <c r="C1865" t="s">
        <v>6104</v>
      </c>
      <c r="F1865" t="s">
        <v>5701</v>
      </c>
      <c r="G1865" s="1" t="s">
        <v>1566</v>
      </c>
    </row>
    <row r="1866" spans="1:7" hidden="1" x14ac:dyDescent="0.25">
      <c r="A1866" t="s">
        <v>261</v>
      </c>
      <c r="B1866" t="s">
        <v>86</v>
      </c>
      <c r="C1866" t="s">
        <v>7083</v>
      </c>
      <c r="F1866" t="s">
        <v>5704</v>
      </c>
      <c r="G1866" s="1" t="s">
        <v>1566</v>
      </c>
    </row>
    <row r="1867" spans="1:7" hidden="1" x14ac:dyDescent="0.25">
      <c r="A1867" t="s">
        <v>622</v>
      </c>
      <c r="B1867" t="s">
        <v>86</v>
      </c>
      <c r="C1867" t="s">
        <v>7083</v>
      </c>
      <c r="F1867" t="s">
        <v>5707</v>
      </c>
      <c r="G1867" s="1" t="s">
        <v>1566</v>
      </c>
    </row>
    <row r="1868" spans="1:7" hidden="1" x14ac:dyDescent="0.25">
      <c r="A1868" t="s">
        <v>505</v>
      </c>
      <c r="B1868" t="s">
        <v>503</v>
      </c>
      <c r="C1868" t="s">
        <v>58</v>
      </c>
      <c r="E1868" t="s">
        <v>4177</v>
      </c>
      <c r="F1868" t="s">
        <v>5710</v>
      </c>
      <c r="G1868" s="1" t="s">
        <v>1566</v>
      </c>
    </row>
    <row r="1869" spans="1:7" hidden="1" x14ac:dyDescent="0.25">
      <c r="A1869" t="s">
        <v>158</v>
      </c>
      <c r="B1869" t="s">
        <v>86</v>
      </c>
      <c r="C1869" t="s">
        <v>500</v>
      </c>
      <c r="D1869">
        <v>1</v>
      </c>
      <c r="E1869" t="s">
        <v>1568</v>
      </c>
      <c r="F1869" t="s">
        <v>5713</v>
      </c>
      <c r="G1869" s="1" t="s">
        <v>1566</v>
      </c>
    </row>
    <row r="1870" spans="1:7" hidden="1" x14ac:dyDescent="0.25">
      <c r="A1870" t="s">
        <v>158</v>
      </c>
      <c r="B1870" t="s">
        <v>86</v>
      </c>
      <c r="C1870" t="s">
        <v>500</v>
      </c>
      <c r="D1870">
        <v>1</v>
      </c>
      <c r="E1870" t="s">
        <v>1568</v>
      </c>
      <c r="F1870" t="s">
        <v>5716</v>
      </c>
      <c r="G1870" s="1" t="s">
        <v>1566</v>
      </c>
    </row>
    <row r="1871" spans="1:7" hidden="1" x14ac:dyDescent="0.25">
      <c r="A1871" t="s">
        <v>4</v>
      </c>
      <c r="B1871" t="s">
        <v>8</v>
      </c>
      <c r="F1871" t="s">
        <v>5719</v>
      </c>
      <c r="G1871" s="1" t="s">
        <v>1566</v>
      </c>
    </row>
    <row r="1872" spans="1:7" hidden="1" x14ac:dyDescent="0.25">
      <c r="A1872" t="s">
        <v>4</v>
      </c>
      <c r="B1872" t="s">
        <v>8</v>
      </c>
      <c r="F1872" t="s">
        <v>5722</v>
      </c>
      <c r="G1872" s="1" t="s">
        <v>1566</v>
      </c>
    </row>
    <row r="1873" spans="1:7" hidden="1" x14ac:dyDescent="0.25">
      <c r="A1873" t="s">
        <v>4</v>
      </c>
      <c r="B1873" t="s">
        <v>8</v>
      </c>
      <c r="F1873" t="s">
        <v>5725</v>
      </c>
      <c r="G1873" s="1" t="s">
        <v>1566</v>
      </c>
    </row>
    <row r="1874" spans="1:7" hidden="1" x14ac:dyDescent="0.25">
      <c r="A1874" t="s">
        <v>4</v>
      </c>
      <c r="B1874" t="s">
        <v>8</v>
      </c>
      <c r="F1874" t="s">
        <v>5803</v>
      </c>
      <c r="G1874" s="1" t="s">
        <v>1566</v>
      </c>
    </row>
    <row r="1875" spans="1:7" hidden="1" x14ac:dyDescent="0.25">
      <c r="A1875" t="s">
        <v>4</v>
      </c>
      <c r="B1875" t="s">
        <v>86</v>
      </c>
      <c r="C1875" t="s">
        <v>4181</v>
      </c>
      <c r="E1875" t="s">
        <v>1583</v>
      </c>
      <c r="F1875" t="s">
        <v>5806</v>
      </c>
      <c r="G1875" s="1" t="s">
        <v>1566</v>
      </c>
    </row>
    <row r="1876" spans="1:7" hidden="1" x14ac:dyDescent="0.25">
      <c r="A1876" t="s">
        <v>4164</v>
      </c>
      <c r="B1876" t="s">
        <v>86</v>
      </c>
      <c r="C1876" t="s">
        <v>6093</v>
      </c>
      <c r="F1876" t="s">
        <v>5809</v>
      </c>
      <c r="G1876" s="1" t="s">
        <v>1566</v>
      </c>
    </row>
    <row r="1877" spans="1:7" hidden="1" x14ac:dyDescent="0.25">
      <c r="A1877" t="s">
        <v>4162</v>
      </c>
      <c r="B1877" t="s">
        <v>86</v>
      </c>
      <c r="C1877" t="s">
        <v>58</v>
      </c>
      <c r="E1877" t="s">
        <v>1583</v>
      </c>
      <c r="F1877" t="s">
        <v>5812</v>
      </c>
      <c r="G1877" s="1" t="s">
        <v>1566</v>
      </c>
    </row>
    <row r="1878" spans="1:7" hidden="1" x14ac:dyDescent="0.25">
      <c r="A1878" t="s">
        <v>4162</v>
      </c>
      <c r="B1878" t="s">
        <v>86</v>
      </c>
      <c r="C1878" t="s">
        <v>58</v>
      </c>
      <c r="E1878" t="s">
        <v>2891</v>
      </c>
      <c r="F1878" t="s">
        <v>5815</v>
      </c>
      <c r="G1878" s="1" t="s">
        <v>1566</v>
      </c>
    </row>
    <row r="1879" spans="1:7" hidden="1" x14ac:dyDescent="0.25">
      <c r="A1879" t="s">
        <v>505</v>
      </c>
      <c r="B1879" t="s">
        <v>503</v>
      </c>
      <c r="C1879" t="s">
        <v>1071</v>
      </c>
      <c r="E1879" t="s">
        <v>1583</v>
      </c>
      <c r="F1879" t="s">
        <v>5818</v>
      </c>
      <c r="G1879" s="1" t="s">
        <v>1566</v>
      </c>
    </row>
    <row r="1880" spans="1:7" hidden="1" x14ac:dyDescent="0.25">
      <c r="A1880" t="s">
        <v>505</v>
      </c>
      <c r="B1880" t="s">
        <v>503</v>
      </c>
      <c r="C1880" t="s">
        <v>1071</v>
      </c>
      <c r="E1880" t="s">
        <v>1583</v>
      </c>
      <c r="F1880" t="s">
        <v>5821</v>
      </c>
      <c r="G1880" s="1" t="s">
        <v>1566</v>
      </c>
    </row>
    <row r="1881" spans="1:7" hidden="1" x14ac:dyDescent="0.25">
      <c r="A1881" t="s">
        <v>4164</v>
      </c>
      <c r="B1881" t="s">
        <v>86</v>
      </c>
      <c r="C1881" t="s">
        <v>200</v>
      </c>
      <c r="F1881" t="s">
        <v>5824</v>
      </c>
      <c r="G1881" s="1" t="s">
        <v>1566</v>
      </c>
    </row>
    <row r="1882" spans="1:7" hidden="1" x14ac:dyDescent="0.25">
      <c r="A1882" t="s">
        <v>4164</v>
      </c>
      <c r="B1882" t="s">
        <v>86</v>
      </c>
      <c r="C1882" t="s">
        <v>200</v>
      </c>
      <c r="F1882" t="s">
        <v>5827</v>
      </c>
      <c r="G1882" s="1" t="s">
        <v>1566</v>
      </c>
    </row>
    <row r="1883" spans="1:7" hidden="1" x14ac:dyDescent="0.25">
      <c r="A1883" t="s">
        <v>4164</v>
      </c>
      <c r="B1883" t="s">
        <v>86</v>
      </c>
      <c r="C1883" t="s">
        <v>200</v>
      </c>
      <c r="F1883" t="s">
        <v>5830</v>
      </c>
      <c r="G1883" s="1" t="s">
        <v>1566</v>
      </c>
    </row>
    <row r="1884" spans="1:7" hidden="1" x14ac:dyDescent="0.25">
      <c r="A1884" t="s">
        <v>4164</v>
      </c>
      <c r="B1884" t="s">
        <v>86</v>
      </c>
      <c r="C1884" t="s">
        <v>200</v>
      </c>
      <c r="F1884" t="s">
        <v>5833</v>
      </c>
      <c r="G1884" s="1" t="s">
        <v>1566</v>
      </c>
    </row>
    <row r="1885" spans="1:7" hidden="1" x14ac:dyDescent="0.25">
      <c r="A1885" t="s">
        <v>4164</v>
      </c>
      <c r="B1885" t="s">
        <v>86</v>
      </c>
      <c r="C1885" t="s">
        <v>200</v>
      </c>
      <c r="F1885" t="s">
        <v>5836</v>
      </c>
      <c r="G1885" s="1" t="s">
        <v>1566</v>
      </c>
    </row>
    <row r="1886" spans="1:7" hidden="1" x14ac:dyDescent="0.25">
      <c r="A1886" t="s">
        <v>4164</v>
      </c>
      <c r="B1886" t="s">
        <v>86</v>
      </c>
      <c r="C1886" t="s">
        <v>200</v>
      </c>
      <c r="F1886" t="s">
        <v>5839</v>
      </c>
      <c r="G1886" s="1" t="s">
        <v>1566</v>
      </c>
    </row>
    <row r="1887" spans="1:7" hidden="1" x14ac:dyDescent="0.25">
      <c r="A1887" t="s">
        <v>4164</v>
      </c>
      <c r="B1887" t="s">
        <v>86</v>
      </c>
      <c r="C1887" t="s">
        <v>200</v>
      </c>
      <c r="F1887" t="s">
        <v>5842</v>
      </c>
      <c r="G1887" s="1" t="s">
        <v>1566</v>
      </c>
    </row>
    <row r="1888" spans="1:7" hidden="1" x14ac:dyDescent="0.25">
      <c r="A1888" t="s">
        <v>4</v>
      </c>
      <c r="B1888" t="s">
        <v>8</v>
      </c>
      <c r="F1888" t="s">
        <v>5845</v>
      </c>
      <c r="G1888" s="1" t="s">
        <v>1566</v>
      </c>
    </row>
    <row r="1889" spans="1:7" hidden="1" x14ac:dyDescent="0.25">
      <c r="A1889" t="s">
        <v>4</v>
      </c>
      <c r="B1889" t="s">
        <v>6088</v>
      </c>
      <c r="F1889" t="s">
        <v>6016</v>
      </c>
      <c r="G1889" s="1" t="s">
        <v>1566</v>
      </c>
    </row>
    <row r="1890" spans="1:7" hidden="1" x14ac:dyDescent="0.25">
      <c r="A1890" t="s">
        <v>4</v>
      </c>
      <c r="B1890" t="s">
        <v>8</v>
      </c>
      <c r="F1890" t="s">
        <v>6019</v>
      </c>
      <c r="G1890" s="1" t="s">
        <v>1566</v>
      </c>
    </row>
    <row r="1891" spans="1:7" hidden="1" x14ac:dyDescent="0.25">
      <c r="A1891" t="s">
        <v>4</v>
      </c>
      <c r="B1891" t="s">
        <v>6088</v>
      </c>
      <c r="F1891" t="s">
        <v>6022</v>
      </c>
      <c r="G1891" s="1" t="s">
        <v>1566</v>
      </c>
    </row>
    <row r="1892" spans="1:7" hidden="1" x14ac:dyDescent="0.25">
      <c r="A1892" t="s">
        <v>4</v>
      </c>
      <c r="B1892" t="s">
        <v>8</v>
      </c>
      <c r="F1892" t="s">
        <v>6025</v>
      </c>
      <c r="G1892" s="1" t="s">
        <v>1566</v>
      </c>
    </row>
    <row r="1893" spans="1:7" hidden="1" x14ac:dyDescent="0.25">
      <c r="A1893" t="s">
        <v>4</v>
      </c>
      <c r="B1893" t="s">
        <v>86</v>
      </c>
      <c r="C1893" t="s">
        <v>500</v>
      </c>
      <c r="E1893" t="s">
        <v>5038</v>
      </c>
      <c r="F1893" t="s">
        <v>5563</v>
      </c>
      <c r="G1893" t="s">
        <v>1780</v>
      </c>
    </row>
    <row r="1894" spans="1:7" hidden="1" x14ac:dyDescent="0.25">
      <c r="A1894" t="s">
        <v>4</v>
      </c>
      <c r="B1894" t="s">
        <v>86</v>
      </c>
      <c r="C1894" t="s">
        <v>500</v>
      </c>
      <c r="E1894" t="s">
        <v>5038</v>
      </c>
      <c r="F1894" t="s">
        <v>5567</v>
      </c>
      <c r="G1894" t="s">
        <v>1780</v>
      </c>
    </row>
    <row r="1895" spans="1:7" hidden="1" x14ac:dyDescent="0.25">
      <c r="A1895" t="s">
        <v>4</v>
      </c>
      <c r="B1895" t="s">
        <v>86</v>
      </c>
      <c r="C1895" t="s">
        <v>500</v>
      </c>
      <c r="E1895" t="s">
        <v>5038</v>
      </c>
      <c r="F1895" t="s">
        <v>5570</v>
      </c>
      <c r="G1895" t="s">
        <v>1780</v>
      </c>
    </row>
    <row r="1896" spans="1:7" hidden="1" x14ac:dyDescent="0.25">
      <c r="A1896" t="s">
        <v>4</v>
      </c>
      <c r="B1896" t="s">
        <v>86</v>
      </c>
      <c r="C1896" t="s">
        <v>500</v>
      </c>
      <c r="E1896" t="s">
        <v>5038</v>
      </c>
      <c r="F1896" t="s">
        <v>5573</v>
      </c>
      <c r="G1896" t="s">
        <v>1780</v>
      </c>
    </row>
    <row r="1897" spans="1:7" hidden="1" x14ac:dyDescent="0.25">
      <c r="A1897" t="s">
        <v>6105</v>
      </c>
      <c r="B1897" t="s">
        <v>58</v>
      </c>
      <c r="E1897" t="s">
        <v>6106</v>
      </c>
      <c r="F1897" t="s">
        <v>5576</v>
      </c>
      <c r="G1897" t="s">
        <v>1780</v>
      </c>
    </row>
    <row r="1898" spans="1:7" hidden="1" x14ac:dyDescent="0.25">
      <c r="A1898" t="s">
        <v>6105</v>
      </c>
      <c r="B1898" t="s">
        <v>58</v>
      </c>
      <c r="E1898" t="s">
        <v>2891</v>
      </c>
      <c r="F1898" t="s">
        <v>5579</v>
      </c>
      <c r="G1898" t="s">
        <v>1780</v>
      </c>
    </row>
    <row r="1899" spans="1:7" hidden="1" x14ac:dyDescent="0.25">
      <c r="A1899" t="s">
        <v>6105</v>
      </c>
      <c r="B1899" t="s">
        <v>58</v>
      </c>
      <c r="E1899" t="s">
        <v>2891</v>
      </c>
      <c r="F1899" t="s">
        <v>5582</v>
      </c>
      <c r="G1899" t="s">
        <v>1780</v>
      </c>
    </row>
    <row r="1900" spans="1:7" hidden="1" x14ac:dyDescent="0.25">
      <c r="A1900" t="s">
        <v>6105</v>
      </c>
      <c r="B1900" t="s">
        <v>58</v>
      </c>
      <c r="E1900" t="s">
        <v>2891</v>
      </c>
      <c r="F1900" t="s">
        <v>5585</v>
      </c>
      <c r="G1900" t="s">
        <v>1780</v>
      </c>
    </row>
    <row r="1901" spans="1:7" hidden="1" x14ac:dyDescent="0.25">
      <c r="A1901" t="s">
        <v>1066</v>
      </c>
      <c r="B1901" t="s">
        <v>86</v>
      </c>
      <c r="C1901" t="s">
        <v>58</v>
      </c>
      <c r="E1901" t="s">
        <v>1583</v>
      </c>
      <c r="F1901" t="s">
        <v>5848</v>
      </c>
      <c r="G1901" t="s">
        <v>1780</v>
      </c>
    </row>
    <row r="1902" spans="1:7" hidden="1" x14ac:dyDescent="0.25">
      <c r="A1902" t="s">
        <v>4</v>
      </c>
      <c r="B1902" t="s">
        <v>8</v>
      </c>
      <c r="F1902" t="s">
        <v>5851</v>
      </c>
      <c r="G1902" t="s">
        <v>1780</v>
      </c>
    </row>
    <row r="1903" spans="1:7" hidden="1" x14ac:dyDescent="0.25">
      <c r="A1903" t="s">
        <v>4</v>
      </c>
      <c r="B1903" t="s">
        <v>8</v>
      </c>
      <c r="F1903" t="s">
        <v>5854</v>
      </c>
      <c r="G1903" t="s">
        <v>1780</v>
      </c>
    </row>
    <row r="1904" spans="1:7" hidden="1" x14ac:dyDescent="0.25">
      <c r="A1904" t="s">
        <v>1569</v>
      </c>
      <c r="B1904" t="s">
        <v>6088</v>
      </c>
      <c r="C1904" t="s">
        <v>6107</v>
      </c>
      <c r="E1904" t="s">
        <v>6085</v>
      </c>
      <c r="F1904" t="s">
        <v>6028</v>
      </c>
      <c r="G1904" t="s">
        <v>1780</v>
      </c>
    </row>
    <row r="1905" spans="1:7" hidden="1" x14ac:dyDescent="0.25">
      <c r="A1905" t="s">
        <v>6108</v>
      </c>
      <c r="B1905" t="s">
        <v>6088</v>
      </c>
      <c r="F1905" t="s">
        <v>6031</v>
      </c>
      <c r="G1905" t="s">
        <v>1780</v>
      </c>
    </row>
    <row r="1906" spans="1:7" hidden="1" x14ac:dyDescent="0.25">
      <c r="A1906" t="s">
        <v>261</v>
      </c>
      <c r="B1906" t="s">
        <v>6088</v>
      </c>
      <c r="C1906" t="s">
        <v>6109</v>
      </c>
      <c r="E1906" t="s">
        <v>2891</v>
      </c>
      <c r="F1906" t="s">
        <v>6034</v>
      </c>
      <c r="G1906" t="s">
        <v>1780</v>
      </c>
    </row>
    <row r="1907" spans="1:7" hidden="1" x14ac:dyDescent="0.25">
      <c r="A1907" t="s">
        <v>261</v>
      </c>
      <c r="B1907" t="s">
        <v>6088</v>
      </c>
      <c r="C1907" t="s">
        <v>6109</v>
      </c>
      <c r="E1907" t="s">
        <v>2891</v>
      </c>
      <c r="F1907" t="s">
        <v>6037</v>
      </c>
      <c r="G1907" t="s">
        <v>1780</v>
      </c>
    </row>
    <row r="1908" spans="1:7" hidden="1" x14ac:dyDescent="0.25">
      <c r="A1908" t="s">
        <v>261</v>
      </c>
      <c r="B1908" t="s">
        <v>6088</v>
      </c>
      <c r="C1908" t="s">
        <v>6109</v>
      </c>
      <c r="E1908" t="s">
        <v>2891</v>
      </c>
      <c r="F1908" t="s">
        <v>6040</v>
      </c>
      <c r="G1908" t="s">
        <v>1780</v>
      </c>
    </row>
    <row r="1909" spans="1:7" hidden="1" x14ac:dyDescent="0.25">
      <c r="A1909" t="s">
        <v>261</v>
      </c>
      <c r="B1909" t="s">
        <v>6088</v>
      </c>
      <c r="C1909" t="s">
        <v>6109</v>
      </c>
      <c r="E1909" t="s">
        <v>2891</v>
      </c>
      <c r="F1909" t="s">
        <v>6043</v>
      </c>
      <c r="G1909" t="s">
        <v>1780</v>
      </c>
    </row>
    <row r="1910" spans="1:7" hidden="1" x14ac:dyDescent="0.25">
      <c r="A1910" t="s">
        <v>261</v>
      </c>
      <c r="B1910" t="s">
        <v>6088</v>
      </c>
      <c r="C1910" t="s">
        <v>6109</v>
      </c>
      <c r="E1910" t="s">
        <v>2891</v>
      </c>
      <c r="F1910" t="s">
        <v>6046</v>
      </c>
      <c r="G1910" t="s">
        <v>1780</v>
      </c>
    </row>
    <row r="1911" spans="1:7" hidden="1" x14ac:dyDescent="0.25">
      <c r="A1911" t="s">
        <v>261</v>
      </c>
      <c r="B1911" t="s">
        <v>6088</v>
      </c>
      <c r="C1911" t="s">
        <v>6109</v>
      </c>
      <c r="E1911" t="s">
        <v>2891</v>
      </c>
      <c r="F1911" t="s">
        <v>6049</v>
      </c>
      <c r="G1911" t="s">
        <v>1780</v>
      </c>
    </row>
    <row r="1912" spans="1:7" hidden="1" x14ac:dyDescent="0.25">
      <c r="A1912" t="s">
        <v>261</v>
      </c>
      <c r="B1912" t="s">
        <v>6088</v>
      </c>
      <c r="C1912" t="s">
        <v>6109</v>
      </c>
      <c r="E1912" t="s">
        <v>2891</v>
      </c>
      <c r="F1912" t="s">
        <v>6052</v>
      </c>
      <c r="G1912" t="s">
        <v>1780</v>
      </c>
    </row>
    <row r="1913" spans="1:7" hidden="1" x14ac:dyDescent="0.25">
      <c r="A1913" t="s">
        <v>261</v>
      </c>
      <c r="B1913" t="s">
        <v>6088</v>
      </c>
      <c r="C1913" t="s">
        <v>6109</v>
      </c>
      <c r="E1913" t="s">
        <v>2891</v>
      </c>
      <c r="F1913" t="s">
        <v>6055</v>
      </c>
      <c r="G1913" t="s">
        <v>1780</v>
      </c>
    </row>
    <row r="1914" spans="1:7" hidden="1" x14ac:dyDescent="0.25">
      <c r="A1914" t="s">
        <v>622</v>
      </c>
      <c r="B1914" t="s">
        <v>6088</v>
      </c>
      <c r="C1914" t="s">
        <v>6109</v>
      </c>
      <c r="F1914" t="s">
        <v>6058</v>
      </c>
      <c r="G1914" t="s">
        <v>1780</v>
      </c>
    </row>
    <row r="1915" spans="1:7" hidden="1" x14ac:dyDescent="0.25">
      <c r="A1915" t="s">
        <v>1569</v>
      </c>
      <c r="B1915" t="s">
        <v>6088</v>
      </c>
      <c r="C1915" t="s">
        <v>1572</v>
      </c>
      <c r="F1915" t="s">
        <v>6061</v>
      </c>
      <c r="G1915" t="s">
        <v>1780</v>
      </c>
    </row>
    <row r="1916" spans="1:7" hidden="1" x14ac:dyDescent="0.25">
      <c r="A1916" t="s">
        <v>262</v>
      </c>
      <c r="B1916" t="s">
        <v>6088</v>
      </c>
      <c r="C1916" t="s">
        <v>58</v>
      </c>
      <c r="F1916" t="s">
        <v>6064</v>
      </c>
      <c r="G1916" t="s">
        <v>1780</v>
      </c>
    </row>
    <row r="1917" spans="1:7" hidden="1" x14ac:dyDescent="0.25">
      <c r="A1917" t="s">
        <v>262</v>
      </c>
      <c r="B1917" t="s">
        <v>6088</v>
      </c>
      <c r="C1917" t="s">
        <v>58</v>
      </c>
      <c r="E1917" t="s">
        <v>2891</v>
      </c>
      <c r="F1917" t="s">
        <v>6067</v>
      </c>
      <c r="G1917" t="s">
        <v>1780</v>
      </c>
    </row>
    <row r="1918" spans="1:7" hidden="1" x14ac:dyDescent="0.25">
      <c r="A1918" t="s">
        <v>262</v>
      </c>
      <c r="B1918" t="s">
        <v>6088</v>
      </c>
      <c r="C1918" t="s">
        <v>58</v>
      </c>
      <c r="E1918" t="s">
        <v>2891</v>
      </c>
      <c r="F1918" t="s">
        <v>6070</v>
      </c>
      <c r="G1918" t="s">
        <v>1780</v>
      </c>
    </row>
    <row r="1919" spans="1:7" hidden="1" x14ac:dyDescent="0.25">
      <c r="A1919" t="s">
        <v>262</v>
      </c>
      <c r="B1919" t="s">
        <v>6088</v>
      </c>
      <c r="C1919" t="s">
        <v>58</v>
      </c>
      <c r="E1919" t="s">
        <v>2891</v>
      </c>
      <c r="F1919" t="s">
        <v>6073</v>
      </c>
      <c r="G1919" t="s">
        <v>1780</v>
      </c>
    </row>
    <row r="1920" spans="1:7" hidden="1" x14ac:dyDescent="0.25">
      <c r="A1920" t="s">
        <v>622</v>
      </c>
      <c r="B1920" t="s">
        <v>6088</v>
      </c>
      <c r="C1920" t="s">
        <v>6110</v>
      </c>
      <c r="F1920" t="s">
        <v>6076</v>
      </c>
      <c r="G1920" t="s">
        <v>1780</v>
      </c>
    </row>
    <row r="1921" spans="1:7" hidden="1" x14ac:dyDescent="0.25">
      <c r="A1921" t="s">
        <v>4</v>
      </c>
      <c r="B1921" t="s">
        <v>8</v>
      </c>
      <c r="F1921" t="s">
        <v>6079</v>
      </c>
      <c r="G1921" t="s">
        <v>1780</v>
      </c>
    </row>
    <row r="1922" spans="1:7" hidden="1" x14ac:dyDescent="0.25">
      <c r="A1922" t="s">
        <v>1967</v>
      </c>
      <c r="B1922" t="s">
        <v>8</v>
      </c>
      <c r="F1922" t="s">
        <v>5588</v>
      </c>
      <c r="G1922" t="s">
        <v>1897</v>
      </c>
    </row>
    <row r="1923" spans="1:7" hidden="1" x14ac:dyDescent="0.25">
      <c r="A1923" t="s">
        <v>1967</v>
      </c>
      <c r="B1923" t="s">
        <v>8</v>
      </c>
      <c r="F1923" t="s">
        <v>5591</v>
      </c>
      <c r="G1923" t="s">
        <v>1897</v>
      </c>
    </row>
    <row r="1924" spans="1:7" hidden="1" x14ac:dyDescent="0.25">
      <c r="A1924" t="s">
        <v>1967</v>
      </c>
      <c r="B1924" t="s">
        <v>8</v>
      </c>
      <c r="F1924" t="s">
        <v>5594</v>
      </c>
      <c r="G1924" t="s">
        <v>1897</v>
      </c>
    </row>
    <row r="1925" spans="1:7" hidden="1" x14ac:dyDescent="0.25">
      <c r="A1925" t="s">
        <v>4</v>
      </c>
      <c r="B1925" t="s">
        <v>8</v>
      </c>
      <c r="F1925" t="s">
        <v>5929</v>
      </c>
      <c r="G1925" t="s">
        <v>1897</v>
      </c>
    </row>
    <row r="1926" spans="1:7" hidden="1" x14ac:dyDescent="0.25">
      <c r="A1926" t="s">
        <v>622</v>
      </c>
      <c r="B1926" t="s">
        <v>6111</v>
      </c>
      <c r="F1926" t="s">
        <v>5932</v>
      </c>
      <c r="G1926" t="s">
        <v>1897</v>
      </c>
    </row>
    <row r="1927" spans="1:7" hidden="1" x14ac:dyDescent="0.25">
      <c r="A1927" t="s">
        <v>622</v>
      </c>
      <c r="B1927" t="s">
        <v>6111</v>
      </c>
      <c r="E1927" t="s">
        <v>2891</v>
      </c>
      <c r="F1927" t="s">
        <v>5935</v>
      </c>
      <c r="G1927" t="s">
        <v>1897</v>
      </c>
    </row>
    <row r="1928" spans="1:7" hidden="1" x14ac:dyDescent="0.25">
      <c r="A1928" t="s">
        <v>4</v>
      </c>
      <c r="B1928" t="s">
        <v>8</v>
      </c>
      <c r="F1928" t="s">
        <v>5938</v>
      </c>
      <c r="G1928" t="s">
        <v>1897</v>
      </c>
    </row>
    <row r="1929" spans="1:7" hidden="1" x14ac:dyDescent="0.25">
      <c r="A1929" t="s">
        <v>1967</v>
      </c>
      <c r="B1929" t="s">
        <v>8</v>
      </c>
      <c r="F1929" t="s">
        <v>5941</v>
      </c>
      <c r="G1929" t="s">
        <v>1897</v>
      </c>
    </row>
    <row r="1930" spans="1:7" hidden="1" x14ac:dyDescent="0.25">
      <c r="A1930" t="s">
        <v>6112</v>
      </c>
      <c r="B1930" t="s">
        <v>5411</v>
      </c>
      <c r="C1930" t="s">
        <v>6103</v>
      </c>
      <c r="F1930" t="s">
        <v>5597</v>
      </c>
      <c r="G1930" t="s">
        <v>1960</v>
      </c>
    </row>
    <row r="1931" spans="1:7" hidden="1" x14ac:dyDescent="0.25">
      <c r="A1931" t="s">
        <v>6112</v>
      </c>
      <c r="B1931" t="s">
        <v>5411</v>
      </c>
      <c r="C1931" t="s">
        <v>6103</v>
      </c>
      <c r="E1931" t="s">
        <v>2891</v>
      </c>
      <c r="F1931" t="s">
        <v>5600</v>
      </c>
      <c r="G1931" t="s">
        <v>1960</v>
      </c>
    </row>
    <row r="1932" spans="1:7" hidden="1" x14ac:dyDescent="0.25">
      <c r="A1932" t="s">
        <v>4</v>
      </c>
      <c r="B1932" t="s">
        <v>8</v>
      </c>
      <c r="F1932" t="s">
        <v>5603</v>
      </c>
      <c r="G1932" t="s">
        <v>1960</v>
      </c>
    </row>
    <row r="1933" spans="1:7" hidden="1" x14ac:dyDescent="0.25">
      <c r="A1933" t="s">
        <v>4</v>
      </c>
      <c r="B1933" t="s">
        <v>8</v>
      </c>
      <c r="F1933" t="s">
        <v>5606</v>
      </c>
      <c r="G1933" t="s">
        <v>1960</v>
      </c>
    </row>
    <row r="1934" spans="1:7" hidden="1" x14ac:dyDescent="0.25">
      <c r="A1934" t="s">
        <v>4</v>
      </c>
      <c r="B1934" t="s">
        <v>8</v>
      </c>
      <c r="F1934" t="s">
        <v>5609</v>
      </c>
      <c r="G1934" t="s">
        <v>1960</v>
      </c>
    </row>
    <row r="1935" spans="1:7" hidden="1" x14ac:dyDescent="0.25">
      <c r="A1935" t="s">
        <v>1977</v>
      </c>
      <c r="F1935" t="s">
        <v>5612</v>
      </c>
      <c r="G1935" t="s">
        <v>1960</v>
      </c>
    </row>
    <row r="1936" spans="1:7" hidden="1" x14ac:dyDescent="0.25">
      <c r="A1936" t="s">
        <v>6112</v>
      </c>
      <c r="B1936" t="s">
        <v>5411</v>
      </c>
      <c r="C1936" t="s">
        <v>6093</v>
      </c>
      <c r="F1936" t="s">
        <v>5914</v>
      </c>
      <c r="G1936" t="s">
        <v>1960</v>
      </c>
    </row>
    <row r="1937" spans="1:7" hidden="1" x14ac:dyDescent="0.25">
      <c r="A1937" t="s">
        <v>4</v>
      </c>
      <c r="B1937" t="s">
        <v>8</v>
      </c>
      <c r="F1937" t="s">
        <v>5917</v>
      </c>
      <c r="G1937" t="s">
        <v>1960</v>
      </c>
    </row>
    <row r="1938" spans="1:7" hidden="1" x14ac:dyDescent="0.25">
      <c r="A1938" t="s">
        <v>4</v>
      </c>
      <c r="B1938" t="s">
        <v>8</v>
      </c>
      <c r="F1938" t="s">
        <v>5920</v>
      </c>
      <c r="G1938" t="s">
        <v>1960</v>
      </c>
    </row>
    <row r="1939" spans="1:7" hidden="1" x14ac:dyDescent="0.25">
      <c r="A1939" t="s">
        <v>4</v>
      </c>
      <c r="B1939" t="s">
        <v>6088</v>
      </c>
      <c r="F1939" t="s">
        <v>5923</v>
      </c>
      <c r="G1939" t="s">
        <v>1960</v>
      </c>
    </row>
    <row r="1940" spans="1:7" hidden="1" x14ac:dyDescent="0.25">
      <c r="A1940" t="s">
        <v>4</v>
      </c>
      <c r="B1940" t="s">
        <v>8</v>
      </c>
      <c r="F1940" t="s">
        <v>5926</v>
      </c>
      <c r="G1940" t="s">
        <v>1960</v>
      </c>
    </row>
    <row r="1941" spans="1:7" hidden="1" x14ac:dyDescent="0.25">
      <c r="A1941" t="s">
        <v>1967</v>
      </c>
      <c r="B1941" t="s">
        <v>6182</v>
      </c>
      <c r="E1941" t="s">
        <v>6181</v>
      </c>
      <c r="F1941" t="s">
        <v>6118</v>
      </c>
      <c r="G1941" t="s">
        <v>1074</v>
      </c>
    </row>
    <row r="1942" spans="1:7" hidden="1" x14ac:dyDescent="0.25">
      <c r="A1942" t="s">
        <v>1967</v>
      </c>
      <c r="B1942" t="s">
        <v>8</v>
      </c>
      <c r="F1942" t="s">
        <v>6113</v>
      </c>
      <c r="G1942" t="s">
        <v>1075</v>
      </c>
    </row>
    <row r="1943" spans="1:7" x14ac:dyDescent="0.25">
      <c r="A1943" t="s">
        <v>1967</v>
      </c>
      <c r="B1943" t="s">
        <v>8</v>
      </c>
      <c r="F1943" t="s">
        <v>6116</v>
      </c>
      <c r="G1943" t="s">
        <v>13425</v>
      </c>
    </row>
    <row r="1944" spans="1:7" hidden="1" x14ac:dyDescent="0.25">
      <c r="A1944" t="s">
        <v>1967</v>
      </c>
      <c r="B1944" t="s">
        <v>8</v>
      </c>
      <c r="F1944" t="s">
        <v>6121</v>
      </c>
      <c r="G1944" t="s">
        <v>1076</v>
      </c>
    </row>
    <row r="1945" spans="1:7" hidden="1" x14ac:dyDescent="0.25">
      <c r="A1945" t="s">
        <v>1967</v>
      </c>
      <c r="B1945" t="s">
        <v>8</v>
      </c>
      <c r="F1945" t="s">
        <v>6124</v>
      </c>
      <c r="G1945" t="s">
        <v>1077</v>
      </c>
    </row>
    <row r="1946" spans="1:7" hidden="1" x14ac:dyDescent="0.25">
      <c r="A1946" t="s">
        <v>1967</v>
      </c>
      <c r="B1946" t="s">
        <v>8</v>
      </c>
      <c r="F1946" t="s">
        <v>6127</v>
      </c>
      <c r="G1946" t="s">
        <v>1078</v>
      </c>
    </row>
    <row r="1947" spans="1:7" hidden="1" x14ac:dyDescent="0.25">
      <c r="A1947" t="s">
        <v>1967</v>
      </c>
      <c r="B1947" t="s">
        <v>8</v>
      </c>
      <c r="F1947" t="s">
        <v>6130</v>
      </c>
      <c r="G1947" t="s">
        <v>768</v>
      </c>
    </row>
    <row r="1948" spans="1:7" hidden="1" x14ac:dyDescent="0.25">
      <c r="A1948" t="s">
        <v>4</v>
      </c>
      <c r="B1948" t="s">
        <v>9</v>
      </c>
      <c r="F1948" t="s">
        <v>6133</v>
      </c>
      <c r="G1948" t="s">
        <v>1072</v>
      </c>
    </row>
    <row r="1949" spans="1:7" hidden="1" x14ac:dyDescent="0.25">
      <c r="A1949" t="s">
        <v>1987</v>
      </c>
      <c r="B1949" t="s">
        <v>1267</v>
      </c>
      <c r="F1949" t="s">
        <v>6136</v>
      </c>
      <c r="G1949" t="s">
        <v>1072</v>
      </c>
    </row>
    <row r="1950" spans="1:7" hidden="1" x14ac:dyDescent="0.25">
      <c r="A1950" t="s">
        <v>4</v>
      </c>
      <c r="B1950" t="s">
        <v>9</v>
      </c>
      <c r="F1950" t="s">
        <v>6139</v>
      </c>
      <c r="G1950" t="s">
        <v>1072</v>
      </c>
    </row>
    <row r="1951" spans="1:7" hidden="1" x14ac:dyDescent="0.25">
      <c r="A1951" t="s">
        <v>1987</v>
      </c>
      <c r="B1951" t="s">
        <v>1267</v>
      </c>
      <c r="F1951" t="s">
        <v>6142</v>
      </c>
      <c r="G1951" t="s">
        <v>1072</v>
      </c>
    </row>
    <row r="1952" spans="1:7" hidden="1" x14ac:dyDescent="0.25">
      <c r="A1952" t="s">
        <v>1987</v>
      </c>
      <c r="B1952" t="s">
        <v>1267</v>
      </c>
      <c r="E1952" t="s">
        <v>2891</v>
      </c>
      <c r="F1952" t="s">
        <v>6145</v>
      </c>
      <c r="G1952" t="s">
        <v>1072</v>
      </c>
    </row>
    <row r="1953" spans="1:7" hidden="1" x14ac:dyDescent="0.25">
      <c r="A1953" t="s">
        <v>1987</v>
      </c>
      <c r="B1953" t="s">
        <v>1267</v>
      </c>
      <c r="E1953" t="s">
        <v>2891</v>
      </c>
      <c r="F1953" t="s">
        <v>6148</v>
      </c>
      <c r="G1953" t="s">
        <v>1072</v>
      </c>
    </row>
    <row r="1954" spans="1:7" hidden="1" x14ac:dyDescent="0.25">
      <c r="A1954" t="s">
        <v>4</v>
      </c>
      <c r="B1954" t="s">
        <v>9</v>
      </c>
      <c r="E1954" t="s">
        <v>2891</v>
      </c>
      <c r="F1954" t="s">
        <v>6151</v>
      </c>
      <c r="G1954" t="s">
        <v>1072</v>
      </c>
    </row>
    <row r="1955" spans="1:7" hidden="1" x14ac:dyDescent="0.25">
      <c r="A1955" t="s">
        <v>1987</v>
      </c>
      <c r="B1955" t="s">
        <v>1267</v>
      </c>
      <c r="E1955" t="s">
        <v>2891</v>
      </c>
      <c r="F1955" t="s">
        <v>6154</v>
      </c>
      <c r="G1955" t="s">
        <v>1072</v>
      </c>
    </row>
    <row r="1956" spans="1:7" hidden="1" x14ac:dyDescent="0.25">
      <c r="A1956" t="s">
        <v>1987</v>
      </c>
      <c r="B1956" t="s">
        <v>1267</v>
      </c>
      <c r="E1956" t="s">
        <v>2891</v>
      </c>
      <c r="F1956" t="s">
        <v>6157</v>
      </c>
      <c r="G1956" t="s">
        <v>1072</v>
      </c>
    </row>
    <row r="1957" spans="1:7" hidden="1" x14ac:dyDescent="0.25">
      <c r="A1957" t="s">
        <v>1987</v>
      </c>
      <c r="B1957" t="s">
        <v>1267</v>
      </c>
      <c r="E1957" t="s">
        <v>2891</v>
      </c>
      <c r="F1957" t="s">
        <v>6160</v>
      </c>
      <c r="G1957" t="s">
        <v>1072</v>
      </c>
    </row>
    <row r="1958" spans="1:7" hidden="1" x14ac:dyDescent="0.25">
      <c r="A1958" t="s">
        <v>1987</v>
      </c>
      <c r="B1958" t="s">
        <v>1267</v>
      </c>
      <c r="E1958" t="s">
        <v>2891</v>
      </c>
      <c r="F1958" t="s">
        <v>6163</v>
      </c>
      <c r="G1958" t="s">
        <v>1072</v>
      </c>
    </row>
    <row r="1959" spans="1:7" hidden="1" x14ac:dyDescent="0.25">
      <c r="A1959" t="s">
        <v>1987</v>
      </c>
      <c r="B1959" t="s">
        <v>1267</v>
      </c>
      <c r="E1959" t="s">
        <v>2891</v>
      </c>
      <c r="F1959" t="s">
        <v>6166</v>
      </c>
      <c r="G1959" t="s">
        <v>1072</v>
      </c>
    </row>
    <row r="1960" spans="1:7" hidden="1" x14ac:dyDescent="0.25">
      <c r="A1960" t="s">
        <v>1967</v>
      </c>
      <c r="B1960" t="s">
        <v>8</v>
      </c>
      <c r="F1960" t="s">
        <v>6169</v>
      </c>
      <c r="G1960" s="1" t="s">
        <v>1566</v>
      </c>
    </row>
    <row r="1961" spans="1:7" hidden="1" x14ac:dyDescent="0.25">
      <c r="A1961" t="s">
        <v>1967</v>
      </c>
      <c r="B1961" t="s">
        <v>8</v>
      </c>
      <c r="F1961" t="s">
        <v>6178</v>
      </c>
      <c r="G1961" t="s">
        <v>1780</v>
      </c>
    </row>
    <row r="1962" spans="1:7" hidden="1" x14ac:dyDescent="0.25">
      <c r="A1962" t="s">
        <v>1967</v>
      </c>
      <c r="B1962" t="s">
        <v>8</v>
      </c>
      <c r="F1962" t="s">
        <v>6172</v>
      </c>
      <c r="G1962" t="s">
        <v>1897</v>
      </c>
    </row>
    <row r="1963" spans="1:7" hidden="1" x14ac:dyDescent="0.25">
      <c r="A1963" t="s">
        <v>1967</v>
      </c>
      <c r="B1963" t="s">
        <v>8</v>
      </c>
      <c r="F1963" t="s">
        <v>6175</v>
      </c>
      <c r="G1963" t="s">
        <v>1960</v>
      </c>
    </row>
    <row r="1964" spans="1:7" hidden="1" x14ac:dyDescent="0.25">
      <c r="A1964" t="s">
        <v>64</v>
      </c>
      <c r="B1964" t="s">
        <v>4134</v>
      </c>
      <c r="C1964" t="s">
        <v>5010</v>
      </c>
      <c r="F1964" t="s">
        <v>6183</v>
      </c>
      <c r="G1964" t="s">
        <v>1074</v>
      </c>
    </row>
    <row r="1965" spans="1:7" hidden="1" x14ac:dyDescent="0.25">
      <c r="A1965" t="s">
        <v>91</v>
      </c>
      <c r="B1965" t="s">
        <v>6248</v>
      </c>
      <c r="C1965" t="s">
        <v>51</v>
      </c>
      <c r="F1965" t="s">
        <v>6262</v>
      </c>
      <c r="G1965" t="s">
        <v>1074</v>
      </c>
    </row>
    <row r="1966" spans="1:7" hidden="1" x14ac:dyDescent="0.25">
      <c r="A1966" t="s">
        <v>85</v>
      </c>
      <c r="B1966" t="s">
        <v>6248</v>
      </c>
      <c r="C1966" t="s">
        <v>58</v>
      </c>
      <c r="E1966" t="s">
        <v>1583</v>
      </c>
      <c r="F1966" t="s">
        <v>6186</v>
      </c>
      <c r="G1966" t="s">
        <v>1074</v>
      </c>
    </row>
    <row r="1967" spans="1:7" hidden="1" x14ac:dyDescent="0.25">
      <c r="A1967" t="s">
        <v>85</v>
      </c>
      <c r="B1967" t="s">
        <v>6248</v>
      </c>
      <c r="C1967" t="s">
        <v>58</v>
      </c>
      <c r="E1967" t="s">
        <v>2891</v>
      </c>
      <c r="F1967" t="s">
        <v>6189</v>
      </c>
      <c r="G1967" t="s">
        <v>1074</v>
      </c>
    </row>
    <row r="1968" spans="1:7" hidden="1" x14ac:dyDescent="0.25">
      <c r="A1968" t="s">
        <v>62</v>
      </c>
      <c r="B1968" t="s">
        <v>70</v>
      </c>
      <c r="F1968" t="s">
        <v>6192</v>
      </c>
      <c r="G1968" t="s">
        <v>1074</v>
      </c>
    </row>
    <row r="1969" spans="1:7" hidden="1" x14ac:dyDescent="0.25">
      <c r="A1969" t="s">
        <v>91</v>
      </c>
      <c r="B1969" t="s">
        <v>70</v>
      </c>
      <c r="F1969" t="s">
        <v>6195</v>
      </c>
      <c r="G1969" t="s">
        <v>1074</v>
      </c>
    </row>
    <row r="1970" spans="1:7" hidden="1" x14ac:dyDescent="0.25">
      <c r="A1970" t="s">
        <v>85</v>
      </c>
      <c r="B1970" t="s">
        <v>4134</v>
      </c>
      <c r="C1970" t="s">
        <v>5010</v>
      </c>
      <c r="F1970" t="s">
        <v>6198</v>
      </c>
      <c r="G1970" t="s">
        <v>1074</v>
      </c>
    </row>
    <row r="1971" spans="1:7" hidden="1" x14ac:dyDescent="0.25">
      <c r="A1971" t="s">
        <v>261</v>
      </c>
      <c r="B1971" t="s">
        <v>86</v>
      </c>
      <c r="C1971" t="s">
        <v>4181</v>
      </c>
      <c r="F1971" t="s">
        <v>6201</v>
      </c>
      <c r="G1971" t="s">
        <v>1075</v>
      </c>
    </row>
    <row r="1972" spans="1:7" hidden="1" x14ac:dyDescent="0.25">
      <c r="A1972" t="s">
        <v>4139</v>
      </c>
      <c r="B1972" t="s">
        <v>86</v>
      </c>
      <c r="C1972" t="s">
        <v>4181</v>
      </c>
      <c r="E1972" t="s">
        <v>1583</v>
      </c>
      <c r="F1972" t="s">
        <v>6204</v>
      </c>
      <c r="G1972" t="s">
        <v>1075</v>
      </c>
    </row>
    <row r="1973" spans="1:7" hidden="1" x14ac:dyDescent="0.25">
      <c r="A1973" t="s">
        <v>4139</v>
      </c>
      <c r="B1973" t="s">
        <v>86</v>
      </c>
      <c r="C1973" t="s">
        <v>6103</v>
      </c>
      <c r="E1973" t="s">
        <v>6258</v>
      </c>
      <c r="F1973" t="s">
        <v>6207</v>
      </c>
      <c r="G1973" t="s">
        <v>1075</v>
      </c>
    </row>
    <row r="1974" spans="1:7" hidden="1" x14ac:dyDescent="0.25">
      <c r="A1974" t="s">
        <v>1569</v>
      </c>
      <c r="B1974" t="s">
        <v>4134</v>
      </c>
      <c r="C1974" t="s">
        <v>5010</v>
      </c>
      <c r="F1974" t="s">
        <v>6210</v>
      </c>
      <c r="G1974" t="s">
        <v>1075</v>
      </c>
    </row>
    <row r="1975" spans="1:7" hidden="1" x14ac:dyDescent="0.25">
      <c r="A1975" t="s">
        <v>6092</v>
      </c>
      <c r="B1975" t="s">
        <v>4134</v>
      </c>
      <c r="C1975" t="s">
        <v>5010</v>
      </c>
      <c r="E1975" t="s">
        <v>5405</v>
      </c>
      <c r="F1975" t="s">
        <v>6213</v>
      </c>
      <c r="G1975" t="s">
        <v>1075</v>
      </c>
    </row>
    <row r="1976" spans="1:7" hidden="1" x14ac:dyDescent="0.25">
      <c r="A1976" t="s">
        <v>4139</v>
      </c>
      <c r="B1976" t="s">
        <v>6248</v>
      </c>
      <c r="F1976" t="s">
        <v>6216</v>
      </c>
      <c r="G1976" t="s">
        <v>1075</v>
      </c>
    </row>
    <row r="1977" spans="1:7" hidden="1" x14ac:dyDescent="0.25">
      <c r="A1977" t="s">
        <v>622</v>
      </c>
      <c r="B1977" t="s">
        <v>4134</v>
      </c>
      <c r="C1977" t="s">
        <v>5010</v>
      </c>
      <c r="F1977" t="s">
        <v>6217</v>
      </c>
      <c r="G1977" t="s">
        <v>1075</v>
      </c>
    </row>
    <row r="1978" spans="1:7" hidden="1" x14ac:dyDescent="0.25">
      <c r="A1978" t="s">
        <v>158</v>
      </c>
      <c r="B1978" t="s">
        <v>86</v>
      </c>
      <c r="C1978" t="s">
        <v>500</v>
      </c>
      <c r="D1978">
        <v>1</v>
      </c>
      <c r="E1978" t="s">
        <v>3030</v>
      </c>
      <c r="F1978" t="s">
        <v>6220</v>
      </c>
      <c r="G1978" t="s">
        <v>1075</v>
      </c>
    </row>
    <row r="1979" spans="1:7" hidden="1" x14ac:dyDescent="0.25">
      <c r="A1979" t="s">
        <v>158</v>
      </c>
      <c r="B1979" t="s">
        <v>86</v>
      </c>
      <c r="C1979" t="s">
        <v>500</v>
      </c>
      <c r="D1979">
        <v>1</v>
      </c>
      <c r="E1979" t="s">
        <v>3030</v>
      </c>
      <c r="F1979" t="s">
        <v>6223</v>
      </c>
      <c r="G1979" t="s">
        <v>1075</v>
      </c>
    </row>
    <row r="1980" spans="1:7" hidden="1" x14ac:dyDescent="0.25">
      <c r="A1980" t="s">
        <v>158</v>
      </c>
      <c r="B1980" t="s">
        <v>86</v>
      </c>
      <c r="C1980" t="s">
        <v>200</v>
      </c>
      <c r="D1980">
        <v>1</v>
      </c>
      <c r="E1980" t="s">
        <v>3030</v>
      </c>
      <c r="F1980" t="s">
        <v>6226</v>
      </c>
      <c r="G1980" t="s">
        <v>1075</v>
      </c>
    </row>
    <row r="1981" spans="1:7" x14ac:dyDescent="0.25">
      <c r="A1981" t="s">
        <v>4</v>
      </c>
      <c r="B1981" t="s">
        <v>8</v>
      </c>
      <c r="F1981" t="s">
        <v>6243</v>
      </c>
      <c r="G1981" t="s">
        <v>13425</v>
      </c>
    </row>
    <row r="1982" spans="1:7" hidden="1" x14ac:dyDescent="0.25">
      <c r="A1982" t="s">
        <v>4</v>
      </c>
      <c r="B1982" t="s">
        <v>8</v>
      </c>
      <c r="F1982" t="s">
        <v>6265</v>
      </c>
      <c r="G1982" t="s">
        <v>1076</v>
      </c>
    </row>
    <row r="1983" spans="1:7" hidden="1" x14ac:dyDescent="0.25">
      <c r="A1983" t="s">
        <v>261</v>
      </c>
      <c r="B1983" t="s">
        <v>70</v>
      </c>
      <c r="C1983" t="s">
        <v>6261</v>
      </c>
      <c r="F1983" t="s">
        <v>6230</v>
      </c>
      <c r="G1983" t="s">
        <v>1076</v>
      </c>
    </row>
    <row r="1984" spans="1:7" hidden="1" x14ac:dyDescent="0.25">
      <c r="A1984" t="s">
        <v>1569</v>
      </c>
      <c r="B1984" t="s">
        <v>70</v>
      </c>
      <c r="F1984" t="s">
        <v>6233</v>
      </c>
      <c r="G1984" t="s">
        <v>1077</v>
      </c>
    </row>
    <row r="1985" spans="1:7" hidden="1" x14ac:dyDescent="0.25">
      <c r="A1985" t="s">
        <v>4</v>
      </c>
      <c r="B1985" t="s">
        <v>6260</v>
      </c>
      <c r="F1985" t="s">
        <v>6236</v>
      </c>
      <c r="G1985" t="s">
        <v>1077</v>
      </c>
    </row>
    <row r="1986" spans="1:7" hidden="1" x14ac:dyDescent="0.25">
      <c r="A1986" t="s">
        <v>4</v>
      </c>
      <c r="B1986" t="s">
        <v>86</v>
      </c>
      <c r="F1986" t="s">
        <v>6239</v>
      </c>
      <c r="G1986" t="s">
        <v>1077</v>
      </c>
    </row>
    <row r="1987" spans="1:7" hidden="1" x14ac:dyDescent="0.25">
      <c r="A1987" t="s">
        <v>1967</v>
      </c>
      <c r="B1987" t="s">
        <v>8</v>
      </c>
      <c r="F1987" t="s">
        <v>6245</v>
      </c>
      <c r="G1987" t="s">
        <v>1078</v>
      </c>
    </row>
    <row r="1988" spans="1:7" hidden="1" x14ac:dyDescent="0.25">
      <c r="A1988" t="s">
        <v>4153</v>
      </c>
      <c r="F1988" t="s">
        <v>6249</v>
      </c>
      <c r="G1988" t="s">
        <v>1079</v>
      </c>
    </row>
    <row r="1989" spans="1:7" hidden="1" x14ac:dyDescent="0.25">
      <c r="A1989" t="s">
        <v>4153</v>
      </c>
      <c r="F1989" t="s">
        <v>6252</v>
      </c>
      <c r="G1989" t="s">
        <v>1079</v>
      </c>
    </row>
    <row r="1990" spans="1:7" hidden="1" x14ac:dyDescent="0.25">
      <c r="A1990" t="s">
        <v>4153</v>
      </c>
      <c r="F1990" t="s">
        <v>6255</v>
      </c>
      <c r="G1990" t="s">
        <v>1079</v>
      </c>
    </row>
    <row r="1991" spans="1:7" hidden="1" x14ac:dyDescent="0.25">
      <c r="A1991" t="s">
        <v>1967</v>
      </c>
      <c r="B1991" t="s">
        <v>8</v>
      </c>
      <c r="F1991" t="s">
        <v>6240</v>
      </c>
      <c r="G1991" t="s">
        <v>1079</v>
      </c>
    </row>
    <row r="1992" spans="1:7" hidden="1" x14ac:dyDescent="0.25">
      <c r="A1992" t="s">
        <v>1967</v>
      </c>
      <c r="B1992" t="s">
        <v>8</v>
      </c>
      <c r="F1992" t="s">
        <v>6268</v>
      </c>
      <c r="G1992" t="s">
        <v>768</v>
      </c>
    </row>
    <row r="1993" spans="1:7" hidden="1" x14ac:dyDescent="0.25">
      <c r="A1993" t="s">
        <v>4</v>
      </c>
      <c r="B1993" t="s">
        <v>9</v>
      </c>
      <c r="F1993" t="s">
        <v>6271</v>
      </c>
      <c r="G1993" t="s">
        <v>1072</v>
      </c>
    </row>
    <row r="1994" spans="1:7" hidden="1" x14ac:dyDescent="0.25">
      <c r="A1994" t="s">
        <v>4</v>
      </c>
      <c r="B1994" t="s">
        <v>9</v>
      </c>
      <c r="E1994" t="s">
        <v>2891</v>
      </c>
      <c r="F1994" t="s">
        <v>6274</v>
      </c>
      <c r="G1994" t="s">
        <v>1072</v>
      </c>
    </row>
    <row r="1995" spans="1:7" hidden="1" x14ac:dyDescent="0.25">
      <c r="A1995" t="s">
        <v>4</v>
      </c>
      <c r="B1995" t="s">
        <v>9</v>
      </c>
      <c r="E1995" t="s">
        <v>2891</v>
      </c>
      <c r="F1995" t="s">
        <v>6277</v>
      </c>
      <c r="G1995" t="s">
        <v>1072</v>
      </c>
    </row>
    <row r="1996" spans="1:7" hidden="1" x14ac:dyDescent="0.25">
      <c r="A1996" t="s">
        <v>1063</v>
      </c>
      <c r="B1996" t="s">
        <v>58</v>
      </c>
      <c r="F1996" t="s">
        <v>6280</v>
      </c>
      <c r="G1996" t="s">
        <v>1072</v>
      </c>
    </row>
    <row r="1997" spans="1:7" hidden="1" x14ac:dyDescent="0.25">
      <c r="A1997" t="s">
        <v>4</v>
      </c>
      <c r="B1997" t="s">
        <v>9</v>
      </c>
      <c r="E1997" t="s">
        <v>2891</v>
      </c>
      <c r="F1997" t="s">
        <v>6283</v>
      </c>
      <c r="G1997" t="s">
        <v>1072</v>
      </c>
    </row>
    <row r="1998" spans="1:7" hidden="1" x14ac:dyDescent="0.25">
      <c r="A1998" t="s">
        <v>1063</v>
      </c>
      <c r="B1998" t="s">
        <v>58</v>
      </c>
      <c r="F1998" t="s">
        <v>6286</v>
      </c>
      <c r="G1998" t="s">
        <v>1072</v>
      </c>
    </row>
    <row r="1999" spans="1:7" hidden="1" x14ac:dyDescent="0.25">
      <c r="A1999" t="s">
        <v>1063</v>
      </c>
      <c r="B1999" t="s">
        <v>58</v>
      </c>
      <c r="F1999" t="s">
        <v>6289</v>
      </c>
      <c r="G1999" t="s">
        <v>1072</v>
      </c>
    </row>
    <row r="2000" spans="1:7" hidden="1" x14ac:dyDescent="0.25">
      <c r="A2000" t="s">
        <v>4</v>
      </c>
      <c r="B2000" t="s">
        <v>9</v>
      </c>
      <c r="F2000" t="s">
        <v>6292</v>
      </c>
      <c r="G2000" t="s">
        <v>1072</v>
      </c>
    </row>
    <row r="2001" spans="1:7" hidden="1" x14ac:dyDescent="0.25">
      <c r="A2001" t="s">
        <v>1063</v>
      </c>
      <c r="B2001" t="s">
        <v>53</v>
      </c>
      <c r="F2001" t="s">
        <v>6295</v>
      </c>
      <c r="G2001" t="s">
        <v>1072</v>
      </c>
    </row>
    <row r="2002" spans="1:7" hidden="1" x14ac:dyDescent="0.25">
      <c r="A2002" t="s">
        <v>4</v>
      </c>
      <c r="B2002" t="s">
        <v>9</v>
      </c>
      <c r="F2002" t="s">
        <v>6298</v>
      </c>
      <c r="G2002" t="s">
        <v>1072</v>
      </c>
    </row>
    <row r="2003" spans="1:7" hidden="1" x14ac:dyDescent="0.25">
      <c r="A2003" t="s">
        <v>4</v>
      </c>
      <c r="B2003" t="s">
        <v>9</v>
      </c>
      <c r="E2003" t="s">
        <v>2891</v>
      </c>
      <c r="F2003" t="s">
        <v>6301</v>
      </c>
      <c r="G2003" t="s">
        <v>1072</v>
      </c>
    </row>
    <row r="2004" spans="1:7" hidden="1" x14ac:dyDescent="0.25">
      <c r="A2004" t="s">
        <v>4</v>
      </c>
      <c r="B2004" t="s">
        <v>9</v>
      </c>
      <c r="E2004" t="s">
        <v>2891</v>
      </c>
      <c r="F2004" t="s">
        <v>6304</v>
      </c>
      <c r="G2004" t="s">
        <v>1072</v>
      </c>
    </row>
    <row r="2005" spans="1:7" hidden="1" x14ac:dyDescent="0.25">
      <c r="A2005" t="s">
        <v>4</v>
      </c>
      <c r="B2005" t="s">
        <v>9</v>
      </c>
      <c r="E2005" t="s">
        <v>2891</v>
      </c>
      <c r="F2005" t="s">
        <v>6307</v>
      </c>
      <c r="G2005" t="s">
        <v>1072</v>
      </c>
    </row>
    <row r="2006" spans="1:7" hidden="1" x14ac:dyDescent="0.25">
      <c r="A2006" t="s">
        <v>4164</v>
      </c>
      <c r="B2006" t="s">
        <v>86</v>
      </c>
      <c r="C2006" t="s">
        <v>4181</v>
      </c>
      <c r="E2006" t="s">
        <v>6443</v>
      </c>
      <c r="F2006" t="s">
        <v>6310</v>
      </c>
      <c r="G2006" s="1" t="s">
        <v>1566</v>
      </c>
    </row>
    <row r="2007" spans="1:7" hidden="1" x14ac:dyDescent="0.25">
      <c r="A2007" t="s">
        <v>4164</v>
      </c>
      <c r="B2007" t="s">
        <v>86</v>
      </c>
      <c r="C2007" t="s">
        <v>6444</v>
      </c>
      <c r="F2007" t="s">
        <v>6314</v>
      </c>
      <c r="G2007" s="1" t="s">
        <v>1566</v>
      </c>
    </row>
    <row r="2008" spans="1:7" hidden="1" x14ac:dyDescent="0.25">
      <c r="A2008" t="s">
        <v>4164</v>
      </c>
      <c r="B2008" t="s">
        <v>86</v>
      </c>
      <c r="C2008" t="s">
        <v>6444</v>
      </c>
      <c r="F2008" t="s">
        <v>6317</v>
      </c>
      <c r="G2008" s="1" t="s">
        <v>1566</v>
      </c>
    </row>
    <row r="2009" spans="1:7" hidden="1" x14ac:dyDescent="0.25">
      <c r="A2009" t="s">
        <v>1569</v>
      </c>
      <c r="B2009" t="s">
        <v>6248</v>
      </c>
      <c r="F2009" t="s">
        <v>6320</v>
      </c>
      <c r="G2009" s="1" t="s">
        <v>1566</v>
      </c>
    </row>
    <row r="2010" spans="1:7" hidden="1" x14ac:dyDescent="0.25">
      <c r="A2010" t="s">
        <v>261</v>
      </c>
      <c r="B2010" t="s">
        <v>6248</v>
      </c>
      <c r="C2010" t="s">
        <v>58</v>
      </c>
      <c r="E2010" t="s">
        <v>1583</v>
      </c>
      <c r="F2010" t="s">
        <v>6323</v>
      </c>
      <c r="G2010" s="1" t="s">
        <v>1566</v>
      </c>
    </row>
    <row r="2011" spans="1:7" hidden="1" x14ac:dyDescent="0.25">
      <c r="A2011" t="s">
        <v>261</v>
      </c>
      <c r="B2011" t="s">
        <v>6248</v>
      </c>
      <c r="C2011" t="s">
        <v>58</v>
      </c>
      <c r="E2011" t="s">
        <v>2891</v>
      </c>
      <c r="F2011" t="s">
        <v>6326</v>
      </c>
      <c r="G2011" s="1" t="s">
        <v>1566</v>
      </c>
    </row>
    <row r="2012" spans="1:7" hidden="1" x14ac:dyDescent="0.25">
      <c r="A2012" t="s">
        <v>261</v>
      </c>
      <c r="B2012" t="s">
        <v>6248</v>
      </c>
      <c r="C2012" t="s">
        <v>58</v>
      </c>
      <c r="E2012" t="s">
        <v>2891</v>
      </c>
      <c r="F2012" t="s">
        <v>6329</v>
      </c>
      <c r="G2012" s="1" t="s">
        <v>1566</v>
      </c>
    </row>
    <row r="2013" spans="1:7" hidden="1" x14ac:dyDescent="0.25">
      <c r="A2013" t="s">
        <v>261</v>
      </c>
      <c r="B2013" t="s">
        <v>6248</v>
      </c>
      <c r="C2013" t="s">
        <v>58</v>
      </c>
      <c r="E2013" t="s">
        <v>2891</v>
      </c>
      <c r="F2013" t="s">
        <v>6332</v>
      </c>
      <c r="G2013" s="1" t="s">
        <v>1566</v>
      </c>
    </row>
    <row r="2014" spans="1:7" hidden="1" x14ac:dyDescent="0.25">
      <c r="A2014" t="s">
        <v>261</v>
      </c>
      <c r="B2014" t="s">
        <v>6248</v>
      </c>
      <c r="C2014" t="s">
        <v>58</v>
      </c>
      <c r="E2014" t="s">
        <v>2891</v>
      </c>
      <c r="F2014" t="s">
        <v>6335</v>
      </c>
      <c r="G2014" s="1" t="s">
        <v>1566</v>
      </c>
    </row>
    <row r="2015" spans="1:7" hidden="1" x14ac:dyDescent="0.25">
      <c r="A2015" t="s">
        <v>261</v>
      </c>
      <c r="B2015" t="s">
        <v>6248</v>
      </c>
      <c r="C2015" t="s">
        <v>58</v>
      </c>
      <c r="E2015" t="s">
        <v>2891</v>
      </c>
      <c r="F2015" t="s">
        <v>6338</v>
      </c>
      <c r="G2015" s="1" t="s">
        <v>1566</v>
      </c>
    </row>
    <row r="2016" spans="1:7" hidden="1" x14ac:dyDescent="0.25">
      <c r="A2016" t="s">
        <v>261</v>
      </c>
      <c r="B2016" t="s">
        <v>6248</v>
      </c>
      <c r="C2016" t="s">
        <v>58</v>
      </c>
      <c r="E2016" t="s">
        <v>2891</v>
      </c>
      <c r="F2016" t="s">
        <v>6341</v>
      </c>
      <c r="G2016" s="1" t="s">
        <v>1566</v>
      </c>
    </row>
    <row r="2017" spans="1:7" hidden="1" x14ac:dyDescent="0.25">
      <c r="A2017" t="s">
        <v>261</v>
      </c>
      <c r="B2017" t="s">
        <v>6248</v>
      </c>
      <c r="C2017" t="s">
        <v>58</v>
      </c>
      <c r="E2017" t="s">
        <v>2891</v>
      </c>
      <c r="F2017" t="s">
        <v>6344</v>
      </c>
      <c r="G2017" s="1" t="s">
        <v>1566</v>
      </c>
    </row>
    <row r="2018" spans="1:7" hidden="1" x14ac:dyDescent="0.25">
      <c r="A2018" t="s">
        <v>261</v>
      </c>
      <c r="B2018" t="s">
        <v>6248</v>
      </c>
      <c r="C2018" t="s">
        <v>58</v>
      </c>
      <c r="E2018" t="s">
        <v>2891</v>
      </c>
      <c r="F2018" t="s">
        <v>6347</v>
      </c>
      <c r="G2018" s="1" t="s">
        <v>1566</v>
      </c>
    </row>
    <row r="2019" spans="1:7" hidden="1" x14ac:dyDescent="0.25">
      <c r="A2019" t="s">
        <v>261</v>
      </c>
      <c r="B2019" t="s">
        <v>6248</v>
      </c>
      <c r="C2019" t="s">
        <v>58</v>
      </c>
      <c r="E2019" t="s">
        <v>2891</v>
      </c>
      <c r="F2019" t="s">
        <v>6350</v>
      </c>
      <c r="G2019" s="1" t="s">
        <v>1566</v>
      </c>
    </row>
    <row r="2020" spans="1:7" hidden="1" x14ac:dyDescent="0.25">
      <c r="A2020" t="s">
        <v>261</v>
      </c>
      <c r="B2020" t="s">
        <v>6248</v>
      </c>
      <c r="C2020" t="s">
        <v>58</v>
      </c>
      <c r="E2020" t="s">
        <v>2891</v>
      </c>
      <c r="F2020" t="s">
        <v>6353</v>
      </c>
      <c r="G2020" s="1" t="s">
        <v>1566</v>
      </c>
    </row>
    <row r="2021" spans="1:7" hidden="1" x14ac:dyDescent="0.25">
      <c r="A2021" t="s">
        <v>261</v>
      </c>
      <c r="B2021" t="s">
        <v>6248</v>
      </c>
      <c r="C2021" t="s">
        <v>58</v>
      </c>
      <c r="E2021" t="s">
        <v>2891</v>
      </c>
      <c r="F2021" t="s">
        <v>6356</v>
      </c>
      <c r="G2021" s="1" t="s">
        <v>1566</v>
      </c>
    </row>
    <row r="2022" spans="1:7" hidden="1" x14ac:dyDescent="0.25">
      <c r="A2022" t="s">
        <v>261</v>
      </c>
      <c r="B2022" t="s">
        <v>6248</v>
      </c>
      <c r="C2022" t="s">
        <v>58</v>
      </c>
      <c r="E2022" t="s">
        <v>2891</v>
      </c>
      <c r="F2022" t="s">
        <v>6359</v>
      </c>
      <c r="G2022" s="1" t="s">
        <v>1566</v>
      </c>
    </row>
    <row r="2023" spans="1:7" hidden="1" x14ac:dyDescent="0.25">
      <c r="A2023" t="s">
        <v>261</v>
      </c>
      <c r="B2023" t="s">
        <v>6248</v>
      </c>
      <c r="C2023" t="s">
        <v>58</v>
      </c>
      <c r="E2023" t="s">
        <v>2891</v>
      </c>
      <c r="F2023" t="s">
        <v>6362</v>
      </c>
      <c r="G2023" s="1" t="s">
        <v>1566</v>
      </c>
    </row>
    <row r="2024" spans="1:7" hidden="1" x14ac:dyDescent="0.25">
      <c r="A2024" t="s">
        <v>261</v>
      </c>
      <c r="B2024" t="s">
        <v>6248</v>
      </c>
      <c r="C2024" t="s">
        <v>58</v>
      </c>
      <c r="E2024" t="s">
        <v>6445</v>
      </c>
      <c r="F2024" t="s">
        <v>6365</v>
      </c>
      <c r="G2024" s="1" t="s">
        <v>1566</v>
      </c>
    </row>
    <row r="2025" spans="1:7" hidden="1" x14ac:dyDescent="0.25">
      <c r="A2025" t="s">
        <v>261</v>
      </c>
      <c r="B2025" t="s">
        <v>6248</v>
      </c>
      <c r="C2025" t="s">
        <v>58</v>
      </c>
      <c r="E2025" t="s">
        <v>2891</v>
      </c>
      <c r="F2025" t="s">
        <v>6368</v>
      </c>
      <c r="G2025" s="1" t="s">
        <v>1566</v>
      </c>
    </row>
    <row r="2026" spans="1:7" hidden="1" x14ac:dyDescent="0.25">
      <c r="A2026" t="s">
        <v>261</v>
      </c>
      <c r="B2026" t="s">
        <v>6248</v>
      </c>
      <c r="C2026" t="s">
        <v>58</v>
      </c>
      <c r="E2026" t="s">
        <v>2891</v>
      </c>
      <c r="F2026" t="s">
        <v>6371</v>
      </c>
      <c r="G2026" s="1" t="s">
        <v>1566</v>
      </c>
    </row>
    <row r="2027" spans="1:7" hidden="1" x14ac:dyDescent="0.25">
      <c r="A2027" t="s">
        <v>261</v>
      </c>
      <c r="B2027" t="s">
        <v>6248</v>
      </c>
      <c r="C2027" t="s">
        <v>58</v>
      </c>
      <c r="E2027" t="s">
        <v>2891</v>
      </c>
      <c r="F2027" t="s">
        <v>6374</v>
      </c>
      <c r="G2027" s="1" t="s">
        <v>1566</v>
      </c>
    </row>
    <row r="2028" spans="1:7" hidden="1" x14ac:dyDescent="0.25">
      <c r="A2028" t="s">
        <v>261</v>
      </c>
      <c r="B2028" t="s">
        <v>6248</v>
      </c>
      <c r="C2028" t="s">
        <v>58</v>
      </c>
      <c r="E2028" t="s">
        <v>1583</v>
      </c>
      <c r="F2028" t="s">
        <v>6377</v>
      </c>
      <c r="G2028" s="1" t="s">
        <v>1566</v>
      </c>
    </row>
    <row r="2029" spans="1:7" hidden="1" x14ac:dyDescent="0.25">
      <c r="A2029" t="s">
        <v>261</v>
      </c>
      <c r="B2029" t="s">
        <v>6248</v>
      </c>
      <c r="C2029" t="s">
        <v>58</v>
      </c>
      <c r="E2029" t="s">
        <v>2891</v>
      </c>
      <c r="F2029" t="s">
        <v>6380</v>
      </c>
      <c r="G2029" s="1" t="s">
        <v>1566</v>
      </c>
    </row>
    <row r="2030" spans="1:7" hidden="1" x14ac:dyDescent="0.25">
      <c r="A2030" t="s">
        <v>261</v>
      </c>
      <c r="B2030" t="s">
        <v>6248</v>
      </c>
      <c r="C2030" t="s">
        <v>58</v>
      </c>
      <c r="E2030" t="s">
        <v>2891</v>
      </c>
      <c r="F2030" t="s">
        <v>6383</v>
      </c>
      <c r="G2030" s="1" t="s">
        <v>1566</v>
      </c>
    </row>
    <row r="2031" spans="1:7" hidden="1" x14ac:dyDescent="0.25">
      <c r="A2031" t="s">
        <v>261</v>
      </c>
      <c r="B2031" t="s">
        <v>6248</v>
      </c>
      <c r="C2031" t="s">
        <v>58</v>
      </c>
      <c r="E2031" t="s">
        <v>2891</v>
      </c>
      <c r="F2031" t="s">
        <v>6386</v>
      </c>
      <c r="G2031" s="1" t="s">
        <v>1566</v>
      </c>
    </row>
    <row r="2032" spans="1:7" hidden="1" x14ac:dyDescent="0.25">
      <c r="A2032" t="s">
        <v>622</v>
      </c>
      <c r="B2032" t="s">
        <v>6248</v>
      </c>
      <c r="C2032" t="s">
        <v>58</v>
      </c>
      <c r="F2032" t="s">
        <v>6389</v>
      </c>
      <c r="G2032" s="1" t="s">
        <v>1566</v>
      </c>
    </row>
    <row r="2033" spans="1:7" hidden="1" x14ac:dyDescent="0.25">
      <c r="A2033" t="s">
        <v>1569</v>
      </c>
      <c r="B2033" t="s">
        <v>6446</v>
      </c>
      <c r="F2033" t="s">
        <v>6392</v>
      </c>
      <c r="G2033" s="1" t="s">
        <v>1566</v>
      </c>
    </row>
    <row r="2034" spans="1:7" hidden="1" x14ac:dyDescent="0.25">
      <c r="A2034" t="s">
        <v>4</v>
      </c>
      <c r="B2034" t="s">
        <v>6447</v>
      </c>
      <c r="F2034" t="s">
        <v>6395</v>
      </c>
      <c r="G2034" s="1" t="s">
        <v>1566</v>
      </c>
    </row>
    <row r="2035" spans="1:7" hidden="1" x14ac:dyDescent="0.25">
      <c r="A2035" t="s">
        <v>261</v>
      </c>
      <c r="B2035" t="s">
        <v>6446</v>
      </c>
      <c r="C2035" t="s">
        <v>1071</v>
      </c>
      <c r="D2035">
        <v>2</v>
      </c>
      <c r="F2035" t="s">
        <v>6398</v>
      </c>
      <c r="G2035" s="1" t="s">
        <v>1566</v>
      </c>
    </row>
    <row r="2036" spans="1:7" hidden="1" x14ac:dyDescent="0.25">
      <c r="A2036" t="s">
        <v>622</v>
      </c>
      <c r="B2036" t="s">
        <v>6446</v>
      </c>
      <c r="C2036" t="s">
        <v>1071</v>
      </c>
      <c r="F2036" t="s">
        <v>6401</v>
      </c>
      <c r="G2036" s="1" t="s">
        <v>1566</v>
      </c>
    </row>
    <row r="2037" spans="1:7" hidden="1" x14ac:dyDescent="0.25">
      <c r="A2037" t="s">
        <v>4164</v>
      </c>
      <c r="B2037" t="s">
        <v>86</v>
      </c>
      <c r="C2037" t="s">
        <v>500</v>
      </c>
      <c r="E2037" t="s">
        <v>5038</v>
      </c>
      <c r="F2037" t="s">
        <v>6404</v>
      </c>
      <c r="G2037" s="1" t="s">
        <v>1566</v>
      </c>
    </row>
    <row r="2038" spans="1:7" hidden="1" x14ac:dyDescent="0.25">
      <c r="A2038" t="s">
        <v>4164</v>
      </c>
      <c r="B2038" t="s">
        <v>86</v>
      </c>
      <c r="C2038" t="s">
        <v>500</v>
      </c>
      <c r="E2038" t="s">
        <v>5038</v>
      </c>
      <c r="F2038" t="s">
        <v>6407</v>
      </c>
      <c r="G2038" s="1" t="s">
        <v>1566</v>
      </c>
    </row>
    <row r="2039" spans="1:7" hidden="1" x14ac:dyDescent="0.25">
      <c r="A2039" t="s">
        <v>4164</v>
      </c>
      <c r="B2039" t="s">
        <v>86</v>
      </c>
      <c r="C2039" t="s">
        <v>1584</v>
      </c>
      <c r="E2039" t="s">
        <v>5038</v>
      </c>
      <c r="F2039" t="s">
        <v>6410</v>
      </c>
      <c r="G2039" s="1" t="s">
        <v>1566</v>
      </c>
    </row>
    <row r="2040" spans="1:7" hidden="1" x14ac:dyDescent="0.25">
      <c r="A2040" t="s">
        <v>4</v>
      </c>
      <c r="B2040" t="s">
        <v>6448</v>
      </c>
      <c r="F2040" t="s">
        <v>6413</v>
      </c>
      <c r="G2040" s="1" t="s">
        <v>1566</v>
      </c>
    </row>
    <row r="2041" spans="1:7" hidden="1" x14ac:dyDescent="0.25">
      <c r="A2041" t="s">
        <v>4</v>
      </c>
      <c r="B2041" t="s">
        <v>6449</v>
      </c>
      <c r="E2041" t="s">
        <v>6450</v>
      </c>
      <c r="F2041" t="s">
        <v>6416</v>
      </c>
      <c r="G2041" s="1" t="s">
        <v>1566</v>
      </c>
    </row>
    <row r="2042" spans="1:7" hidden="1" x14ac:dyDescent="0.25">
      <c r="A2042" t="s">
        <v>159</v>
      </c>
      <c r="B2042" t="s">
        <v>6248</v>
      </c>
      <c r="C2042" t="s">
        <v>51</v>
      </c>
      <c r="F2042" t="s">
        <v>6425</v>
      </c>
      <c r="G2042" t="s">
        <v>1780</v>
      </c>
    </row>
    <row r="2043" spans="1:7" hidden="1" x14ac:dyDescent="0.25">
      <c r="A2043" t="s">
        <v>159</v>
      </c>
      <c r="B2043" t="s">
        <v>86</v>
      </c>
      <c r="C2043" t="s">
        <v>58</v>
      </c>
      <c r="E2043" t="s">
        <v>6451</v>
      </c>
      <c r="F2043" t="s">
        <v>6428</v>
      </c>
      <c r="G2043" t="s">
        <v>1780</v>
      </c>
    </row>
    <row r="2044" spans="1:7" hidden="1" x14ac:dyDescent="0.25">
      <c r="A2044" t="s">
        <v>4</v>
      </c>
      <c r="B2044" t="s">
        <v>8</v>
      </c>
      <c r="F2044" t="s">
        <v>6431</v>
      </c>
      <c r="G2044" t="s">
        <v>1780</v>
      </c>
    </row>
    <row r="2045" spans="1:7" hidden="1" x14ac:dyDescent="0.25">
      <c r="A2045" t="s">
        <v>4</v>
      </c>
      <c r="B2045" t="s">
        <v>8</v>
      </c>
      <c r="F2045" t="s">
        <v>6419</v>
      </c>
      <c r="G2045" t="s">
        <v>1897</v>
      </c>
    </row>
    <row r="2046" spans="1:7" hidden="1" x14ac:dyDescent="0.25">
      <c r="A2046" t="s">
        <v>4</v>
      </c>
      <c r="B2046" t="s">
        <v>8</v>
      </c>
      <c r="F2046" t="s">
        <v>6422</v>
      </c>
      <c r="G2046" t="s">
        <v>1897</v>
      </c>
    </row>
    <row r="2047" spans="1:7" hidden="1" x14ac:dyDescent="0.25">
      <c r="A2047" t="s">
        <v>261</v>
      </c>
      <c r="B2047" t="s">
        <v>5411</v>
      </c>
      <c r="C2047" t="s">
        <v>500</v>
      </c>
      <c r="F2047" t="s">
        <v>6434</v>
      </c>
      <c r="G2047" t="s">
        <v>1960</v>
      </c>
    </row>
    <row r="2048" spans="1:7" hidden="1" x14ac:dyDescent="0.25">
      <c r="A2048" t="s">
        <v>261</v>
      </c>
      <c r="B2048" t="s">
        <v>5411</v>
      </c>
      <c r="C2048" t="s">
        <v>500</v>
      </c>
      <c r="F2048" t="s">
        <v>6437</v>
      </c>
      <c r="G2048" t="s">
        <v>1960</v>
      </c>
    </row>
    <row r="2049" spans="1:7" hidden="1" x14ac:dyDescent="0.25">
      <c r="A2049" t="s">
        <v>261</v>
      </c>
      <c r="B2049" t="s">
        <v>5411</v>
      </c>
      <c r="C2049" t="s">
        <v>1584</v>
      </c>
      <c r="F2049" t="s">
        <v>6440</v>
      </c>
      <c r="G2049" t="s">
        <v>1960</v>
      </c>
    </row>
    <row r="2050" spans="1:7" hidden="1" x14ac:dyDescent="0.25">
      <c r="A2050" t="s">
        <v>91</v>
      </c>
      <c r="B2050" t="s">
        <v>6574</v>
      </c>
      <c r="C2050" t="s">
        <v>51</v>
      </c>
      <c r="F2050" t="s">
        <v>6452</v>
      </c>
      <c r="G2050" t="s">
        <v>1074</v>
      </c>
    </row>
    <row r="2051" spans="1:7" hidden="1" x14ac:dyDescent="0.25">
      <c r="A2051" t="s">
        <v>62</v>
      </c>
      <c r="B2051" t="s">
        <v>6574</v>
      </c>
      <c r="C2051" t="s">
        <v>6575</v>
      </c>
      <c r="F2051" t="s">
        <v>6455</v>
      </c>
      <c r="G2051" t="s">
        <v>1074</v>
      </c>
    </row>
    <row r="2052" spans="1:7" hidden="1" x14ac:dyDescent="0.25">
      <c r="A2052" t="s">
        <v>64</v>
      </c>
      <c r="B2052" t="s">
        <v>4134</v>
      </c>
      <c r="C2052" t="s">
        <v>5010</v>
      </c>
      <c r="F2052" t="s">
        <v>6458</v>
      </c>
      <c r="G2052" t="s">
        <v>1074</v>
      </c>
    </row>
    <row r="2053" spans="1:7" hidden="1" x14ac:dyDescent="0.25">
      <c r="A2053" t="s">
        <v>85</v>
      </c>
      <c r="B2053" t="s">
        <v>4134</v>
      </c>
      <c r="C2053" t="s">
        <v>5010</v>
      </c>
      <c r="F2053" t="s">
        <v>6461</v>
      </c>
      <c r="G2053" t="s">
        <v>1074</v>
      </c>
    </row>
    <row r="2054" spans="1:7" hidden="1" x14ac:dyDescent="0.25">
      <c r="A2054" t="s">
        <v>6092</v>
      </c>
      <c r="B2054" t="s">
        <v>4134</v>
      </c>
      <c r="C2054" t="s">
        <v>5010</v>
      </c>
      <c r="E2054" t="s">
        <v>5405</v>
      </c>
      <c r="F2054" t="s">
        <v>6470</v>
      </c>
      <c r="G2054" t="s">
        <v>1075</v>
      </c>
    </row>
    <row r="2055" spans="1:7" hidden="1" x14ac:dyDescent="0.25">
      <c r="A2055" t="s">
        <v>622</v>
      </c>
      <c r="B2055" t="s">
        <v>4134</v>
      </c>
      <c r="C2055" t="s">
        <v>5010</v>
      </c>
      <c r="F2055" t="s">
        <v>6473</v>
      </c>
      <c r="G2055" t="s">
        <v>1075</v>
      </c>
    </row>
    <row r="2056" spans="1:7" x14ac:dyDescent="0.25">
      <c r="A2056" t="s">
        <v>4</v>
      </c>
      <c r="B2056" t="s">
        <v>8</v>
      </c>
      <c r="F2056" t="s">
        <v>6476</v>
      </c>
      <c r="G2056" t="s">
        <v>13425</v>
      </c>
    </row>
    <row r="2057" spans="1:7" hidden="1" x14ac:dyDescent="0.25">
      <c r="A2057" t="s">
        <v>1569</v>
      </c>
      <c r="B2057" t="s">
        <v>6574</v>
      </c>
      <c r="C2057" t="s">
        <v>51</v>
      </c>
      <c r="F2057" t="s">
        <v>6464</v>
      </c>
      <c r="G2057" t="s">
        <v>1076</v>
      </c>
    </row>
    <row r="2058" spans="1:7" hidden="1" x14ac:dyDescent="0.25">
      <c r="A2058" t="s">
        <v>261</v>
      </c>
      <c r="B2058" t="s">
        <v>6574</v>
      </c>
      <c r="C2058" t="s">
        <v>6575</v>
      </c>
      <c r="F2058" t="s">
        <v>6467</v>
      </c>
      <c r="G2058" t="s">
        <v>1076</v>
      </c>
    </row>
    <row r="2059" spans="1:7" hidden="1" x14ac:dyDescent="0.25">
      <c r="A2059" t="s">
        <v>1967</v>
      </c>
      <c r="B2059" t="s">
        <v>8</v>
      </c>
      <c r="F2059" t="s">
        <v>6481</v>
      </c>
      <c r="G2059" t="s">
        <v>1077</v>
      </c>
    </row>
    <row r="2060" spans="1:7" hidden="1" x14ac:dyDescent="0.25">
      <c r="A2060" t="s">
        <v>1967</v>
      </c>
      <c r="B2060" t="s">
        <v>8</v>
      </c>
      <c r="F2060" t="s">
        <v>6484</v>
      </c>
      <c r="G2060" t="s">
        <v>1078</v>
      </c>
    </row>
    <row r="2061" spans="1:7" hidden="1" x14ac:dyDescent="0.25">
      <c r="A2061" t="s">
        <v>1967</v>
      </c>
      <c r="B2061" t="s">
        <v>8</v>
      </c>
      <c r="F2061" t="s">
        <v>6478</v>
      </c>
      <c r="G2061" t="s">
        <v>1079</v>
      </c>
    </row>
    <row r="2062" spans="1:7" hidden="1" x14ac:dyDescent="0.25">
      <c r="A2062" t="s">
        <v>1987</v>
      </c>
      <c r="B2062" t="s">
        <v>768</v>
      </c>
      <c r="F2062" t="s">
        <v>6487</v>
      </c>
      <c r="G2062" t="s">
        <v>768</v>
      </c>
    </row>
    <row r="2063" spans="1:7" hidden="1" x14ac:dyDescent="0.25">
      <c r="A2063" t="s">
        <v>4</v>
      </c>
      <c r="B2063" t="s">
        <v>9</v>
      </c>
      <c r="F2063" t="s">
        <v>6490</v>
      </c>
      <c r="G2063" t="s">
        <v>768</v>
      </c>
    </row>
    <row r="2064" spans="1:7" hidden="1" x14ac:dyDescent="0.25">
      <c r="A2064" t="s">
        <v>1987</v>
      </c>
      <c r="B2064" t="s">
        <v>768</v>
      </c>
      <c r="F2064" t="s">
        <v>6493</v>
      </c>
      <c r="G2064" t="s">
        <v>768</v>
      </c>
    </row>
    <row r="2065" spans="1:7" hidden="1" x14ac:dyDescent="0.25">
      <c r="A2065" t="s">
        <v>1987</v>
      </c>
      <c r="B2065" t="s">
        <v>768</v>
      </c>
      <c r="F2065" t="s">
        <v>6496</v>
      </c>
      <c r="G2065" t="s">
        <v>768</v>
      </c>
    </row>
    <row r="2066" spans="1:7" hidden="1" x14ac:dyDescent="0.25">
      <c r="A2066" t="s">
        <v>4</v>
      </c>
      <c r="B2066" t="s">
        <v>9</v>
      </c>
      <c r="F2066" t="s">
        <v>6499</v>
      </c>
      <c r="G2066" t="s">
        <v>768</v>
      </c>
    </row>
    <row r="2067" spans="1:7" hidden="1" x14ac:dyDescent="0.25">
      <c r="A2067" t="s">
        <v>4</v>
      </c>
      <c r="B2067" t="s">
        <v>9</v>
      </c>
      <c r="F2067" t="s">
        <v>6502</v>
      </c>
      <c r="G2067" t="s">
        <v>1072</v>
      </c>
    </row>
    <row r="2068" spans="1:7" hidden="1" x14ac:dyDescent="0.25">
      <c r="A2068" t="s">
        <v>4</v>
      </c>
      <c r="B2068" t="s">
        <v>9</v>
      </c>
      <c r="E2068" t="s">
        <v>2891</v>
      </c>
      <c r="F2068" t="s">
        <v>6505</v>
      </c>
      <c r="G2068" t="s">
        <v>1072</v>
      </c>
    </row>
    <row r="2069" spans="1:7" hidden="1" x14ac:dyDescent="0.25">
      <c r="A2069" t="s">
        <v>4</v>
      </c>
      <c r="B2069" t="s">
        <v>9</v>
      </c>
      <c r="E2069" t="s">
        <v>2891</v>
      </c>
      <c r="F2069" t="s">
        <v>6508</v>
      </c>
      <c r="G2069" t="s">
        <v>1072</v>
      </c>
    </row>
    <row r="2070" spans="1:7" hidden="1" x14ac:dyDescent="0.25">
      <c r="A2070" t="s">
        <v>4</v>
      </c>
      <c r="B2070" t="s">
        <v>9</v>
      </c>
      <c r="E2070" t="s">
        <v>2891</v>
      </c>
      <c r="F2070" t="s">
        <v>6511</v>
      </c>
      <c r="G2070" t="s">
        <v>1072</v>
      </c>
    </row>
    <row r="2071" spans="1:7" hidden="1" x14ac:dyDescent="0.25">
      <c r="A2071" t="s">
        <v>4</v>
      </c>
      <c r="B2071" t="s">
        <v>9</v>
      </c>
      <c r="E2071" t="s">
        <v>2891</v>
      </c>
      <c r="F2071" t="s">
        <v>6514</v>
      </c>
      <c r="G2071" t="s">
        <v>1072</v>
      </c>
    </row>
    <row r="2072" spans="1:7" hidden="1" x14ac:dyDescent="0.25">
      <c r="A2072" t="s">
        <v>4</v>
      </c>
      <c r="B2072" t="s">
        <v>9</v>
      </c>
      <c r="E2072" t="s">
        <v>2891</v>
      </c>
      <c r="F2072" t="s">
        <v>6517</v>
      </c>
      <c r="G2072" t="s">
        <v>1072</v>
      </c>
    </row>
    <row r="2073" spans="1:7" hidden="1" x14ac:dyDescent="0.25">
      <c r="A2073" t="s">
        <v>4</v>
      </c>
      <c r="B2073" t="s">
        <v>9</v>
      </c>
      <c r="F2073" t="s">
        <v>6520</v>
      </c>
      <c r="G2073" t="s">
        <v>1072</v>
      </c>
    </row>
    <row r="2074" spans="1:7" hidden="1" x14ac:dyDescent="0.25">
      <c r="A2074" t="s">
        <v>4</v>
      </c>
      <c r="B2074" t="s">
        <v>9</v>
      </c>
      <c r="F2074" t="s">
        <v>6523</v>
      </c>
      <c r="G2074" t="s">
        <v>1072</v>
      </c>
    </row>
    <row r="2075" spans="1:7" hidden="1" x14ac:dyDescent="0.25">
      <c r="A2075" t="s">
        <v>505</v>
      </c>
      <c r="B2075" t="s">
        <v>503</v>
      </c>
      <c r="C2075" t="s">
        <v>58</v>
      </c>
      <c r="E2075" t="s">
        <v>4177</v>
      </c>
      <c r="F2075" t="s">
        <v>6526</v>
      </c>
      <c r="G2075" s="1" t="s">
        <v>1566</v>
      </c>
    </row>
    <row r="2076" spans="1:7" hidden="1" x14ac:dyDescent="0.25">
      <c r="A2076" t="s">
        <v>505</v>
      </c>
      <c r="B2076" t="s">
        <v>503</v>
      </c>
      <c r="C2076" t="s">
        <v>58</v>
      </c>
      <c r="E2076" t="s">
        <v>4177</v>
      </c>
      <c r="F2076" t="s">
        <v>6529</v>
      </c>
      <c r="G2076" s="1" t="s">
        <v>1566</v>
      </c>
    </row>
    <row r="2077" spans="1:7" hidden="1" x14ac:dyDescent="0.25">
      <c r="A2077" t="s">
        <v>4</v>
      </c>
      <c r="B2077" t="s">
        <v>8</v>
      </c>
      <c r="F2077" t="s">
        <v>6532</v>
      </c>
      <c r="G2077" s="1" t="s">
        <v>1566</v>
      </c>
    </row>
    <row r="2078" spans="1:7" hidden="1" x14ac:dyDescent="0.25">
      <c r="A2078" t="s">
        <v>4</v>
      </c>
      <c r="B2078" t="s">
        <v>8</v>
      </c>
      <c r="F2078" t="s">
        <v>6535</v>
      </c>
      <c r="G2078" s="1" t="s">
        <v>1566</v>
      </c>
    </row>
    <row r="2079" spans="1:7" hidden="1" x14ac:dyDescent="0.25">
      <c r="A2079" t="s">
        <v>4</v>
      </c>
      <c r="B2079" t="s">
        <v>8</v>
      </c>
      <c r="F2079" t="s">
        <v>6538</v>
      </c>
      <c r="G2079" s="1" t="s">
        <v>1566</v>
      </c>
    </row>
    <row r="2080" spans="1:7" hidden="1" x14ac:dyDescent="0.25">
      <c r="A2080" t="s">
        <v>4</v>
      </c>
      <c r="B2080" t="s">
        <v>8</v>
      </c>
      <c r="F2080" t="s">
        <v>6541</v>
      </c>
      <c r="G2080" s="1" t="s">
        <v>1566</v>
      </c>
    </row>
    <row r="2081" spans="1:7" hidden="1" x14ac:dyDescent="0.25">
      <c r="A2081" t="s">
        <v>4</v>
      </c>
      <c r="B2081" t="s">
        <v>8</v>
      </c>
      <c r="F2081" t="s">
        <v>6544</v>
      </c>
      <c r="G2081" s="1" t="s">
        <v>1566</v>
      </c>
    </row>
    <row r="2082" spans="1:7" hidden="1" x14ac:dyDescent="0.25">
      <c r="A2082" t="s">
        <v>505</v>
      </c>
      <c r="B2082" t="s">
        <v>503</v>
      </c>
      <c r="C2082" t="s">
        <v>1071</v>
      </c>
      <c r="F2082" t="s">
        <v>6547</v>
      </c>
      <c r="G2082" s="1" t="s">
        <v>1566</v>
      </c>
    </row>
    <row r="2083" spans="1:7" hidden="1" x14ac:dyDescent="0.25">
      <c r="A2083" t="s">
        <v>4</v>
      </c>
      <c r="B2083" t="s">
        <v>8</v>
      </c>
      <c r="F2083" t="s">
        <v>6550</v>
      </c>
      <c r="G2083" s="1" t="s">
        <v>1566</v>
      </c>
    </row>
    <row r="2084" spans="1:7" hidden="1" x14ac:dyDescent="0.25">
      <c r="A2084" t="s">
        <v>4</v>
      </c>
      <c r="B2084" t="s">
        <v>8</v>
      </c>
      <c r="F2084" t="s">
        <v>6553</v>
      </c>
      <c r="G2084" s="1" t="s">
        <v>1566</v>
      </c>
    </row>
    <row r="2085" spans="1:7" hidden="1" x14ac:dyDescent="0.25">
      <c r="A2085" t="s">
        <v>1967</v>
      </c>
      <c r="B2085" t="s">
        <v>8</v>
      </c>
      <c r="F2085" t="s">
        <v>6556</v>
      </c>
      <c r="G2085" t="s">
        <v>1780</v>
      </c>
    </row>
    <row r="2086" spans="1:7" hidden="1" x14ac:dyDescent="0.25">
      <c r="A2086" t="s">
        <v>1967</v>
      </c>
      <c r="B2086" t="s">
        <v>8</v>
      </c>
      <c r="F2086" t="s">
        <v>6559</v>
      </c>
      <c r="G2086" t="s">
        <v>1897</v>
      </c>
    </row>
    <row r="2087" spans="1:7" hidden="1" x14ac:dyDescent="0.25">
      <c r="A2087" t="s">
        <v>505</v>
      </c>
      <c r="B2087" t="s">
        <v>503</v>
      </c>
      <c r="C2087" t="s">
        <v>58</v>
      </c>
      <c r="F2087" t="s">
        <v>6562</v>
      </c>
      <c r="G2087" t="s">
        <v>1960</v>
      </c>
    </row>
    <row r="2088" spans="1:7" hidden="1" x14ac:dyDescent="0.25">
      <c r="A2088" t="s">
        <v>505</v>
      </c>
      <c r="B2088" t="s">
        <v>503</v>
      </c>
      <c r="C2088" t="s">
        <v>58</v>
      </c>
      <c r="F2088" t="s">
        <v>6565</v>
      </c>
      <c r="G2088" t="s">
        <v>1960</v>
      </c>
    </row>
    <row r="2089" spans="1:7" hidden="1" x14ac:dyDescent="0.25">
      <c r="A2089" t="s">
        <v>505</v>
      </c>
      <c r="B2089" t="s">
        <v>503</v>
      </c>
      <c r="C2089" t="s">
        <v>58</v>
      </c>
      <c r="F2089" t="s">
        <v>6568</v>
      </c>
      <c r="G2089" t="s">
        <v>1960</v>
      </c>
    </row>
    <row r="2090" spans="1:7" hidden="1" x14ac:dyDescent="0.25">
      <c r="A2090" t="s">
        <v>4</v>
      </c>
      <c r="B2090" t="s">
        <v>8</v>
      </c>
      <c r="F2090" t="s">
        <v>6571</v>
      </c>
      <c r="G2090" t="s">
        <v>1960</v>
      </c>
    </row>
    <row r="2091" spans="1:7" hidden="1" x14ac:dyDescent="0.25">
      <c r="A2091" t="s">
        <v>1967</v>
      </c>
      <c r="F2091" t="s">
        <v>6580</v>
      </c>
      <c r="G2091" t="s">
        <v>1074</v>
      </c>
    </row>
    <row r="2092" spans="1:7" hidden="1" x14ac:dyDescent="0.25">
      <c r="A2092" t="s">
        <v>64</v>
      </c>
      <c r="B2092" t="s">
        <v>4134</v>
      </c>
      <c r="C2092" t="s">
        <v>5010</v>
      </c>
      <c r="F2092" t="s">
        <v>6583</v>
      </c>
      <c r="G2092" t="s">
        <v>1074</v>
      </c>
    </row>
    <row r="2093" spans="1:7" hidden="1" x14ac:dyDescent="0.25">
      <c r="A2093" t="s">
        <v>6781</v>
      </c>
      <c r="F2093" t="s">
        <v>6586</v>
      </c>
      <c r="G2093" t="s">
        <v>1074</v>
      </c>
    </row>
    <row r="2094" spans="1:7" hidden="1" x14ac:dyDescent="0.25">
      <c r="A2094" t="s">
        <v>91</v>
      </c>
      <c r="B2094" t="s">
        <v>6111</v>
      </c>
      <c r="F2094" t="s">
        <v>6589</v>
      </c>
      <c r="G2094" t="s">
        <v>1074</v>
      </c>
    </row>
    <row r="2095" spans="1:7" hidden="1" x14ac:dyDescent="0.25">
      <c r="A2095" t="s">
        <v>6782</v>
      </c>
      <c r="B2095" t="s">
        <v>86</v>
      </c>
      <c r="F2095" t="s">
        <v>6592</v>
      </c>
      <c r="G2095" t="s">
        <v>1074</v>
      </c>
    </row>
    <row r="2096" spans="1:7" hidden="1" x14ac:dyDescent="0.25">
      <c r="A2096" t="s">
        <v>85</v>
      </c>
      <c r="B2096" t="s">
        <v>4134</v>
      </c>
      <c r="C2096" t="s">
        <v>5010</v>
      </c>
      <c r="F2096" t="s">
        <v>6595</v>
      </c>
      <c r="G2096" t="s">
        <v>1074</v>
      </c>
    </row>
    <row r="2097" spans="1:7" hidden="1" x14ac:dyDescent="0.25">
      <c r="A2097" t="s">
        <v>505</v>
      </c>
      <c r="B2097" t="s">
        <v>1570</v>
      </c>
      <c r="C2097" t="s">
        <v>1071</v>
      </c>
      <c r="E2097" t="s">
        <v>1583</v>
      </c>
      <c r="F2097" t="s">
        <v>6598</v>
      </c>
      <c r="G2097" t="s">
        <v>1075</v>
      </c>
    </row>
    <row r="2098" spans="1:7" hidden="1" x14ac:dyDescent="0.25">
      <c r="A2098" t="s">
        <v>4162</v>
      </c>
      <c r="B2098" t="s">
        <v>86</v>
      </c>
      <c r="C2098" t="s">
        <v>2899</v>
      </c>
      <c r="E2098" t="s">
        <v>1583</v>
      </c>
      <c r="F2098" t="s">
        <v>6601</v>
      </c>
      <c r="G2098" t="s">
        <v>1075</v>
      </c>
    </row>
    <row r="2099" spans="1:7" hidden="1" x14ac:dyDescent="0.25">
      <c r="A2099" t="s">
        <v>4162</v>
      </c>
      <c r="B2099" t="s">
        <v>86</v>
      </c>
      <c r="C2099" t="s">
        <v>2899</v>
      </c>
      <c r="E2099" t="s">
        <v>2891</v>
      </c>
      <c r="F2099" t="s">
        <v>6604</v>
      </c>
      <c r="G2099" t="s">
        <v>1075</v>
      </c>
    </row>
    <row r="2100" spans="1:7" hidden="1" x14ac:dyDescent="0.25">
      <c r="A2100" t="s">
        <v>158</v>
      </c>
      <c r="B2100" t="s">
        <v>86</v>
      </c>
      <c r="C2100" t="s">
        <v>500</v>
      </c>
      <c r="D2100">
        <v>1</v>
      </c>
      <c r="E2100" t="s">
        <v>3030</v>
      </c>
      <c r="F2100" t="s">
        <v>6607</v>
      </c>
      <c r="G2100" t="s">
        <v>1075</v>
      </c>
    </row>
    <row r="2101" spans="1:7" hidden="1" x14ac:dyDescent="0.25">
      <c r="A2101" t="s">
        <v>1569</v>
      </c>
      <c r="B2101" t="s">
        <v>4134</v>
      </c>
      <c r="C2101" t="s">
        <v>5010</v>
      </c>
      <c r="F2101" t="s">
        <v>6610</v>
      </c>
      <c r="G2101" t="s">
        <v>1075</v>
      </c>
    </row>
    <row r="2102" spans="1:7" hidden="1" x14ac:dyDescent="0.25">
      <c r="A2102" t="s">
        <v>6092</v>
      </c>
      <c r="B2102" t="s">
        <v>4134</v>
      </c>
      <c r="C2102" t="s">
        <v>5010</v>
      </c>
      <c r="E2102" t="s">
        <v>5405</v>
      </c>
      <c r="F2102" t="s">
        <v>6613</v>
      </c>
      <c r="G2102" t="s">
        <v>1075</v>
      </c>
    </row>
    <row r="2103" spans="1:7" hidden="1" x14ac:dyDescent="0.25">
      <c r="A2103" t="s">
        <v>622</v>
      </c>
      <c r="B2103" t="s">
        <v>4134</v>
      </c>
      <c r="C2103" t="s">
        <v>5010</v>
      </c>
      <c r="F2103" t="s">
        <v>6616</v>
      </c>
      <c r="G2103" t="s">
        <v>1075</v>
      </c>
    </row>
    <row r="2104" spans="1:7" x14ac:dyDescent="0.25">
      <c r="A2104" t="s">
        <v>1967</v>
      </c>
      <c r="B2104" t="s">
        <v>8</v>
      </c>
      <c r="F2104" t="s">
        <v>6576</v>
      </c>
      <c r="G2104" t="s">
        <v>13425</v>
      </c>
    </row>
    <row r="2105" spans="1:7" x14ac:dyDescent="0.25">
      <c r="A2105" t="s">
        <v>1967</v>
      </c>
      <c r="B2105" t="s">
        <v>8</v>
      </c>
      <c r="F2105" t="s">
        <v>6578</v>
      </c>
      <c r="G2105" t="s">
        <v>13425</v>
      </c>
    </row>
    <row r="2106" spans="1:7" hidden="1" x14ac:dyDescent="0.25">
      <c r="A2106" t="s">
        <v>4</v>
      </c>
      <c r="B2106" t="s">
        <v>6783</v>
      </c>
      <c r="F2106" t="s">
        <v>6619</v>
      </c>
      <c r="G2106" t="s">
        <v>1076</v>
      </c>
    </row>
    <row r="2107" spans="1:7" hidden="1" x14ac:dyDescent="0.25">
      <c r="A2107" t="s">
        <v>622</v>
      </c>
      <c r="B2107" t="s">
        <v>6111</v>
      </c>
      <c r="C2107" t="s">
        <v>51</v>
      </c>
      <c r="F2107" t="s">
        <v>6622</v>
      </c>
      <c r="G2107" t="s">
        <v>1076</v>
      </c>
    </row>
    <row r="2108" spans="1:7" hidden="1" x14ac:dyDescent="0.25">
      <c r="A2108" t="s">
        <v>1569</v>
      </c>
      <c r="B2108" t="s">
        <v>6111</v>
      </c>
      <c r="C2108" t="s">
        <v>51</v>
      </c>
      <c r="F2108" t="s">
        <v>6625</v>
      </c>
      <c r="G2108" t="s">
        <v>1076</v>
      </c>
    </row>
    <row r="2109" spans="1:7" hidden="1" x14ac:dyDescent="0.25">
      <c r="A2109" t="s">
        <v>1967</v>
      </c>
      <c r="B2109" t="s">
        <v>8</v>
      </c>
      <c r="F2109" t="s">
        <v>6628</v>
      </c>
      <c r="G2109" t="s">
        <v>1077</v>
      </c>
    </row>
    <row r="2110" spans="1:7" hidden="1" x14ac:dyDescent="0.25">
      <c r="A2110" t="s">
        <v>1967</v>
      </c>
      <c r="B2110" t="s">
        <v>8</v>
      </c>
      <c r="F2110" t="s">
        <v>6631</v>
      </c>
      <c r="G2110" t="s">
        <v>1078</v>
      </c>
    </row>
    <row r="2111" spans="1:7" hidden="1" x14ac:dyDescent="0.25">
      <c r="A2111" t="s">
        <v>4</v>
      </c>
      <c r="B2111" t="s">
        <v>6784</v>
      </c>
      <c r="F2111" t="s">
        <v>6791</v>
      </c>
      <c r="G2111" t="s">
        <v>1079</v>
      </c>
    </row>
    <row r="2112" spans="1:7" hidden="1" x14ac:dyDescent="0.25">
      <c r="A2112" t="s">
        <v>4</v>
      </c>
      <c r="B2112" t="s">
        <v>9</v>
      </c>
      <c r="F2112" t="s">
        <v>6634</v>
      </c>
      <c r="G2112" t="s">
        <v>768</v>
      </c>
    </row>
    <row r="2113" spans="1:7" hidden="1" x14ac:dyDescent="0.25">
      <c r="A2113" t="s">
        <v>1967</v>
      </c>
      <c r="B2113" t="s">
        <v>9</v>
      </c>
      <c r="F2113" t="s">
        <v>6637</v>
      </c>
      <c r="G2113" t="s">
        <v>768</v>
      </c>
    </row>
    <row r="2114" spans="1:7" hidden="1" x14ac:dyDescent="0.25">
      <c r="A2114" t="s">
        <v>4</v>
      </c>
      <c r="B2114" t="s">
        <v>9</v>
      </c>
      <c r="F2114" t="s">
        <v>6640</v>
      </c>
      <c r="G2114" t="s">
        <v>1072</v>
      </c>
    </row>
    <row r="2115" spans="1:7" hidden="1" x14ac:dyDescent="0.25">
      <c r="A2115" t="s">
        <v>4</v>
      </c>
      <c r="B2115" t="s">
        <v>6785</v>
      </c>
      <c r="F2115" t="s">
        <v>6643</v>
      </c>
      <c r="G2115" t="s">
        <v>1072</v>
      </c>
    </row>
    <row r="2116" spans="1:7" hidden="1" x14ac:dyDescent="0.25">
      <c r="A2116" t="s">
        <v>1063</v>
      </c>
      <c r="B2116" t="s">
        <v>58</v>
      </c>
      <c r="F2116" t="s">
        <v>6646</v>
      </c>
      <c r="G2116" t="s">
        <v>1072</v>
      </c>
    </row>
    <row r="2117" spans="1:7" hidden="1" x14ac:dyDescent="0.25">
      <c r="A2117" t="s">
        <v>4</v>
      </c>
      <c r="B2117" t="s">
        <v>9</v>
      </c>
      <c r="E2117" t="s">
        <v>2891</v>
      </c>
      <c r="F2117" t="s">
        <v>6649</v>
      </c>
      <c r="G2117" t="s">
        <v>1072</v>
      </c>
    </row>
    <row r="2118" spans="1:7" hidden="1" x14ac:dyDescent="0.25">
      <c r="A2118" t="s">
        <v>1063</v>
      </c>
      <c r="B2118" t="s">
        <v>58</v>
      </c>
      <c r="F2118" t="s">
        <v>6652</v>
      </c>
      <c r="G2118" t="s">
        <v>1072</v>
      </c>
    </row>
    <row r="2119" spans="1:7" hidden="1" x14ac:dyDescent="0.25">
      <c r="A2119" t="s">
        <v>4</v>
      </c>
      <c r="B2119" t="s">
        <v>9</v>
      </c>
      <c r="E2119" t="s">
        <v>2891</v>
      </c>
      <c r="F2119" t="s">
        <v>6655</v>
      </c>
      <c r="G2119" t="s">
        <v>1072</v>
      </c>
    </row>
    <row r="2120" spans="1:7" hidden="1" x14ac:dyDescent="0.25">
      <c r="A2120" t="s">
        <v>1063</v>
      </c>
      <c r="B2120" t="s">
        <v>53</v>
      </c>
      <c r="F2120" t="s">
        <v>6658</v>
      </c>
      <c r="G2120" t="s">
        <v>1072</v>
      </c>
    </row>
    <row r="2121" spans="1:7" hidden="1" x14ac:dyDescent="0.25">
      <c r="A2121" t="s">
        <v>1063</v>
      </c>
      <c r="B2121" t="s">
        <v>58</v>
      </c>
      <c r="F2121" t="s">
        <v>6661</v>
      </c>
      <c r="G2121" t="s">
        <v>1072</v>
      </c>
    </row>
    <row r="2122" spans="1:7" hidden="1" x14ac:dyDescent="0.25">
      <c r="A2122" t="s">
        <v>4</v>
      </c>
      <c r="B2122" t="s">
        <v>9</v>
      </c>
      <c r="E2122" t="s">
        <v>2891</v>
      </c>
      <c r="F2122" t="s">
        <v>6664</v>
      </c>
      <c r="G2122" t="s">
        <v>1072</v>
      </c>
    </row>
    <row r="2123" spans="1:7" hidden="1" x14ac:dyDescent="0.25">
      <c r="A2123" t="s">
        <v>4</v>
      </c>
      <c r="B2123" t="s">
        <v>9</v>
      </c>
      <c r="E2123" t="s">
        <v>2891</v>
      </c>
      <c r="F2123" t="s">
        <v>6667</v>
      </c>
      <c r="G2123" t="s">
        <v>1072</v>
      </c>
    </row>
    <row r="2124" spans="1:7" hidden="1" x14ac:dyDescent="0.25">
      <c r="A2124" t="s">
        <v>4</v>
      </c>
      <c r="B2124" t="s">
        <v>9</v>
      </c>
      <c r="E2124" t="s">
        <v>2891</v>
      </c>
      <c r="F2124" t="s">
        <v>6670</v>
      </c>
      <c r="G2124" t="s">
        <v>1072</v>
      </c>
    </row>
    <row r="2125" spans="1:7" hidden="1" x14ac:dyDescent="0.25">
      <c r="A2125" t="s">
        <v>1063</v>
      </c>
      <c r="B2125" t="s">
        <v>53</v>
      </c>
      <c r="F2125" t="s">
        <v>6673</v>
      </c>
      <c r="G2125" t="s">
        <v>1072</v>
      </c>
    </row>
    <row r="2126" spans="1:7" hidden="1" x14ac:dyDescent="0.25">
      <c r="A2126" t="s">
        <v>4</v>
      </c>
      <c r="B2126" t="s">
        <v>6786</v>
      </c>
      <c r="F2126" t="s">
        <v>6676</v>
      </c>
      <c r="G2126" t="s">
        <v>1072</v>
      </c>
    </row>
    <row r="2127" spans="1:7" hidden="1" x14ac:dyDescent="0.25">
      <c r="A2127" t="s">
        <v>1063</v>
      </c>
      <c r="B2127" t="s">
        <v>53</v>
      </c>
      <c r="F2127" t="s">
        <v>6679</v>
      </c>
      <c r="G2127" t="s">
        <v>1072</v>
      </c>
    </row>
    <row r="2128" spans="1:7" hidden="1" x14ac:dyDescent="0.25">
      <c r="A2128" t="s">
        <v>4</v>
      </c>
      <c r="B2128" t="s">
        <v>9</v>
      </c>
      <c r="F2128" t="s">
        <v>6682</v>
      </c>
      <c r="G2128" t="s">
        <v>1072</v>
      </c>
    </row>
    <row r="2129" spans="1:7" hidden="1" x14ac:dyDescent="0.25">
      <c r="A2129" t="s">
        <v>1063</v>
      </c>
      <c r="B2129" t="s">
        <v>58</v>
      </c>
      <c r="F2129" t="s">
        <v>6685</v>
      </c>
      <c r="G2129" t="s">
        <v>1072</v>
      </c>
    </row>
    <row r="2130" spans="1:7" hidden="1" x14ac:dyDescent="0.25">
      <c r="A2130" t="s">
        <v>1063</v>
      </c>
      <c r="B2130" t="s">
        <v>58</v>
      </c>
      <c r="F2130" t="s">
        <v>6688</v>
      </c>
      <c r="G2130" t="s">
        <v>1072</v>
      </c>
    </row>
    <row r="2131" spans="1:7" hidden="1" x14ac:dyDescent="0.25">
      <c r="A2131" t="s">
        <v>1063</v>
      </c>
      <c r="B2131" t="s">
        <v>58</v>
      </c>
      <c r="F2131" t="s">
        <v>6691</v>
      </c>
      <c r="G2131" t="s">
        <v>1072</v>
      </c>
    </row>
    <row r="2132" spans="1:7" hidden="1" x14ac:dyDescent="0.25">
      <c r="A2132" t="s">
        <v>4</v>
      </c>
      <c r="B2132" t="s">
        <v>9</v>
      </c>
      <c r="E2132" t="s">
        <v>2891</v>
      </c>
      <c r="F2132" t="s">
        <v>6694</v>
      </c>
      <c r="G2132" t="s">
        <v>1072</v>
      </c>
    </row>
    <row r="2133" spans="1:7" hidden="1" x14ac:dyDescent="0.25">
      <c r="A2133" t="s">
        <v>505</v>
      </c>
      <c r="B2133" t="s">
        <v>503</v>
      </c>
      <c r="C2133" t="s">
        <v>58</v>
      </c>
      <c r="E2133" t="s">
        <v>4177</v>
      </c>
      <c r="F2133" t="s">
        <v>6697</v>
      </c>
      <c r="G2133" s="1" t="s">
        <v>1566</v>
      </c>
    </row>
    <row r="2134" spans="1:7" hidden="1" x14ac:dyDescent="0.25">
      <c r="A2134" t="s">
        <v>505</v>
      </c>
      <c r="B2134" t="s">
        <v>503</v>
      </c>
      <c r="C2134" t="s">
        <v>6787</v>
      </c>
      <c r="E2134" t="s">
        <v>4177</v>
      </c>
      <c r="F2134" t="s">
        <v>6700</v>
      </c>
      <c r="G2134" s="1" t="s">
        <v>1566</v>
      </c>
    </row>
    <row r="2135" spans="1:7" hidden="1" x14ac:dyDescent="0.25">
      <c r="A2135" t="s">
        <v>505</v>
      </c>
      <c r="B2135" t="s">
        <v>503</v>
      </c>
      <c r="C2135" t="s">
        <v>58</v>
      </c>
      <c r="E2135" t="s">
        <v>4177</v>
      </c>
      <c r="F2135" t="s">
        <v>6703</v>
      </c>
      <c r="G2135" s="1" t="s">
        <v>1566</v>
      </c>
    </row>
    <row r="2136" spans="1:7" hidden="1" x14ac:dyDescent="0.25">
      <c r="A2136" t="s">
        <v>505</v>
      </c>
      <c r="B2136" t="s">
        <v>503</v>
      </c>
      <c r="C2136" t="s">
        <v>1071</v>
      </c>
      <c r="E2136" t="s">
        <v>4177</v>
      </c>
      <c r="F2136" t="s">
        <v>6706</v>
      </c>
      <c r="G2136" s="1" t="s">
        <v>1566</v>
      </c>
    </row>
    <row r="2137" spans="1:7" hidden="1" x14ac:dyDescent="0.25">
      <c r="A2137" t="s">
        <v>505</v>
      </c>
      <c r="B2137" t="s">
        <v>503</v>
      </c>
      <c r="C2137" t="s">
        <v>58</v>
      </c>
      <c r="E2137" t="s">
        <v>4177</v>
      </c>
      <c r="F2137" t="s">
        <v>6709</v>
      </c>
      <c r="G2137" s="1" t="s">
        <v>1566</v>
      </c>
    </row>
    <row r="2138" spans="1:7" hidden="1" x14ac:dyDescent="0.25">
      <c r="A2138" t="s">
        <v>505</v>
      </c>
      <c r="B2138" t="s">
        <v>503</v>
      </c>
      <c r="C2138" t="s">
        <v>1071</v>
      </c>
      <c r="E2138" t="s">
        <v>4177</v>
      </c>
      <c r="F2138" t="s">
        <v>6712</v>
      </c>
      <c r="G2138" s="1" t="s">
        <v>1566</v>
      </c>
    </row>
    <row r="2139" spans="1:7" hidden="1" x14ac:dyDescent="0.25">
      <c r="A2139" t="s">
        <v>505</v>
      </c>
      <c r="B2139" t="s">
        <v>503</v>
      </c>
      <c r="C2139" t="s">
        <v>58</v>
      </c>
      <c r="E2139" t="s">
        <v>4177</v>
      </c>
      <c r="F2139" t="s">
        <v>6715</v>
      </c>
      <c r="G2139" s="1" t="s">
        <v>1566</v>
      </c>
    </row>
    <row r="2140" spans="1:7" hidden="1" x14ac:dyDescent="0.25">
      <c r="A2140" t="s">
        <v>505</v>
      </c>
      <c r="B2140" t="s">
        <v>503</v>
      </c>
      <c r="C2140" t="s">
        <v>58</v>
      </c>
      <c r="E2140" t="s">
        <v>4177</v>
      </c>
      <c r="F2140" t="s">
        <v>6718</v>
      </c>
      <c r="G2140" s="1" t="s">
        <v>1566</v>
      </c>
    </row>
    <row r="2141" spans="1:7" hidden="1" x14ac:dyDescent="0.25">
      <c r="A2141" t="s">
        <v>505</v>
      </c>
      <c r="B2141" t="s">
        <v>503</v>
      </c>
      <c r="C2141" t="s">
        <v>1071</v>
      </c>
      <c r="E2141" t="s">
        <v>4177</v>
      </c>
      <c r="F2141" t="s">
        <v>6721</v>
      </c>
      <c r="G2141" s="1" t="s">
        <v>1566</v>
      </c>
    </row>
    <row r="2142" spans="1:7" hidden="1" x14ac:dyDescent="0.25">
      <c r="A2142" t="s">
        <v>505</v>
      </c>
      <c r="B2142" t="s">
        <v>503</v>
      </c>
      <c r="C2142" t="s">
        <v>1071</v>
      </c>
      <c r="E2142" t="s">
        <v>4177</v>
      </c>
      <c r="F2142" t="s">
        <v>6724</v>
      </c>
      <c r="G2142" s="1" t="s">
        <v>1566</v>
      </c>
    </row>
    <row r="2143" spans="1:7" hidden="1" x14ac:dyDescent="0.25">
      <c r="A2143" t="s">
        <v>505</v>
      </c>
      <c r="B2143" t="s">
        <v>503</v>
      </c>
      <c r="C2143" t="s">
        <v>7083</v>
      </c>
      <c r="E2143" t="s">
        <v>6258</v>
      </c>
      <c r="F2143" t="s">
        <v>6727</v>
      </c>
      <c r="G2143" s="1" t="s">
        <v>1566</v>
      </c>
    </row>
    <row r="2144" spans="1:7" hidden="1" x14ac:dyDescent="0.25">
      <c r="A2144" t="s">
        <v>4</v>
      </c>
      <c r="B2144" t="s">
        <v>8</v>
      </c>
      <c r="F2144" t="s">
        <v>6730</v>
      </c>
      <c r="G2144" s="1" t="s">
        <v>1566</v>
      </c>
    </row>
    <row r="2145" spans="1:7" hidden="1" x14ac:dyDescent="0.25">
      <c r="A2145" t="s">
        <v>505</v>
      </c>
      <c r="B2145" t="s">
        <v>503</v>
      </c>
      <c r="C2145" t="s">
        <v>58</v>
      </c>
      <c r="E2145" t="s">
        <v>4177</v>
      </c>
      <c r="F2145" t="s">
        <v>6733</v>
      </c>
      <c r="G2145" s="1" t="s">
        <v>1566</v>
      </c>
    </row>
    <row r="2146" spans="1:7" hidden="1" x14ac:dyDescent="0.25">
      <c r="A2146" t="s">
        <v>1967</v>
      </c>
      <c r="B2146" t="s">
        <v>8</v>
      </c>
      <c r="F2146" t="s">
        <v>6736</v>
      </c>
      <c r="G2146" t="s">
        <v>1780</v>
      </c>
    </row>
    <row r="2147" spans="1:7" hidden="1" x14ac:dyDescent="0.25">
      <c r="A2147" t="s">
        <v>4</v>
      </c>
      <c r="B2147" t="s">
        <v>8</v>
      </c>
      <c r="F2147" t="s">
        <v>6739</v>
      </c>
      <c r="G2147" t="s">
        <v>1897</v>
      </c>
    </row>
    <row r="2148" spans="1:7" hidden="1" x14ac:dyDescent="0.25">
      <c r="A2148" t="s">
        <v>4</v>
      </c>
      <c r="B2148" t="s">
        <v>8</v>
      </c>
      <c r="E2148" t="s">
        <v>2891</v>
      </c>
      <c r="F2148" t="s">
        <v>6742</v>
      </c>
      <c r="G2148" t="s">
        <v>1897</v>
      </c>
    </row>
    <row r="2149" spans="1:7" hidden="1" x14ac:dyDescent="0.25">
      <c r="A2149" t="s">
        <v>261</v>
      </c>
      <c r="B2149" t="s">
        <v>5411</v>
      </c>
      <c r="C2149" t="s">
        <v>500</v>
      </c>
      <c r="F2149" t="s">
        <v>6745</v>
      </c>
      <c r="G2149" t="s">
        <v>1960</v>
      </c>
    </row>
    <row r="2150" spans="1:7" hidden="1" x14ac:dyDescent="0.25">
      <c r="A2150" t="s">
        <v>261</v>
      </c>
      <c r="B2150" t="s">
        <v>5411</v>
      </c>
      <c r="C2150" t="s">
        <v>500</v>
      </c>
      <c r="E2150" t="s">
        <v>2891</v>
      </c>
      <c r="F2150" t="s">
        <v>6748</v>
      </c>
      <c r="G2150" t="s">
        <v>1960</v>
      </c>
    </row>
    <row r="2151" spans="1:7" hidden="1" x14ac:dyDescent="0.25">
      <c r="A2151" t="s">
        <v>158</v>
      </c>
      <c r="B2151" t="s">
        <v>5411</v>
      </c>
      <c r="C2151" t="s">
        <v>500</v>
      </c>
      <c r="E2151" t="s">
        <v>5036</v>
      </c>
      <c r="F2151" t="s">
        <v>6751</v>
      </c>
      <c r="G2151" t="s">
        <v>1960</v>
      </c>
    </row>
    <row r="2152" spans="1:7" hidden="1" x14ac:dyDescent="0.25">
      <c r="A2152" t="s">
        <v>261</v>
      </c>
      <c r="B2152" t="s">
        <v>5411</v>
      </c>
      <c r="C2152" t="s">
        <v>500</v>
      </c>
      <c r="F2152" t="s">
        <v>6754</v>
      </c>
      <c r="G2152" t="s">
        <v>1960</v>
      </c>
    </row>
    <row r="2153" spans="1:7" hidden="1" x14ac:dyDescent="0.25">
      <c r="A2153" t="s">
        <v>158</v>
      </c>
      <c r="B2153" t="s">
        <v>5411</v>
      </c>
      <c r="C2153" t="s">
        <v>500</v>
      </c>
      <c r="E2153" t="s">
        <v>5036</v>
      </c>
      <c r="F2153" t="s">
        <v>6757</v>
      </c>
      <c r="G2153" t="s">
        <v>1960</v>
      </c>
    </row>
    <row r="2154" spans="1:7" hidden="1" x14ac:dyDescent="0.25">
      <c r="A2154" t="s">
        <v>4164</v>
      </c>
      <c r="B2154" t="s">
        <v>5411</v>
      </c>
      <c r="C2154" t="s">
        <v>6788</v>
      </c>
      <c r="E2154" t="s">
        <v>6450</v>
      </c>
      <c r="F2154" t="s">
        <v>6760</v>
      </c>
      <c r="G2154" t="s">
        <v>1960</v>
      </c>
    </row>
    <row r="2155" spans="1:7" hidden="1" x14ac:dyDescent="0.25">
      <c r="A2155" t="s">
        <v>4164</v>
      </c>
      <c r="B2155" t="s">
        <v>5411</v>
      </c>
      <c r="C2155" t="s">
        <v>6788</v>
      </c>
      <c r="E2155" t="s">
        <v>2891</v>
      </c>
      <c r="F2155" t="s">
        <v>6763</v>
      </c>
      <c r="G2155" t="s">
        <v>1960</v>
      </c>
    </row>
    <row r="2156" spans="1:7" hidden="1" x14ac:dyDescent="0.25">
      <c r="A2156" t="s">
        <v>158</v>
      </c>
      <c r="B2156" t="s">
        <v>5411</v>
      </c>
      <c r="C2156" t="s">
        <v>6788</v>
      </c>
      <c r="E2156" t="s">
        <v>5036</v>
      </c>
      <c r="F2156" t="s">
        <v>6766</v>
      </c>
      <c r="G2156" t="s">
        <v>1960</v>
      </c>
    </row>
    <row r="2157" spans="1:7" hidden="1" x14ac:dyDescent="0.25">
      <c r="A2157" t="s">
        <v>4</v>
      </c>
      <c r="B2157" t="s">
        <v>6789</v>
      </c>
      <c r="E2157" t="s">
        <v>6450</v>
      </c>
      <c r="F2157" t="s">
        <v>6769</v>
      </c>
      <c r="G2157" t="s">
        <v>1960</v>
      </c>
    </row>
    <row r="2158" spans="1:7" hidden="1" x14ac:dyDescent="0.25">
      <c r="A2158" t="s">
        <v>4</v>
      </c>
      <c r="B2158" t="s">
        <v>2887</v>
      </c>
      <c r="F2158" t="s">
        <v>6772</v>
      </c>
      <c r="G2158" t="s">
        <v>1960</v>
      </c>
    </row>
    <row r="2159" spans="1:7" hidden="1" x14ac:dyDescent="0.25">
      <c r="A2159" t="s">
        <v>4</v>
      </c>
      <c r="B2159" t="s">
        <v>6790</v>
      </c>
      <c r="F2159" t="s">
        <v>6775</v>
      </c>
      <c r="G2159" t="s">
        <v>1960</v>
      </c>
    </row>
    <row r="2160" spans="1:7" hidden="1" x14ac:dyDescent="0.25">
      <c r="A2160" t="s">
        <v>4</v>
      </c>
      <c r="B2160" t="s">
        <v>8</v>
      </c>
      <c r="F2160" t="s">
        <v>6778</v>
      </c>
      <c r="G2160" t="s">
        <v>1960</v>
      </c>
    </row>
    <row r="2161" spans="1:7" hidden="1" x14ac:dyDescent="0.25">
      <c r="A2161" t="s">
        <v>1967</v>
      </c>
      <c r="F2161" t="s">
        <v>6815</v>
      </c>
      <c r="G2161" t="s">
        <v>1074</v>
      </c>
    </row>
    <row r="2162" spans="1:7" hidden="1" x14ac:dyDescent="0.25">
      <c r="A2162" t="s">
        <v>1967</v>
      </c>
      <c r="F2162" t="s">
        <v>6818</v>
      </c>
      <c r="G2162" t="s">
        <v>1074</v>
      </c>
    </row>
    <row r="2163" spans="1:7" hidden="1" x14ac:dyDescent="0.25">
      <c r="A2163" t="s">
        <v>4162</v>
      </c>
      <c r="B2163" t="s">
        <v>86</v>
      </c>
      <c r="C2163" t="s">
        <v>1071</v>
      </c>
      <c r="E2163" t="s">
        <v>4177</v>
      </c>
      <c r="F2163" t="s">
        <v>6794</v>
      </c>
      <c r="G2163" t="s">
        <v>1075</v>
      </c>
    </row>
    <row r="2164" spans="1:7" hidden="1" x14ac:dyDescent="0.25">
      <c r="A2164" t="s">
        <v>4162</v>
      </c>
      <c r="B2164" t="s">
        <v>86</v>
      </c>
      <c r="C2164" t="s">
        <v>1071</v>
      </c>
      <c r="E2164" t="s">
        <v>4177</v>
      </c>
      <c r="F2164" t="s">
        <v>6797</v>
      </c>
      <c r="G2164" t="s">
        <v>1075</v>
      </c>
    </row>
    <row r="2165" spans="1:7" hidden="1" x14ac:dyDescent="0.25">
      <c r="A2165" t="s">
        <v>4162</v>
      </c>
      <c r="B2165" t="s">
        <v>86</v>
      </c>
      <c r="C2165" t="s">
        <v>1071</v>
      </c>
      <c r="E2165" t="s">
        <v>4177</v>
      </c>
      <c r="F2165" t="s">
        <v>6800</v>
      </c>
      <c r="G2165" t="s">
        <v>1075</v>
      </c>
    </row>
    <row r="2166" spans="1:7" hidden="1" x14ac:dyDescent="0.25">
      <c r="A2166" t="s">
        <v>4162</v>
      </c>
      <c r="B2166" t="s">
        <v>86</v>
      </c>
      <c r="C2166" t="s">
        <v>1071</v>
      </c>
      <c r="E2166" t="s">
        <v>4177</v>
      </c>
      <c r="F2166" t="s">
        <v>6803</v>
      </c>
      <c r="G2166" t="s">
        <v>1075</v>
      </c>
    </row>
    <row r="2167" spans="1:7" hidden="1" x14ac:dyDescent="0.25">
      <c r="A2167" t="s">
        <v>4162</v>
      </c>
      <c r="B2167" t="s">
        <v>86</v>
      </c>
      <c r="C2167" t="s">
        <v>1071</v>
      </c>
      <c r="E2167" t="s">
        <v>4177</v>
      </c>
      <c r="F2167" t="s">
        <v>6806</v>
      </c>
      <c r="G2167" t="s">
        <v>1075</v>
      </c>
    </row>
    <row r="2168" spans="1:7" hidden="1" x14ac:dyDescent="0.25">
      <c r="A2168" t="s">
        <v>4162</v>
      </c>
      <c r="B2168" t="s">
        <v>86</v>
      </c>
      <c r="C2168" t="s">
        <v>1071</v>
      </c>
      <c r="E2168" t="s">
        <v>4177</v>
      </c>
      <c r="F2168" t="s">
        <v>6809</v>
      </c>
      <c r="G2168" t="s">
        <v>1075</v>
      </c>
    </row>
    <row r="2169" spans="1:7" hidden="1" x14ac:dyDescent="0.25">
      <c r="A2169" t="s">
        <v>1967</v>
      </c>
      <c r="B2169" t="s">
        <v>8</v>
      </c>
      <c r="F2169" t="s">
        <v>6812</v>
      </c>
      <c r="G2169" t="s">
        <v>1075</v>
      </c>
    </row>
    <row r="2170" spans="1:7" x14ac:dyDescent="0.25">
      <c r="A2170" t="s">
        <v>1967</v>
      </c>
      <c r="B2170" t="s">
        <v>8</v>
      </c>
      <c r="F2170" t="s">
        <v>6827</v>
      </c>
      <c r="G2170" t="s">
        <v>13425</v>
      </c>
    </row>
    <row r="2171" spans="1:7" x14ac:dyDescent="0.25">
      <c r="A2171" t="s">
        <v>1967</v>
      </c>
      <c r="B2171" t="s">
        <v>8</v>
      </c>
      <c r="F2171" t="s">
        <v>6829</v>
      </c>
      <c r="G2171" t="s">
        <v>13425</v>
      </c>
    </row>
    <row r="2172" spans="1:7" hidden="1" x14ac:dyDescent="0.25">
      <c r="A2172" t="s">
        <v>1967</v>
      </c>
      <c r="B2172" t="s">
        <v>8</v>
      </c>
      <c r="F2172" t="s">
        <v>6821</v>
      </c>
      <c r="G2172" t="s">
        <v>1076</v>
      </c>
    </row>
    <row r="2173" spans="1:7" hidden="1" x14ac:dyDescent="0.25">
      <c r="A2173" t="s">
        <v>1967</v>
      </c>
      <c r="B2173" t="s">
        <v>8</v>
      </c>
      <c r="F2173" t="s">
        <v>6824</v>
      </c>
      <c r="G2173" t="s">
        <v>1076</v>
      </c>
    </row>
    <row r="2174" spans="1:7" hidden="1" x14ac:dyDescent="0.25">
      <c r="A2174" t="s">
        <v>4</v>
      </c>
      <c r="B2174" t="s">
        <v>8</v>
      </c>
      <c r="F2174" t="s">
        <v>7053</v>
      </c>
      <c r="G2174" t="s">
        <v>1077</v>
      </c>
    </row>
    <row r="2175" spans="1:7" hidden="1" x14ac:dyDescent="0.25">
      <c r="A2175" t="s">
        <v>623</v>
      </c>
      <c r="B2175" t="s">
        <v>4188</v>
      </c>
      <c r="F2175" t="s">
        <v>7056</v>
      </c>
      <c r="G2175" t="s">
        <v>1077</v>
      </c>
    </row>
    <row r="2176" spans="1:7" hidden="1" x14ac:dyDescent="0.25">
      <c r="A2176" t="s">
        <v>12</v>
      </c>
      <c r="B2176" t="s">
        <v>1570</v>
      </c>
      <c r="F2176" t="s">
        <v>7059</v>
      </c>
      <c r="G2176" t="s">
        <v>1077</v>
      </c>
    </row>
    <row r="2177" spans="1:7" hidden="1" x14ac:dyDescent="0.25">
      <c r="A2177" t="s">
        <v>4</v>
      </c>
      <c r="B2177" t="s">
        <v>8</v>
      </c>
      <c r="F2177" t="s">
        <v>7062</v>
      </c>
      <c r="G2177" t="s">
        <v>1077</v>
      </c>
    </row>
    <row r="2178" spans="1:7" hidden="1" x14ac:dyDescent="0.25">
      <c r="A2178" t="s">
        <v>1967</v>
      </c>
      <c r="B2178" t="s">
        <v>8</v>
      </c>
      <c r="F2178" t="s">
        <v>7065</v>
      </c>
      <c r="G2178" t="s">
        <v>1077</v>
      </c>
    </row>
    <row r="2179" spans="1:7" hidden="1" x14ac:dyDescent="0.25">
      <c r="A2179" t="s">
        <v>1967</v>
      </c>
      <c r="B2179" t="s">
        <v>8</v>
      </c>
      <c r="F2179" t="s">
        <v>7068</v>
      </c>
      <c r="G2179" t="s">
        <v>1077</v>
      </c>
    </row>
    <row r="2180" spans="1:7" hidden="1" x14ac:dyDescent="0.25">
      <c r="A2180" t="s">
        <v>1967</v>
      </c>
      <c r="B2180" t="s">
        <v>8</v>
      </c>
      <c r="F2180" t="s">
        <v>6831</v>
      </c>
      <c r="G2180" t="s">
        <v>1078</v>
      </c>
    </row>
    <row r="2181" spans="1:7" hidden="1" x14ac:dyDescent="0.25">
      <c r="A2181" t="s">
        <v>1967</v>
      </c>
      <c r="B2181" t="s">
        <v>8</v>
      </c>
      <c r="F2181" t="s">
        <v>6834</v>
      </c>
      <c r="G2181" t="s">
        <v>1078</v>
      </c>
    </row>
    <row r="2182" spans="1:7" hidden="1" x14ac:dyDescent="0.25">
      <c r="A2182" t="s">
        <v>1967</v>
      </c>
      <c r="B2182" t="s">
        <v>8</v>
      </c>
      <c r="F2182" t="s">
        <v>6837</v>
      </c>
      <c r="G2182" t="s">
        <v>1078</v>
      </c>
    </row>
    <row r="2183" spans="1:7" hidden="1" x14ac:dyDescent="0.25">
      <c r="A2183" t="s">
        <v>1967</v>
      </c>
      <c r="B2183" t="s">
        <v>8</v>
      </c>
      <c r="F2183" t="s">
        <v>6840</v>
      </c>
      <c r="G2183" t="s">
        <v>1079</v>
      </c>
    </row>
    <row r="2184" spans="1:7" hidden="1" x14ac:dyDescent="0.25">
      <c r="A2184" t="s">
        <v>4153</v>
      </c>
      <c r="F2184" t="s">
        <v>7074</v>
      </c>
      <c r="G2184" t="s">
        <v>1079</v>
      </c>
    </row>
    <row r="2185" spans="1:7" hidden="1" x14ac:dyDescent="0.25">
      <c r="A2185" t="s">
        <v>1967</v>
      </c>
      <c r="B2185" t="s">
        <v>8</v>
      </c>
      <c r="F2185" t="s">
        <v>6843</v>
      </c>
      <c r="G2185" t="s">
        <v>1079</v>
      </c>
    </row>
    <row r="2186" spans="1:7" hidden="1" x14ac:dyDescent="0.25">
      <c r="A2186" t="s">
        <v>1967</v>
      </c>
      <c r="B2186" t="s">
        <v>9</v>
      </c>
      <c r="F2186" t="s">
        <v>6846</v>
      </c>
      <c r="G2186" t="s">
        <v>768</v>
      </c>
    </row>
    <row r="2187" spans="1:7" hidden="1" x14ac:dyDescent="0.25">
      <c r="A2187" t="s">
        <v>4</v>
      </c>
      <c r="B2187" t="s">
        <v>9</v>
      </c>
      <c r="F2187" t="s">
        <v>6849</v>
      </c>
      <c r="G2187" t="s">
        <v>768</v>
      </c>
    </row>
    <row r="2188" spans="1:7" hidden="1" x14ac:dyDescent="0.25">
      <c r="A2188" t="s">
        <v>7080</v>
      </c>
      <c r="F2188" t="s">
        <v>6852</v>
      </c>
      <c r="G2188" t="s">
        <v>768</v>
      </c>
    </row>
    <row r="2189" spans="1:7" hidden="1" x14ac:dyDescent="0.25">
      <c r="A2189" t="s">
        <v>1063</v>
      </c>
      <c r="B2189" t="s">
        <v>7081</v>
      </c>
      <c r="F2189" t="s">
        <v>6855</v>
      </c>
      <c r="G2189" t="s">
        <v>768</v>
      </c>
    </row>
    <row r="2190" spans="1:7" hidden="1" x14ac:dyDescent="0.25">
      <c r="A2190" t="s">
        <v>1967</v>
      </c>
      <c r="B2190" t="s">
        <v>9</v>
      </c>
      <c r="F2190" t="s">
        <v>6858</v>
      </c>
      <c r="G2190" t="s">
        <v>768</v>
      </c>
    </row>
    <row r="2191" spans="1:7" hidden="1" x14ac:dyDescent="0.25">
      <c r="A2191" t="s">
        <v>4</v>
      </c>
      <c r="B2191" t="s">
        <v>9</v>
      </c>
      <c r="F2191" t="s">
        <v>6861</v>
      </c>
      <c r="G2191" t="s">
        <v>1072</v>
      </c>
    </row>
    <row r="2192" spans="1:7" hidden="1" x14ac:dyDescent="0.25">
      <c r="A2192" t="s">
        <v>4</v>
      </c>
      <c r="B2192" t="s">
        <v>9</v>
      </c>
      <c r="E2192" t="s">
        <v>2891</v>
      </c>
      <c r="F2192" t="s">
        <v>6864</v>
      </c>
      <c r="G2192" t="s">
        <v>1072</v>
      </c>
    </row>
    <row r="2193" spans="1:7" hidden="1" x14ac:dyDescent="0.25">
      <c r="A2193" t="s">
        <v>1063</v>
      </c>
      <c r="B2193" t="s">
        <v>58</v>
      </c>
      <c r="F2193" t="s">
        <v>6867</v>
      </c>
      <c r="G2193" t="s">
        <v>1072</v>
      </c>
    </row>
    <row r="2194" spans="1:7" hidden="1" x14ac:dyDescent="0.25">
      <c r="A2194" t="s">
        <v>1063</v>
      </c>
      <c r="B2194" t="s">
        <v>58</v>
      </c>
      <c r="F2194" t="s">
        <v>6870</v>
      </c>
      <c r="G2194" t="s">
        <v>1072</v>
      </c>
    </row>
    <row r="2195" spans="1:7" hidden="1" x14ac:dyDescent="0.25">
      <c r="A2195" t="s">
        <v>1063</v>
      </c>
      <c r="B2195" t="s">
        <v>58</v>
      </c>
      <c r="F2195" t="s">
        <v>6873</v>
      </c>
      <c r="G2195" t="s">
        <v>1072</v>
      </c>
    </row>
    <row r="2196" spans="1:7" hidden="1" x14ac:dyDescent="0.25">
      <c r="A2196" t="s">
        <v>1063</v>
      </c>
      <c r="B2196" t="s">
        <v>58</v>
      </c>
      <c r="F2196" t="s">
        <v>6876</v>
      </c>
      <c r="G2196" t="s">
        <v>1072</v>
      </c>
    </row>
    <row r="2197" spans="1:7" hidden="1" x14ac:dyDescent="0.25">
      <c r="A2197" t="s">
        <v>4</v>
      </c>
      <c r="B2197" t="s">
        <v>9</v>
      </c>
      <c r="E2197" t="s">
        <v>2891</v>
      </c>
      <c r="F2197" t="s">
        <v>6879</v>
      </c>
      <c r="G2197" t="s">
        <v>1072</v>
      </c>
    </row>
    <row r="2198" spans="1:7" hidden="1" x14ac:dyDescent="0.25">
      <c r="A2198" t="s">
        <v>4</v>
      </c>
      <c r="B2198" t="s">
        <v>9</v>
      </c>
      <c r="E2198" t="s">
        <v>2891</v>
      </c>
      <c r="F2198" t="s">
        <v>6882</v>
      </c>
      <c r="G2198" t="s">
        <v>1072</v>
      </c>
    </row>
    <row r="2199" spans="1:7" hidden="1" x14ac:dyDescent="0.25">
      <c r="A2199" t="s">
        <v>4</v>
      </c>
      <c r="B2199" t="s">
        <v>9</v>
      </c>
      <c r="E2199" t="s">
        <v>2891</v>
      </c>
      <c r="F2199" t="s">
        <v>6885</v>
      </c>
      <c r="G2199" t="s">
        <v>1072</v>
      </c>
    </row>
    <row r="2200" spans="1:7" hidden="1" x14ac:dyDescent="0.25">
      <c r="A2200" t="s">
        <v>4162</v>
      </c>
      <c r="B2200" t="s">
        <v>5411</v>
      </c>
      <c r="C2200" t="s">
        <v>6109</v>
      </c>
      <c r="F2200" t="s">
        <v>6888</v>
      </c>
      <c r="G2200" t="s">
        <v>1072</v>
      </c>
    </row>
    <row r="2201" spans="1:7" hidden="1" x14ac:dyDescent="0.25">
      <c r="A2201" t="s">
        <v>4162</v>
      </c>
      <c r="B2201" t="s">
        <v>5411</v>
      </c>
      <c r="C2201" t="s">
        <v>6109</v>
      </c>
      <c r="F2201" t="s">
        <v>6891</v>
      </c>
      <c r="G2201" t="s">
        <v>1072</v>
      </c>
    </row>
    <row r="2202" spans="1:7" hidden="1" x14ac:dyDescent="0.25">
      <c r="A2202" t="s">
        <v>4162</v>
      </c>
      <c r="B2202" t="s">
        <v>5411</v>
      </c>
      <c r="C2202" t="s">
        <v>6109</v>
      </c>
      <c r="F2202" t="s">
        <v>6894</v>
      </c>
      <c r="G2202" t="s">
        <v>1072</v>
      </c>
    </row>
    <row r="2203" spans="1:7" hidden="1" x14ac:dyDescent="0.25">
      <c r="A2203" t="s">
        <v>4</v>
      </c>
      <c r="B2203" t="s">
        <v>9</v>
      </c>
      <c r="F2203" t="s">
        <v>6897</v>
      </c>
      <c r="G2203" t="s">
        <v>1072</v>
      </c>
    </row>
    <row r="2204" spans="1:7" hidden="1" x14ac:dyDescent="0.25">
      <c r="A2204" t="s">
        <v>1063</v>
      </c>
      <c r="B2204" t="s">
        <v>58</v>
      </c>
      <c r="F2204" t="s">
        <v>6900</v>
      </c>
      <c r="G2204" t="s">
        <v>1072</v>
      </c>
    </row>
    <row r="2205" spans="1:7" hidden="1" x14ac:dyDescent="0.25">
      <c r="A2205" t="s">
        <v>4</v>
      </c>
      <c r="B2205" t="s">
        <v>9</v>
      </c>
      <c r="F2205" t="s">
        <v>6903</v>
      </c>
      <c r="G2205" t="s">
        <v>1072</v>
      </c>
    </row>
    <row r="2206" spans="1:7" hidden="1" x14ac:dyDescent="0.25">
      <c r="A2206" t="s">
        <v>4</v>
      </c>
      <c r="B2206" t="s">
        <v>9</v>
      </c>
      <c r="E2206" t="s">
        <v>2891</v>
      </c>
      <c r="F2206" t="s">
        <v>6906</v>
      </c>
      <c r="G2206" t="s">
        <v>1072</v>
      </c>
    </row>
    <row r="2207" spans="1:7" hidden="1" x14ac:dyDescent="0.25">
      <c r="A2207" t="s">
        <v>4</v>
      </c>
      <c r="B2207" t="s">
        <v>9</v>
      </c>
      <c r="E2207" t="s">
        <v>2891</v>
      </c>
      <c r="F2207" t="s">
        <v>6909</v>
      </c>
      <c r="G2207" t="s">
        <v>1072</v>
      </c>
    </row>
    <row r="2208" spans="1:7" hidden="1" x14ac:dyDescent="0.25">
      <c r="A2208" t="s">
        <v>4</v>
      </c>
      <c r="B2208" t="s">
        <v>9</v>
      </c>
      <c r="E2208" t="s">
        <v>2891</v>
      </c>
      <c r="F2208" t="s">
        <v>6912</v>
      </c>
      <c r="G2208" t="s">
        <v>1072</v>
      </c>
    </row>
    <row r="2209" spans="1:7" hidden="1" x14ac:dyDescent="0.25">
      <c r="A2209" t="s">
        <v>4</v>
      </c>
      <c r="B2209" t="s">
        <v>9</v>
      </c>
      <c r="E2209" t="s">
        <v>2891</v>
      </c>
      <c r="F2209" t="s">
        <v>6915</v>
      </c>
      <c r="G2209" t="s">
        <v>1072</v>
      </c>
    </row>
    <row r="2210" spans="1:7" hidden="1" x14ac:dyDescent="0.25">
      <c r="A2210" t="s">
        <v>4</v>
      </c>
      <c r="B2210" t="s">
        <v>9</v>
      </c>
      <c r="E2210" t="s">
        <v>2891</v>
      </c>
      <c r="F2210" t="s">
        <v>6918</v>
      </c>
      <c r="G2210" t="s">
        <v>1072</v>
      </c>
    </row>
    <row r="2211" spans="1:7" hidden="1" x14ac:dyDescent="0.25">
      <c r="A2211" t="s">
        <v>4</v>
      </c>
      <c r="B2211" t="s">
        <v>9</v>
      </c>
      <c r="E2211" t="s">
        <v>2891</v>
      </c>
      <c r="F2211" t="s">
        <v>6921</v>
      </c>
      <c r="G2211" t="s">
        <v>1072</v>
      </c>
    </row>
    <row r="2212" spans="1:7" hidden="1" x14ac:dyDescent="0.25">
      <c r="A2212" t="s">
        <v>4</v>
      </c>
      <c r="B2212" t="s">
        <v>1570</v>
      </c>
      <c r="C2212" t="s">
        <v>7082</v>
      </c>
      <c r="F2212" t="s">
        <v>6924</v>
      </c>
      <c r="G2212" t="s">
        <v>1072</v>
      </c>
    </row>
    <row r="2213" spans="1:7" hidden="1" x14ac:dyDescent="0.25">
      <c r="A2213" t="s">
        <v>4</v>
      </c>
      <c r="B2213" t="s">
        <v>1570</v>
      </c>
      <c r="C2213" t="s">
        <v>3031</v>
      </c>
      <c r="F2213" t="s">
        <v>6927</v>
      </c>
      <c r="G2213" t="s">
        <v>1072</v>
      </c>
    </row>
    <row r="2214" spans="1:7" hidden="1" x14ac:dyDescent="0.25">
      <c r="A2214" t="s">
        <v>4</v>
      </c>
      <c r="B2214" t="s">
        <v>9</v>
      </c>
      <c r="F2214" t="s">
        <v>6930</v>
      </c>
      <c r="G2214" t="s">
        <v>1072</v>
      </c>
    </row>
    <row r="2215" spans="1:7" hidden="1" x14ac:dyDescent="0.25">
      <c r="A2215" t="s">
        <v>1967</v>
      </c>
      <c r="B2215" t="s">
        <v>9</v>
      </c>
      <c r="F2215" t="s">
        <v>6933</v>
      </c>
      <c r="G2215" t="s">
        <v>1072</v>
      </c>
    </row>
    <row r="2216" spans="1:7" hidden="1" x14ac:dyDescent="0.25">
      <c r="A2216" t="s">
        <v>1967</v>
      </c>
      <c r="B2216" t="s">
        <v>9</v>
      </c>
      <c r="F2216" t="s">
        <v>6936</v>
      </c>
      <c r="G2216" t="s">
        <v>1072</v>
      </c>
    </row>
    <row r="2217" spans="1:7" hidden="1" x14ac:dyDescent="0.25">
      <c r="A2217" t="s">
        <v>4</v>
      </c>
      <c r="B2217" t="s">
        <v>8</v>
      </c>
      <c r="F2217" t="s">
        <v>6939</v>
      </c>
      <c r="G2217" s="1" t="s">
        <v>1566</v>
      </c>
    </row>
    <row r="2218" spans="1:7" hidden="1" x14ac:dyDescent="0.25">
      <c r="A2218" t="s">
        <v>505</v>
      </c>
      <c r="B2218" t="s">
        <v>503</v>
      </c>
      <c r="C2218" t="s">
        <v>58</v>
      </c>
      <c r="E2218" t="s">
        <v>2904</v>
      </c>
      <c r="F2218" t="s">
        <v>6942</v>
      </c>
      <c r="G2218" s="1" t="s">
        <v>1566</v>
      </c>
    </row>
    <row r="2219" spans="1:7" hidden="1" x14ac:dyDescent="0.25">
      <c r="A2219" t="s">
        <v>505</v>
      </c>
      <c r="B2219" t="s">
        <v>503</v>
      </c>
      <c r="C2219" t="s">
        <v>58</v>
      </c>
      <c r="E2219" t="s">
        <v>2891</v>
      </c>
      <c r="F2219" t="s">
        <v>6945</v>
      </c>
      <c r="G2219" s="1" t="s">
        <v>1566</v>
      </c>
    </row>
    <row r="2220" spans="1:7" hidden="1" x14ac:dyDescent="0.25">
      <c r="A2220" t="s">
        <v>505</v>
      </c>
      <c r="B2220" t="s">
        <v>503</v>
      </c>
      <c r="C2220" t="s">
        <v>58</v>
      </c>
      <c r="E2220" t="s">
        <v>4177</v>
      </c>
      <c r="F2220" t="s">
        <v>6948</v>
      </c>
      <c r="G2220" s="1" t="s">
        <v>1566</v>
      </c>
    </row>
    <row r="2221" spans="1:7" hidden="1" x14ac:dyDescent="0.25">
      <c r="A2221" t="s">
        <v>4164</v>
      </c>
      <c r="B2221" t="s">
        <v>5411</v>
      </c>
      <c r="C2221" t="s">
        <v>2899</v>
      </c>
      <c r="F2221" t="s">
        <v>6951</v>
      </c>
      <c r="G2221" s="1" t="s">
        <v>1566</v>
      </c>
    </row>
    <row r="2222" spans="1:7" hidden="1" x14ac:dyDescent="0.25">
      <c r="A2222" t="s">
        <v>158</v>
      </c>
      <c r="B2222" t="s">
        <v>86</v>
      </c>
      <c r="C2222" t="s">
        <v>2899</v>
      </c>
      <c r="E2222" t="s">
        <v>2909</v>
      </c>
      <c r="F2222" t="s">
        <v>6954</v>
      </c>
      <c r="G2222" s="1" t="s">
        <v>1566</v>
      </c>
    </row>
    <row r="2223" spans="1:7" hidden="1" x14ac:dyDescent="0.25">
      <c r="A2223" t="s">
        <v>4164</v>
      </c>
      <c r="B2223" t="s">
        <v>5411</v>
      </c>
      <c r="C2223" t="s">
        <v>500</v>
      </c>
      <c r="F2223" t="s">
        <v>6957</v>
      </c>
      <c r="G2223" s="1" t="s">
        <v>1566</v>
      </c>
    </row>
    <row r="2224" spans="1:7" hidden="1" x14ac:dyDescent="0.25">
      <c r="A2224" t="s">
        <v>505</v>
      </c>
      <c r="B2224" t="s">
        <v>503</v>
      </c>
      <c r="C2224" t="s">
        <v>58</v>
      </c>
      <c r="E2224" t="s">
        <v>4177</v>
      </c>
      <c r="F2224" t="s">
        <v>6960</v>
      </c>
      <c r="G2224" s="1" t="s">
        <v>1566</v>
      </c>
    </row>
    <row r="2225" spans="1:7" hidden="1" x14ac:dyDescent="0.25">
      <c r="A2225" t="s">
        <v>505</v>
      </c>
      <c r="B2225" t="s">
        <v>503</v>
      </c>
      <c r="C2225" t="s">
        <v>58</v>
      </c>
      <c r="E2225" t="s">
        <v>4177</v>
      </c>
      <c r="F2225" t="s">
        <v>6963</v>
      </c>
      <c r="G2225" s="1" t="s">
        <v>1566</v>
      </c>
    </row>
    <row r="2226" spans="1:7" hidden="1" x14ac:dyDescent="0.25">
      <c r="A2226" t="s">
        <v>505</v>
      </c>
      <c r="B2226" t="s">
        <v>503</v>
      </c>
      <c r="C2226" t="s">
        <v>6787</v>
      </c>
      <c r="E2226" t="s">
        <v>4177</v>
      </c>
      <c r="F2226" t="s">
        <v>6966</v>
      </c>
      <c r="G2226" s="1" t="s">
        <v>1566</v>
      </c>
    </row>
    <row r="2227" spans="1:7" hidden="1" x14ac:dyDescent="0.25">
      <c r="A2227" t="s">
        <v>158</v>
      </c>
      <c r="B2227" t="s">
        <v>503</v>
      </c>
      <c r="C2227" t="s">
        <v>6787</v>
      </c>
      <c r="E2227" t="s">
        <v>4177</v>
      </c>
      <c r="F2227" t="s">
        <v>6969</v>
      </c>
      <c r="G2227" s="1" t="s">
        <v>1566</v>
      </c>
    </row>
    <row r="2228" spans="1:7" hidden="1" x14ac:dyDescent="0.25">
      <c r="A2228" t="s">
        <v>505</v>
      </c>
      <c r="B2228" t="s">
        <v>503</v>
      </c>
      <c r="C2228" t="s">
        <v>2899</v>
      </c>
      <c r="E2228" t="s">
        <v>4177</v>
      </c>
      <c r="F2228" t="s">
        <v>6972</v>
      </c>
      <c r="G2228" s="1" t="s">
        <v>1566</v>
      </c>
    </row>
    <row r="2229" spans="1:7" hidden="1" x14ac:dyDescent="0.25">
      <c r="A2229" t="s">
        <v>505</v>
      </c>
      <c r="B2229" t="s">
        <v>503</v>
      </c>
      <c r="C2229" t="s">
        <v>7084</v>
      </c>
      <c r="F2229" t="s">
        <v>6975</v>
      </c>
      <c r="G2229" s="1" t="s">
        <v>1566</v>
      </c>
    </row>
    <row r="2230" spans="1:7" hidden="1" x14ac:dyDescent="0.25">
      <c r="A2230" t="s">
        <v>505</v>
      </c>
      <c r="B2230" t="s">
        <v>503</v>
      </c>
      <c r="C2230" t="s">
        <v>7083</v>
      </c>
      <c r="E2230" t="s">
        <v>6258</v>
      </c>
      <c r="F2230" t="s">
        <v>6978</v>
      </c>
      <c r="G2230" s="1" t="s">
        <v>1566</v>
      </c>
    </row>
    <row r="2231" spans="1:7" hidden="1" x14ac:dyDescent="0.25">
      <c r="A2231" t="s">
        <v>4162</v>
      </c>
      <c r="B2231" t="s">
        <v>86</v>
      </c>
      <c r="C2231" t="s">
        <v>58</v>
      </c>
      <c r="E2231" t="s">
        <v>1583</v>
      </c>
      <c r="F2231" t="s">
        <v>6981</v>
      </c>
      <c r="G2231" s="1" t="s">
        <v>1566</v>
      </c>
    </row>
    <row r="2232" spans="1:7" hidden="1" x14ac:dyDescent="0.25">
      <c r="A2232" t="s">
        <v>158</v>
      </c>
      <c r="B2232" t="s">
        <v>86</v>
      </c>
      <c r="C2232" t="s">
        <v>58</v>
      </c>
      <c r="E2232" t="s">
        <v>2909</v>
      </c>
      <c r="F2232" t="s">
        <v>6984</v>
      </c>
      <c r="G2232" s="1" t="s">
        <v>1566</v>
      </c>
    </row>
    <row r="2233" spans="1:7" hidden="1" x14ac:dyDescent="0.25">
      <c r="A2233" t="s">
        <v>4162</v>
      </c>
      <c r="B2233" t="s">
        <v>86</v>
      </c>
      <c r="C2233" t="s">
        <v>2917</v>
      </c>
      <c r="E2233" t="s">
        <v>1583</v>
      </c>
      <c r="F2233" t="s">
        <v>6987</v>
      </c>
      <c r="G2233" s="1" t="s">
        <v>1566</v>
      </c>
    </row>
    <row r="2234" spans="1:7" hidden="1" x14ac:dyDescent="0.25">
      <c r="A2234" t="s">
        <v>4162</v>
      </c>
      <c r="B2234" t="s">
        <v>86</v>
      </c>
      <c r="C2234" t="s">
        <v>2917</v>
      </c>
      <c r="E2234" t="s">
        <v>2891</v>
      </c>
      <c r="F2234" t="s">
        <v>6990</v>
      </c>
      <c r="G2234" s="1" t="s">
        <v>1566</v>
      </c>
    </row>
    <row r="2235" spans="1:7" hidden="1" x14ac:dyDescent="0.25">
      <c r="A2235" t="s">
        <v>4162</v>
      </c>
      <c r="B2235" t="s">
        <v>86</v>
      </c>
      <c r="C2235" t="s">
        <v>2917</v>
      </c>
      <c r="E2235" t="s">
        <v>2891</v>
      </c>
      <c r="F2235" t="s">
        <v>6993</v>
      </c>
      <c r="G2235" s="1" t="s">
        <v>1566</v>
      </c>
    </row>
    <row r="2236" spans="1:7" hidden="1" x14ac:dyDescent="0.25">
      <c r="A2236" t="s">
        <v>505</v>
      </c>
      <c r="B2236" t="s">
        <v>503</v>
      </c>
      <c r="C2236" t="s">
        <v>7083</v>
      </c>
      <c r="E2236" t="s">
        <v>6258</v>
      </c>
      <c r="F2236" t="s">
        <v>6996</v>
      </c>
      <c r="G2236" s="1" t="s">
        <v>1566</v>
      </c>
    </row>
    <row r="2237" spans="1:7" hidden="1" x14ac:dyDescent="0.25">
      <c r="A2237" t="s">
        <v>505</v>
      </c>
      <c r="B2237" t="s">
        <v>503</v>
      </c>
      <c r="C2237" t="s">
        <v>58</v>
      </c>
      <c r="E2237" t="s">
        <v>2909</v>
      </c>
      <c r="F2237" t="s">
        <v>6999</v>
      </c>
      <c r="G2237" s="1" t="s">
        <v>1566</v>
      </c>
    </row>
    <row r="2238" spans="1:7" hidden="1" x14ac:dyDescent="0.25">
      <c r="A2238" t="s">
        <v>505</v>
      </c>
      <c r="B2238" t="s">
        <v>503</v>
      </c>
      <c r="C2238" t="s">
        <v>58</v>
      </c>
      <c r="E2238" t="s">
        <v>2891</v>
      </c>
      <c r="F2238" t="s">
        <v>7002</v>
      </c>
      <c r="G2238" s="1" t="s">
        <v>1566</v>
      </c>
    </row>
    <row r="2239" spans="1:7" hidden="1" x14ac:dyDescent="0.25">
      <c r="A2239" t="s">
        <v>505</v>
      </c>
      <c r="B2239" t="s">
        <v>503</v>
      </c>
      <c r="C2239" t="s">
        <v>58</v>
      </c>
      <c r="E2239" t="s">
        <v>2909</v>
      </c>
      <c r="F2239" t="s">
        <v>7005</v>
      </c>
      <c r="G2239" s="1" t="s">
        <v>1566</v>
      </c>
    </row>
    <row r="2240" spans="1:7" hidden="1" x14ac:dyDescent="0.25">
      <c r="A2240" t="s">
        <v>505</v>
      </c>
      <c r="B2240" t="s">
        <v>503</v>
      </c>
      <c r="C2240" t="s">
        <v>7082</v>
      </c>
      <c r="E2240" t="s">
        <v>4177</v>
      </c>
      <c r="F2240" t="s">
        <v>7008</v>
      </c>
      <c r="G2240" s="1" t="s">
        <v>1566</v>
      </c>
    </row>
    <row r="2241" spans="1:7" hidden="1" x14ac:dyDescent="0.25">
      <c r="A2241" t="s">
        <v>505</v>
      </c>
      <c r="B2241" t="s">
        <v>503</v>
      </c>
      <c r="C2241" t="s">
        <v>3031</v>
      </c>
      <c r="E2241" t="s">
        <v>4177</v>
      </c>
      <c r="F2241" t="s">
        <v>7011</v>
      </c>
      <c r="G2241" s="1" t="s">
        <v>1566</v>
      </c>
    </row>
    <row r="2242" spans="1:7" hidden="1" x14ac:dyDescent="0.25">
      <c r="A2242" t="s">
        <v>4</v>
      </c>
      <c r="B2242" t="s">
        <v>8</v>
      </c>
      <c r="F2242" t="s">
        <v>7014</v>
      </c>
      <c r="G2242" s="1" t="s">
        <v>1566</v>
      </c>
    </row>
    <row r="2243" spans="1:7" hidden="1" x14ac:dyDescent="0.25">
      <c r="A2243" t="s">
        <v>1967</v>
      </c>
      <c r="B2243" t="s">
        <v>8</v>
      </c>
      <c r="F2243" t="s">
        <v>7017</v>
      </c>
      <c r="G2243" s="1" t="s">
        <v>1566</v>
      </c>
    </row>
    <row r="2244" spans="1:7" hidden="1" x14ac:dyDescent="0.25">
      <c r="A2244" t="s">
        <v>158</v>
      </c>
      <c r="B2244" t="s">
        <v>5411</v>
      </c>
      <c r="C2244" t="s">
        <v>2899</v>
      </c>
      <c r="E2244" t="s">
        <v>2909</v>
      </c>
      <c r="F2244" t="s">
        <v>7020</v>
      </c>
      <c r="G2244" t="s">
        <v>1780</v>
      </c>
    </row>
    <row r="2245" spans="1:7" hidden="1" x14ac:dyDescent="0.25">
      <c r="A2245" t="s">
        <v>158</v>
      </c>
      <c r="B2245" t="s">
        <v>5411</v>
      </c>
      <c r="C2245" t="s">
        <v>2899</v>
      </c>
      <c r="E2245" t="s">
        <v>2891</v>
      </c>
      <c r="F2245" t="s">
        <v>7023</v>
      </c>
      <c r="G2245" t="s">
        <v>1780</v>
      </c>
    </row>
    <row r="2246" spans="1:7" hidden="1" x14ac:dyDescent="0.25">
      <c r="A2246" t="s">
        <v>7085</v>
      </c>
      <c r="B2246" t="s">
        <v>5411</v>
      </c>
      <c r="C2246" t="s">
        <v>6788</v>
      </c>
      <c r="F2246" t="s">
        <v>7026</v>
      </c>
      <c r="G2246" t="s">
        <v>1780</v>
      </c>
    </row>
    <row r="2247" spans="1:7" hidden="1" x14ac:dyDescent="0.25">
      <c r="A2247" t="s">
        <v>158</v>
      </c>
      <c r="B2247" t="s">
        <v>5411</v>
      </c>
      <c r="C2247" t="s">
        <v>2917</v>
      </c>
      <c r="E2247" t="s">
        <v>2909</v>
      </c>
      <c r="F2247" t="s">
        <v>7029</v>
      </c>
      <c r="G2247" t="s">
        <v>1780</v>
      </c>
    </row>
    <row r="2248" spans="1:7" hidden="1" x14ac:dyDescent="0.25">
      <c r="A2248" t="s">
        <v>158</v>
      </c>
      <c r="B2248" t="s">
        <v>5411</v>
      </c>
      <c r="C2248" t="s">
        <v>2917</v>
      </c>
      <c r="E2248" t="s">
        <v>2891</v>
      </c>
      <c r="F2248" t="s">
        <v>7032</v>
      </c>
      <c r="G2248" t="s">
        <v>1780</v>
      </c>
    </row>
    <row r="2249" spans="1:7" hidden="1" x14ac:dyDescent="0.25">
      <c r="A2249" t="s">
        <v>4</v>
      </c>
      <c r="B2249" t="s">
        <v>8</v>
      </c>
      <c r="F2249" t="s">
        <v>7035</v>
      </c>
      <c r="G2249" t="s">
        <v>1780</v>
      </c>
    </row>
    <row r="2250" spans="1:7" hidden="1" x14ac:dyDescent="0.25">
      <c r="A2250" t="s">
        <v>1967</v>
      </c>
      <c r="B2250" t="s">
        <v>8</v>
      </c>
      <c r="F2250" t="s">
        <v>7038</v>
      </c>
      <c r="G2250" t="s">
        <v>1780</v>
      </c>
    </row>
    <row r="2251" spans="1:7" hidden="1" x14ac:dyDescent="0.25">
      <c r="A2251" t="s">
        <v>4</v>
      </c>
      <c r="B2251" t="s">
        <v>8</v>
      </c>
      <c r="F2251" t="s">
        <v>7041</v>
      </c>
      <c r="G2251" t="s">
        <v>1897</v>
      </c>
    </row>
    <row r="2252" spans="1:7" hidden="1" x14ac:dyDescent="0.25">
      <c r="A2252" t="s">
        <v>4</v>
      </c>
      <c r="B2252" t="s">
        <v>8</v>
      </c>
      <c r="E2252" t="s">
        <v>2891</v>
      </c>
      <c r="F2252" t="s">
        <v>7044</v>
      </c>
      <c r="G2252" t="s">
        <v>1897</v>
      </c>
    </row>
    <row r="2253" spans="1:7" hidden="1" x14ac:dyDescent="0.25">
      <c r="A2253" t="s">
        <v>1967</v>
      </c>
      <c r="B2253" t="s">
        <v>8</v>
      </c>
      <c r="F2253" t="s">
        <v>7047</v>
      </c>
      <c r="G2253" t="s">
        <v>1897</v>
      </c>
    </row>
    <row r="2254" spans="1:7" hidden="1" x14ac:dyDescent="0.25">
      <c r="A2254" t="s">
        <v>1967</v>
      </c>
      <c r="B2254" t="s">
        <v>8</v>
      </c>
      <c r="E2254" t="s">
        <v>1977</v>
      </c>
      <c r="F2254" t="s">
        <v>7050</v>
      </c>
      <c r="G2254" t="s">
        <v>1897</v>
      </c>
    </row>
    <row r="2255" spans="1:7" hidden="1" x14ac:dyDescent="0.25">
      <c r="A2255" t="s">
        <v>1967</v>
      </c>
      <c r="B2255" t="s">
        <v>8</v>
      </c>
      <c r="F2255" t="s">
        <v>7077</v>
      </c>
      <c r="G2255" t="s">
        <v>1960</v>
      </c>
    </row>
    <row r="2256" spans="1:7" hidden="1" x14ac:dyDescent="0.25">
      <c r="A2256" t="s">
        <v>1967</v>
      </c>
      <c r="B2256" t="s">
        <v>8</v>
      </c>
      <c r="F2256" t="s">
        <v>7071</v>
      </c>
      <c r="G2256" t="s">
        <v>1960</v>
      </c>
    </row>
    <row r="2257" spans="1:7" hidden="1" x14ac:dyDescent="0.25">
      <c r="A2257" t="s">
        <v>1967</v>
      </c>
      <c r="F2257" t="s">
        <v>7089</v>
      </c>
      <c r="G2257" t="s">
        <v>1074</v>
      </c>
    </row>
    <row r="2258" spans="1:7" hidden="1" x14ac:dyDescent="0.25">
      <c r="A2258" t="s">
        <v>1967</v>
      </c>
      <c r="B2258" t="s">
        <v>8</v>
      </c>
      <c r="F2258" t="s">
        <v>7092</v>
      </c>
      <c r="G2258" t="s">
        <v>1075</v>
      </c>
    </row>
    <row r="2259" spans="1:7" x14ac:dyDescent="0.25">
      <c r="A2259" t="s">
        <v>1967</v>
      </c>
      <c r="B2259" t="s">
        <v>8</v>
      </c>
      <c r="F2259" t="s">
        <v>7095</v>
      </c>
      <c r="G2259" t="s">
        <v>13425</v>
      </c>
    </row>
    <row r="2260" spans="1:7" hidden="1" x14ac:dyDescent="0.25">
      <c r="A2260" t="s">
        <v>1967</v>
      </c>
      <c r="B2260" t="s">
        <v>8</v>
      </c>
      <c r="F2260" t="s">
        <v>7097</v>
      </c>
      <c r="G2260" t="s">
        <v>1076</v>
      </c>
    </row>
    <row r="2261" spans="1:7" hidden="1" x14ac:dyDescent="0.25">
      <c r="A2261" t="s">
        <v>1967</v>
      </c>
      <c r="B2261" t="s">
        <v>8</v>
      </c>
      <c r="F2261" t="s">
        <v>7086</v>
      </c>
      <c r="G2261" t="s">
        <v>1077</v>
      </c>
    </row>
    <row r="2262" spans="1:7" hidden="1" x14ac:dyDescent="0.25">
      <c r="A2262" t="s">
        <v>1967</v>
      </c>
      <c r="B2262" t="s">
        <v>8</v>
      </c>
      <c r="F2262" t="s">
        <v>7100</v>
      </c>
      <c r="G2262" t="s">
        <v>1078</v>
      </c>
    </row>
    <row r="2263" spans="1:7" hidden="1" x14ac:dyDescent="0.25">
      <c r="A2263" t="s">
        <v>1967</v>
      </c>
      <c r="B2263" t="s">
        <v>8</v>
      </c>
      <c r="F2263" t="s">
        <v>7127</v>
      </c>
      <c r="G2263" t="s">
        <v>1079</v>
      </c>
    </row>
    <row r="2264" spans="1:7" hidden="1" x14ac:dyDescent="0.25">
      <c r="A2264" t="s">
        <v>1967</v>
      </c>
      <c r="B2264" t="s">
        <v>9</v>
      </c>
      <c r="F2264" t="s">
        <v>7103</v>
      </c>
      <c r="G2264" t="s">
        <v>768</v>
      </c>
    </row>
    <row r="2265" spans="1:7" hidden="1" x14ac:dyDescent="0.25">
      <c r="A2265" t="s">
        <v>4</v>
      </c>
      <c r="B2265" t="s">
        <v>9</v>
      </c>
      <c r="F2265" t="s">
        <v>7106</v>
      </c>
      <c r="G2265" t="s">
        <v>1072</v>
      </c>
    </row>
    <row r="2266" spans="1:7" hidden="1" x14ac:dyDescent="0.25">
      <c r="A2266" t="s">
        <v>4</v>
      </c>
      <c r="B2266" t="s">
        <v>7130</v>
      </c>
      <c r="F2266" t="s">
        <v>7109</v>
      </c>
      <c r="G2266" t="s">
        <v>1072</v>
      </c>
    </row>
    <row r="2267" spans="1:7" hidden="1" x14ac:dyDescent="0.25">
      <c r="A2267" t="s">
        <v>4</v>
      </c>
      <c r="B2267" t="s">
        <v>7130</v>
      </c>
      <c r="E2267" t="s">
        <v>2891</v>
      </c>
      <c r="F2267" t="s">
        <v>7112</v>
      </c>
      <c r="G2267" t="s">
        <v>1072</v>
      </c>
    </row>
    <row r="2268" spans="1:7" hidden="1" x14ac:dyDescent="0.25">
      <c r="A2268" t="s">
        <v>1967</v>
      </c>
      <c r="B2268" t="s">
        <v>8</v>
      </c>
      <c r="F2268" t="s">
        <v>7115</v>
      </c>
      <c r="G2268" s="1" t="s">
        <v>1566</v>
      </c>
    </row>
    <row r="2269" spans="1:7" hidden="1" x14ac:dyDescent="0.25">
      <c r="A2269" t="s">
        <v>1967</v>
      </c>
      <c r="B2269" t="s">
        <v>8</v>
      </c>
      <c r="F2269" t="s">
        <v>7118</v>
      </c>
      <c r="G2269" t="s">
        <v>1780</v>
      </c>
    </row>
    <row r="2270" spans="1:7" hidden="1" x14ac:dyDescent="0.25">
      <c r="A2270" t="s">
        <v>1967</v>
      </c>
      <c r="B2270" t="s">
        <v>8</v>
      </c>
      <c r="F2270" t="s">
        <v>7121</v>
      </c>
      <c r="G2270" t="s">
        <v>1897</v>
      </c>
    </row>
    <row r="2271" spans="1:7" hidden="1" x14ac:dyDescent="0.25">
      <c r="A2271" t="s">
        <v>1967</v>
      </c>
      <c r="B2271" t="s">
        <v>8</v>
      </c>
      <c r="F2271" t="s">
        <v>7124</v>
      </c>
      <c r="G2271" t="s">
        <v>1960</v>
      </c>
    </row>
    <row r="2272" spans="1:7" hidden="1" x14ac:dyDescent="0.25">
      <c r="A2272" t="s">
        <v>64</v>
      </c>
      <c r="B2272" t="s">
        <v>4134</v>
      </c>
      <c r="C2272" t="s">
        <v>5010</v>
      </c>
      <c r="F2272" t="s">
        <v>7155</v>
      </c>
      <c r="G2272" t="s">
        <v>1074</v>
      </c>
    </row>
    <row r="2273" spans="1:7" hidden="1" x14ac:dyDescent="0.25">
      <c r="A2273" t="s">
        <v>85</v>
      </c>
      <c r="B2273" t="s">
        <v>4134</v>
      </c>
      <c r="C2273" t="s">
        <v>5010</v>
      </c>
      <c r="F2273" t="s">
        <v>7158</v>
      </c>
      <c r="G2273" t="s">
        <v>1074</v>
      </c>
    </row>
    <row r="2274" spans="1:7" hidden="1" x14ac:dyDescent="0.25">
      <c r="A2274" t="s">
        <v>91</v>
      </c>
      <c r="B2274" t="s">
        <v>7320</v>
      </c>
      <c r="C2274" t="s">
        <v>60</v>
      </c>
      <c r="F2274" t="s">
        <v>7161</v>
      </c>
      <c r="G2274" t="s">
        <v>1074</v>
      </c>
    </row>
    <row r="2275" spans="1:7" hidden="1" x14ac:dyDescent="0.25">
      <c r="A2275" t="s">
        <v>62</v>
      </c>
      <c r="B2275" t="s">
        <v>7320</v>
      </c>
      <c r="C2275" t="s">
        <v>51</v>
      </c>
      <c r="F2275" t="s">
        <v>7164</v>
      </c>
      <c r="G2275" t="s">
        <v>1074</v>
      </c>
    </row>
    <row r="2276" spans="1:7" hidden="1" x14ac:dyDescent="0.25">
      <c r="A2276" t="s">
        <v>1569</v>
      </c>
      <c r="B2276" t="s">
        <v>4134</v>
      </c>
      <c r="C2276" t="s">
        <v>5010</v>
      </c>
      <c r="F2276" t="s">
        <v>7131</v>
      </c>
      <c r="G2276" t="s">
        <v>1075</v>
      </c>
    </row>
    <row r="2277" spans="1:7" hidden="1" x14ac:dyDescent="0.25">
      <c r="A2277" t="s">
        <v>622</v>
      </c>
      <c r="B2277" t="s">
        <v>4134</v>
      </c>
      <c r="C2277" t="s">
        <v>5010</v>
      </c>
      <c r="F2277" t="s">
        <v>7134</v>
      </c>
      <c r="G2277" t="s">
        <v>1075</v>
      </c>
    </row>
    <row r="2278" spans="1:7" hidden="1" x14ac:dyDescent="0.25">
      <c r="A2278" t="s">
        <v>1967</v>
      </c>
      <c r="B2278" t="s">
        <v>8</v>
      </c>
      <c r="F2278" t="s">
        <v>7137</v>
      </c>
      <c r="G2278" t="s">
        <v>1075</v>
      </c>
    </row>
    <row r="2279" spans="1:7" x14ac:dyDescent="0.25">
      <c r="A2279" t="s">
        <v>1967</v>
      </c>
      <c r="B2279" t="s">
        <v>8</v>
      </c>
      <c r="F2279" t="s">
        <v>7173</v>
      </c>
      <c r="G2279" t="s">
        <v>13425</v>
      </c>
    </row>
    <row r="2280" spans="1:7" x14ac:dyDescent="0.25">
      <c r="A2280" t="s">
        <v>4</v>
      </c>
      <c r="B2280" t="s">
        <v>8</v>
      </c>
      <c r="F2280" t="s">
        <v>7175</v>
      </c>
      <c r="G2280" t="s">
        <v>13425</v>
      </c>
    </row>
    <row r="2281" spans="1:7" x14ac:dyDescent="0.25">
      <c r="A2281" t="s">
        <v>4</v>
      </c>
      <c r="B2281" t="s">
        <v>7320</v>
      </c>
      <c r="C2281" t="s">
        <v>51</v>
      </c>
      <c r="F2281" t="s">
        <v>7177</v>
      </c>
      <c r="G2281" t="s">
        <v>13425</v>
      </c>
    </row>
    <row r="2282" spans="1:7" hidden="1" x14ac:dyDescent="0.25">
      <c r="A2282" t="s">
        <v>1967</v>
      </c>
      <c r="B2282" t="s">
        <v>8</v>
      </c>
      <c r="F2282" t="s">
        <v>7140</v>
      </c>
      <c r="G2282" t="s">
        <v>1076</v>
      </c>
    </row>
    <row r="2283" spans="1:7" hidden="1" x14ac:dyDescent="0.25">
      <c r="A2283" t="s">
        <v>1569</v>
      </c>
      <c r="B2283" t="s">
        <v>7320</v>
      </c>
      <c r="C2283" t="s">
        <v>60</v>
      </c>
      <c r="F2283" t="s">
        <v>7143</v>
      </c>
      <c r="G2283" t="s">
        <v>1076</v>
      </c>
    </row>
    <row r="2284" spans="1:7" hidden="1" x14ac:dyDescent="0.25">
      <c r="A2284" t="s">
        <v>4157</v>
      </c>
      <c r="B2284" t="s">
        <v>7320</v>
      </c>
      <c r="C2284" t="s">
        <v>60</v>
      </c>
      <c r="F2284" t="s">
        <v>7146</v>
      </c>
      <c r="G2284" t="s">
        <v>1076</v>
      </c>
    </row>
    <row r="2285" spans="1:7" hidden="1" x14ac:dyDescent="0.25">
      <c r="A2285" t="s">
        <v>262</v>
      </c>
      <c r="B2285" t="s">
        <v>7320</v>
      </c>
      <c r="C2285" t="s">
        <v>60</v>
      </c>
      <c r="F2285" t="s">
        <v>7149</v>
      </c>
      <c r="G2285" t="s">
        <v>1076</v>
      </c>
    </row>
    <row r="2286" spans="1:7" hidden="1" x14ac:dyDescent="0.25">
      <c r="A2286" t="s">
        <v>622</v>
      </c>
      <c r="B2286" t="s">
        <v>7320</v>
      </c>
      <c r="C2286" t="s">
        <v>51</v>
      </c>
      <c r="F2286" t="s">
        <v>7152</v>
      </c>
      <c r="G2286" t="s">
        <v>1076</v>
      </c>
    </row>
    <row r="2287" spans="1:7" hidden="1" x14ac:dyDescent="0.25">
      <c r="A2287" t="s">
        <v>12</v>
      </c>
      <c r="B2287" t="s">
        <v>1570</v>
      </c>
      <c r="F2287" t="s">
        <v>7227</v>
      </c>
      <c r="G2287" t="s">
        <v>1077</v>
      </c>
    </row>
    <row r="2288" spans="1:7" hidden="1" x14ac:dyDescent="0.25">
      <c r="A2288" t="s">
        <v>1967</v>
      </c>
      <c r="B2288" t="s">
        <v>8</v>
      </c>
      <c r="F2288" t="s">
        <v>7230</v>
      </c>
      <c r="G2288" t="s">
        <v>1077</v>
      </c>
    </row>
    <row r="2289" spans="1:7" hidden="1" x14ac:dyDescent="0.25">
      <c r="A2289" t="s">
        <v>1967</v>
      </c>
      <c r="B2289" t="s">
        <v>8</v>
      </c>
      <c r="F2289" t="s">
        <v>7233</v>
      </c>
      <c r="G2289" t="s">
        <v>1077</v>
      </c>
    </row>
    <row r="2290" spans="1:7" hidden="1" x14ac:dyDescent="0.25">
      <c r="A2290" t="s">
        <v>4157</v>
      </c>
      <c r="B2290" t="s">
        <v>7320</v>
      </c>
      <c r="C2290" t="s">
        <v>60</v>
      </c>
      <c r="F2290" t="s">
        <v>7236</v>
      </c>
      <c r="G2290" t="s">
        <v>1077</v>
      </c>
    </row>
    <row r="2291" spans="1:7" hidden="1" x14ac:dyDescent="0.25">
      <c r="A2291" t="s">
        <v>4157</v>
      </c>
      <c r="B2291" t="s">
        <v>7320</v>
      </c>
      <c r="C2291" t="s">
        <v>60</v>
      </c>
      <c r="F2291" t="s">
        <v>7239</v>
      </c>
      <c r="G2291" t="s">
        <v>1077</v>
      </c>
    </row>
    <row r="2292" spans="1:7" hidden="1" x14ac:dyDescent="0.25">
      <c r="A2292" t="s">
        <v>262</v>
      </c>
      <c r="B2292" t="s">
        <v>86</v>
      </c>
      <c r="C2292" t="s">
        <v>60</v>
      </c>
      <c r="D2292">
        <v>4</v>
      </c>
      <c r="F2292" t="s">
        <v>7242</v>
      </c>
      <c r="G2292" t="s">
        <v>1077</v>
      </c>
    </row>
    <row r="2293" spans="1:7" hidden="1" x14ac:dyDescent="0.25">
      <c r="A2293" t="s">
        <v>1066</v>
      </c>
      <c r="B2293" t="s">
        <v>86</v>
      </c>
      <c r="C2293" t="s">
        <v>60</v>
      </c>
      <c r="E2293" t="s">
        <v>448</v>
      </c>
      <c r="F2293" t="s">
        <v>7245</v>
      </c>
      <c r="G2293" t="s">
        <v>1077</v>
      </c>
    </row>
    <row r="2294" spans="1:7" hidden="1" x14ac:dyDescent="0.25">
      <c r="A2294" t="s">
        <v>262</v>
      </c>
      <c r="B2294" t="s">
        <v>86</v>
      </c>
      <c r="C2294" t="s">
        <v>60</v>
      </c>
      <c r="D2294">
        <v>1</v>
      </c>
      <c r="F2294" t="s">
        <v>7248</v>
      </c>
      <c r="G2294" t="s">
        <v>1077</v>
      </c>
    </row>
    <row r="2295" spans="1:7" hidden="1" x14ac:dyDescent="0.25">
      <c r="A2295" t="s">
        <v>262</v>
      </c>
      <c r="B2295" t="s">
        <v>86</v>
      </c>
      <c r="C2295" t="s">
        <v>60</v>
      </c>
      <c r="D2295">
        <v>4</v>
      </c>
      <c r="F2295" t="s">
        <v>7251</v>
      </c>
      <c r="G2295" t="s">
        <v>1077</v>
      </c>
    </row>
    <row r="2296" spans="1:7" hidden="1" x14ac:dyDescent="0.25">
      <c r="A2296" t="s">
        <v>262</v>
      </c>
      <c r="B2296" t="s">
        <v>86</v>
      </c>
      <c r="C2296" t="s">
        <v>60</v>
      </c>
      <c r="D2296">
        <v>2</v>
      </c>
      <c r="F2296" t="s">
        <v>7254</v>
      </c>
      <c r="G2296" t="s">
        <v>1077</v>
      </c>
    </row>
    <row r="2297" spans="1:7" hidden="1" x14ac:dyDescent="0.25">
      <c r="A2297" t="s">
        <v>262</v>
      </c>
      <c r="B2297" t="s">
        <v>86</v>
      </c>
      <c r="C2297" t="s">
        <v>60</v>
      </c>
      <c r="D2297">
        <v>3</v>
      </c>
      <c r="F2297" t="s">
        <v>7257</v>
      </c>
      <c r="G2297" t="s">
        <v>1077</v>
      </c>
    </row>
    <row r="2298" spans="1:7" hidden="1" x14ac:dyDescent="0.25">
      <c r="A2298" t="s">
        <v>262</v>
      </c>
      <c r="B2298" t="s">
        <v>86</v>
      </c>
      <c r="C2298" t="s">
        <v>60</v>
      </c>
      <c r="D2298">
        <v>3</v>
      </c>
      <c r="F2298" t="s">
        <v>7260</v>
      </c>
      <c r="G2298" t="s">
        <v>1077</v>
      </c>
    </row>
    <row r="2299" spans="1:7" hidden="1" x14ac:dyDescent="0.25">
      <c r="A2299" t="s">
        <v>262</v>
      </c>
      <c r="B2299" t="s">
        <v>86</v>
      </c>
      <c r="C2299" t="s">
        <v>60</v>
      </c>
      <c r="D2299">
        <v>2</v>
      </c>
      <c r="F2299" t="s">
        <v>7263</v>
      </c>
      <c r="G2299" t="s">
        <v>1077</v>
      </c>
    </row>
    <row r="2300" spans="1:7" hidden="1" x14ac:dyDescent="0.25">
      <c r="A2300" t="s">
        <v>262</v>
      </c>
      <c r="B2300" t="s">
        <v>86</v>
      </c>
      <c r="C2300" t="s">
        <v>60</v>
      </c>
      <c r="D2300">
        <v>2</v>
      </c>
      <c r="F2300" t="s">
        <v>7266</v>
      </c>
      <c r="G2300" t="s">
        <v>1077</v>
      </c>
    </row>
    <row r="2301" spans="1:7" hidden="1" x14ac:dyDescent="0.25">
      <c r="A2301" t="s">
        <v>262</v>
      </c>
      <c r="B2301" t="s">
        <v>86</v>
      </c>
      <c r="C2301" t="s">
        <v>60</v>
      </c>
      <c r="D2301">
        <v>2</v>
      </c>
      <c r="F2301" t="s">
        <v>7269</v>
      </c>
      <c r="G2301" t="s">
        <v>1077</v>
      </c>
    </row>
    <row r="2302" spans="1:7" hidden="1" x14ac:dyDescent="0.25">
      <c r="A2302" t="s">
        <v>262</v>
      </c>
      <c r="B2302" t="s">
        <v>86</v>
      </c>
      <c r="C2302" t="s">
        <v>60</v>
      </c>
      <c r="D2302">
        <v>1</v>
      </c>
      <c r="F2302" t="s">
        <v>7272</v>
      </c>
      <c r="G2302" t="s">
        <v>1077</v>
      </c>
    </row>
    <row r="2303" spans="1:7" hidden="1" x14ac:dyDescent="0.25">
      <c r="A2303" t="s">
        <v>262</v>
      </c>
      <c r="B2303" t="s">
        <v>86</v>
      </c>
      <c r="C2303" t="s">
        <v>60</v>
      </c>
      <c r="D2303">
        <v>2</v>
      </c>
      <c r="F2303" t="s">
        <v>7275</v>
      </c>
      <c r="G2303" t="s">
        <v>1077</v>
      </c>
    </row>
    <row r="2304" spans="1:7" hidden="1" x14ac:dyDescent="0.25">
      <c r="A2304" t="s">
        <v>262</v>
      </c>
      <c r="B2304" t="s">
        <v>86</v>
      </c>
      <c r="C2304" t="s">
        <v>60</v>
      </c>
      <c r="D2304">
        <v>4</v>
      </c>
      <c r="F2304" t="s">
        <v>7278</v>
      </c>
      <c r="G2304" t="s">
        <v>1077</v>
      </c>
    </row>
    <row r="2305" spans="1:7" hidden="1" x14ac:dyDescent="0.25">
      <c r="A2305" t="s">
        <v>262</v>
      </c>
      <c r="B2305" t="s">
        <v>86</v>
      </c>
      <c r="C2305" t="s">
        <v>60</v>
      </c>
      <c r="D2305">
        <v>2</v>
      </c>
      <c r="F2305" t="s">
        <v>7281</v>
      </c>
      <c r="G2305" t="s">
        <v>1077</v>
      </c>
    </row>
    <row r="2306" spans="1:7" hidden="1" x14ac:dyDescent="0.25">
      <c r="A2306" t="s">
        <v>262</v>
      </c>
      <c r="B2306" t="s">
        <v>86</v>
      </c>
      <c r="C2306" t="s">
        <v>60</v>
      </c>
      <c r="D2306">
        <v>2</v>
      </c>
      <c r="F2306" t="s">
        <v>7284</v>
      </c>
      <c r="G2306" t="s">
        <v>1077</v>
      </c>
    </row>
    <row r="2307" spans="1:7" hidden="1" x14ac:dyDescent="0.25">
      <c r="A2307" t="s">
        <v>262</v>
      </c>
      <c r="B2307" t="s">
        <v>86</v>
      </c>
      <c r="C2307" t="s">
        <v>60</v>
      </c>
      <c r="D2307">
        <v>3</v>
      </c>
      <c r="F2307" t="s">
        <v>7287</v>
      </c>
      <c r="G2307" t="s">
        <v>1077</v>
      </c>
    </row>
    <row r="2308" spans="1:7" hidden="1" x14ac:dyDescent="0.25">
      <c r="A2308" t="s">
        <v>262</v>
      </c>
      <c r="B2308" t="s">
        <v>86</v>
      </c>
      <c r="C2308" t="s">
        <v>60</v>
      </c>
      <c r="D2308">
        <v>3</v>
      </c>
      <c r="F2308" t="s">
        <v>7290</v>
      </c>
      <c r="G2308" t="s">
        <v>1077</v>
      </c>
    </row>
    <row r="2309" spans="1:7" hidden="1" x14ac:dyDescent="0.25">
      <c r="A2309" t="s">
        <v>262</v>
      </c>
      <c r="B2309" t="s">
        <v>86</v>
      </c>
      <c r="C2309" t="s">
        <v>60</v>
      </c>
      <c r="D2309">
        <v>2</v>
      </c>
      <c r="F2309" t="s">
        <v>7293</v>
      </c>
      <c r="G2309" t="s">
        <v>1077</v>
      </c>
    </row>
    <row r="2310" spans="1:7" hidden="1" x14ac:dyDescent="0.25">
      <c r="A2310" t="s">
        <v>262</v>
      </c>
      <c r="B2310" t="s">
        <v>86</v>
      </c>
      <c r="C2310" t="s">
        <v>60</v>
      </c>
      <c r="D2310">
        <v>4</v>
      </c>
      <c r="F2310" t="s">
        <v>7296</v>
      </c>
      <c r="G2310" t="s">
        <v>1077</v>
      </c>
    </row>
    <row r="2311" spans="1:7" hidden="1" x14ac:dyDescent="0.25">
      <c r="A2311" t="s">
        <v>262</v>
      </c>
      <c r="B2311" t="s">
        <v>86</v>
      </c>
      <c r="C2311" t="s">
        <v>60</v>
      </c>
      <c r="D2311">
        <v>3</v>
      </c>
      <c r="F2311" t="s">
        <v>7299</v>
      </c>
      <c r="G2311" t="s">
        <v>1077</v>
      </c>
    </row>
    <row r="2312" spans="1:7" hidden="1" x14ac:dyDescent="0.25">
      <c r="A2312" t="s">
        <v>262</v>
      </c>
      <c r="B2312" t="s">
        <v>86</v>
      </c>
      <c r="C2312" t="s">
        <v>60</v>
      </c>
      <c r="D2312">
        <v>2</v>
      </c>
      <c r="F2312" t="s">
        <v>7302</v>
      </c>
      <c r="G2312" t="s">
        <v>1077</v>
      </c>
    </row>
    <row r="2313" spans="1:7" hidden="1" x14ac:dyDescent="0.25">
      <c r="A2313" t="s">
        <v>1967</v>
      </c>
      <c r="B2313" t="s">
        <v>8</v>
      </c>
      <c r="F2313" t="s">
        <v>7167</v>
      </c>
      <c r="G2313" t="s">
        <v>1078</v>
      </c>
    </row>
    <row r="2314" spans="1:7" hidden="1" x14ac:dyDescent="0.25">
      <c r="A2314" t="s">
        <v>1967</v>
      </c>
      <c r="B2314" t="s">
        <v>8</v>
      </c>
      <c r="F2314" t="s">
        <v>7170</v>
      </c>
      <c r="G2314" t="s">
        <v>1078</v>
      </c>
    </row>
    <row r="2315" spans="1:7" hidden="1" x14ac:dyDescent="0.25">
      <c r="A2315" t="s">
        <v>1967</v>
      </c>
      <c r="B2315" t="s">
        <v>8</v>
      </c>
      <c r="F2315" t="s">
        <v>7321</v>
      </c>
      <c r="G2315" t="s">
        <v>1079</v>
      </c>
    </row>
    <row r="2316" spans="1:7" hidden="1" x14ac:dyDescent="0.25">
      <c r="A2316" t="s">
        <v>1967</v>
      </c>
      <c r="B2316" t="s">
        <v>8</v>
      </c>
      <c r="F2316" t="s">
        <v>7324</v>
      </c>
      <c r="G2316" t="s">
        <v>1079</v>
      </c>
    </row>
    <row r="2317" spans="1:7" hidden="1" x14ac:dyDescent="0.25">
      <c r="A2317" t="s">
        <v>1967</v>
      </c>
      <c r="B2317" t="s">
        <v>9</v>
      </c>
      <c r="F2317" t="s">
        <v>7305</v>
      </c>
      <c r="G2317" t="s">
        <v>768</v>
      </c>
    </row>
    <row r="2318" spans="1:7" hidden="1" x14ac:dyDescent="0.25">
      <c r="A2318" t="s">
        <v>1967</v>
      </c>
      <c r="B2318" t="s">
        <v>9</v>
      </c>
      <c r="F2318" t="s">
        <v>7308</v>
      </c>
      <c r="G2318" t="s">
        <v>768</v>
      </c>
    </row>
    <row r="2319" spans="1:7" hidden="1" x14ac:dyDescent="0.25">
      <c r="A2319" t="s">
        <v>4</v>
      </c>
      <c r="B2319" t="s">
        <v>9</v>
      </c>
      <c r="F2319" t="s">
        <v>7179</v>
      </c>
      <c r="G2319" t="s">
        <v>1072</v>
      </c>
    </row>
    <row r="2320" spans="1:7" hidden="1" x14ac:dyDescent="0.25">
      <c r="A2320" t="s">
        <v>4</v>
      </c>
      <c r="B2320" t="s">
        <v>7130</v>
      </c>
      <c r="F2320" t="s">
        <v>7182</v>
      </c>
      <c r="G2320" t="s">
        <v>1072</v>
      </c>
    </row>
    <row r="2321" spans="1:7" hidden="1" x14ac:dyDescent="0.25">
      <c r="A2321" t="s">
        <v>4</v>
      </c>
      <c r="B2321" t="s">
        <v>9</v>
      </c>
      <c r="F2321" t="s">
        <v>7185</v>
      </c>
      <c r="G2321" t="s">
        <v>1072</v>
      </c>
    </row>
    <row r="2322" spans="1:7" hidden="1" x14ac:dyDescent="0.25">
      <c r="A2322" t="s">
        <v>4</v>
      </c>
      <c r="B2322" t="s">
        <v>9</v>
      </c>
      <c r="E2322" t="s">
        <v>2891</v>
      </c>
      <c r="F2322" t="s">
        <v>7188</v>
      </c>
      <c r="G2322" t="s">
        <v>1072</v>
      </c>
    </row>
    <row r="2323" spans="1:7" hidden="1" x14ac:dyDescent="0.25">
      <c r="A2323" t="s">
        <v>4</v>
      </c>
      <c r="B2323" t="s">
        <v>9</v>
      </c>
      <c r="E2323" t="s">
        <v>2891</v>
      </c>
      <c r="F2323" t="s">
        <v>7191</v>
      </c>
      <c r="G2323" t="s">
        <v>1072</v>
      </c>
    </row>
    <row r="2324" spans="1:7" hidden="1" x14ac:dyDescent="0.25">
      <c r="A2324" t="s">
        <v>4</v>
      </c>
      <c r="B2324" t="s">
        <v>7130</v>
      </c>
      <c r="F2324" t="s">
        <v>7194</v>
      </c>
      <c r="G2324" t="s">
        <v>1072</v>
      </c>
    </row>
    <row r="2325" spans="1:7" hidden="1" x14ac:dyDescent="0.25">
      <c r="A2325" t="s">
        <v>4</v>
      </c>
      <c r="B2325" t="s">
        <v>9</v>
      </c>
      <c r="E2325" t="s">
        <v>2891</v>
      </c>
      <c r="F2325" t="s">
        <v>7197</v>
      </c>
      <c r="G2325" t="s">
        <v>1072</v>
      </c>
    </row>
    <row r="2326" spans="1:7" hidden="1" x14ac:dyDescent="0.25">
      <c r="A2326" t="s">
        <v>4</v>
      </c>
      <c r="B2326" t="s">
        <v>9</v>
      </c>
      <c r="E2326" t="s">
        <v>2891</v>
      </c>
      <c r="F2326" t="s">
        <v>7200</v>
      </c>
      <c r="G2326" t="s">
        <v>1072</v>
      </c>
    </row>
    <row r="2327" spans="1:7" hidden="1" x14ac:dyDescent="0.25">
      <c r="A2327" t="s">
        <v>4</v>
      </c>
      <c r="B2327" t="s">
        <v>9</v>
      </c>
      <c r="E2327" t="s">
        <v>2891</v>
      </c>
      <c r="F2327" t="s">
        <v>7203</v>
      </c>
      <c r="G2327" t="s">
        <v>1072</v>
      </c>
    </row>
    <row r="2328" spans="1:7" hidden="1" x14ac:dyDescent="0.25">
      <c r="A2328" t="s">
        <v>4</v>
      </c>
      <c r="B2328" t="s">
        <v>86</v>
      </c>
      <c r="E2328" t="s">
        <v>7616</v>
      </c>
      <c r="F2328" t="s">
        <v>7206</v>
      </c>
      <c r="G2328" t="s">
        <v>1072</v>
      </c>
    </row>
    <row r="2329" spans="1:7" hidden="1" x14ac:dyDescent="0.25">
      <c r="A2329" t="s">
        <v>1967</v>
      </c>
      <c r="B2329" t="s">
        <v>8</v>
      </c>
      <c r="F2329" t="s">
        <v>7209</v>
      </c>
      <c r="G2329" s="1" t="s">
        <v>1566</v>
      </c>
    </row>
    <row r="2330" spans="1:7" hidden="1" x14ac:dyDescent="0.25">
      <c r="A2330" t="s">
        <v>1967</v>
      </c>
      <c r="B2330" t="s">
        <v>8</v>
      </c>
      <c r="F2330" t="s">
        <v>7212</v>
      </c>
      <c r="G2330" s="1" t="s">
        <v>1566</v>
      </c>
    </row>
    <row r="2331" spans="1:7" hidden="1" x14ac:dyDescent="0.25">
      <c r="A2331" t="s">
        <v>1967</v>
      </c>
      <c r="B2331" t="s">
        <v>8</v>
      </c>
      <c r="F2331" t="s">
        <v>7215</v>
      </c>
      <c r="G2331" t="s">
        <v>1780</v>
      </c>
    </row>
    <row r="2332" spans="1:7" hidden="1" x14ac:dyDescent="0.25">
      <c r="A2332" t="s">
        <v>1967</v>
      </c>
      <c r="B2332" t="s">
        <v>8</v>
      </c>
      <c r="F2332" t="s">
        <v>7218</v>
      </c>
      <c r="G2332" t="s">
        <v>1780</v>
      </c>
    </row>
    <row r="2333" spans="1:7" hidden="1" x14ac:dyDescent="0.25">
      <c r="A2333" t="s">
        <v>1967</v>
      </c>
      <c r="B2333" t="s">
        <v>8</v>
      </c>
      <c r="F2333" t="s">
        <v>7311</v>
      </c>
      <c r="G2333" t="s">
        <v>1897</v>
      </c>
    </row>
    <row r="2334" spans="1:7" hidden="1" x14ac:dyDescent="0.25">
      <c r="A2334" t="s">
        <v>1967</v>
      </c>
      <c r="B2334" t="s">
        <v>8</v>
      </c>
      <c r="F2334" t="s">
        <v>7314</v>
      </c>
      <c r="G2334" t="s">
        <v>1897</v>
      </c>
    </row>
    <row r="2335" spans="1:7" hidden="1" x14ac:dyDescent="0.25">
      <c r="A2335" t="s">
        <v>4</v>
      </c>
      <c r="B2335" t="s">
        <v>7327</v>
      </c>
      <c r="F2335" t="s">
        <v>7317</v>
      </c>
      <c r="G2335" t="s">
        <v>1897</v>
      </c>
    </row>
    <row r="2336" spans="1:7" hidden="1" x14ac:dyDescent="0.25">
      <c r="A2336" t="s">
        <v>1967</v>
      </c>
      <c r="B2336" t="s">
        <v>8</v>
      </c>
      <c r="F2336" t="s">
        <v>7221</v>
      </c>
      <c r="G2336" t="s">
        <v>1960</v>
      </c>
    </row>
    <row r="2337" spans="1:7" hidden="1" x14ac:dyDescent="0.25">
      <c r="A2337" t="s">
        <v>1967</v>
      </c>
      <c r="B2337" t="s">
        <v>8</v>
      </c>
      <c r="F2337" t="s">
        <v>7224</v>
      </c>
      <c r="G2337" t="s">
        <v>1960</v>
      </c>
    </row>
    <row r="2338" spans="1:7" hidden="1" x14ac:dyDescent="0.25">
      <c r="A2338" t="s">
        <v>1967</v>
      </c>
      <c r="F2338" t="s">
        <v>7328</v>
      </c>
      <c r="G2338" t="s">
        <v>1074</v>
      </c>
    </row>
    <row r="2339" spans="1:7" hidden="1" x14ac:dyDescent="0.25">
      <c r="A2339" t="s">
        <v>91</v>
      </c>
      <c r="B2339" t="s">
        <v>7612</v>
      </c>
      <c r="C2339" t="s">
        <v>60</v>
      </c>
      <c r="F2339" t="s">
        <v>7331</v>
      </c>
      <c r="G2339" t="s">
        <v>1074</v>
      </c>
    </row>
    <row r="2340" spans="1:7" hidden="1" x14ac:dyDescent="0.25">
      <c r="A2340" t="s">
        <v>62</v>
      </c>
      <c r="B2340" t="s">
        <v>7612</v>
      </c>
      <c r="C2340" t="s">
        <v>51</v>
      </c>
      <c r="F2340" t="s">
        <v>7334</v>
      </c>
      <c r="G2340" t="s">
        <v>1074</v>
      </c>
    </row>
    <row r="2341" spans="1:7" hidden="1" x14ac:dyDescent="0.25">
      <c r="A2341" t="s">
        <v>91</v>
      </c>
      <c r="B2341" t="s">
        <v>70</v>
      </c>
      <c r="C2341" t="s">
        <v>51</v>
      </c>
      <c r="F2341" t="s">
        <v>7337</v>
      </c>
      <c r="G2341" t="s">
        <v>1074</v>
      </c>
    </row>
    <row r="2342" spans="1:7" hidden="1" x14ac:dyDescent="0.25">
      <c r="A2342" t="s">
        <v>91</v>
      </c>
      <c r="B2342" t="s">
        <v>4134</v>
      </c>
      <c r="C2342" t="s">
        <v>51</v>
      </c>
      <c r="F2342" t="s">
        <v>7340</v>
      </c>
      <c r="G2342" t="s">
        <v>1074</v>
      </c>
    </row>
    <row r="2343" spans="1:7" hidden="1" x14ac:dyDescent="0.25">
      <c r="A2343" t="s">
        <v>62</v>
      </c>
      <c r="B2343" t="s">
        <v>70</v>
      </c>
      <c r="C2343" t="s">
        <v>58</v>
      </c>
      <c r="F2343" t="s">
        <v>7343</v>
      </c>
      <c r="G2343" t="s">
        <v>1074</v>
      </c>
    </row>
    <row r="2344" spans="1:7" hidden="1" x14ac:dyDescent="0.25">
      <c r="A2344" t="s">
        <v>62</v>
      </c>
      <c r="B2344" t="s">
        <v>4134</v>
      </c>
      <c r="C2344" t="s">
        <v>4181</v>
      </c>
      <c r="F2344" t="s">
        <v>7346</v>
      </c>
      <c r="G2344" t="s">
        <v>1074</v>
      </c>
    </row>
    <row r="2345" spans="1:7" hidden="1" x14ac:dyDescent="0.25">
      <c r="A2345" t="s">
        <v>1967</v>
      </c>
      <c r="B2345" t="s">
        <v>8</v>
      </c>
      <c r="F2345" t="s">
        <v>7349</v>
      </c>
      <c r="G2345" t="s">
        <v>1075</v>
      </c>
    </row>
    <row r="2346" spans="1:7" hidden="1" x14ac:dyDescent="0.25">
      <c r="A2346" t="s">
        <v>1967</v>
      </c>
      <c r="B2346" t="s">
        <v>8</v>
      </c>
      <c r="F2346" t="s">
        <v>7352</v>
      </c>
      <c r="G2346" t="s">
        <v>1075</v>
      </c>
    </row>
    <row r="2347" spans="1:7" x14ac:dyDescent="0.25">
      <c r="A2347" t="s">
        <v>1967</v>
      </c>
      <c r="B2347" t="s">
        <v>8</v>
      </c>
      <c r="F2347" t="s">
        <v>7388</v>
      </c>
      <c r="G2347" t="s">
        <v>13425</v>
      </c>
    </row>
    <row r="2348" spans="1:7" x14ac:dyDescent="0.25">
      <c r="A2348" t="s">
        <v>4</v>
      </c>
      <c r="B2348" t="s">
        <v>7612</v>
      </c>
      <c r="C2348" t="s">
        <v>60</v>
      </c>
      <c r="F2348" t="s">
        <v>7390</v>
      </c>
      <c r="G2348" t="s">
        <v>13425</v>
      </c>
    </row>
    <row r="2349" spans="1:7" x14ac:dyDescent="0.25">
      <c r="A2349" t="s">
        <v>4</v>
      </c>
      <c r="B2349" t="s">
        <v>7612</v>
      </c>
      <c r="C2349" t="s">
        <v>51</v>
      </c>
      <c r="F2349" t="s">
        <v>7392</v>
      </c>
      <c r="G2349" t="s">
        <v>13425</v>
      </c>
    </row>
    <row r="2350" spans="1:7" x14ac:dyDescent="0.25">
      <c r="A2350" t="s">
        <v>1967</v>
      </c>
      <c r="B2350" t="s">
        <v>8</v>
      </c>
      <c r="F2350" t="s">
        <v>7394</v>
      </c>
      <c r="G2350" t="s">
        <v>13425</v>
      </c>
    </row>
    <row r="2351" spans="1:7" hidden="1" x14ac:dyDescent="0.25">
      <c r="A2351" t="s">
        <v>1967</v>
      </c>
      <c r="B2351" t="s">
        <v>8</v>
      </c>
      <c r="F2351" t="s">
        <v>7474</v>
      </c>
      <c r="G2351" t="s">
        <v>1076</v>
      </c>
    </row>
    <row r="2352" spans="1:7" hidden="1" x14ac:dyDescent="0.25">
      <c r="A2352" t="s">
        <v>1569</v>
      </c>
      <c r="B2352" t="s">
        <v>7612</v>
      </c>
      <c r="C2352" t="s">
        <v>60</v>
      </c>
      <c r="F2352" t="s">
        <v>7477</v>
      </c>
      <c r="G2352" t="s">
        <v>1076</v>
      </c>
    </row>
    <row r="2353" spans="1:7" hidden="1" x14ac:dyDescent="0.25">
      <c r="A2353" t="s">
        <v>6092</v>
      </c>
      <c r="B2353" t="s">
        <v>7612</v>
      </c>
      <c r="C2353" t="s">
        <v>60</v>
      </c>
      <c r="F2353" t="s">
        <v>7480</v>
      </c>
      <c r="G2353" t="s">
        <v>1076</v>
      </c>
    </row>
    <row r="2354" spans="1:7" hidden="1" x14ac:dyDescent="0.25">
      <c r="A2354" t="s">
        <v>622</v>
      </c>
      <c r="B2354" t="s">
        <v>7612</v>
      </c>
      <c r="C2354" t="s">
        <v>51</v>
      </c>
      <c r="F2354" t="s">
        <v>7483</v>
      </c>
      <c r="G2354" t="s">
        <v>1076</v>
      </c>
    </row>
    <row r="2355" spans="1:7" hidden="1" x14ac:dyDescent="0.25">
      <c r="A2355" t="s">
        <v>1967</v>
      </c>
      <c r="B2355" t="s">
        <v>8</v>
      </c>
      <c r="F2355" t="s">
        <v>7486</v>
      </c>
      <c r="G2355" t="s">
        <v>1076</v>
      </c>
    </row>
    <row r="2356" spans="1:7" hidden="1" x14ac:dyDescent="0.25">
      <c r="A2356" t="s">
        <v>1578</v>
      </c>
      <c r="B2356" t="s">
        <v>86</v>
      </c>
      <c r="C2356" t="s">
        <v>60</v>
      </c>
      <c r="E2356" t="s">
        <v>7613</v>
      </c>
      <c r="F2356" t="s">
        <v>7501</v>
      </c>
      <c r="G2356" t="s">
        <v>1077</v>
      </c>
    </row>
    <row r="2357" spans="1:7" hidden="1" x14ac:dyDescent="0.25">
      <c r="A2357" t="s">
        <v>1578</v>
      </c>
      <c r="B2357" t="s">
        <v>86</v>
      </c>
      <c r="C2357" t="s">
        <v>60</v>
      </c>
      <c r="E2357" t="s">
        <v>7614</v>
      </c>
      <c r="F2357" t="s">
        <v>7504</v>
      </c>
      <c r="G2357" t="s">
        <v>1077</v>
      </c>
    </row>
    <row r="2358" spans="1:7" hidden="1" x14ac:dyDescent="0.25">
      <c r="A2358" t="s">
        <v>4</v>
      </c>
      <c r="B2358" t="s">
        <v>7612</v>
      </c>
      <c r="C2358" t="s">
        <v>60</v>
      </c>
      <c r="F2358" t="s">
        <v>7507</v>
      </c>
      <c r="G2358" t="s">
        <v>1077</v>
      </c>
    </row>
    <row r="2359" spans="1:7" hidden="1" x14ac:dyDescent="0.25">
      <c r="A2359" t="s">
        <v>262</v>
      </c>
      <c r="B2359" t="s">
        <v>86</v>
      </c>
      <c r="C2359" t="s">
        <v>60</v>
      </c>
      <c r="D2359">
        <v>3</v>
      </c>
      <c r="F2359" t="s">
        <v>7510</v>
      </c>
      <c r="G2359" t="s">
        <v>1077</v>
      </c>
    </row>
    <row r="2360" spans="1:7" hidden="1" x14ac:dyDescent="0.25">
      <c r="A2360" t="s">
        <v>262</v>
      </c>
      <c r="B2360" t="s">
        <v>86</v>
      </c>
      <c r="C2360" t="s">
        <v>60</v>
      </c>
      <c r="D2360">
        <v>2</v>
      </c>
      <c r="F2360" t="s">
        <v>7513</v>
      </c>
      <c r="G2360" t="s">
        <v>1077</v>
      </c>
    </row>
    <row r="2361" spans="1:7" hidden="1" x14ac:dyDescent="0.25">
      <c r="A2361" t="s">
        <v>262</v>
      </c>
      <c r="B2361" t="s">
        <v>86</v>
      </c>
      <c r="C2361" t="s">
        <v>60</v>
      </c>
      <c r="D2361">
        <v>2</v>
      </c>
      <c r="F2361" t="s">
        <v>7516</v>
      </c>
      <c r="G2361" t="s">
        <v>1077</v>
      </c>
    </row>
    <row r="2362" spans="1:7" hidden="1" x14ac:dyDescent="0.25">
      <c r="A2362" t="s">
        <v>262</v>
      </c>
      <c r="B2362" t="s">
        <v>86</v>
      </c>
      <c r="C2362" t="s">
        <v>60</v>
      </c>
      <c r="D2362">
        <v>3</v>
      </c>
      <c r="F2362" t="s">
        <v>7519</v>
      </c>
      <c r="G2362" t="s">
        <v>1077</v>
      </c>
    </row>
    <row r="2363" spans="1:7" hidden="1" x14ac:dyDescent="0.25">
      <c r="A2363" t="s">
        <v>262</v>
      </c>
      <c r="B2363" t="s">
        <v>86</v>
      </c>
      <c r="C2363" t="s">
        <v>60</v>
      </c>
      <c r="D2363">
        <v>4</v>
      </c>
      <c r="F2363" t="s">
        <v>7522</v>
      </c>
      <c r="G2363" t="s">
        <v>1077</v>
      </c>
    </row>
    <row r="2364" spans="1:7" hidden="1" x14ac:dyDescent="0.25">
      <c r="A2364" t="s">
        <v>262</v>
      </c>
      <c r="B2364" t="s">
        <v>86</v>
      </c>
      <c r="C2364" t="s">
        <v>60</v>
      </c>
      <c r="D2364">
        <v>3</v>
      </c>
      <c r="F2364" t="s">
        <v>7525</v>
      </c>
      <c r="G2364" t="s">
        <v>1077</v>
      </c>
    </row>
    <row r="2365" spans="1:7" hidden="1" x14ac:dyDescent="0.25">
      <c r="A2365" t="s">
        <v>262</v>
      </c>
      <c r="B2365" t="s">
        <v>86</v>
      </c>
      <c r="C2365" t="s">
        <v>60</v>
      </c>
      <c r="D2365">
        <v>3</v>
      </c>
      <c r="F2365" t="s">
        <v>7528</v>
      </c>
      <c r="G2365" t="s">
        <v>1077</v>
      </c>
    </row>
    <row r="2366" spans="1:7" hidden="1" x14ac:dyDescent="0.25">
      <c r="A2366" t="s">
        <v>262</v>
      </c>
      <c r="B2366" t="s">
        <v>86</v>
      </c>
      <c r="C2366" t="s">
        <v>60</v>
      </c>
      <c r="D2366">
        <v>2</v>
      </c>
      <c r="F2366" t="s">
        <v>7531</v>
      </c>
      <c r="G2366" t="s">
        <v>1077</v>
      </c>
    </row>
    <row r="2367" spans="1:7" hidden="1" x14ac:dyDescent="0.25">
      <c r="A2367" t="s">
        <v>262</v>
      </c>
      <c r="B2367" t="s">
        <v>86</v>
      </c>
      <c r="C2367" t="s">
        <v>60</v>
      </c>
      <c r="D2367">
        <v>2</v>
      </c>
      <c r="F2367" t="s">
        <v>7534</v>
      </c>
      <c r="G2367" t="s">
        <v>1077</v>
      </c>
    </row>
    <row r="2368" spans="1:7" hidden="1" x14ac:dyDescent="0.25">
      <c r="A2368" t="s">
        <v>262</v>
      </c>
      <c r="B2368" t="s">
        <v>86</v>
      </c>
      <c r="C2368" t="s">
        <v>60</v>
      </c>
      <c r="D2368">
        <v>3</v>
      </c>
      <c r="F2368" t="s">
        <v>7537</v>
      </c>
      <c r="G2368" t="s">
        <v>1077</v>
      </c>
    </row>
    <row r="2369" spans="1:7" hidden="1" x14ac:dyDescent="0.25">
      <c r="A2369" t="s">
        <v>262</v>
      </c>
      <c r="B2369" t="s">
        <v>86</v>
      </c>
      <c r="C2369" t="s">
        <v>60</v>
      </c>
      <c r="D2369">
        <v>3</v>
      </c>
      <c r="F2369" t="s">
        <v>7540</v>
      </c>
      <c r="G2369" t="s">
        <v>1077</v>
      </c>
    </row>
    <row r="2370" spans="1:7" hidden="1" x14ac:dyDescent="0.25">
      <c r="A2370" t="s">
        <v>262</v>
      </c>
      <c r="B2370" t="s">
        <v>86</v>
      </c>
      <c r="C2370" t="s">
        <v>60</v>
      </c>
      <c r="D2370">
        <v>2</v>
      </c>
      <c r="F2370" t="s">
        <v>7543</v>
      </c>
      <c r="G2370" t="s">
        <v>1077</v>
      </c>
    </row>
    <row r="2371" spans="1:7" hidden="1" x14ac:dyDescent="0.25">
      <c r="A2371" t="s">
        <v>262</v>
      </c>
      <c r="B2371" t="s">
        <v>86</v>
      </c>
      <c r="C2371" t="s">
        <v>60</v>
      </c>
      <c r="D2371">
        <v>1</v>
      </c>
      <c r="F2371" t="s">
        <v>7546</v>
      </c>
      <c r="G2371" t="s">
        <v>1077</v>
      </c>
    </row>
    <row r="2372" spans="1:7" hidden="1" x14ac:dyDescent="0.25">
      <c r="A2372" t="s">
        <v>262</v>
      </c>
      <c r="B2372" t="s">
        <v>86</v>
      </c>
      <c r="C2372" t="s">
        <v>60</v>
      </c>
      <c r="D2372">
        <v>4</v>
      </c>
      <c r="F2372" t="s">
        <v>7549</v>
      </c>
      <c r="G2372" t="s">
        <v>1077</v>
      </c>
    </row>
    <row r="2373" spans="1:7" hidden="1" x14ac:dyDescent="0.25">
      <c r="A2373" t="s">
        <v>262</v>
      </c>
      <c r="B2373" t="s">
        <v>86</v>
      </c>
      <c r="C2373" t="s">
        <v>60</v>
      </c>
      <c r="D2373">
        <v>3</v>
      </c>
      <c r="F2373" t="s">
        <v>7552</v>
      </c>
      <c r="G2373" t="s">
        <v>1077</v>
      </c>
    </row>
    <row r="2374" spans="1:7" hidden="1" x14ac:dyDescent="0.25">
      <c r="A2374" t="s">
        <v>262</v>
      </c>
      <c r="B2374" t="s">
        <v>86</v>
      </c>
      <c r="C2374" t="s">
        <v>60</v>
      </c>
      <c r="D2374">
        <v>3</v>
      </c>
      <c r="F2374" t="s">
        <v>7555</v>
      </c>
      <c r="G2374" t="s">
        <v>1077</v>
      </c>
    </row>
    <row r="2375" spans="1:7" hidden="1" x14ac:dyDescent="0.25">
      <c r="A2375" t="s">
        <v>262</v>
      </c>
      <c r="B2375" t="s">
        <v>86</v>
      </c>
      <c r="C2375" t="s">
        <v>60</v>
      </c>
      <c r="D2375">
        <v>3</v>
      </c>
      <c r="F2375" t="s">
        <v>7558</v>
      </c>
      <c r="G2375" t="s">
        <v>1077</v>
      </c>
    </row>
    <row r="2376" spans="1:7" hidden="1" x14ac:dyDescent="0.25">
      <c r="A2376" t="s">
        <v>262</v>
      </c>
      <c r="B2376" t="s">
        <v>86</v>
      </c>
      <c r="C2376" t="s">
        <v>60</v>
      </c>
      <c r="D2376">
        <v>2</v>
      </c>
      <c r="F2376" t="s">
        <v>7561</v>
      </c>
      <c r="G2376" t="s">
        <v>1077</v>
      </c>
    </row>
    <row r="2377" spans="1:7" hidden="1" x14ac:dyDescent="0.25">
      <c r="A2377" t="s">
        <v>262</v>
      </c>
      <c r="B2377" t="s">
        <v>86</v>
      </c>
      <c r="C2377" t="s">
        <v>60</v>
      </c>
      <c r="D2377">
        <v>3</v>
      </c>
      <c r="F2377" t="s">
        <v>7564</v>
      </c>
      <c r="G2377" t="s">
        <v>1077</v>
      </c>
    </row>
    <row r="2378" spans="1:7" hidden="1" x14ac:dyDescent="0.25">
      <c r="A2378" t="s">
        <v>262</v>
      </c>
      <c r="B2378" t="s">
        <v>86</v>
      </c>
      <c r="C2378" t="s">
        <v>60</v>
      </c>
      <c r="D2378">
        <v>3</v>
      </c>
      <c r="F2378" t="s">
        <v>7567</v>
      </c>
      <c r="G2378" t="s">
        <v>1077</v>
      </c>
    </row>
    <row r="2379" spans="1:7" hidden="1" x14ac:dyDescent="0.25">
      <c r="A2379" t="s">
        <v>262</v>
      </c>
      <c r="B2379" t="s">
        <v>86</v>
      </c>
      <c r="C2379" t="s">
        <v>60</v>
      </c>
      <c r="D2379">
        <v>3</v>
      </c>
      <c r="F2379" t="s">
        <v>7570</v>
      </c>
      <c r="G2379" t="s">
        <v>1077</v>
      </c>
    </row>
    <row r="2380" spans="1:7" hidden="1" x14ac:dyDescent="0.25">
      <c r="A2380" t="s">
        <v>262</v>
      </c>
      <c r="B2380" t="s">
        <v>86</v>
      </c>
      <c r="C2380" t="s">
        <v>60</v>
      </c>
      <c r="D2380">
        <v>4</v>
      </c>
      <c r="F2380" t="s">
        <v>7573</v>
      </c>
      <c r="G2380" t="s">
        <v>1077</v>
      </c>
    </row>
    <row r="2381" spans="1:7" hidden="1" x14ac:dyDescent="0.25">
      <c r="A2381" t="s">
        <v>262</v>
      </c>
      <c r="B2381" t="s">
        <v>86</v>
      </c>
      <c r="C2381" t="s">
        <v>60</v>
      </c>
      <c r="D2381">
        <v>2</v>
      </c>
      <c r="F2381" t="s">
        <v>7576</v>
      </c>
      <c r="G2381" t="s">
        <v>1077</v>
      </c>
    </row>
    <row r="2382" spans="1:7" hidden="1" x14ac:dyDescent="0.25">
      <c r="A2382" t="s">
        <v>4</v>
      </c>
      <c r="B2382" t="s">
        <v>4134</v>
      </c>
      <c r="F2382" t="s">
        <v>7579</v>
      </c>
      <c r="G2382" t="s">
        <v>1077</v>
      </c>
    </row>
    <row r="2383" spans="1:7" hidden="1" x14ac:dyDescent="0.25">
      <c r="A2383" t="s">
        <v>1967</v>
      </c>
      <c r="B2383" t="s">
        <v>8</v>
      </c>
      <c r="F2383" t="s">
        <v>7582</v>
      </c>
      <c r="G2383" t="s">
        <v>1077</v>
      </c>
    </row>
    <row r="2384" spans="1:7" hidden="1" x14ac:dyDescent="0.25">
      <c r="A2384" t="s">
        <v>1967</v>
      </c>
      <c r="B2384" t="s">
        <v>8</v>
      </c>
      <c r="F2384" t="s">
        <v>7600</v>
      </c>
      <c r="G2384" t="s">
        <v>1078</v>
      </c>
    </row>
    <row r="2385" spans="1:7" hidden="1" x14ac:dyDescent="0.25">
      <c r="A2385" t="s">
        <v>1967</v>
      </c>
      <c r="B2385" t="s">
        <v>8</v>
      </c>
      <c r="F2385" t="s">
        <v>7603</v>
      </c>
      <c r="G2385" t="s">
        <v>1078</v>
      </c>
    </row>
    <row r="2386" spans="1:7" hidden="1" x14ac:dyDescent="0.25">
      <c r="A2386" t="s">
        <v>1967</v>
      </c>
      <c r="B2386" t="s">
        <v>8</v>
      </c>
      <c r="F2386" t="s">
        <v>7606</v>
      </c>
      <c r="G2386" t="s">
        <v>1079</v>
      </c>
    </row>
    <row r="2387" spans="1:7" hidden="1" x14ac:dyDescent="0.25">
      <c r="A2387" t="s">
        <v>1967</v>
      </c>
      <c r="B2387" t="s">
        <v>8</v>
      </c>
      <c r="F2387" t="s">
        <v>7609</v>
      </c>
      <c r="G2387" t="s">
        <v>1079</v>
      </c>
    </row>
    <row r="2388" spans="1:7" hidden="1" x14ac:dyDescent="0.25">
      <c r="A2388" t="s">
        <v>1967</v>
      </c>
      <c r="B2388" t="s">
        <v>9</v>
      </c>
      <c r="F2388" t="s">
        <v>7355</v>
      </c>
      <c r="G2388" t="s">
        <v>768</v>
      </c>
    </row>
    <row r="2389" spans="1:7" hidden="1" x14ac:dyDescent="0.25">
      <c r="A2389" t="s">
        <v>1967</v>
      </c>
      <c r="B2389" t="s">
        <v>9</v>
      </c>
      <c r="F2389" t="s">
        <v>7358</v>
      </c>
      <c r="G2389" t="s">
        <v>768</v>
      </c>
    </row>
    <row r="2390" spans="1:7" hidden="1" x14ac:dyDescent="0.25">
      <c r="A2390" t="s">
        <v>4</v>
      </c>
      <c r="B2390" t="s">
        <v>86</v>
      </c>
      <c r="E2390" t="s">
        <v>7616</v>
      </c>
      <c r="F2390" t="s">
        <v>7361</v>
      </c>
      <c r="G2390" t="s">
        <v>1072</v>
      </c>
    </row>
    <row r="2391" spans="1:7" hidden="1" x14ac:dyDescent="0.25">
      <c r="A2391" t="s">
        <v>4</v>
      </c>
      <c r="B2391" t="s">
        <v>7615</v>
      </c>
      <c r="F2391" t="s">
        <v>7364</v>
      </c>
      <c r="G2391" t="s">
        <v>1072</v>
      </c>
    </row>
    <row r="2392" spans="1:7" hidden="1" x14ac:dyDescent="0.25">
      <c r="A2392" t="s">
        <v>4</v>
      </c>
      <c r="B2392" t="s">
        <v>86</v>
      </c>
      <c r="E2392" t="s">
        <v>7616</v>
      </c>
      <c r="F2392" t="s">
        <v>7367</v>
      </c>
      <c r="G2392" t="s">
        <v>1072</v>
      </c>
    </row>
    <row r="2393" spans="1:7" hidden="1" x14ac:dyDescent="0.25">
      <c r="A2393" t="s">
        <v>4</v>
      </c>
      <c r="B2393" t="s">
        <v>86</v>
      </c>
      <c r="E2393" t="s">
        <v>7616</v>
      </c>
      <c r="F2393" t="s">
        <v>7370</v>
      </c>
      <c r="G2393" t="s">
        <v>1072</v>
      </c>
    </row>
    <row r="2394" spans="1:7" hidden="1" x14ac:dyDescent="0.25">
      <c r="A2394" t="s">
        <v>4</v>
      </c>
      <c r="B2394" t="s">
        <v>7615</v>
      </c>
      <c r="F2394" t="s">
        <v>7373</v>
      </c>
      <c r="G2394" t="s">
        <v>1072</v>
      </c>
    </row>
    <row r="2395" spans="1:7" hidden="1" x14ac:dyDescent="0.25">
      <c r="A2395" t="s">
        <v>4</v>
      </c>
      <c r="B2395" t="s">
        <v>7615</v>
      </c>
      <c r="F2395" t="s">
        <v>7376</v>
      </c>
      <c r="G2395" t="s">
        <v>1072</v>
      </c>
    </row>
    <row r="2396" spans="1:7" hidden="1" x14ac:dyDescent="0.25">
      <c r="A2396" t="s">
        <v>4</v>
      </c>
      <c r="B2396" t="s">
        <v>86</v>
      </c>
      <c r="E2396" t="s">
        <v>7616</v>
      </c>
      <c r="F2396" t="s">
        <v>7379</v>
      </c>
      <c r="G2396" t="s">
        <v>1072</v>
      </c>
    </row>
    <row r="2397" spans="1:7" hidden="1" x14ac:dyDescent="0.25">
      <c r="A2397" t="s">
        <v>4</v>
      </c>
      <c r="B2397" t="s">
        <v>7615</v>
      </c>
      <c r="F2397" t="s">
        <v>7382</v>
      </c>
      <c r="G2397" t="s">
        <v>1072</v>
      </c>
    </row>
    <row r="2398" spans="1:7" hidden="1" x14ac:dyDescent="0.25">
      <c r="A2398" t="s">
        <v>4</v>
      </c>
      <c r="B2398" t="s">
        <v>86</v>
      </c>
      <c r="E2398" t="s">
        <v>7616</v>
      </c>
      <c r="F2398" t="s">
        <v>7385</v>
      </c>
      <c r="G2398" t="s">
        <v>1072</v>
      </c>
    </row>
    <row r="2399" spans="1:7" hidden="1" x14ac:dyDescent="0.25">
      <c r="A2399" t="s">
        <v>1967</v>
      </c>
      <c r="B2399" t="s">
        <v>8</v>
      </c>
      <c r="F2399" t="s">
        <v>7396</v>
      </c>
      <c r="G2399" s="1" t="s">
        <v>1566</v>
      </c>
    </row>
    <row r="2400" spans="1:7" hidden="1" x14ac:dyDescent="0.25">
      <c r="A2400" t="s">
        <v>7617</v>
      </c>
      <c r="B2400" t="s">
        <v>1570</v>
      </c>
      <c r="F2400" t="s">
        <v>7399</v>
      </c>
      <c r="G2400" s="1" t="s">
        <v>1566</v>
      </c>
    </row>
    <row r="2401" spans="1:7" hidden="1" x14ac:dyDescent="0.25">
      <c r="A2401" t="s">
        <v>7617</v>
      </c>
      <c r="B2401" t="s">
        <v>1570</v>
      </c>
      <c r="F2401" t="s">
        <v>7402</v>
      </c>
      <c r="G2401" s="1" t="s">
        <v>1566</v>
      </c>
    </row>
    <row r="2402" spans="1:7" hidden="1" x14ac:dyDescent="0.25">
      <c r="A2402" t="s">
        <v>1967</v>
      </c>
      <c r="B2402" t="s">
        <v>8</v>
      </c>
      <c r="F2402" t="s">
        <v>7405</v>
      </c>
      <c r="G2402" s="1" t="s">
        <v>1566</v>
      </c>
    </row>
    <row r="2403" spans="1:7" hidden="1" x14ac:dyDescent="0.25">
      <c r="A2403" t="s">
        <v>261</v>
      </c>
      <c r="B2403" t="s">
        <v>70</v>
      </c>
      <c r="C2403" t="s">
        <v>58</v>
      </c>
      <c r="E2403" t="s">
        <v>1581</v>
      </c>
      <c r="F2403" t="s">
        <v>7408</v>
      </c>
      <c r="G2403" s="1" t="s">
        <v>1566</v>
      </c>
    </row>
    <row r="2404" spans="1:7" hidden="1" x14ac:dyDescent="0.25">
      <c r="A2404" t="s">
        <v>261</v>
      </c>
      <c r="B2404" t="s">
        <v>70</v>
      </c>
      <c r="C2404" t="s">
        <v>58</v>
      </c>
      <c r="E2404" t="s">
        <v>2891</v>
      </c>
      <c r="F2404" t="s">
        <v>7411</v>
      </c>
      <c r="G2404" s="1" t="s">
        <v>1566</v>
      </c>
    </row>
    <row r="2405" spans="1:7" hidden="1" x14ac:dyDescent="0.25">
      <c r="A2405" t="s">
        <v>261</v>
      </c>
      <c r="B2405" t="s">
        <v>70</v>
      </c>
      <c r="C2405" t="s">
        <v>58</v>
      </c>
      <c r="E2405" t="s">
        <v>2891</v>
      </c>
      <c r="F2405" t="s">
        <v>7414</v>
      </c>
      <c r="G2405" s="1" t="s">
        <v>1566</v>
      </c>
    </row>
    <row r="2406" spans="1:7" hidden="1" x14ac:dyDescent="0.25">
      <c r="A2406" t="s">
        <v>261</v>
      </c>
      <c r="B2406" t="s">
        <v>70</v>
      </c>
      <c r="C2406" t="s">
        <v>58</v>
      </c>
      <c r="E2406" t="s">
        <v>2891</v>
      </c>
      <c r="F2406" t="s">
        <v>7417</v>
      </c>
      <c r="G2406" s="1" t="s">
        <v>1566</v>
      </c>
    </row>
    <row r="2407" spans="1:7" hidden="1" x14ac:dyDescent="0.25">
      <c r="A2407" t="s">
        <v>261</v>
      </c>
      <c r="B2407" t="s">
        <v>70</v>
      </c>
      <c r="C2407" t="s">
        <v>58</v>
      </c>
      <c r="E2407" t="s">
        <v>2891</v>
      </c>
      <c r="F2407" t="s">
        <v>7420</v>
      </c>
      <c r="G2407" s="1" t="s">
        <v>1566</v>
      </c>
    </row>
    <row r="2408" spans="1:7" hidden="1" x14ac:dyDescent="0.25">
      <c r="A2408" t="s">
        <v>622</v>
      </c>
      <c r="B2408" t="s">
        <v>70</v>
      </c>
      <c r="C2408" t="s">
        <v>58</v>
      </c>
      <c r="F2408" t="s">
        <v>7423</v>
      </c>
      <c r="G2408" s="1" t="s">
        <v>1566</v>
      </c>
    </row>
    <row r="2409" spans="1:7" hidden="1" x14ac:dyDescent="0.25">
      <c r="A2409" t="s">
        <v>7618</v>
      </c>
      <c r="B2409" t="s">
        <v>503</v>
      </c>
      <c r="F2409" t="s">
        <v>7426</v>
      </c>
      <c r="G2409" s="1" t="s">
        <v>1566</v>
      </c>
    </row>
    <row r="2410" spans="1:7" hidden="1" x14ac:dyDescent="0.25">
      <c r="A2410" t="s">
        <v>4164</v>
      </c>
      <c r="B2410" t="s">
        <v>86</v>
      </c>
      <c r="C2410" t="s">
        <v>7619</v>
      </c>
      <c r="F2410" t="s">
        <v>7429</v>
      </c>
      <c r="G2410" s="1" t="s">
        <v>1566</v>
      </c>
    </row>
    <row r="2411" spans="1:7" hidden="1" x14ac:dyDescent="0.25">
      <c r="A2411" t="s">
        <v>4164</v>
      </c>
      <c r="B2411" t="s">
        <v>86</v>
      </c>
      <c r="C2411" t="s">
        <v>7619</v>
      </c>
      <c r="E2411" t="s">
        <v>2891</v>
      </c>
      <c r="F2411" t="s">
        <v>7432</v>
      </c>
      <c r="G2411" s="1" t="s">
        <v>1566</v>
      </c>
    </row>
    <row r="2412" spans="1:7" hidden="1" x14ac:dyDescent="0.25">
      <c r="A2412" t="s">
        <v>4164</v>
      </c>
      <c r="B2412" t="s">
        <v>86</v>
      </c>
      <c r="C2412" t="s">
        <v>7619</v>
      </c>
      <c r="F2412" t="s">
        <v>7435</v>
      </c>
      <c r="G2412" s="1" t="s">
        <v>1566</v>
      </c>
    </row>
    <row r="2413" spans="1:7" hidden="1" x14ac:dyDescent="0.25">
      <c r="A2413" t="s">
        <v>1967</v>
      </c>
      <c r="B2413" t="s">
        <v>8</v>
      </c>
      <c r="F2413" t="s">
        <v>7438</v>
      </c>
      <c r="G2413" s="1" t="s">
        <v>1566</v>
      </c>
    </row>
    <row r="2414" spans="1:7" hidden="1" x14ac:dyDescent="0.25">
      <c r="A2414" t="s">
        <v>1967</v>
      </c>
      <c r="B2414" t="s">
        <v>8</v>
      </c>
      <c r="F2414" t="s">
        <v>7441</v>
      </c>
      <c r="G2414" s="1" t="s">
        <v>1566</v>
      </c>
    </row>
    <row r="2415" spans="1:7" hidden="1" x14ac:dyDescent="0.25">
      <c r="A2415" t="s">
        <v>262</v>
      </c>
      <c r="B2415" t="s">
        <v>86</v>
      </c>
      <c r="C2415" t="s">
        <v>60</v>
      </c>
      <c r="E2415" t="s">
        <v>5038</v>
      </c>
      <c r="F2415" t="s">
        <v>7444</v>
      </c>
      <c r="G2415" t="s">
        <v>1780</v>
      </c>
    </row>
    <row r="2416" spans="1:7" hidden="1" x14ac:dyDescent="0.25">
      <c r="A2416" t="s">
        <v>262</v>
      </c>
      <c r="B2416" t="s">
        <v>86</v>
      </c>
      <c r="C2416" t="s">
        <v>60</v>
      </c>
      <c r="E2416" t="s">
        <v>5038</v>
      </c>
      <c r="F2416" t="s">
        <v>7447</v>
      </c>
      <c r="G2416" t="s">
        <v>1780</v>
      </c>
    </row>
    <row r="2417" spans="1:7" hidden="1" x14ac:dyDescent="0.25">
      <c r="A2417" t="s">
        <v>262</v>
      </c>
      <c r="B2417" t="s">
        <v>86</v>
      </c>
      <c r="C2417" t="s">
        <v>60</v>
      </c>
      <c r="E2417" t="s">
        <v>5038</v>
      </c>
      <c r="F2417" t="s">
        <v>7450</v>
      </c>
      <c r="G2417" t="s">
        <v>1780</v>
      </c>
    </row>
    <row r="2418" spans="1:7" hidden="1" x14ac:dyDescent="0.25">
      <c r="A2418" t="s">
        <v>4</v>
      </c>
      <c r="B2418" t="s">
        <v>8</v>
      </c>
      <c r="F2418" t="s">
        <v>7453</v>
      </c>
      <c r="G2418" t="s">
        <v>1780</v>
      </c>
    </row>
    <row r="2419" spans="1:7" hidden="1" x14ac:dyDescent="0.25">
      <c r="A2419" t="s">
        <v>4</v>
      </c>
      <c r="B2419" t="s">
        <v>86</v>
      </c>
      <c r="C2419" t="s">
        <v>7619</v>
      </c>
      <c r="F2419" t="s">
        <v>7456</v>
      </c>
      <c r="G2419" t="s">
        <v>1780</v>
      </c>
    </row>
    <row r="2420" spans="1:7" hidden="1" x14ac:dyDescent="0.25">
      <c r="A2420" t="s">
        <v>4</v>
      </c>
      <c r="B2420" t="s">
        <v>86</v>
      </c>
      <c r="C2420" t="s">
        <v>7619</v>
      </c>
      <c r="E2420" t="s">
        <v>2891</v>
      </c>
      <c r="F2420" t="s">
        <v>7459</v>
      </c>
      <c r="G2420" t="s">
        <v>1780</v>
      </c>
    </row>
    <row r="2421" spans="1:7" hidden="1" x14ac:dyDescent="0.25">
      <c r="A2421" t="s">
        <v>4</v>
      </c>
      <c r="B2421" t="s">
        <v>86</v>
      </c>
      <c r="C2421" t="s">
        <v>7619</v>
      </c>
      <c r="F2421" t="s">
        <v>7462</v>
      </c>
      <c r="G2421" t="s">
        <v>1780</v>
      </c>
    </row>
    <row r="2422" spans="1:7" hidden="1" x14ac:dyDescent="0.25">
      <c r="A2422" t="s">
        <v>4</v>
      </c>
      <c r="B2422" t="s">
        <v>86</v>
      </c>
      <c r="C2422" t="s">
        <v>7620</v>
      </c>
      <c r="F2422" t="s">
        <v>7465</v>
      </c>
      <c r="G2422" t="s">
        <v>1780</v>
      </c>
    </row>
    <row r="2423" spans="1:7" hidden="1" x14ac:dyDescent="0.25">
      <c r="A2423" t="s">
        <v>4</v>
      </c>
      <c r="B2423" t="s">
        <v>4134</v>
      </c>
      <c r="C2423" t="s">
        <v>4181</v>
      </c>
      <c r="F2423" t="s">
        <v>7468</v>
      </c>
      <c r="G2423" t="s">
        <v>1780</v>
      </c>
    </row>
    <row r="2424" spans="1:7" hidden="1" x14ac:dyDescent="0.25">
      <c r="A2424" t="s">
        <v>622</v>
      </c>
      <c r="B2424" t="s">
        <v>4134</v>
      </c>
      <c r="C2424" t="s">
        <v>4181</v>
      </c>
      <c r="F2424" t="s">
        <v>7471</v>
      </c>
      <c r="G2424" t="s">
        <v>1780</v>
      </c>
    </row>
    <row r="2425" spans="1:7" hidden="1" x14ac:dyDescent="0.25">
      <c r="A2425" t="s">
        <v>4</v>
      </c>
      <c r="B2425" t="s">
        <v>7621</v>
      </c>
      <c r="F2425" t="s">
        <v>7489</v>
      </c>
      <c r="G2425" t="s">
        <v>1897</v>
      </c>
    </row>
    <row r="2426" spans="1:7" hidden="1" x14ac:dyDescent="0.25">
      <c r="A2426" t="s">
        <v>4</v>
      </c>
      <c r="B2426" t="s">
        <v>7622</v>
      </c>
      <c r="E2426" t="s">
        <v>2891</v>
      </c>
      <c r="F2426" t="s">
        <v>7492</v>
      </c>
      <c r="G2426" t="s">
        <v>1897</v>
      </c>
    </row>
    <row r="2427" spans="1:7" hidden="1" x14ac:dyDescent="0.25">
      <c r="A2427" t="s">
        <v>4</v>
      </c>
      <c r="B2427" t="s">
        <v>8</v>
      </c>
      <c r="E2427" t="s">
        <v>7623</v>
      </c>
      <c r="F2427" t="s">
        <v>7495</v>
      </c>
      <c r="G2427" t="s">
        <v>1897</v>
      </c>
    </row>
    <row r="2428" spans="1:7" hidden="1" x14ac:dyDescent="0.25">
      <c r="A2428" t="s">
        <v>4</v>
      </c>
      <c r="B2428" t="s">
        <v>8</v>
      </c>
      <c r="E2428" t="s">
        <v>3033</v>
      </c>
      <c r="F2428" t="s">
        <v>7498</v>
      </c>
      <c r="G2428" t="s">
        <v>1897</v>
      </c>
    </row>
    <row r="2429" spans="1:7" hidden="1" x14ac:dyDescent="0.25">
      <c r="A2429" t="s">
        <v>4164</v>
      </c>
      <c r="B2429" t="s">
        <v>5411</v>
      </c>
      <c r="C2429" t="s">
        <v>60</v>
      </c>
      <c r="F2429" t="s">
        <v>7585</v>
      </c>
      <c r="G2429" t="s">
        <v>1960</v>
      </c>
    </row>
    <row r="2430" spans="1:7" hidden="1" x14ac:dyDescent="0.25">
      <c r="A2430" t="s">
        <v>1967</v>
      </c>
      <c r="B2430" t="s">
        <v>8</v>
      </c>
      <c r="F2430" t="s">
        <v>7588</v>
      </c>
      <c r="G2430" t="s">
        <v>1960</v>
      </c>
    </row>
    <row r="2431" spans="1:7" hidden="1" x14ac:dyDescent="0.25">
      <c r="A2431" t="s">
        <v>4</v>
      </c>
      <c r="B2431" t="s">
        <v>4134</v>
      </c>
      <c r="E2431" t="s">
        <v>7624</v>
      </c>
      <c r="F2431" t="s">
        <v>7591</v>
      </c>
      <c r="G2431" t="s">
        <v>1960</v>
      </c>
    </row>
    <row r="2432" spans="1:7" hidden="1" x14ac:dyDescent="0.25">
      <c r="A2432" t="s">
        <v>4164</v>
      </c>
      <c r="B2432" t="s">
        <v>5411</v>
      </c>
      <c r="C2432" t="s">
        <v>7619</v>
      </c>
      <c r="F2432" t="s">
        <v>7594</v>
      </c>
      <c r="G2432" t="s">
        <v>1960</v>
      </c>
    </row>
    <row r="2433" spans="1:7" hidden="1" x14ac:dyDescent="0.25">
      <c r="A2433" t="s">
        <v>4164</v>
      </c>
      <c r="B2433" t="s">
        <v>5411</v>
      </c>
      <c r="C2433" t="s">
        <v>7625</v>
      </c>
      <c r="F2433" t="s">
        <v>7597</v>
      </c>
      <c r="G2433" t="s">
        <v>1960</v>
      </c>
    </row>
    <row r="2434" spans="1:7" hidden="1" x14ac:dyDescent="0.25">
      <c r="A2434" t="s">
        <v>91</v>
      </c>
      <c r="B2434" t="s">
        <v>4134</v>
      </c>
      <c r="C2434" t="s">
        <v>5010</v>
      </c>
      <c r="F2434" t="s">
        <v>7629</v>
      </c>
      <c r="G2434" t="s">
        <v>1074</v>
      </c>
    </row>
    <row r="2435" spans="1:7" hidden="1" x14ac:dyDescent="0.25">
      <c r="A2435" t="s">
        <v>62</v>
      </c>
      <c r="B2435" t="s">
        <v>4134</v>
      </c>
      <c r="C2435" t="s">
        <v>5010</v>
      </c>
      <c r="F2435" t="s">
        <v>7632</v>
      </c>
      <c r="G2435" t="s">
        <v>1074</v>
      </c>
    </row>
    <row r="2436" spans="1:7" hidden="1" x14ac:dyDescent="0.25">
      <c r="A2436" t="s">
        <v>1967</v>
      </c>
      <c r="B2436" t="s">
        <v>8</v>
      </c>
      <c r="F2436" t="s">
        <v>7626</v>
      </c>
      <c r="G2436" t="s">
        <v>1075</v>
      </c>
    </row>
    <row r="2437" spans="1:7" x14ac:dyDescent="0.25">
      <c r="A2437" t="s">
        <v>261</v>
      </c>
      <c r="B2437" t="s">
        <v>2882</v>
      </c>
      <c r="C2437" t="s">
        <v>7083</v>
      </c>
      <c r="F2437" t="s">
        <v>7725</v>
      </c>
      <c r="G2437" t="s">
        <v>13425</v>
      </c>
    </row>
    <row r="2438" spans="1:7" x14ac:dyDescent="0.25">
      <c r="A2438" t="s">
        <v>261</v>
      </c>
      <c r="B2438" t="s">
        <v>2882</v>
      </c>
      <c r="C2438" t="s">
        <v>7083</v>
      </c>
      <c r="E2438" t="s">
        <v>2891</v>
      </c>
      <c r="F2438" t="s">
        <v>7728</v>
      </c>
      <c r="G2438" t="s">
        <v>13425</v>
      </c>
    </row>
    <row r="2439" spans="1:7" x14ac:dyDescent="0.25">
      <c r="A2439" t="s">
        <v>261</v>
      </c>
      <c r="B2439" t="s">
        <v>2882</v>
      </c>
      <c r="C2439" t="s">
        <v>7083</v>
      </c>
      <c r="E2439" t="s">
        <v>2891</v>
      </c>
      <c r="F2439" t="s">
        <v>7731</v>
      </c>
      <c r="G2439" t="s">
        <v>13425</v>
      </c>
    </row>
    <row r="2440" spans="1:7" hidden="1" x14ac:dyDescent="0.25">
      <c r="A2440" t="s">
        <v>1967</v>
      </c>
      <c r="B2440" t="s">
        <v>8</v>
      </c>
      <c r="F2440" t="s">
        <v>7734</v>
      </c>
      <c r="G2440" t="s">
        <v>1076</v>
      </c>
    </row>
    <row r="2441" spans="1:7" hidden="1" x14ac:dyDescent="0.25">
      <c r="A2441" t="s">
        <v>1066</v>
      </c>
      <c r="B2441" t="s">
        <v>86</v>
      </c>
      <c r="C2441" t="s">
        <v>60</v>
      </c>
      <c r="E2441" t="s">
        <v>7776</v>
      </c>
      <c r="F2441" t="s">
        <v>7737</v>
      </c>
      <c r="G2441" t="s">
        <v>1077</v>
      </c>
    </row>
    <row r="2442" spans="1:7" hidden="1" x14ac:dyDescent="0.25">
      <c r="A2442" t="s">
        <v>1066</v>
      </c>
      <c r="B2442" t="s">
        <v>86</v>
      </c>
      <c r="C2442" t="s">
        <v>60</v>
      </c>
      <c r="E2442" t="s">
        <v>7776</v>
      </c>
      <c r="F2442" t="s">
        <v>7740</v>
      </c>
      <c r="G2442" t="s">
        <v>1077</v>
      </c>
    </row>
    <row r="2443" spans="1:7" hidden="1" x14ac:dyDescent="0.25">
      <c r="A2443" t="s">
        <v>1066</v>
      </c>
      <c r="B2443" t="s">
        <v>86</v>
      </c>
      <c r="C2443" t="s">
        <v>60</v>
      </c>
      <c r="E2443" t="s">
        <v>7776</v>
      </c>
      <c r="F2443" t="s">
        <v>7743</v>
      </c>
      <c r="G2443" t="s">
        <v>1077</v>
      </c>
    </row>
    <row r="2444" spans="1:7" hidden="1" x14ac:dyDescent="0.25">
      <c r="A2444" t="s">
        <v>1066</v>
      </c>
      <c r="B2444" t="s">
        <v>86</v>
      </c>
      <c r="C2444" t="s">
        <v>60</v>
      </c>
      <c r="E2444" t="s">
        <v>7776</v>
      </c>
      <c r="F2444" t="s">
        <v>7746</v>
      </c>
      <c r="G2444" t="s">
        <v>1077</v>
      </c>
    </row>
    <row r="2445" spans="1:7" hidden="1" x14ac:dyDescent="0.25">
      <c r="A2445" t="s">
        <v>1066</v>
      </c>
      <c r="B2445" t="s">
        <v>86</v>
      </c>
      <c r="C2445" t="s">
        <v>60</v>
      </c>
      <c r="E2445" t="s">
        <v>7776</v>
      </c>
      <c r="F2445" t="s">
        <v>7749</v>
      </c>
      <c r="G2445" t="s">
        <v>1077</v>
      </c>
    </row>
    <row r="2446" spans="1:7" hidden="1" x14ac:dyDescent="0.25">
      <c r="A2446" t="s">
        <v>1066</v>
      </c>
      <c r="B2446" t="s">
        <v>86</v>
      </c>
      <c r="C2446" t="s">
        <v>60</v>
      </c>
      <c r="E2446" t="s">
        <v>7776</v>
      </c>
      <c r="F2446" t="s">
        <v>7752</v>
      </c>
      <c r="G2446" t="s">
        <v>1077</v>
      </c>
    </row>
    <row r="2447" spans="1:7" hidden="1" x14ac:dyDescent="0.25">
      <c r="A2447" t="s">
        <v>1066</v>
      </c>
      <c r="B2447" t="s">
        <v>86</v>
      </c>
      <c r="C2447" t="s">
        <v>60</v>
      </c>
      <c r="E2447" t="s">
        <v>7776</v>
      </c>
      <c r="F2447" t="s">
        <v>7755</v>
      </c>
      <c r="G2447" t="s">
        <v>1077</v>
      </c>
    </row>
    <row r="2448" spans="1:7" hidden="1" x14ac:dyDescent="0.25">
      <c r="A2448" t="s">
        <v>1967</v>
      </c>
      <c r="B2448" t="s">
        <v>8</v>
      </c>
      <c r="F2448" t="s">
        <v>7758</v>
      </c>
      <c r="G2448" t="s">
        <v>1077</v>
      </c>
    </row>
    <row r="2449" spans="1:7" hidden="1" x14ac:dyDescent="0.25">
      <c r="A2449" t="s">
        <v>262</v>
      </c>
      <c r="B2449" t="s">
        <v>86</v>
      </c>
      <c r="C2449" t="s">
        <v>60</v>
      </c>
      <c r="E2449" t="s">
        <v>5038</v>
      </c>
      <c r="F2449" t="s">
        <v>7761</v>
      </c>
      <c r="G2449" t="s">
        <v>1078</v>
      </c>
    </row>
    <row r="2450" spans="1:7" hidden="1" x14ac:dyDescent="0.25">
      <c r="A2450" t="s">
        <v>262</v>
      </c>
      <c r="B2450" t="s">
        <v>86</v>
      </c>
      <c r="C2450" t="s">
        <v>60</v>
      </c>
      <c r="E2450" t="s">
        <v>2891</v>
      </c>
      <c r="F2450" t="s">
        <v>7764</v>
      </c>
      <c r="G2450" t="s">
        <v>1078</v>
      </c>
    </row>
    <row r="2451" spans="1:7" hidden="1" x14ac:dyDescent="0.25">
      <c r="A2451" t="s">
        <v>262</v>
      </c>
      <c r="B2451" t="s">
        <v>86</v>
      </c>
      <c r="C2451" t="s">
        <v>60</v>
      </c>
      <c r="E2451" t="s">
        <v>2891</v>
      </c>
      <c r="F2451" t="s">
        <v>7767</v>
      </c>
      <c r="G2451" t="s">
        <v>1078</v>
      </c>
    </row>
    <row r="2452" spans="1:7" hidden="1" x14ac:dyDescent="0.25">
      <c r="A2452" t="s">
        <v>1967</v>
      </c>
      <c r="B2452" t="s">
        <v>8</v>
      </c>
      <c r="F2452" t="s">
        <v>7773</v>
      </c>
      <c r="G2452" t="s">
        <v>1079</v>
      </c>
    </row>
    <row r="2453" spans="1:7" hidden="1" x14ac:dyDescent="0.25">
      <c r="A2453" t="s">
        <v>1967</v>
      </c>
      <c r="B2453" t="s">
        <v>9</v>
      </c>
      <c r="F2453" t="s">
        <v>7770</v>
      </c>
      <c r="G2453" t="s">
        <v>768</v>
      </c>
    </row>
    <row r="2454" spans="1:7" hidden="1" x14ac:dyDescent="0.25">
      <c r="A2454" t="s">
        <v>4</v>
      </c>
      <c r="B2454" t="s">
        <v>86</v>
      </c>
      <c r="E2454" t="s">
        <v>7616</v>
      </c>
      <c r="F2454" t="s">
        <v>7635</v>
      </c>
      <c r="G2454" t="s">
        <v>1072</v>
      </c>
    </row>
    <row r="2455" spans="1:7" hidden="1" x14ac:dyDescent="0.25">
      <c r="A2455" t="s">
        <v>4</v>
      </c>
      <c r="B2455" t="s">
        <v>7615</v>
      </c>
      <c r="F2455" t="s">
        <v>7638</v>
      </c>
      <c r="G2455" t="s">
        <v>1072</v>
      </c>
    </row>
    <row r="2456" spans="1:7" hidden="1" x14ac:dyDescent="0.25">
      <c r="A2456" t="s">
        <v>4</v>
      </c>
      <c r="B2456" t="s">
        <v>86</v>
      </c>
      <c r="E2456" t="s">
        <v>7616</v>
      </c>
      <c r="F2456" t="s">
        <v>7641</v>
      </c>
      <c r="G2456" t="s">
        <v>1072</v>
      </c>
    </row>
    <row r="2457" spans="1:7" hidden="1" x14ac:dyDescent="0.25">
      <c r="A2457" t="s">
        <v>4</v>
      </c>
      <c r="B2457" t="s">
        <v>7615</v>
      </c>
      <c r="F2457" t="s">
        <v>7644</v>
      </c>
      <c r="G2457" t="s">
        <v>1072</v>
      </c>
    </row>
    <row r="2458" spans="1:7" hidden="1" x14ac:dyDescent="0.25">
      <c r="A2458" t="s">
        <v>4</v>
      </c>
      <c r="B2458" t="s">
        <v>86</v>
      </c>
      <c r="E2458" t="s">
        <v>7616</v>
      </c>
      <c r="F2458" t="s">
        <v>7647</v>
      </c>
      <c r="G2458" t="s">
        <v>1072</v>
      </c>
    </row>
    <row r="2459" spans="1:7" hidden="1" x14ac:dyDescent="0.25">
      <c r="A2459" t="s">
        <v>1967</v>
      </c>
      <c r="B2459" t="s">
        <v>8</v>
      </c>
      <c r="F2459" t="s">
        <v>7650</v>
      </c>
      <c r="G2459" s="1" t="s">
        <v>1566</v>
      </c>
    </row>
    <row r="2460" spans="1:7" hidden="1" x14ac:dyDescent="0.25">
      <c r="A2460" t="s">
        <v>261</v>
      </c>
      <c r="B2460" t="s">
        <v>86</v>
      </c>
      <c r="C2460" t="s">
        <v>7625</v>
      </c>
      <c r="F2460" t="s">
        <v>7653</v>
      </c>
      <c r="G2460" t="s">
        <v>1780</v>
      </c>
    </row>
    <row r="2461" spans="1:7" hidden="1" x14ac:dyDescent="0.25">
      <c r="A2461" t="s">
        <v>158</v>
      </c>
      <c r="B2461" t="s">
        <v>86</v>
      </c>
      <c r="C2461" t="s">
        <v>7620</v>
      </c>
      <c r="F2461" t="s">
        <v>7656</v>
      </c>
      <c r="G2461" t="s">
        <v>1780</v>
      </c>
    </row>
    <row r="2462" spans="1:7" hidden="1" x14ac:dyDescent="0.25">
      <c r="A2462" t="s">
        <v>1569</v>
      </c>
      <c r="B2462" t="s">
        <v>4134</v>
      </c>
      <c r="C2462" t="s">
        <v>5010</v>
      </c>
      <c r="F2462" t="s">
        <v>7659</v>
      </c>
      <c r="G2462" t="s">
        <v>1780</v>
      </c>
    </row>
    <row r="2463" spans="1:7" hidden="1" x14ac:dyDescent="0.25">
      <c r="A2463" t="s">
        <v>1569</v>
      </c>
      <c r="B2463" t="s">
        <v>4134</v>
      </c>
      <c r="C2463" t="s">
        <v>5010</v>
      </c>
      <c r="E2463" t="s">
        <v>2891</v>
      </c>
      <c r="F2463" t="s">
        <v>7662</v>
      </c>
      <c r="G2463" t="s">
        <v>1780</v>
      </c>
    </row>
    <row r="2464" spans="1:7" hidden="1" x14ac:dyDescent="0.25">
      <c r="A2464" t="s">
        <v>4164</v>
      </c>
      <c r="B2464" t="s">
        <v>86</v>
      </c>
      <c r="C2464" t="s">
        <v>500</v>
      </c>
      <c r="F2464" t="s">
        <v>7665</v>
      </c>
      <c r="G2464" t="s">
        <v>1780</v>
      </c>
    </row>
    <row r="2465" spans="1:7" hidden="1" x14ac:dyDescent="0.25">
      <c r="A2465" t="s">
        <v>4164</v>
      </c>
      <c r="B2465" t="s">
        <v>86</v>
      </c>
      <c r="C2465" t="s">
        <v>500</v>
      </c>
      <c r="E2465" t="s">
        <v>2891</v>
      </c>
      <c r="F2465" t="s">
        <v>7668</v>
      </c>
      <c r="G2465" t="s">
        <v>1780</v>
      </c>
    </row>
    <row r="2466" spans="1:7" hidden="1" x14ac:dyDescent="0.25">
      <c r="A2466" t="s">
        <v>7777</v>
      </c>
      <c r="B2466" t="s">
        <v>503</v>
      </c>
      <c r="F2466" t="s">
        <v>7671</v>
      </c>
      <c r="G2466" t="s">
        <v>1780</v>
      </c>
    </row>
    <row r="2467" spans="1:7" hidden="1" x14ac:dyDescent="0.25">
      <c r="A2467" t="s">
        <v>622</v>
      </c>
      <c r="B2467" t="s">
        <v>4134</v>
      </c>
      <c r="C2467" t="s">
        <v>5010</v>
      </c>
      <c r="F2467" t="s">
        <v>7674</v>
      </c>
      <c r="G2467" t="s">
        <v>1780</v>
      </c>
    </row>
    <row r="2468" spans="1:7" hidden="1" x14ac:dyDescent="0.25">
      <c r="A2468" t="s">
        <v>4164</v>
      </c>
      <c r="B2468" t="s">
        <v>86</v>
      </c>
      <c r="C2468" t="s">
        <v>500</v>
      </c>
      <c r="F2468" t="s">
        <v>7677</v>
      </c>
      <c r="G2468" t="s">
        <v>1780</v>
      </c>
    </row>
    <row r="2469" spans="1:7" hidden="1" x14ac:dyDescent="0.25">
      <c r="A2469" t="s">
        <v>4</v>
      </c>
      <c r="B2469" t="s">
        <v>8</v>
      </c>
      <c r="F2469" t="s">
        <v>7680</v>
      </c>
      <c r="G2469" t="s">
        <v>1780</v>
      </c>
    </row>
    <row r="2470" spans="1:7" hidden="1" x14ac:dyDescent="0.25">
      <c r="A2470" t="s">
        <v>4</v>
      </c>
      <c r="B2470" t="s">
        <v>8</v>
      </c>
      <c r="F2470" t="s">
        <v>7683</v>
      </c>
      <c r="G2470" t="s">
        <v>1897</v>
      </c>
    </row>
    <row r="2471" spans="1:7" hidden="1" x14ac:dyDescent="0.25">
      <c r="A2471" t="s">
        <v>4</v>
      </c>
      <c r="B2471" t="s">
        <v>8</v>
      </c>
      <c r="E2471" t="s">
        <v>2891</v>
      </c>
      <c r="F2471" t="s">
        <v>7686</v>
      </c>
      <c r="G2471" t="s">
        <v>1897</v>
      </c>
    </row>
    <row r="2472" spans="1:7" hidden="1" x14ac:dyDescent="0.25">
      <c r="A2472" t="s">
        <v>4</v>
      </c>
      <c r="B2472" t="s">
        <v>8</v>
      </c>
      <c r="E2472" t="s">
        <v>2891</v>
      </c>
      <c r="F2472" t="s">
        <v>7689</v>
      </c>
      <c r="G2472" t="s">
        <v>1897</v>
      </c>
    </row>
    <row r="2473" spans="1:7" hidden="1" x14ac:dyDescent="0.25">
      <c r="A2473" t="s">
        <v>4</v>
      </c>
      <c r="B2473" t="s">
        <v>8</v>
      </c>
      <c r="E2473" t="s">
        <v>2891</v>
      </c>
      <c r="F2473" t="s">
        <v>7692</v>
      </c>
      <c r="G2473" t="s">
        <v>1897</v>
      </c>
    </row>
    <row r="2474" spans="1:7" hidden="1" x14ac:dyDescent="0.25">
      <c r="A2474" t="s">
        <v>4</v>
      </c>
      <c r="B2474" t="s">
        <v>8</v>
      </c>
      <c r="E2474" t="s">
        <v>2891</v>
      </c>
      <c r="F2474" t="s">
        <v>7695</v>
      </c>
      <c r="G2474" t="s">
        <v>1897</v>
      </c>
    </row>
    <row r="2475" spans="1:7" hidden="1" x14ac:dyDescent="0.25">
      <c r="A2475" t="s">
        <v>4164</v>
      </c>
      <c r="B2475" t="s">
        <v>5411</v>
      </c>
      <c r="C2475" t="s">
        <v>60</v>
      </c>
      <c r="F2475" t="s">
        <v>7698</v>
      </c>
      <c r="G2475" t="s">
        <v>1960</v>
      </c>
    </row>
    <row r="2476" spans="1:7" hidden="1" x14ac:dyDescent="0.25">
      <c r="A2476" t="s">
        <v>4164</v>
      </c>
      <c r="B2476" t="s">
        <v>5411</v>
      </c>
      <c r="C2476" t="s">
        <v>60</v>
      </c>
      <c r="F2476" t="s">
        <v>7701</v>
      </c>
      <c r="G2476" t="s">
        <v>1960</v>
      </c>
    </row>
    <row r="2477" spans="1:7" hidden="1" x14ac:dyDescent="0.25">
      <c r="A2477" t="s">
        <v>4164</v>
      </c>
      <c r="B2477" t="s">
        <v>5411</v>
      </c>
      <c r="C2477" t="s">
        <v>7625</v>
      </c>
      <c r="F2477" t="s">
        <v>7704</v>
      </c>
      <c r="G2477" t="s">
        <v>1960</v>
      </c>
    </row>
    <row r="2478" spans="1:7" hidden="1" x14ac:dyDescent="0.25">
      <c r="A2478" t="s">
        <v>4</v>
      </c>
      <c r="B2478" t="s">
        <v>4134</v>
      </c>
      <c r="E2478" t="s">
        <v>7624</v>
      </c>
      <c r="F2478" t="s">
        <v>7707</v>
      </c>
      <c r="G2478" t="s">
        <v>1960</v>
      </c>
    </row>
    <row r="2479" spans="1:7" hidden="1" x14ac:dyDescent="0.25">
      <c r="A2479" t="s">
        <v>4</v>
      </c>
      <c r="B2479" t="s">
        <v>8</v>
      </c>
      <c r="E2479" t="s">
        <v>2891</v>
      </c>
      <c r="F2479" t="s">
        <v>7710</v>
      </c>
      <c r="G2479" t="s">
        <v>1960</v>
      </c>
    </row>
    <row r="2480" spans="1:7" hidden="1" x14ac:dyDescent="0.25">
      <c r="A2480" t="s">
        <v>4</v>
      </c>
      <c r="B2480" t="s">
        <v>8</v>
      </c>
      <c r="E2480" t="s">
        <v>2891</v>
      </c>
      <c r="F2480" t="s">
        <v>7713</v>
      </c>
      <c r="G2480" t="s">
        <v>1960</v>
      </c>
    </row>
    <row r="2481" spans="1:7" hidden="1" x14ac:dyDescent="0.25">
      <c r="A2481" t="s">
        <v>4164</v>
      </c>
      <c r="B2481" t="s">
        <v>5411</v>
      </c>
      <c r="C2481" t="s">
        <v>7620</v>
      </c>
      <c r="F2481" t="s">
        <v>7716</v>
      </c>
      <c r="G2481" t="s">
        <v>1960</v>
      </c>
    </row>
    <row r="2482" spans="1:7" hidden="1" x14ac:dyDescent="0.25">
      <c r="A2482" t="s">
        <v>4164</v>
      </c>
      <c r="B2482" t="s">
        <v>5411</v>
      </c>
      <c r="C2482" t="s">
        <v>60</v>
      </c>
      <c r="F2482" t="s">
        <v>7719</v>
      </c>
      <c r="G2482" t="s">
        <v>1960</v>
      </c>
    </row>
    <row r="2483" spans="1:7" hidden="1" x14ac:dyDescent="0.25">
      <c r="A2483" t="s">
        <v>4</v>
      </c>
      <c r="B2483" t="s">
        <v>8</v>
      </c>
      <c r="F2483" t="s">
        <v>7722</v>
      </c>
      <c r="G2483" t="s">
        <v>1960</v>
      </c>
    </row>
    <row r="2484" spans="1:7" hidden="1" x14ac:dyDescent="0.25">
      <c r="A2484" t="s">
        <v>64</v>
      </c>
      <c r="B2484" t="s">
        <v>4134</v>
      </c>
      <c r="C2484" t="s">
        <v>5010</v>
      </c>
      <c r="F2484" t="s">
        <v>7796</v>
      </c>
      <c r="G2484" t="s">
        <v>1074</v>
      </c>
    </row>
    <row r="2485" spans="1:7" hidden="1" x14ac:dyDescent="0.25">
      <c r="A2485" t="s">
        <v>85</v>
      </c>
      <c r="B2485" t="s">
        <v>4134</v>
      </c>
      <c r="C2485" t="s">
        <v>5010</v>
      </c>
      <c r="F2485" t="s">
        <v>7799</v>
      </c>
      <c r="G2485" t="s">
        <v>1074</v>
      </c>
    </row>
    <row r="2486" spans="1:7" hidden="1" x14ac:dyDescent="0.25">
      <c r="A2486" t="s">
        <v>91</v>
      </c>
      <c r="B2486" t="s">
        <v>6248</v>
      </c>
      <c r="C2486" t="s">
        <v>5010</v>
      </c>
      <c r="F2486" t="s">
        <v>7802</v>
      </c>
      <c r="G2486" t="s">
        <v>1074</v>
      </c>
    </row>
    <row r="2487" spans="1:7" hidden="1" x14ac:dyDescent="0.25">
      <c r="A2487" t="s">
        <v>62</v>
      </c>
      <c r="B2487" t="s">
        <v>6248</v>
      </c>
      <c r="C2487" t="s">
        <v>5010</v>
      </c>
      <c r="F2487" t="s">
        <v>7805</v>
      </c>
      <c r="G2487" t="s">
        <v>1074</v>
      </c>
    </row>
    <row r="2488" spans="1:7" hidden="1" x14ac:dyDescent="0.25">
      <c r="A2488" t="s">
        <v>91</v>
      </c>
      <c r="B2488" t="s">
        <v>4134</v>
      </c>
      <c r="C2488" t="s">
        <v>5010</v>
      </c>
      <c r="F2488" t="s">
        <v>7808</v>
      </c>
      <c r="G2488" t="s">
        <v>1074</v>
      </c>
    </row>
    <row r="2489" spans="1:7" hidden="1" x14ac:dyDescent="0.25">
      <c r="A2489" t="s">
        <v>62</v>
      </c>
      <c r="B2489" t="s">
        <v>4134</v>
      </c>
      <c r="C2489" t="s">
        <v>5010</v>
      </c>
      <c r="F2489" t="s">
        <v>7811</v>
      </c>
      <c r="G2489" t="s">
        <v>1074</v>
      </c>
    </row>
    <row r="2490" spans="1:7" hidden="1" x14ac:dyDescent="0.25">
      <c r="A2490" t="s">
        <v>7942</v>
      </c>
      <c r="B2490" t="s">
        <v>4134</v>
      </c>
      <c r="C2490" t="s">
        <v>5010</v>
      </c>
      <c r="F2490" t="s">
        <v>7814</v>
      </c>
      <c r="G2490" t="s">
        <v>1074</v>
      </c>
    </row>
    <row r="2491" spans="1:7" hidden="1" x14ac:dyDescent="0.25">
      <c r="A2491" t="s">
        <v>64</v>
      </c>
      <c r="B2491" t="s">
        <v>4134</v>
      </c>
      <c r="C2491" t="s">
        <v>5010</v>
      </c>
      <c r="F2491" t="s">
        <v>7817</v>
      </c>
      <c r="G2491" t="s">
        <v>1074</v>
      </c>
    </row>
    <row r="2492" spans="1:7" hidden="1" x14ac:dyDescent="0.25">
      <c r="A2492" t="s">
        <v>62</v>
      </c>
      <c r="B2492" t="s">
        <v>6111</v>
      </c>
      <c r="C2492" t="s">
        <v>51</v>
      </c>
      <c r="F2492" t="s">
        <v>7820</v>
      </c>
      <c r="G2492" t="s">
        <v>1074</v>
      </c>
    </row>
    <row r="2493" spans="1:7" hidden="1" x14ac:dyDescent="0.25">
      <c r="A2493" t="s">
        <v>85</v>
      </c>
      <c r="B2493" t="s">
        <v>4134</v>
      </c>
      <c r="C2493" t="s">
        <v>5010</v>
      </c>
      <c r="F2493" t="s">
        <v>7823</v>
      </c>
      <c r="G2493" t="s">
        <v>1074</v>
      </c>
    </row>
    <row r="2494" spans="1:7" hidden="1" x14ac:dyDescent="0.25">
      <c r="A2494" t="s">
        <v>91</v>
      </c>
      <c r="B2494" t="s">
        <v>7943</v>
      </c>
      <c r="F2494" t="s">
        <v>7826</v>
      </c>
      <c r="G2494" t="s">
        <v>1074</v>
      </c>
    </row>
    <row r="2495" spans="1:7" hidden="1" x14ac:dyDescent="0.25">
      <c r="A2495" t="s">
        <v>62</v>
      </c>
      <c r="B2495" t="s">
        <v>7943</v>
      </c>
      <c r="F2495" t="s">
        <v>7829</v>
      </c>
      <c r="G2495" t="s">
        <v>1074</v>
      </c>
    </row>
    <row r="2496" spans="1:7" hidden="1" x14ac:dyDescent="0.25">
      <c r="A2496" t="s">
        <v>91</v>
      </c>
      <c r="B2496" t="s">
        <v>6111</v>
      </c>
      <c r="C2496" t="s">
        <v>51</v>
      </c>
      <c r="F2496" t="s">
        <v>7832</v>
      </c>
      <c r="G2496" t="s">
        <v>1074</v>
      </c>
    </row>
    <row r="2497" spans="1:7" hidden="1" x14ac:dyDescent="0.25">
      <c r="A2497" t="s">
        <v>1569</v>
      </c>
      <c r="B2497" t="s">
        <v>4134</v>
      </c>
      <c r="C2497" t="s">
        <v>5010</v>
      </c>
      <c r="F2497" t="s">
        <v>7778</v>
      </c>
      <c r="G2497" t="s">
        <v>1075</v>
      </c>
    </row>
    <row r="2498" spans="1:7" hidden="1" x14ac:dyDescent="0.25">
      <c r="A2498" t="s">
        <v>6092</v>
      </c>
      <c r="B2498" t="s">
        <v>4134</v>
      </c>
      <c r="C2498" t="s">
        <v>5010</v>
      </c>
      <c r="E2498" t="s">
        <v>5405</v>
      </c>
      <c r="F2498" t="s">
        <v>7781</v>
      </c>
      <c r="G2498" t="s">
        <v>1075</v>
      </c>
    </row>
    <row r="2499" spans="1:7" hidden="1" x14ac:dyDescent="0.25">
      <c r="A2499" t="s">
        <v>622</v>
      </c>
      <c r="B2499" t="s">
        <v>4134</v>
      </c>
      <c r="C2499" t="s">
        <v>5010</v>
      </c>
      <c r="F2499" t="s">
        <v>7784</v>
      </c>
      <c r="G2499" t="s">
        <v>1075</v>
      </c>
    </row>
    <row r="2500" spans="1:7" hidden="1" x14ac:dyDescent="0.25">
      <c r="A2500" t="s">
        <v>7944</v>
      </c>
      <c r="B2500" t="s">
        <v>6248</v>
      </c>
      <c r="C2500" t="s">
        <v>5010</v>
      </c>
      <c r="F2500" t="s">
        <v>7787</v>
      </c>
      <c r="G2500" t="s">
        <v>1075</v>
      </c>
    </row>
    <row r="2501" spans="1:7" hidden="1" x14ac:dyDescent="0.25">
      <c r="A2501" t="s">
        <v>1569</v>
      </c>
      <c r="B2501" t="s">
        <v>4134</v>
      </c>
      <c r="C2501" t="s">
        <v>5010</v>
      </c>
      <c r="F2501" t="s">
        <v>7790</v>
      </c>
      <c r="G2501" t="s">
        <v>1075</v>
      </c>
    </row>
    <row r="2502" spans="1:7" hidden="1" x14ac:dyDescent="0.25">
      <c r="A2502" t="s">
        <v>622</v>
      </c>
      <c r="B2502" t="s">
        <v>4134</v>
      </c>
      <c r="C2502" t="s">
        <v>5010</v>
      </c>
      <c r="F2502" t="s">
        <v>7793</v>
      </c>
      <c r="G2502" t="s">
        <v>1075</v>
      </c>
    </row>
    <row r="2503" spans="1:7" x14ac:dyDescent="0.25">
      <c r="A2503" t="s">
        <v>1967</v>
      </c>
      <c r="B2503" t="s">
        <v>8</v>
      </c>
      <c r="F2503" t="s">
        <v>7850</v>
      </c>
      <c r="G2503" t="s">
        <v>13425</v>
      </c>
    </row>
    <row r="2504" spans="1:7" x14ac:dyDescent="0.25">
      <c r="A2504" t="s">
        <v>1967</v>
      </c>
      <c r="B2504" t="s">
        <v>8</v>
      </c>
      <c r="F2504" t="s">
        <v>7852</v>
      </c>
      <c r="G2504" t="s">
        <v>13425</v>
      </c>
    </row>
    <row r="2505" spans="1:7" x14ac:dyDescent="0.25">
      <c r="A2505" t="s">
        <v>4</v>
      </c>
      <c r="B2505" t="s">
        <v>503</v>
      </c>
      <c r="F2505" t="s">
        <v>7854</v>
      </c>
      <c r="G2505" t="s">
        <v>13425</v>
      </c>
    </row>
    <row r="2506" spans="1:7" x14ac:dyDescent="0.25">
      <c r="A2506" t="s">
        <v>1967</v>
      </c>
      <c r="B2506" t="s">
        <v>8</v>
      </c>
      <c r="F2506" t="s">
        <v>7856</v>
      </c>
      <c r="G2506" t="s">
        <v>13425</v>
      </c>
    </row>
    <row r="2507" spans="1:7" hidden="1" x14ac:dyDescent="0.25">
      <c r="A2507" t="s">
        <v>7944</v>
      </c>
      <c r="B2507" t="s">
        <v>6574</v>
      </c>
      <c r="C2507" t="s">
        <v>5010</v>
      </c>
      <c r="F2507" t="s">
        <v>7894</v>
      </c>
      <c r="G2507" t="s">
        <v>1076</v>
      </c>
    </row>
    <row r="2508" spans="1:7" hidden="1" x14ac:dyDescent="0.25">
      <c r="A2508" t="s">
        <v>4</v>
      </c>
      <c r="B2508" t="s">
        <v>6574</v>
      </c>
      <c r="C2508" t="s">
        <v>5010</v>
      </c>
      <c r="E2508" t="s">
        <v>7945</v>
      </c>
      <c r="F2508" t="s">
        <v>7897</v>
      </c>
      <c r="G2508" t="s">
        <v>1076</v>
      </c>
    </row>
    <row r="2509" spans="1:7" hidden="1" x14ac:dyDescent="0.25">
      <c r="A2509" t="s">
        <v>4</v>
      </c>
      <c r="B2509" t="s">
        <v>4134</v>
      </c>
      <c r="C2509" t="s">
        <v>5010</v>
      </c>
      <c r="F2509" t="s">
        <v>7900</v>
      </c>
      <c r="G2509" t="s">
        <v>1076</v>
      </c>
    </row>
    <row r="2510" spans="1:7" hidden="1" x14ac:dyDescent="0.25">
      <c r="A2510" t="s">
        <v>4</v>
      </c>
      <c r="B2510" t="s">
        <v>8</v>
      </c>
      <c r="E2510" t="s">
        <v>7946</v>
      </c>
      <c r="F2510" t="s">
        <v>7903</v>
      </c>
      <c r="G2510" t="s">
        <v>1076</v>
      </c>
    </row>
    <row r="2511" spans="1:7" hidden="1" x14ac:dyDescent="0.25">
      <c r="A2511" t="s">
        <v>622</v>
      </c>
      <c r="B2511" t="s">
        <v>6111</v>
      </c>
      <c r="C2511" t="s">
        <v>51</v>
      </c>
      <c r="F2511" t="s">
        <v>7906</v>
      </c>
      <c r="G2511" t="s">
        <v>1076</v>
      </c>
    </row>
    <row r="2512" spans="1:7" hidden="1" x14ac:dyDescent="0.25">
      <c r="A2512" t="s">
        <v>1569</v>
      </c>
      <c r="B2512" t="s">
        <v>7943</v>
      </c>
      <c r="F2512" t="s">
        <v>7909</v>
      </c>
      <c r="G2512" t="s">
        <v>1076</v>
      </c>
    </row>
    <row r="2513" spans="1:7" hidden="1" x14ac:dyDescent="0.25">
      <c r="A2513" t="s">
        <v>622</v>
      </c>
      <c r="B2513" t="s">
        <v>7943</v>
      </c>
      <c r="F2513" t="s">
        <v>7912</v>
      </c>
      <c r="G2513" t="s">
        <v>1076</v>
      </c>
    </row>
    <row r="2514" spans="1:7" hidden="1" x14ac:dyDescent="0.25">
      <c r="A2514" t="s">
        <v>1569</v>
      </c>
      <c r="B2514" t="s">
        <v>6111</v>
      </c>
      <c r="F2514" t="s">
        <v>7915</v>
      </c>
      <c r="G2514" t="s">
        <v>1076</v>
      </c>
    </row>
    <row r="2515" spans="1:7" hidden="1" x14ac:dyDescent="0.25">
      <c r="A2515" t="s">
        <v>1967</v>
      </c>
      <c r="B2515" t="s">
        <v>8</v>
      </c>
      <c r="F2515" t="s">
        <v>7835</v>
      </c>
      <c r="G2515" t="s">
        <v>1077</v>
      </c>
    </row>
    <row r="2516" spans="1:7" hidden="1" x14ac:dyDescent="0.25">
      <c r="A2516" t="s">
        <v>7944</v>
      </c>
      <c r="B2516" t="s">
        <v>6574</v>
      </c>
      <c r="F2516" t="s">
        <v>7838</v>
      </c>
      <c r="G2516" t="s">
        <v>1077</v>
      </c>
    </row>
    <row r="2517" spans="1:7" hidden="1" x14ac:dyDescent="0.25">
      <c r="A2517" t="s">
        <v>4</v>
      </c>
      <c r="B2517" t="s">
        <v>7947</v>
      </c>
      <c r="F2517" t="s">
        <v>7841</v>
      </c>
      <c r="G2517" t="s">
        <v>1077</v>
      </c>
    </row>
    <row r="2518" spans="1:7" hidden="1" x14ac:dyDescent="0.25">
      <c r="A2518" t="s">
        <v>4</v>
      </c>
      <c r="B2518" t="s">
        <v>7947</v>
      </c>
      <c r="F2518" t="s">
        <v>7844</v>
      </c>
      <c r="G2518" t="s">
        <v>1077</v>
      </c>
    </row>
    <row r="2519" spans="1:7" hidden="1" x14ac:dyDescent="0.25">
      <c r="A2519" t="s">
        <v>4</v>
      </c>
      <c r="B2519" t="s">
        <v>7947</v>
      </c>
      <c r="F2519" t="s">
        <v>7847</v>
      </c>
      <c r="G2519" t="s">
        <v>1077</v>
      </c>
    </row>
    <row r="2520" spans="1:7" hidden="1" x14ac:dyDescent="0.25">
      <c r="A2520" t="s">
        <v>1967</v>
      </c>
      <c r="B2520" t="s">
        <v>8</v>
      </c>
      <c r="F2520" t="s">
        <v>7918</v>
      </c>
      <c r="G2520" t="s">
        <v>1078</v>
      </c>
    </row>
    <row r="2521" spans="1:7" hidden="1" x14ac:dyDescent="0.25">
      <c r="A2521" t="s">
        <v>1967</v>
      </c>
      <c r="B2521" t="s">
        <v>8</v>
      </c>
      <c r="F2521" t="s">
        <v>7921</v>
      </c>
      <c r="G2521" t="s">
        <v>1078</v>
      </c>
    </row>
    <row r="2522" spans="1:7" hidden="1" x14ac:dyDescent="0.25">
      <c r="A2522" t="s">
        <v>1967</v>
      </c>
      <c r="B2522" t="s">
        <v>8</v>
      </c>
      <c r="F2522" t="s">
        <v>7948</v>
      </c>
      <c r="G2522" t="s">
        <v>1079</v>
      </c>
    </row>
    <row r="2523" spans="1:7" hidden="1" x14ac:dyDescent="0.25">
      <c r="A2523" t="s">
        <v>1967</v>
      </c>
      <c r="B2523" t="s">
        <v>8</v>
      </c>
      <c r="F2523" t="s">
        <v>7951</v>
      </c>
      <c r="G2523" t="s">
        <v>1079</v>
      </c>
    </row>
    <row r="2524" spans="1:7" hidden="1" x14ac:dyDescent="0.25">
      <c r="A2524" t="s">
        <v>1967</v>
      </c>
      <c r="B2524" t="s">
        <v>9</v>
      </c>
      <c r="F2524" t="s">
        <v>7924</v>
      </c>
      <c r="G2524" t="s">
        <v>768</v>
      </c>
    </row>
    <row r="2525" spans="1:7" hidden="1" x14ac:dyDescent="0.25">
      <c r="A2525" t="s">
        <v>1967</v>
      </c>
      <c r="B2525" t="s">
        <v>9</v>
      </c>
      <c r="F2525" t="s">
        <v>7927</v>
      </c>
      <c r="G2525" t="s">
        <v>768</v>
      </c>
    </row>
    <row r="2526" spans="1:7" hidden="1" x14ac:dyDescent="0.25">
      <c r="A2526" t="s">
        <v>1967</v>
      </c>
      <c r="B2526" t="s">
        <v>86</v>
      </c>
      <c r="F2526" t="s">
        <v>7858</v>
      </c>
      <c r="G2526" t="s">
        <v>1072</v>
      </c>
    </row>
    <row r="2527" spans="1:7" hidden="1" x14ac:dyDescent="0.25">
      <c r="A2527" t="s">
        <v>1967</v>
      </c>
      <c r="B2527" t="s">
        <v>86</v>
      </c>
      <c r="F2527" t="s">
        <v>7861</v>
      </c>
      <c r="G2527" t="s">
        <v>1072</v>
      </c>
    </row>
    <row r="2528" spans="1:7" hidden="1" x14ac:dyDescent="0.25">
      <c r="A2528" t="s">
        <v>1569</v>
      </c>
      <c r="B2528" t="s">
        <v>6574</v>
      </c>
      <c r="C2528" t="s">
        <v>5010</v>
      </c>
      <c r="F2528" t="s">
        <v>7930</v>
      </c>
      <c r="G2528" s="1" t="s">
        <v>1566</v>
      </c>
    </row>
    <row r="2529" spans="1:7" hidden="1" x14ac:dyDescent="0.25">
      <c r="A2529" t="s">
        <v>7944</v>
      </c>
      <c r="B2529" t="s">
        <v>6574</v>
      </c>
      <c r="C2529" t="s">
        <v>5010</v>
      </c>
      <c r="E2529" t="s">
        <v>7954</v>
      </c>
      <c r="F2529" t="s">
        <v>7933</v>
      </c>
      <c r="G2529" s="1" t="s">
        <v>1566</v>
      </c>
    </row>
    <row r="2530" spans="1:7" hidden="1" x14ac:dyDescent="0.25">
      <c r="A2530" t="s">
        <v>622</v>
      </c>
      <c r="B2530" t="s">
        <v>6574</v>
      </c>
      <c r="C2530" t="s">
        <v>5010</v>
      </c>
      <c r="F2530" t="s">
        <v>7936</v>
      </c>
      <c r="G2530" s="1" t="s">
        <v>1566</v>
      </c>
    </row>
    <row r="2531" spans="1:7" hidden="1" x14ac:dyDescent="0.25">
      <c r="A2531" t="s">
        <v>4</v>
      </c>
      <c r="B2531" t="s">
        <v>1570</v>
      </c>
      <c r="C2531" t="s">
        <v>7955</v>
      </c>
      <c r="F2531" t="s">
        <v>7939</v>
      </c>
      <c r="G2531" s="1" t="s">
        <v>1566</v>
      </c>
    </row>
    <row r="2532" spans="1:7" hidden="1" x14ac:dyDescent="0.25">
      <c r="A2532" t="s">
        <v>7944</v>
      </c>
      <c r="B2532" t="s">
        <v>6574</v>
      </c>
      <c r="C2532" t="s">
        <v>5010</v>
      </c>
      <c r="F2532" t="s">
        <v>7864</v>
      </c>
      <c r="G2532" t="s">
        <v>1780</v>
      </c>
    </row>
    <row r="2533" spans="1:7" hidden="1" x14ac:dyDescent="0.25">
      <c r="A2533" t="s">
        <v>4</v>
      </c>
      <c r="B2533" t="s">
        <v>7947</v>
      </c>
      <c r="F2533" t="s">
        <v>7867</v>
      </c>
      <c r="G2533" t="s">
        <v>1780</v>
      </c>
    </row>
    <row r="2534" spans="1:7" hidden="1" x14ac:dyDescent="0.25">
      <c r="A2534" t="s">
        <v>4</v>
      </c>
      <c r="B2534" t="s">
        <v>8</v>
      </c>
      <c r="F2534" t="s">
        <v>7870</v>
      </c>
      <c r="G2534" t="s">
        <v>1780</v>
      </c>
    </row>
    <row r="2535" spans="1:7" hidden="1" x14ac:dyDescent="0.25">
      <c r="A2535" t="s">
        <v>4</v>
      </c>
      <c r="B2535" t="s">
        <v>8</v>
      </c>
      <c r="F2535" t="s">
        <v>7873</v>
      </c>
      <c r="G2535" t="s">
        <v>1897</v>
      </c>
    </row>
    <row r="2536" spans="1:7" hidden="1" x14ac:dyDescent="0.25">
      <c r="A2536" t="s">
        <v>4</v>
      </c>
      <c r="B2536" t="s">
        <v>12</v>
      </c>
      <c r="F2536" t="s">
        <v>7876</v>
      </c>
      <c r="G2536" t="s">
        <v>1897</v>
      </c>
    </row>
    <row r="2537" spans="1:7" hidden="1" x14ac:dyDescent="0.25">
      <c r="A2537" t="s">
        <v>4</v>
      </c>
      <c r="B2537" t="s">
        <v>8</v>
      </c>
      <c r="F2537" t="s">
        <v>7879</v>
      </c>
      <c r="G2537" t="s">
        <v>1897</v>
      </c>
    </row>
    <row r="2538" spans="1:7" hidden="1" x14ac:dyDescent="0.25">
      <c r="A2538" t="s">
        <v>4</v>
      </c>
      <c r="B2538" t="s">
        <v>12</v>
      </c>
      <c r="F2538" t="s">
        <v>7882</v>
      </c>
      <c r="G2538" t="s">
        <v>1897</v>
      </c>
    </row>
    <row r="2539" spans="1:7" hidden="1" x14ac:dyDescent="0.25">
      <c r="A2539" t="s">
        <v>4</v>
      </c>
      <c r="B2539" t="s">
        <v>8</v>
      </c>
      <c r="F2539" t="s">
        <v>7885</v>
      </c>
      <c r="G2539" t="s">
        <v>1960</v>
      </c>
    </row>
    <row r="2540" spans="1:7" hidden="1" x14ac:dyDescent="0.25">
      <c r="A2540" t="s">
        <v>4</v>
      </c>
      <c r="B2540" t="s">
        <v>8</v>
      </c>
      <c r="F2540" t="s">
        <v>7888</v>
      </c>
      <c r="G2540" t="s">
        <v>1960</v>
      </c>
    </row>
    <row r="2541" spans="1:7" hidden="1" x14ac:dyDescent="0.25">
      <c r="A2541" t="s">
        <v>4</v>
      </c>
      <c r="B2541" t="s">
        <v>8</v>
      </c>
      <c r="F2541" t="s">
        <v>7891</v>
      </c>
      <c r="G2541" t="s">
        <v>1960</v>
      </c>
    </row>
    <row r="2542" spans="1:7" hidden="1" x14ac:dyDescent="0.25">
      <c r="A2542" t="s">
        <v>91</v>
      </c>
      <c r="B2542" t="s">
        <v>70</v>
      </c>
      <c r="C2542" t="s">
        <v>58</v>
      </c>
      <c r="F2542" t="s">
        <v>7956</v>
      </c>
      <c r="G2542" t="s">
        <v>1074</v>
      </c>
    </row>
    <row r="2543" spans="1:7" hidden="1" x14ac:dyDescent="0.25">
      <c r="A2543" t="s">
        <v>62</v>
      </c>
      <c r="B2543" t="s">
        <v>70</v>
      </c>
      <c r="C2543" t="s">
        <v>51</v>
      </c>
      <c r="F2543" t="s">
        <v>7959</v>
      </c>
      <c r="G2543" t="s">
        <v>1074</v>
      </c>
    </row>
    <row r="2544" spans="1:7" hidden="1" x14ac:dyDescent="0.25">
      <c r="A2544" t="s">
        <v>91</v>
      </c>
      <c r="B2544" t="s">
        <v>70</v>
      </c>
      <c r="C2544" t="s">
        <v>5010</v>
      </c>
      <c r="F2544" t="s">
        <v>7962</v>
      </c>
      <c r="G2544" t="s">
        <v>1074</v>
      </c>
    </row>
    <row r="2545" spans="1:7" hidden="1" x14ac:dyDescent="0.25">
      <c r="A2545" t="s">
        <v>62</v>
      </c>
      <c r="B2545" t="s">
        <v>70</v>
      </c>
      <c r="C2545" t="s">
        <v>5010</v>
      </c>
      <c r="F2545" t="s">
        <v>7965</v>
      </c>
      <c r="G2545" t="s">
        <v>1074</v>
      </c>
    </row>
    <row r="2546" spans="1:7" hidden="1" x14ac:dyDescent="0.25">
      <c r="A2546" t="s">
        <v>62</v>
      </c>
      <c r="B2546" t="s">
        <v>6111</v>
      </c>
      <c r="C2546" t="s">
        <v>51</v>
      </c>
      <c r="F2546" t="s">
        <v>7968</v>
      </c>
      <c r="G2546" t="s">
        <v>1074</v>
      </c>
    </row>
    <row r="2547" spans="1:7" hidden="1" x14ac:dyDescent="0.25">
      <c r="A2547" t="s">
        <v>91</v>
      </c>
      <c r="B2547" t="s">
        <v>6111</v>
      </c>
      <c r="C2547" t="s">
        <v>51</v>
      </c>
      <c r="F2547" t="s">
        <v>7971</v>
      </c>
      <c r="G2547" t="s">
        <v>1074</v>
      </c>
    </row>
    <row r="2548" spans="1:7" hidden="1" x14ac:dyDescent="0.25">
      <c r="A2548" t="s">
        <v>1967</v>
      </c>
      <c r="F2548" t="s">
        <v>7974</v>
      </c>
      <c r="G2548" t="s">
        <v>1074</v>
      </c>
    </row>
    <row r="2549" spans="1:7" hidden="1" x14ac:dyDescent="0.25">
      <c r="A2549" t="s">
        <v>1967</v>
      </c>
      <c r="F2549" t="s">
        <v>7977</v>
      </c>
      <c r="G2549" t="s">
        <v>1074</v>
      </c>
    </row>
    <row r="2550" spans="1:7" hidden="1" x14ac:dyDescent="0.25">
      <c r="A2550" t="s">
        <v>505</v>
      </c>
      <c r="B2550" t="s">
        <v>503</v>
      </c>
      <c r="C2550" t="s">
        <v>1584</v>
      </c>
      <c r="E2550" t="s">
        <v>1583</v>
      </c>
      <c r="F2550" t="s">
        <v>7980</v>
      </c>
      <c r="G2550" t="s">
        <v>1075</v>
      </c>
    </row>
    <row r="2551" spans="1:7" hidden="1" x14ac:dyDescent="0.25">
      <c r="A2551" t="s">
        <v>1967</v>
      </c>
      <c r="B2551" t="s">
        <v>8</v>
      </c>
      <c r="F2551" t="s">
        <v>7983</v>
      </c>
      <c r="G2551" t="s">
        <v>1075</v>
      </c>
    </row>
    <row r="2552" spans="1:7" hidden="1" x14ac:dyDescent="0.25">
      <c r="A2552" t="s">
        <v>1967</v>
      </c>
      <c r="B2552" t="s">
        <v>8</v>
      </c>
      <c r="F2552" t="s">
        <v>7986</v>
      </c>
      <c r="G2552" t="s">
        <v>1075</v>
      </c>
    </row>
    <row r="2553" spans="1:7" hidden="1" x14ac:dyDescent="0.25">
      <c r="A2553" t="s">
        <v>1967</v>
      </c>
      <c r="B2553" t="s">
        <v>8</v>
      </c>
      <c r="F2553" t="s">
        <v>7989</v>
      </c>
      <c r="G2553" t="s">
        <v>1075</v>
      </c>
    </row>
    <row r="2554" spans="1:7" x14ac:dyDescent="0.25">
      <c r="A2554" t="s">
        <v>1967</v>
      </c>
      <c r="B2554" t="s">
        <v>8</v>
      </c>
      <c r="F2554" t="s">
        <v>8010</v>
      </c>
      <c r="G2554" t="s">
        <v>13425</v>
      </c>
    </row>
    <row r="2555" spans="1:7" x14ac:dyDescent="0.25">
      <c r="A2555" t="s">
        <v>1967</v>
      </c>
      <c r="B2555" t="s">
        <v>8</v>
      </c>
      <c r="F2555" t="s">
        <v>8012</v>
      </c>
      <c r="G2555" t="s">
        <v>13425</v>
      </c>
    </row>
    <row r="2556" spans="1:7" x14ac:dyDescent="0.25">
      <c r="A2556" t="s">
        <v>1967</v>
      </c>
      <c r="B2556" t="s">
        <v>8</v>
      </c>
      <c r="F2556" t="s">
        <v>8014</v>
      </c>
      <c r="G2556" t="s">
        <v>13425</v>
      </c>
    </row>
    <row r="2557" spans="1:7" x14ac:dyDescent="0.25">
      <c r="A2557" t="s">
        <v>1967</v>
      </c>
      <c r="B2557" t="s">
        <v>8</v>
      </c>
      <c r="F2557" t="s">
        <v>8016</v>
      </c>
      <c r="G2557" t="s">
        <v>13425</v>
      </c>
    </row>
    <row r="2558" spans="1:7" hidden="1" x14ac:dyDescent="0.25">
      <c r="A2558" t="s">
        <v>4</v>
      </c>
      <c r="B2558" t="s">
        <v>1570</v>
      </c>
      <c r="C2558" t="s">
        <v>8228</v>
      </c>
      <c r="F2558" t="s">
        <v>7992</v>
      </c>
      <c r="G2558" t="s">
        <v>1076</v>
      </c>
    </row>
    <row r="2559" spans="1:7" hidden="1" x14ac:dyDescent="0.25">
      <c r="A2559" t="s">
        <v>4</v>
      </c>
      <c r="B2559" t="s">
        <v>8</v>
      </c>
      <c r="F2559" t="s">
        <v>7995</v>
      </c>
      <c r="G2559" t="s">
        <v>1076</v>
      </c>
    </row>
    <row r="2560" spans="1:7" hidden="1" x14ac:dyDescent="0.25">
      <c r="A2560" t="s">
        <v>1967</v>
      </c>
      <c r="B2560" t="s">
        <v>8</v>
      </c>
      <c r="F2560" t="s">
        <v>7998</v>
      </c>
      <c r="G2560" t="s">
        <v>1076</v>
      </c>
    </row>
    <row r="2561" spans="1:7" hidden="1" x14ac:dyDescent="0.25">
      <c r="A2561" t="s">
        <v>1967</v>
      </c>
      <c r="B2561" t="s">
        <v>8</v>
      </c>
      <c r="F2561" t="s">
        <v>8001</v>
      </c>
      <c r="G2561" t="s">
        <v>1076</v>
      </c>
    </row>
    <row r="2562" spans="1:7" hidden="1" x14ac:dyDescent="0.25">
      <c r="A2562" t="s">
        <v>1967</v>
      </c>
      <c r="B2562" t="s">
        <v>8</v>
      </c>
      <c r="F2562" t="s">
        <v>8004</v>
      </c>
      <c r="G2562" t="s">
        <v>1076</v>
      </c>
    </row>
    <row r="2563" spans="1:7" hidden="1" x14ac:dyDescent="0.25">
      <c r="A2563" t="s">
        <v>1967</v>
      </c>
      <c r="B2563" t="s">
        <v>8</v>
      </c>
      <c r="F2563" t="s">
        <v>8007</v>
      </c>
      <c r="G2563" t="s">
        <v>1076</v>
      </c>
    </row>
    <row r="2564" spans="1:7" hidden="1" x14ac:dyDescent="0.25">
      <c r="A2564" t="s">
        <v>4</v>
      </c>
      <c r="B2564" t="s">
        <v>8229</v>
      </c>
      <c r="F2564" t="s">
        <v>8183</v>
      </c>
      <c r="G2564" t="s">
        <v>1077</v>
      </c>
    </row>
    <row r="2565" spans="1:7" hidden="1" x14ac:dyDescent="0.25">
      <c r="A2565" t="s">
        <v>4</v>
      </c>
      <c r="B2565" t="s">
        <v>8229</v>
      </c>
      <c r="F2565" t="s">
        <v>8186</v>
      </c>
      <c r="G2565" t="s">
        <v>1077</v>
      </c>
    </row>
    <row r="2566" spans="1:7" hidden="1" x14ac:dyDescent="0.25">
      <c r="A2566" t="s">
        <v>1967</v>
      </c>
      <c r="B2566" t="s">
        <v>8</v>
      </c>
      <c r="F2566" t="s">
        <v>8189</v>
      </c>
      <c r="G2566" t="s">
        <v>1077</v>
      </c>
    </row>
    <row r="2567" spans="1:7" hidden="1" x14ac:dyDescent="0.25">
      <c r="A2567" t="s">
        <v>4</v>
      </c>
      <c r="B2567" t="s">
        <v>1570</v>
      </c>
      <c r="C2567" t="s">
        <v>7083</v>
      </c>
      <c r="F2567" t="s">
        <v>8192</v>
      </c>
      <c r="G2567" t="s">
        <v>1077</v>
      </c>
    </row>
    <row r="2568" spans="1:7" hidden="1" x14ac:dyDescent="0.25">
      <c r="A2568" t="s">
        <v>1967</v>
      </c>
      <c r="B2568" t="s">
        <v>8</v>
      </c>
      <c r="F2568" t="s">
        <v>8195</v>
      </c>
      <c r="G2568" t="s">
        <v>1077</v>
      </c>
    </row>
    <row r="2569" spans="1:7" hidden="1" x14ac:dyDescent="0.25">
      <c r="A2569" t="s">
        <v>1967</v>
      </c>
      <c r="B2569" t="s">
        <v>8</v>
      </c>
      <c r="F2569" t="s">
        <v>8198</v>
      </c>
      <c r="G2569" t="s">
        <v>1077</v>
      </c>
    </row>
    <row r="2570" spans="1:7" hidden="1" x14ac:dyDescent="0.25">
      <c r="A2570" t="s">
        <v>1967</v>
      </c>
      <c r="B2570" t="s">
        <v>8</v>
      </c>
      <c r="F2570" t="s">
        <v>8201</v>
      </c>
      <c r="G2570" t="s">
        <v>1078</v>
      </c>
    </row>
    <row r="2571" spans="1:7" hidden="1" x14ac:dyDescent="0.25">
      <c r="A2571" t="s">
        <v>1967</v>
      </c>
      <c r="B2571" t="s">
        <v>8</v>
      </c>
      <c r="F2571" t="s">
        <v>8204</v>
      </c>
      <c r="G2571" t="s">
        <v>1078</v>
      </c>
    </row>
    <row r="2572" spans="1:7" hidden="1" x14ac:dyDescent="0.25">
      <c r="A2572" t="s">
        <v>1967</v>
      </c>
      <c r="B2572" t="s">
        <v>8</v>
      </c>
      <c r="F2572" t="s">
        <v>8207</v>
      </c>
      <c r="G2572" t="s">
        <v>1078</v>
      </c>
    </row>
    <row r="2573" spans="1:7" hidden="1" x14ac:dyDescent="0.25">
      <c r="A2573" t="s">
        <v>1967</v>
      </c>
      <c r="B2573" t="s">
        <v>8</v>
      </c>
      <c r="F2573" t="s">
        <v>8210</v>
      </c>
      <c r="G2573" t="s">
        <v>1078</v>
      </c>
    </row>
    <row r="2574" spans="1:7" hidden="1" x14ac:dyDescent="0.25">
      <c r="A2574" t="s">
        <v>1967</v>
      </c>
      <c r="B2574" t="s">
        <v>8</v>
      </c>
      <c r="F2574" t="s">
        <v>8234</v>
      </c>
      <c r="G2574" t="s">
        <v>1079</v>
      </c>
    </row>
    <row r="2575" spans="1:7" hidden="1" x14ac:dyDescent="0.25">
      <c r="A2575" t="s">
        <v>1967</v>
      </c>
      <c r="B2575" t="s">
        <v>8</v>
      </c>
      <c r="F2575" t="s">
        <v>8237</v>
      </c>
      <c r="G2575" t="s">
        <v>1079</v>
      </c>
    </row>
    <row r="2576" spans="1:7" hidden="1" x14ac:dyDescent="0.25">
      <c r="A2576" t="s">
        <v>1967</v>
      </c>
      <c r="B2576" t="s">
        <v>8</v>
      </c>
      <c r="F2576" t="s">
        <v>8240</v>
      </c>
      <c r="G2576" t="s">
        <v>1079</v>
      </c>
    </row>
    <row r="2577" spans="1:7" hidden="1" x14ac:dyDescent="0.25">
      <c r="A2577" t="s">
        <v>1967</v>
      </c>
      <c r="B2577" t="s">
        <v>8</v>
      </c>
      <c r="F2577" t="s">
        <v>8244</v>
      </c>
      <c r="G2577" t="s">
        <v>1079</v>
      </c>
    </row>
    <row r="2578" spans="1:7" hidden="1" x14ac:dyDescent="0.25">
      <c r="A2578" t="s">
        <v>1967</v>
      </c>
      <c r="B2578" t="s">
        <v>8</v>
      </c>
      <c r="F2578" t="s">
        <v>8246</v>
      </c>
      <c r="G2578" t="s">
        <v>1079</v>
      </c>
    </row>
    <row r="2579" spans="1:7" hidden="1" x14ac:dyDescent="0.25">
      <c r="A2579" t="s">
        <v>7080</v>
      </c>
      <c r="F2579" t="s">
        <v>8042</v>
      </c>
      <c r="G2579" t="s">
        <v>768</v>
      </c>
    </row>
    <row r="2580" spans="1:7" hidden="1" x14ac:dyDescent="0.25">
      <c r="A2580" t="s">
        <v>1063</v>
      </c>
      <c r="B2580" t="s">
        <v>53</v>
      </c>
      <c r="D2580">
        <v>5</v>
      </c>
      <c r="F2580" t="s">
        <v>8045</v>
      </c>
      <c r="G2580" t="s">
        <v>768</v>
      </c>
    </row>
    <row r="2581" spans="1:7" hidden="1" x14ac:dyDescent="0.25">
      <c r="A2581" t="s">
        <v>4</v>
      </c>
      <c r="B2581" t="s">
        <v>503</v>
      </c>
      <c r="F2581" t="s">
        <v>8048</v>
      </c>
      <c r="G2581" t="s">
        <v>768</v>
      </c>
    </row>
    <row r="2582" spans="1:7" hidden="1" x14ac:dyDescent="0.25">
      <c r="A2582" t="s">
        <v>1967</v>
      </c>
      <c r="B2582" t="s">
        <v>9</v>
      </c>
      <c r="F2582" t="s">
        <v>8051</v>
      </c>
      <c r="G2582" t="s">
        <v>768</v>
      </c>
    </row>
    <row r="2583" spans="1:7" hidden="1" x14ac:dyDescent="0.25">
      <c r="A2583" t="s">
        <v>1967</v>
      </c>
      <c r="B2583" t="s">
        <v>9</v>
      </c>
      <c r="F2583" t="s">
        <v>8230</v>
      </c>
      <c r="G2583" t="s">
        <v>768</v>
      </c>
    </row>
    <row r="2584" spans="1:7" hidden="1" x14ac:dyDescent="0.25">
      <c r="A2584" t="s">
        <v>1967</v>
      </c>
      <c r="B2584" t="s">
        <v>9</v>
      </c>
      <c r="F2584" t="s">
        <v>8054</v>
      </c>
      <c r="G2584" t="s">
        <v>768</v>
      </c>
    </row>
    <row r="2585" spans="1:7" hidden="1" x14ac:dyDescent="0.25">
      <c r="A2585" t="s">
        <v>4</v>
      </c>
      <c r="B2585" t="s">
        <v>8233</v>
      </c>
      <c r="F2585" t="s">
        <v>8018</v>
      </c>
      <c r="G2585" t="s">
        <v>1072</v>
      </c>
    </row>
    <row r="2586" spans="1:7" hidden="1" x14ac:dyDescent="0.25">
      <c r="A2586" t="s">
        <v>1063</v>
      </c>
      <c r="B2586" t="s">
        <v>8233</v>
      </c>
      <c r="C2586" t="s">
        <v>53</v>
      </c>
      <c r="D2586">
        <v>2</v>
      </c>
      <c r="E2586" t="s">
        <v>8260</v>
      </c>
      <c r="F2586" t="s">
        <v>8021</v>
      </c>
      <c r="G2586" t="s">
        <v>1072</v>
      </c>
    </row>
    <row r="2587" spans="1:7" hidden="1" x14ac:dyDescent="0.25">
      <c r="A2587" t="s">
        <v>1063</v>
      </c>
      <c r="B2587" t="s">
        <v>8233</v>
      </c>
      <c r="C2587" t="s">
        <v>53</v>
      </c>
      <c r="D2587">
        <v>1</v>
      </c>
      <c r="F2587" t="s">
        <v>8024</v>
      </c>
      <c r="G2587" t="s">
        <v>1072</v>
      </c>
    </row>
    <row r="2588" spans="1:7" hidden="1" x14ac:dyDescent="0.25">
      <c r="A2588" t="s">
        <v>1063</v>
      </c>
      <c r="B2588" t="s">
        <v>8233</v>
      </c>
      <c r="C2588" t="s">
        <v>53</v>
      </c>
      <c r="D2588">
        <v>2</v>
      </c>
      <c r="F2588" t="s">
        <v>8027</v>
      </c>
      <c r="G2588" t="s">
        <v>1072</v>
      </c>
    </row>
    <row r="2589" spans="1:7" hidden="1" x14ac:dyDescent="0.25">
      <c r="A2589" t="s">
        <v>4</v>
      </c>
      <c r="B2589" t="s">
        <v>1570</v>
      </c>
      <c r="F2589" t="s">
        <v>8030</v>
      </c>
      <c r="G2589" t="s">
        <v>1072</v>
      </c>
    </row>
    <row r="2590" spans="1:7" hidden="1" x14ac:dyDescent="0.25">
      <c r="A2590" t="s">
        <v>1967</v>
      </c>
      <c r="B2590" t="s">
        <v>86</v>
      </c>
      <c r="E2590" t="s">
        <v>5410</v>
      </c>
      <c r="F2590" t="s">
        <v>8033</v>
      </c>
      <c r="G2590" t="s">
        <v>1072</v>
      </c>
    </row>
    <row r="2591" spans="1:7" hidden="1" x14ac:dyDescent="0.25">
      <c r="A2591" t="s">
        <v>1967</v>
      </c>
      <c r="B2591" t="s">
        <v>86</v>
      </c>
      <c r="E2591" t="s">
        <v>5410</v>
      </c>
      <c r="F2591" t="s">
        <v>8036</v>
      </c>
      <c r="G2591" t="s">
        <v>1072</v>
      </c>
    </row>
    <row r="2592" spans="1:7" hidden="1" x14ac:dyDescent="0.25">
      <c r="A2592" t="s">
        <v>1967</v>
      </c>
      <c r="B2592" t="s">
        <v>86</v>
      </c>
      <c r="E2592" t="s">
        <v>5410</v>
      </c>
      <c r="F2592" t="s">
        <v>8039</v>
      </c>
      <c r="G2592" t="s">
        <v>1072</v>
      </c>
    </row>
    <row r="2593" spans="1:7" hidden="1" x14ac:dyDescent="0.25">
      <c r="A2593" t="s">
        <v>1569</v>
      </c>
      <c r="B2593" t="s">
        <v>70</v>
      </c>
      <c r="F2593" t="s">
        <v>8096</v>
      </c>
      <c r="G2593" s="1" t="s">
        <v>1566</v>
      </c>
    </row>
    <row r="2594" spans="1:7" hidden="1" x14ac:dyDescent="0.25">
      <c r="A2594" t="s">
        <v>262</v>
      </c>
      <c r="B2594" t="s">
        <v>70</v>
      </c>
      <c r="C2594" t="s">
        <v>5027</v>
      </c>
      <c r="E2594" t="s">
        <v>2904</v>
      </c>
      <c r="F2594" t="s">
        <v>8099</v>
      </c>
      <c r="G2594" s="1" t="s">
        <v>1566</v>
      </c>
    </row>
    <row r="2595" spans="1:7" hidden="1" x14ac:dyDescent="0.25">
      <c r="A2595" t="s">
        <v>262</v>
      </c>
      <c r="B2595" t="s">
        <v>70</v>
      </c>
      <c r="C2595" t="s">
        <v>5027</v>
      </c>
      <c r="E2595" t="s">
        <v>2904</v>
      </c>
      <c r="F2595" t="s">
        <v>8102</v>
      </c>
      <c r="G2595" s="1" t="s">
        <v>1566</v>
      </c>
    </row>
    <row r="2596" spans="1:7" hidden="1" x14ac:dyDescent="0.25">
      <c r="A2596" t="s">
        <v>262</v>
      </c>
      <c r="B2596" t="s">
        <v>70</v>
      </c>
      <c r="C2596" t="s">
        <v>5027</v>
      </c>
      <c r="E2596" t="s">
        <v>2904</v>
      </c>
      <c r="F2596" t="s">
        <v>8105</v>
      </c>
      <c r="G2596" s="1" t="s">
        <v>1566</v>
      </c>
    </row>
    <row r="2597" spans="1:7" hidden="1" x14ac:dyDescent="0.25">
      <c r="A2597" t="s">
        <v>622</v>
      </c>
      <c r="B2597" t="s">
        <v>70</v>
      </c>
      <c r="F2597" t="s">
        <v>8108</v>
      </c>
      <c r="G2597" s="1" t="s">
        <v>1566</v>
      </c>
    </row>
    <row r="2598" spans="1:7" hidden="1" x14ac:dyDescent="0.25">
      <c r="A2598" t="s">
        <v>505</v>
      </c>
      <c r="B2598" t="s">
        <v>503</v>
      </c>
      <c r="C2598" t="s">
        <v>8248</v>
      </c>
      <c r="F2598" t="s">
        <v>8111</v>
      </c>
      <c r="G2598" s="1" t="s">
        <v>1566</v>
      </c>
    </row>
    <row r="2599" spans="1:7" hidden="1" x14ac:dyDescent="0.25">
      <c r="A2599" t="s">
        <v>4</v>
      </c>
      <c r="B2599" t="s">
        <v>503</v>
      </c>
      <c r="F2599" t="s">
        <v>8114</v>
      </c>
      <c r="G2599" s="1" t="s">
        <v>1566</v>
      </c>
    </row>
    <row r="2600" spans="1:7" hidden="1" x14ac:dyDescent="0.25">
      <c r="A2600" t="s">
        <v>4</v>
      </c>
      <c r="B2600" t="s">
        <v>8249</v>
      </c>
      <c r="F2600" t="s">
        <v>8117</v>
      </c>
      <c r="G2600" s="1" t="s">
        <v>1566</v>
      </c>
    </row>
    <row r="2601" spans="1:7" hidden="1" x14ac:dyDescent="0.25">
      <c r="A2601" t="s">
        <v>4</v>
      </c>
      <c r="B2601" t="s">
        <v>8249</v>
      </c>
      <c r="F2601" t="s">
        <v>8120</v>
      </c>
      <c r="G2601" s="1" t="s">
        <v>1566</v>
      </c>
    </row>
    <row r="2602" spans="1:7" hidden="1" x14ac:dyDescent="0.25">
      <c r="A2602" t="s">
        <v>4</v>
      </c>
      <c r="B2602" t="s">
        <v>8251</v>
      </c>
      <c r="F2602" t="s">
        <v>8123</v>
      </c>
      <c r="G2602" s="1" t="s">
        <v>1566</v>
      </c>
    </row>
    <row r="2603" spans="1:7" hidden="1" x14ac:dyDescent="0.25">
      <c r="A2603" t="s">
        <v>261</v>
      </c>
      <c r="B2603" t="s">
        <v>8250</v>
      </c>
      <c r="C2603" t="s">
        <v>1584</v>
      </c>
      <c r="F2603" t="s">
        <v>8126</v>
      </c>
      <c r="G2603" s="1" t="s">
        <v>1566</v>
      </c>
    </row>
    <row r="2604" spans="1:7" hidden="1" x14ac:dyDescent="0.25">
      <c r="A2604" t="s">
        <v>4</v>
      </c>
      <c r="B2604" t="s">
        <v>8</v>
      </c>
      <c r="F2604" t="s">
        <v>8129</v>
      </c>
      <c r="G2604" s="1" t="s">
        <v>1566</v>
      </c>
    </row>
    <row r="2605" spans="1:7" hidden="1" x14ac:dyDescent="0.25">
      <c r="A2605" t="s">
        <v>4</v>
      </c>
      <c r="B2605" t="s">
        <v>8</v>
      </c>
      <c r="F2605" t="s">
        <v>8132</v>
      </c>
      <c r="G2605" s="1" t="s">
        <v>1566</v>
      </c>
    </row>
    <row r="2606" spans="1:7" hidden="1" x14ac:dyDescent="0.25">
      <c r="A2606" t="s">
        <v>4</v>
      </c>
      <c r="B2606" t="s">
        <v>8</v>
      </c>
      <c r="F2606" t="s">
        <v>8135</v>
      </c>
      <c r="G2606" s="1" t="s">
        <v>1566</v>
      </c>
    </row>
    <row r="2607" spans="1:7" hidden="1" x14ac:dyDescent="0.25">
      <c r="A2607" t="s">
        <v>1569</v>
      </c>
      <c r="B2607" t="s">
        <v>70</v>
      </c>
      <c r="F2607" t="s">
        <v>8138</v>
      </c>
      <c r="G2607" s="1" t="s">
        <v>1566</v>
      </c>
    </row>
    <row r="2608" spans="1:7" hidden="1" x14ac:dyDescent="0.25">
      <c r="A2608" t="s">
        <v>262</v>
      </c>
      <c r="B2608" t="s">
        <v>70</v>
      </c>
      <c r="C2608" t="s">
        <v>5027</v>
      </c>
      <c r="F2608" t="s">
        <v>8141</v>
      </c>
      <c r="G2608" s="1" t="s">
        <v>1566</v>
      </c>
    </row>
    <row r="2609" spans="1:7" hidden="1" x14ac:dyDescent="0.25">
      <c r="A2609" t="s">
        <v>262</v>
      </c>
      <c r="B2609" t="s">
        <v>70</v>
      </c>
      <c r="C2609" t="s">
        <v>5027</v>
      </c>
      <c r="F2609" t="s">
        <v>8144</v>
      </c>
      <c r="G2609" s="1" t="s">
        <v>1566</v>
      </c>
    </row>
    <row r="2610" spans="1:7" hidden="1" x14ac:dyDescent="0.25">
      <c r="A2610" t="s">
        <v>262</v>
      </c>
      <c r="B2610" t="s">
        <v>70</v>
      </c>
      <c r="C2610" t="s">
        <v>5027</v>
      </c>
      <c r="F2610" t="s">
        <v>8147</v>
      </c>
      <c r="G2610" s="1" t="s">
        <v>1566</v>
      </c>
    </row>
    <row r="2611" spans="1:7" hidden="1" x14ac:dyDescent="0.25">
      <c r="A2611" t="s">
        <v>622</v>
      </c>
      <c r="B2611" t="s">
        <v>70</v>
      </c>
      <c r="F2611" t="s">
        <v>8150</v>
      </c>
      <c r="G2611" s="1" t="s">
        <v>1566</v>
      </c>
    </row>
    <row r="2612" spans="1:7" hidden="1" x14ac:dyDescent="0.25">
      <c r="A2612" t="s">
        <v>1569</v>
      </c>
      <c r="B2612" t="s">
        <v>8252</v>
      </c>
      <c r="E2612" t="s">
        <v>8253</v>
      </c>
      <c r="F2612" t="s">
        <v>8153</v>
      </c>
      <c r="G2612" s="1" t="s">
        <v>1566</v>
      </c>
    </row>
    <row r="2613" spans="1:7" hidden="1" x14ac:dyDescent="0.25">
      <c r="A2613" t="s">
        <v>6092</v>
      </c>
      <c r="B2613" t="s">
        <v>8252</v>
      </c>
      <c r="E2613" t="s">
        <v>8254</v>
      </c>
      <c r="F2613" t="s">
        <v>8156</v>
      </c>
      <c r="G2613" s="1" t="s">
        <v>1566</v>
      </c>
    </row>
    <row r="2614" spans="1:7" hidden="1" x14ac:dyDescent="0.25">
      <c r="A2614" t="s">
        <v>622</v>
      </c>
      <c r="B2614" t="s">
        <v>8252</v>
      </c>
      <c r="F2614" t="s">
        <v>8159</v>
      </c>
      <c r="G2614" s="1" t="s">
        <v>1566</v>
      </c>
    </row>
    <row r="2615" spans="1:7" hidden="1" x14ac:dyDescent="0.25">
      <c r="A2615" t="s">
        <v>8255</v>
      </c>
      <c r="B2615" t="s">
        <v>5027</v>
      </c>
      <c r="E2615" t="s">
        <v>8256</v>
      </c>
      <c r="F2615" t="s">
        <v>8162</v>
      </c>
      <c r="G2615" s="1" t="s">
        <v>1566</v>
      </c>
    </row>
    <row r="2616" spans="1:7" hidden="1" x14ac:dyDescent="0.25">
      <c r="A2616" t="s">
        <v>1967</v>
      </c>
      <c r="B2616" t="s">
        <v>8</v>
      </c>
      <c r="F2616" t="s">
        <v>8165</v>
      </c>
      <c r="G2616" s="1" t="s">
        <v>1566</v>
      </c>
    </row>
    <row r="2617" spans="1:7" hidden="1" x14ac:dyDescent="0.25">
      <c r="A2617" t="s">
        <v>1967</v>
      </c>
      <c r="B2617" t="s">
        <v>8</v>
      </c>
      <c r="F2617" t="s">
        <v>8168</v>
      </c>
      <c r="G2617" s="1" t="s">
        <v>1566</v>
      </c>
    </row>
    <row r="2618" spans="1:7" hidden="1" x14ac:dyDescent="0.25">
      <c r="A2618" t="s">
        <v>262</v>
      </c>
      <c r="B2618" t="s">
        <v>70</v>
      </c>
      <c r="C2618" t="s">
        <v>58</v>
      </c>
      <c r="E2618" t="s">
        <v>8257</v>
      </c>
      <c r="F2618" t="s">
        <v>8057</v>
      </c>
      <c r="G2618" t="s">
        <v>1780</v>
      </c>
    </row>
    <row r="2619" spans="1:7" hidden="1" x14ac:dyDescent="0.25">
      <c r="A2619" t="s">
        <v>262</v>
      </c>
      <c r="B2619" t="s">
        <v>70</v>
      </c>
      <c r="C2619" t="s">
        <v>58</v>
      </c>
      <c r="E2619" t="s">
        <v>2891</v>
      </c>
      <c r="F2619" t="s">
        <v>8060</v>
      </c>
      <c r="G2619" t="s">
        <v>1780</v>
      </c>
    </row>
    <row r="2620" spans="1:7" hidden="1" x14ac:dyDescent="0.25">
      <c r="A2620" t="s">
        <v>262</v>
      </c>
      <c r="B2620" t="s">
        <v>70</v>
      </c>
      <c r="C2620" t="s">
        <v>58</v>
      </c>
      <c r="E2620" t="s">
        <v>2891</v>
      </c>
      <c r="F2620" t="s">
        <v>8063</v>
      </c>
      <c r="G2620" t="s">
        <v>1780</v>
      </c>
    </row>
    <row r="2621" spans="1:7" hidden="1" x14ac:dyDescent="0.25">
      <c r="A2621" t="s">
        <v>262</v>
      </c>
      <c r="B2621" t="s">
        <v>70</v>
      </c>
      <c r="C2621" t="s">
        <v>58</v>
      </c>
      <c r="E2621" t="s">
        <v>2891</v>
      </c>
      <c r="F2621" t="s">
        <v>8066</v>
      </c>
      <c r="G2621" t="s">
        <v>1780</v>
      </c>
    </row>
    <row r="2622" spans="1:7" hidden="1" x14ac:dyDescent="0.25">
      <c r="A2622" t="s">
        <v>262</v>
      </c>
      <c r="B2622" t="s">
        <v>70</v>
      </c>
      <c r="C2622" t="s">
        <v>58</v>
      </c>
      <c r="E2622" t="s">
        <v>2891</v>
      </c>
      <c r="F2622" t="s">
        <v>8069</v>
      </c>
      <c r="G2622" t="s">
        <v>1780</v>
      </c>
    </row>
    <row r="2623" spans="1:7" hidden="1" x14ac:dyDescent="0.25">
      <c r="A2623" t="s">
        <v>262</v>
      </c>
      <c r="B2623" t="s">
        <v>70</v>
      </c>
      <c r="C2623" t="s">
        <v>58</v>
      </c>
      <c r="E2623" t="s">
        <v>2891</v>
      </c>
      <c r="F2623" t="s">
        <v>8072</v>
      </c>
      <c r="G2623" t="s">
        <v>1780</v>
      </c>
    </row>
    <row r="2624" spans="1:7" hidden="1" x14ac:dyDescent="0.25">
      <c r="A2624" t="s">
        <v>622</v>
      </c>
      <c r="B2624" t="s">
        <v>70</v>
      </c>
      <c r="C2624" t="s">
        <v>51</v>
      </c>
      <c r="F2624" t="s">
        <v>8075</v>
      </c>
      <c r="G2624" t="s">
        <v>1780</v>
      </c>
    </row>
    <row r="2625" spans="1:7" hidden="1" x14ac:dyDescent="0.25">
      <c r="A2625" t="s">
        <v>622</v>
      </c>
      <c r="B2625" t="s">
        <v>8258</v>
      </c>
      <c r="C2625" t="s">
        <v>1584</v>
      </c>
      <c r="F2625" t="s">
        <v>8078</v>
      </c>
      <c r="G2625" t="s">
        <v>1780</v>
      </c>
    </row>
    <row r="2626" spans="1:7" hidden="1" x14ac:dyDescent="0.25">
      <c r="A2626" t="s">
        <v>4</v>
      </c>
      <c r="B2626" t="s">
        <v>7947</v>
      </c>
      <c r="F2626" t="s">
        <v>8081</v>
      </c>
      <c r="G2626" t="s">
        <v>1780</v>
      </c>
    </row>
    <row r="2627" spans="1:7" hidden="1" x14ac:dyDescent="0.25">
      <c r="A2627" t="s">
        <v>4</v>
      </c>
      <c r="B2627" t="s">
        <v>7947</v>
      </c>
      <c r="F2627" t="s">
        <v>8084</v>
      </c>
      <c r="G2627" t="s">
        <v>1780</v>
      </c>
    </row>
    <row r="2628" spans="1:7" hidden="1" x14ac:dyDescent="0.25">
      <c r="A2628" t="s">
        <v>1967</v>
      </c>
      <c r="B2628" t="s">
        <v>8</v>
      </c>
      <c r="F2628" t="s">
        <v>8087</v>
      </c>
      <c r="G2628" t="s">
        <v>1780</v>
      </c>
    </row>
    <row r="2629" spans="1:7" hidden="1" x14ac:dyDescent="0.25">
      <c r="A2629" t="s">
        <v>4</v>
      </c>
      <c r="B2629" t="s">
        <v>7947</v>
      </c>
      <c r="F2629" t="s">
        <v>8090</v>
      </c>
      <c r="G2629" t="s">
        <v>1780</v>
      </c>
    </row>
    <row r="2630" spans="1:7" hidden="1" x14ac:dyDescent="0.25">
      <c r="A2630" t="s">
        <v>4</v>
      </c>
      <c r="B2630" t="s">
        <v>7947</v>
      </c>
      <c r="F2630" t="s">
        <v>8093</v>
      </c>
      <c r="G2630" t="s">
        <v>1780</v>
      </c>
    </row>
    <row r="2631" spans="1:7" hidden="1" x14ac:dyDescent="0.25">
      <c r="A2631" t="s">
        <v>1967</v>
      </c>
      <c r="B2631" t="s">
        <v>8</v>
      </c>
      <c r="F2631" t="s">
        <v>8213</v>
      </c>
      <c r="G2631" t="s">
        <v>1897</v>
      </c>
    </row>
    <row r="2632" spans="1:7" hidden="1" x14ac:dyDescent="0.25">
      <c r="A2632" t="s">
        <v>1967</v>
      </c>
      <c r="B2632" t="s">
        <v>8</v>
      </c>
      <c r="F2632" t="s">
        <v>8216</v>
      </c>
      <c r="G2632" t="s">
        <v>1897</v>
      </c>
    </row>
    <row r="2633" spans="1:7" hidden="1" x14ac:dyDescent="0.25">
      <c r="A2633" t="s">
        <v>1967</v>
      </c>
      <c r="B2633" t="s">
        <v>8</v>
      </c>
      <c r="F2633" t="s">
        <v>8219</v>
      </c>
      <c r="G2633" t="s">
        <v>1897</v>
      </c>
    </row>
    <row r="2634" spans="1:7" hidden="1" x14ac:dyDescent="0.25">
      <c r="A2634" t="s">
        <v>1967</v>
      </c>
      <c r="B2634" t="s">
        <v>8</v>
      </c>
      <c r="F2634" t="s">
        <v>8222</v>
      </c>
      <c r="G2634" t="s">
        <v>1897</v>
      </c>
    </row>
    <row r="2635" spans="1:7" hidden="1" x14ac:dyDescent="0.25">
      <c r="A2635" t="s">
        <v>1967</v>
      </c>
      <c r="B2635" t="s">
        <v>8</v>
      </c>
      <c r="F2635" t="s">
        <v>8225</v>
      </c>
      <c r="G2635" t="s">
        <v>1897</v>
      </c>
    </row>
    <row r="2636" spans="1:7" hidden="1" x14ac:dyDescent="0.25">
      <c r="A2636" t="s">
        <v>505</v>
      </c>
      <c r="B2636" t="s">
        <v>503</v>
      </c>
      <c r="C2636" t="s">
        <v>8259</v>
      </c>
      <c r="F2636" t="s">
        <v>8171</v>
      </c>
      <c r="G2636" t="s">
        <v>1960</v>
      </c>
    </row>
    <row r="2637" spans="1:7" hidden="1" x14ac:dyDescent="0.25">
      <c r="A2637" t="s">
        <v>1967</v>
      </c>
      <c r="B2637" t="s">
        <v>8</v>
      </c>
      <c r="F2637" t="s">
        <v>8174</v>
      </c>
      <c r="G2637" t="s">
        <v>1960</v>
      </c>
    </row>
    <row r="2638" spans="1:7" hidden="1" x14ac:dyDescent="0.25">
      <c r="A2638" t="s">
        <v>1967</v>
      </c>
      <c r="B2638" t="s">
        <v>8</v>
      </c>
      <c r="F2638" t="s">
        <v>8177</v>
      </c>
      <c r="G2638" t="s">
        <v>1960</v>
      </c>
    </row>
    <row r="2639" spans="1:7" hidden="1" x14ac:dyDescent="0.25">
      <c r="A2639" t="s">
        <v>1967</v>
      </c>
      <c r="B2639" t="s">
        <v>8</v>
      </c>
      <c r="F2639" t="s">
        <v>8180</v>
      </c>
      <c r="G2639" t="s">
        <v>1960</v>
      </c>
    </row>
    <row r="2640" spans="1:7" hidden="1" x14ac:dyDescent="0.25">
      <c r="A2640" t="s">
        <v>1967</v>
      </c>
      <c r="F2640" t="s">
        <v>8270</v>
      </c>
      <c r="G2640" t="s">
        <v>1074</v>
      </c>
    </row>
    <row r="2641" spans="1:7" hidden="1" x14ac:dyDescent="0.25">
      <c r="A2641" t="s">
        <v>91</v>
      </c>
      <c r="B2641" t="s">
        <v>8378</v>
      </c>
      <c r="F2641" t="s">
        <v>8273</v>
      </c>
      <c r="G2641" t="s">
        <v>1074</v>
      </c>
    </row>
    <row r="2642" spans="1:7" hidden="1" x14ac:dyDescent="0.25">
      <c r="A2642" t="s">
        <v>62</v>
      </c>
      <c r="B2642" t="s">
        <v>8378</v>
      </c>
      <c r="F2642" t="s">
        <v>8276</v>
      </c>
      <c r="G2642" t="s">
        <v>1074</v>
      </c>
    </row>
    <row r="2643" spans="1:7" hidden="1" x14ac:dyDescent="0.25">
      <c r="A2643" t="s">
        <v>1967</v>
      </c>
      <c r="F2643" t="s">
        <v>8279</v>
      </c>
      <c r="G2643" t="s">
        <v>1074</v>
      </c>
    </row>
    <row r="2644" spans="1:7" hidden="1" x14ac:dyDescent="0.25">
      <c r="A2644" t="s">
        <v>1967</v>
      </c>
      <c r="B2644" t="s">
        <v>8</v>
      </c>
      <c r="F2644" t="s">
        <v>8261</v>
      </c>
      <c r="G2644" t="s">
        <v>1075</v>
      </c>
    </row>
    <row r="2645" spans="1:7" hidden="1" x14ac:dyDescent="0.25">
      <c r="A2645" t="s">
        <v>1967</v>
      </c>
      <c r="B2645" t="s">
        <v>8</v>
      </c>
      <c r="F2645" t="s">
        <v>8264</v>
      </c>
      <c r="G2645" t="s">
        <v>1075</v>
      </c>
    </row>
    <row r="2646" spans="1:7" hidden="1" x14ac:dyDescent="0.25">
      <c r="A2646" t="s">
        <v>1967</v>
      </c>
      <c r="B2646" t="s">
        <v>8</v>
      </c>
      <c r="F2646" t="s">
        <v>8267</v>
      </c>
      <c r="G2646" t="s">
        <v>1075</v>
      </c>
    </row>
    <row r="2647" spans="1:7" x14ac:dyDescent="0.25">
      <c r="A2647" t="s">
        <v>1967</v>
      </c>
      <c r="B2647" t="s">
        <v>8</v>
      </c>
      <c r="F2647" t="s">
        <v>8282</v>
      </c>
      <c r="G2647" t="s">
        <v>13425</v>
      </c>
    </row>
    <row r="2648" spans="1:7" x14ac:dyDescent="0.25">
      <c r="A2648" t="s">
        <v>1967</v>
      </c>
      <c r="B2648" t="s">
        <v>8</v>
      </c>
      <c r="F2648" t="s">
        <v>8284</v>
      </c>
      <c r="G2648" t="s">
        <v>13425</v>
      </c>
    </row>
    <row r="2649" spans="1:7" x14ac:dyDescent="0.25">
      <c r="A2649" t="s">
        <v>1967</v>
      </c>
      <c r="B2649" t="s">
        <v>8</v>
      </c>
      <c r="F2649" t="s">
        <v>8286</v>
      </c>
      <c r="G2649" t="s">
        <v>13425</v>
      </c>
    </row>
    <row r="2650" spans="1:7" hidden="1" x14ac:dyDescent="0.25">
      <c r="A2650" t="s">
        <v>1967</v>
      </c>
      <c r="B2650" t="s">
        <v>8</v>
      </c>
      <c r="F2650" t="s">
        <v>8297</v>
      </c>
      <c r="G2650" t="s">
        <v>1076</v>
      </c>
    </row>
    <row r="2651" spans="1:7" hidden="1" x14ac:dyDescent="0.25">
      <c r="A2651" t="s">
        <v>1967</v>
      </c>
      <c r="B2651" t="s">
        <v>8</v>
      </c>
      <c r="F2651" t="s">
        <v>8300</v>
      </c>
      <c r="G2651" t="s">
        <v>1076</v>
      </c>
    </row>
    <row r="2652" spans="1:7" hidden="1" x14ac:dyDescent="0.25">
      <c r="A2652" t="s">
        <v>1967</v>
      </c>
      <c r="B2652" t="s">
        <v>8</v>
      </c>
      <c r="F2652" t="s">
        <v>8303</v>
      </c>
      <c r="G2652" t="s">
        <v>1076</v>
      </c>
    </row>
    <row r="2653" spans="1:7" hidden="1" x14ac:dyDescent="0.25">
      <c r="A2653" t="s">
        <v>1967</v>
      </c>
      <c r="B2653" t="s">
        <v>8</v>
      </c>
      <c r="F2653" t="s">
        <v>8324</v>
      </c>
      <c r="G2653" t="s">
        <v>1077</v>
      </c>
    </row>
    <row r="2654" spans="1:7" hidden="1" x14ac:dyDescent="0.25">
      <c r="A2654" t="s">
        <v>4</v>
      </c>
      <c r="B2654" t="s">
        <v>8378</v>
      </c>
      <c r="E2654" t="s">
        <v>7944</v>
      </c>
      <c r="F2654" t="s">
        <v>8327</v>
      </c>
      <c r="G2654" t="s">
        <v>1077</v>
      </c>
    </row>
    <row r="2655" spans="1:7" hidden="1" x14ac:dyDescent="0.25">
      <c r="A2655" t="s">
        <v>1967</v>
      </c>
      <c r="B2655" t="s">
        <v>8</v>
      </c>
      <c r="F2655" t="s">
        <v>8330</v>
      </c>
      <c r="G2655" t="s">
        <v>1077</v>
      </c>
    </row>
    <row r="2656" spans="1:7" hidden="1" x14ac:dyDescent="0.25">
      <c r="A2656" t="s">
        <v>1967</v>
      </c>
      <c r="B2656" t="s">
        <v>8</v>
      </c>
      <c r="F2656" t="s">
        <v>8288</v>
      </c>
      <c r="G2656" t="s">
        <v>1078</v>
      </c>
    </row>
    <row r="2657" spans="1:7" hidden="1" x14ac:dyDescent="0.25">
      <c r="A2657" t="s">
        <v>1967</v>
      </c>
      <c r="B2657" t="s">
        <v>8</v>
      </c>
      <c r="F2657" t="s">
        <v>8291</v>
      </c>
      <c r="G2657" t="s">
        <v>1078</v>
      </c>
    </row>
    <row r="2658" spans="1:7" hidden="1" x14ac:dyDescent="0.25">
      <c r="A2658" t="s">
        <v>1967</v>
      </c>
      <c r="B2658" t="s">
        <v>8</v>
      </c>
      <c r="F2658" t="s">
        <v>8294</v>
      </c>
      <c r="G2658" t="s">
        <v>1078</v>
      </c>
    </row>
    <row r="2659" spans="1:7" hidden="1" x14ac:dyDescent="0.25">
      <c r="A2659" t="s">
        <v>1967</v>
      </c>
      <c r="B2659" t="s">
        <v>8</v>
      </c>
      <c r="F2659" t="s">
        <v>8369</v>
      </c>
      <c r="G2659" t="s">
        <v>1079</v>
      </c>
    </row>
    <row r="2660" spans="1:7" hidden="1" x14ac:dyDescent="0.25">
      <c r="A2660" t="s">
        <v>1967</v>
      </c>
      <c r="B2660" t="s">
        <v>8</v>
      </c>
      <c r="F2660" t="s">
        <v>8372</v>
      </c>
      <c r="G2660" t="s">
        <v>1079</v>
      </c>
    </row>
    <row r="2661" spans="1:7" hidden="1" x14ac:dyDescent="0.25">
      <c r="A2661" t="s">
        <v>1967</v>
      </c>
      <c r="B2661" t="s">
        <v>8</v>
      </c>
      <c r="F2661" t="s">
        <v>8375</v>
      </c>
      <c r="G2661" t="s">
        <v>1079</v>
      </c>
    </row>
    <row r="2662" spans="1:7" hidden="1" x14ac:dyDescent="0.25">
      <c r="A2662" t="s">
        <v>1967</v>
      </c>
      <c r="B2662" t="s">
        <v>9</v>
      </c>
      <c r="F2662" t="s">
        <v>8306</v>
      </c>
      <c r="G2662" t="s">
        <v>768</v>
      </c>
    </row>
    <row r="2663" spans="1:7" hidden="1" x14ac:dyDescent="0.25">
      <c r="A2663" t="s">
        <v>1967</v>
      </c>
      <c r="B2663" t="s">
        <v>9</v>
      </c>
      <c r="F2663" t="s">
        <v>8309</v>
      </c>
      <c r="G2663" t="s">
        <v>768</v>
      </c>
    </row>
    <row r="2664" spans="1:7" hidden="1" x14ac:dyDescent="0.25">
      <c r="A2664" t="s">
        <v>1967</v>
      </c>
      <c r="B2664" t="s">
        <v>9</v>
      </c>
      <c r="F2664" t="s">
        <v>8312</v>
      </c>
      <c r="G2664" t="s">
        <v>768</v>
      </c>
    </row>
    <row r="2665" spans="1:7" hidden="1" x14ac:dyDescent="0.25">
      <c r="A2665" t="s">
        <v>1967</v>
      </c>
      <c r="B2665" t="s">
        <v>86</v>
      </c>
      <c r="E2665" t="s">
        <v>5410</v>
      </c>
      <c r="F2665" t="s">
        <v>8315</v>
      </c>
      <c r="G2665" t="s">
        <v>1072</v>
      </c>
    </row>
    <row r="2666" spans="1:7" hidden="1" x14ac:dyDescent="0.25">
      <c r="A2666" t="s">
        <v>1967</v>
      </c>
      <c r="B2666" t="s">
        <v>86</v>
      </c>
      <c r="E2666" t="s">
        <v>5410</v>
      </c>
      <c r="F2666" t="s">
        <v>8318</v>
      </c>
      <c r="G2666" t="s">
        <v>1072</v>
      </c>
    </row>
    <row r="2667" spans="1:7" hidden="1" x14ac:dyDescent="0.25">
      <c r="A2667" t="s">
        <v>1967</v>
      </c>
      <c r="B2667" t="s">
        <v>86</v>
      </c>
      <c r="E2667" t="s">
        <v>5410</v>
      </c>
      <c r="F2667" t="s">
        <v>8321</v>
      </c>
      <c r="G2667" t="s">
        <v>1072</v>
      </c>
    </row>
    <row r="2668" spans="1:7" hidden="1" x14ac:dyDescent="0.25">
      <c r="A2668" t="s">
        <v>1967</v>
      </c>
      <c r="B2668" t="s">
        <v>8</v>
      </c>
      <c r="F2668" t="s">
        <v>8333</v>
      </c>
      <c r="G2668" s="1" t="s">
        <v>1566</v>
      </c>
    </row>
    <row r="2669" spans="1:7" hidden="1" x14ac:dyDescent="0.25">
      <c r="A2669" t="s">
        <v>1967</v>
      </c>
      <c r="B2669" t="s">
        <v>8</v>
      </c>
      <c r="F2669" t="s">
        <v>8336</v>
      </c>
      <c r="G2669" s="1" t="s">
        <v>1566</v>
      </c>
    </row>
    <row r="2670" spans="1:7" hidden="1" x14ac:dyDescent="0.25">
      <c r="A2670" t="s">
        <v>1967</v>
      </c>
      <c r="B2670" t="s">
        <v>8</v>
      </c>
      <c r="F2670" t="s">
        <v>8339</v>
      </c>
      <c r="G2670" s="1" t="s">
        <v>1566</v>
      </c>
    </row>
    <row r="2671" spans="1:7" hidden="1" x14ac:dyDescent="0.25">
      <c r="A2671" t="s">
        <v>1967</v>
      </c>
      <c r="B2671" t="s">
        <v>8</v>
      </c>
      <c r="F2671" t="s">
        <v>8342</v>
      </c>
      <c r="G2671" t="s">
        <v>1780</v>
      </c>
    </row>
    <row r="2672" spans="1:7" hidden="1" x14ac:dyDescent="0.25">
      <c r="A2672" t="s">
        <v>1967</v>
      </c>
      <c r="B2672" t="s">
        <v>8</v>
      </c>
      <c r="F2672" t="s">
        <v>8345</v>
      </c>
      <c r="G2672" t="s">
        <v>1780</v>
      </c>
    </row>
    <row r="2673" spans="1:7" hidden="1" x14ac:dyDescent="0.25">
      <c r="A2673" t="s">
        <v>1967</v>
      </c>
      <c r="B2673" t="s">
        <v>8</v>
      </c>
      <c r="F2673" t="s">
        <v>8348</v>
      </c>
      <c r="G2673" t="s">
        <v>1780</v>
      </c>
    </row>
    <row r="2674" spans="1:7" hidden="1" x14ac:dyDescent="0.25">
      <c r="A2674" t="s">
        <v>1967</v>
      </c>
      <c r="B2674" t="s">
        <v>8</v>
      </c>
      <c r="F2674" t="s">
        <v>8351</v>
      </c>
      <c r="G2674" t="s">
        <v>1897</v>
      </c>
    </row>
    <row r="2675" spans="1:7" hidden="1" x14ac:dyDescent="0.25">
      <c r="A2675" t="s">
        <v>1967</v>
      </c>
      <c r="B2675" t="s">
        <v>8</v>
      </c>
      <c r="F2675" t="s">
        <v>8354</v>
      </c>
      <c r="G2675" t="s">
        <v>1897</v>
      </c>
    </row>
    <row r="2676" spans="1:7" hidden="1" x14ac:dyDescent="0.25">
      <c r="A2676" t="s">
        <v>1967</v>
      </c>
      <c r="B2676" t="s">
        <v>8</v>
      </c>
      <c r="F2676" t="s">
        <v>8357</v>
      </c>
      <c r="G2676" t="s">
        <v>1897</v>
      </c>
    </row>
    <row r="2677" spans="1:7" hidden="1" x14ac:dyDescent="0.25">
      <c r="A2677" t="s">
        <v>1967</v>
      </c>
      <c r="B2677" t="s">
        <v>8</v>
      </c>
      <c r="F2677" t="s">
        <v>8360</v>
      </c>
      <c r="G2677" t="s">
        <v>1960</v>
      </c>
    </row>
    <row r="2678" spans="1:7" hidden="1" x14ac:dyDescent="0.25">
      <c r="A2678" t="s">
        <v>1967</v>
      </c>
      <c r="B2678" t="s">
        <v>8</v>
      </c>
      <c r="F2678" t="s">
        <v>8363</v>
      </c>
      <c r="G2678" t="s">
        <v>1960</v>
      </c>
    </row>
    <row r="2679" spans="1:7" hidden="1" x14ac:dyDescent="0.25">
      <c r="A2679" t="s">
        <v>1967</v>
      </c>
      <c r="B2679" t="s">
        <v>8</v>
      </c>
      <c r="F2679" t="s">
        <v>8366</v>
      </c>
      <c r="G2679" t="s">
        <v>1960</v>
      </c>
    </row>
    <row r="2680" spans="1:7" hidden="1" x14ac:dyDescent="0.25">
      <c r="A2680" t="s">
        <v>1967</v>
      </c>
      <c r="F2680" t="s">
        <v>8400</v>
      </c>
      <c r="G2680" t="s">
        <v>1074</v>
      </c>
    </row>
    <row r="2681" spans="1:7" hidden="1" x14ac:dyDescent="0.25">
      <c r="A2681" t="s">
        <v>91</v>
      </c>
      <c r="B2681" t="s">
        <v>8687</v>
      </c>
      <c r="F2681" t="s">
        <v>8403</v>
      </c>
      <c r="G2681" t="s">
        <v>1074</v>
      </c>
    </row>
    <row r="2682" spans="1:7" hidden="1" x14ac:dyDescent="0.25">
      <c r="A2682" t="s">
        <v>62</v>
      </c>
      <c r="B2682" t="s">
        <v>8687</v>
      </c>
      <c r="F2682" t="s">
        <v>8406</v>
      </c>
      <c r="G2682" t="s">
        <v>1074</v>
      </c>
    </row>
    <row r="2683" spans="1:7" hidden="1" x14ac:dyDescent="0.25">
      <c r="A2683" t="s">
        <v>1967</v>
      </c>
      <c r="F2683" t="s">
        <v>8409</v>
      </c>
      <c r="G2683" t="s">
        <v>1074</v>
      </c>
    </row>
    <row r="2684" spans="1:7" hidden="1" x14ac:dyDescent="0.25">
      <c r="A2684" t="s">
        <v>91</v>
      </c>
      <c r="B2684" t="s">
        <v>8250</v>
      </c>
      <c r="F2684" t="s">
        <v>8412</v>
      </c>
      <c r="G2684" t="s">
        <v>1074</v>
      </c>
    </row>
    <row r="2685" spans="1:7" hidden="1" x14ac:dyDescent="0.25">
      <c r="A2685" t="s">
        <v>62</v>
      </c>
      <c r="B2685" t="s">
        <v>8250</v>
      </c>
      <c r="F2685" t="s">
        <v>8415</v>
      </c>
      <c r="G2685" t="s">
        <v>1074</v>
      </c>
    </row>
    <row r="2686" spans="1:7" hidden="1" x14ac:dyDescent="0.25">
      <c r="A2686" t="s">
        <v>91</v>
      </c>
      <c r="B2686" t="s">
        <v>8688</v>
      </c>
      <c r="F2686" t="s">
        <v>8418</v>
      </c>
      <c r="G2686" t="s">
        <v>1074</v>
      </c>
    </row>
    <row r="2687" spans="1:7" hidden="1" x14ac:dyDescent="0.25">
      <c r="A2687" t="s">
        <v>62</v>
      </c>
      <c r="B2687" t="s">
        <v>8688</v>
      </c>
      <c r="F2687" t="s">
        <v>8421</v>
      </c>
      <c r="G2687" t="s">
        <v>1074</v>
      </c>
    </row>
    <row r="2688" spans="1:7" hidden="1" x14ac:dyDescent="0.25">
      <c r="A2688" t="s">
        <v>91</v>
      </c>
      <c r="B2688" t="s">
        <v>8689</v>
      </c>
      <c r="F2688" t="s">
        <v>8424</v>
      </c>
      <c r="G2688" t="s">
        <v>1074</v>
      </c>
    </row>
    <row r="2689" spans="1:7" hidden="1" x14ac:dyDescent="0.25">
      <c r="A2689" t="s">
        <v>62</v>
      </c>
      <c r="B2689" t="s">
        <v>8689</v>
      </c>
      <c r="F2689" t="s">
        <v>8427</v>
      </c>
      <c r="G2689" t="s">
        <v>1074</v>
      </c>
    </row>
    <row r="2690" spans="1:7" hidden="1" x14ac:dyDescent="0.25">
      <c r="A2690" t="s">
        <v>91</v>
      </c>
      <c r="B2690" t="s">
        <v>8689</v>
      </c>
      <c r="F2690" t="s">
        <v>8430</v>
      </c>
      <c r="G2690" t="s">
        <v>1074</v>
      </c>
    </row>
    <row r="2691" spans="1:7" hidden="1" x14ac:dyDescent="0.25">
      <c r="A2691" t="s">
        <v>91</v>
      </c>
      <c r="B2691" t="s">
        <v>8690</v>
      </c>
      <c r="F2691" t="s">
        <v>8433</v>
      </c>
      <c r="G2691" t="s">
        <v>1074</v>
      </c>
    </row>
    <row r="2692" spans="1:7" hidden="1" x14ac:dyDescent="0.25">
      <c r="A2692" t="s">
        <v>62</v>
      </c>
      <c r="B2692" t="s">
        <v>8690</v>
      </c>
      <c r="F2692" t="s">
        <v>8436</v>
      </c>
      <c r="G2692" t="s">
        <v>1074</v>
      </c>
    </row>
    <row r="2693" spans="1:7" hidden="1" x14ac:dyDescent="0.25">
      <c r="A2693" t="s">
        <v>62</v>
      </c>
      <c r="B2693" t="s">
        <v>8689</v>
      </c>
      <c r="F2693" t="s">
        <v>8439</v>
      </c>
      <c r="G2693" t="s">
        <v>1074</v>
      </c>
    </row>
    <row r="2694" spans="1:7" hidden="1" x14ac:dyDescent="0.25">
      <c r="A2694" t="s">
        <v>1967</v>
      </c>
      <c r="F2694" t="s">
        <v>8442</v>
      </c>
      <c r="G2694" t="s">
        <v>1074</v>
      </c>
    </row>
    <row r="2695" spans="1:7" hidden="1" x14ac:dyDescent="0.25">
      <c r="A2695" t="s">
        <v>91</v>
      </c>
      <c r="B2695" t="s">
        <v>8688</v>
      </c>
      <c r="F2695" t="s">
        <v>8445</v>
      </c>
      <c r="G2695" t="s">
        <v>1074</v>
      </c>
    </row>
    <row r="2696" spans="1:7" hidden="1" x14ac:dyDescent="0.25">
      <c r="A2696" t="s">
        <v>62</v>
      </c>
      <c r="B2696" t="s">
        <v>8688</v>
      </c>
      <c r="F2696" t="s">
        <v>8448</v>
      </c>
      <c r="G2696" t="s">
        <v>1074</v>
      </c>
    </row>
    <row r="2697" spans="1:7" hidden="1" x14ac:dyDescent="0.25">
      <c r="A2697" t="s">
        <v>1967</v>
      </c>
      <c r="B2697" t="s">
        <v>8</v>
      </c>
      <c r="F2697" t="s">
        <v>8379</v>
      </c>
      <c r="G2697" t="s">
        <v>1075</v>
      </c>
    </row>
    <row r="2698" spans="1:7" hidden="1" x14ac:dyDescent="0.25">
      <c r="A2698" t="s">
        <v>1967</v>
      </c>
      <c r="B2698" t="s">
        <v>8</v>
      </c>
      <c r="F2698" t="s">
        <v>8382</v>
      </c>
      <c r="G2698" t="s">
        <v>1075</v>
      </c>
    </row>
    <row r="2699" spans="1:7" hidden="1" x14ac:dyDescent="0.25">
      <c r="A2699" t="s">
        <v>1967</v>
      </c>
      <c r="B2699" t="s">
        <v>8</v>
      </c>
      <c r="F2699" t="s">
        <v>8385</v>
      </c>
      <c r="G2699" t="s">
        <v>1075</v>
      </c>
    </row>
    <row r="2700" spans="1:7" hidden="1" x14ac:dyDescent="0.25">
      <c r="A2700" t="s">
        <v>1967</v>
      </c>
      <c r="B2700" t="s">
        <v>8</v>
      </c>
      <c r="F2700" t="s">
        <v>8388</v>
      </c>
      <c r="G2700" t="s">
        <v>1075</v>
      </c>
    </row>
    <row r="2701" spans="1:7" hidden="1" x14ac:dyDescent="0.25">
      <c r="A2701" t="s">
        <v>1967</v>
      </c>
      <c r="B2701" t="s">
        <v>8</v>
      </c>
      <c r="F2701" t="s">
        <v>8391</v>
      </c>
      <c r="G2701" t="s">
        <v>1075</v>
      </c>
    </row>
    <row r="2702" spans="1:7" hidden="1" x14ac:dyDescent="0.25">
      <c r="A2702" t="s">
        <v>1967</v>
      </c>
      <c r="B2702" t="s">
        <v>8</v>
      </c>
      <c r="F2702" t="s">
        <v>8394</v>
      </c>
      <c r="G2702" t="s">
        <v>1075</v>
      </c>
    </row>
    <row r="2703" spans="1:7" hidden="1" x14ac:dyDescent="0.25">
      <c r="A2703" t="s">
        <v>1967</v>
      </c>
      <c r="B2703" t="s">
        <v>8</v>
      </c>
      <c r="F2703" t="s">
        <v>8397</v>
      </c>
      <c r="G2703" t="s">
        <v>1075</v>
      </c>
    </row>
    <row r="2704" spans="1:7" x14ac:dyDescent="0.25">
      <c r="A2704" t="s">
        <v>1967</v>
      </c>
      <c r="B2704" t="s">
        <v>8</v>
      </c>
      <c r="F2704" t="s">
        <v>8514</v>
      </c>
      <c r="G2704" t="s">
        <v>13425</v>
      </c>
    </row>
    <row r="2705" spans="1:7" x14ac:dyDescent="0.25">
      <c r="A2705" t="s">
        <v>4</v>
      </c>
      <c r="B2705" t="s">
        <v>8691</v>
      </c>
      <c r="F2705" t="s">
        <v>8516</v>
      </c>
      <c r="G2705" t="s">
        <v>13425</v>
      </c>
    </row>
    <row r="2706" spans="1:7" x14ac:dyDescent="0.25">
      <c r="A2706" t="s">
        <v>4</v>
      </c>
      <c r="B2706" t="s">
        <v>8691</v>
      </c>
      <c r="F2706" t="s">
        <v>8518</v>
      </c>
      <c r="G2706" t="s">
        <v>13425</v>
      </c>
    </row>
    <row r="2707" spans="1:7" x14ac:dyDescent="0.25">
      <c r="A2707" t="s">
        <v>4</v>
      </c>
      <c r="B2707" t="s">
        <v>8691</v>
      </c>
      <c r="F2707" t="s">
        <v>8520</v>
      </c>
      <c r="G2707" t="s">
        <v>13425</v>
      </c>
    </row>
    <row r="2708" spans="1:7" x14ac:dyDescent="0.25">
      <c r="A2708" t="s">
        <v>4</v>
      </c>
      <c r="B2708" t="s">
        <v>8691</v>
      </c>
      <c r="F2708" t="s">
        <v>8522</v>
      </c>
      <c r="G2708" t="s">
        <v>13425</v>
      </c>
    </row>
    <row r="2709" spans="1:7" x14ac:dyDescent="0.25">
      <c r="A2709" t="s">
        <v>4</v>
      </c>
      <c r="B2709" t="s">
        <v>8691</v>
      </c>
      <c r="F2709" t="s">
        <v>8524</v>
      </c>
      <c r="G2709" t="s">
        <v>13425</v>
      </c>
    </row>
    <row r="2710" spans="1:7" x14ac:dyDescent="0.25">
      <c r="A2710" t="s">
        <v>1967</v>
      </c>
      <c r="B2710" t="s">
        <v>8</v>
      </c>
      <c r="F2710" t="s">
        <v>8526</v>
      </c>
      <c r="G2710" t="s">
        <v>13425</v>
      </c>
    </row>
    <row r="2711" spans="1:7" hidden="1" x14ac:dyDescent="0.25">
      <c r="A2711" t="s">
        <v>1967</v>
      </c>
      <c r="B2711" t="s">
        <v>8</v>
      </c>
      <c r="F2711" t="s">
        <v>8528</v>
      </c>
      <c r="G2711" t="s">
        <v>1076</v>
      </c>
    </row>
    <row r="2712" spans="1:7" hidden="1" x14ac:dyDescent="0.25">
      <c r="A2712" t="s">
        <v>4</v>
      </c>
      <c r="B2712" t="s">
        <v>8</v>
      </c>
      <c r="F2712" t="s">
        <v>8531</v>
      </c>
      <c r="G2712" t="s">
        <v>1076</v>
      </c>
    </row>
    <row r="2713" spans="1:7" hidden="1" x14ac:dyDescent="0.25">
      <c r="A2713" t="s">
        <v>4</v>
      </c>
      <c r="B2713" t="s">
        <v>8</v>
      </c>
      <c r="F2713" t="s">
        <v>8534</v>
      </c>
      <c r="G2713" t="s">
        <v>1076</v>
      </c>
    </row>
    <row r="2714" spans="1:7" hidden="1" x14ac:dyDescent="0.25">
      <c r="A2714" t="s">
        <v>4</v>
      </c>
      <c r="B2714" t="s">
        <v>8</v>
      </c>
      <c r="F2714" t="s">
        <v>8537</v>
      </c>
      <c r="G2714" t="s">
        <v>1076</v>
      </c>
    </row>
    <row r="2715" spans="1:7" hidden="1" x14ac:dyDescent="0.25">
      <c r="A2715" t="s">
        <v>4</v>
      </c>
      <c r="B2715" t="s">
        <v>1570</v>
      </c>
      <c r="F2715" t="s">
        <v>8540</v>
      </c>
      <c r="G2715" t="s">
        <v>1076</v>
      </c>
    </row>
    <row r="2716" spans="1:7" hidden="1" x14ac:dyDescent="0.25">
      <c r="A2716" t="s">
        <v>4</v>
      </c>
      <c r="B2716" t="s">
        <v>8691</v>
      </c>
      <c r="F2716" t="s">
        <v>8543</v>
      </c>
      <c r="G2716" t="s">
        <v>1076</v>
      </c>
    </row>
    <row r="2717" spans="1:7" hidden="1" x14ac:dyDescent="0.25">
      <c r="A2717" t="s">
        <v>4</v>
      </c>
      <c r="B2717" t="s">
        <v>8691</v>
      </c>
      <c r="F2717" t="s">
        <v>8546</v>
      </c>
      <c r="G2717" t="s">
        <v>1076</v>
      </c>
    </row>
    <row r="2718" spans="1:7" hidden="1" x14ac:dyDescent="0.25">
      <c r="A2718" t="s">
        <v>1569</v>
      </c>
      <c r="B2718" t="s">
        <v>8689</v>
      </c>
      <c r="F2718" t="s">
        <v>8549</v>
      </c>
      <c r="G2718" t="s">
        <v>1076</v>
      </c>
    </row>
    <row r="2719" spans="1:7" hidden="1" x14ac:dyDescent="0.25">
      <c r="A2719" t="s">
        <v>1569</v>
      </c>
      <c r="B2719" t="s">
        <v>8690</v>
      </c>
      <c r="F2719" t="s">
        <v>8552</v>
      </c>
      <c r="G2719" t="s">
        <v>1076</v>
      </c>
    </row>
    <row r="2720" spans="1:7" hidden="1" x14ac:dyDescent="0.25">
      <c r="A2720" t="s">
        <v>622</v>
      </c>
      <c r="B2720" t="s">
        <v>8690</v>
      </c>
      <c r="F2720" t="s">
        <v>8555</v>
      </c>
      <c r="G2720" t="s">
        <v>1076</v>
      </c>
    </row>
    <row r="2721" spans="1:7" hidden="1" x14ac:dyDescent="0.25">
      <c r="A2721" t="s">
        <v>622</v>
      </c>
      <c r="B2721" t="s">
        <v>8689</v>
      </c>
      <c r="F2721" t="s">
        <v>8558</v>
      </c>
      <c r="G2721" t="s">
        <v>1076</v>
      </c>
    </row>
    <row r="2722" spans="1:7" hidden="1" x14ac:dyDescent="0.25">
      <c r="A2722" t="s">
        <v>1967</v>
      </c>
      <c r="B2722" t="s">
        <v>8</v>
      </c>
      <c r="F2722" t="s">
        <v>8561</v>
      </c>
      <c r="G2722" t="s">
        <v>1076</v>
      </c>
    </row>
    <row r="2723" spans="1:7" hidden="1" x14ac:dyDescent="0.25">
      <c r="A2723" t="s">
        <v>4</v>
      </c>
      <c r="B2723" t="s">
        <v>8692</v>
      </c>
      <c r="F2723" t="s">
        <v>8564</v>
      </c>
      <c r="G2723" t="s">
        <v>1076</v>
      </c>
    </row>
    <row r="2724" spans="1:7" hidden="1" x14ac:dyDescent="0.25">
      <c r="A2724" t="s">
        <v>1967</v>
      </c>
      <c r="B2724" t="s">
        <v>8</v>
      </c>
      <c r="F2724" t="s">
        <v>8451</v>
      </c>
      <c r="G2724" t="s">
        <v>1077</v>
      </c>
    </row>
    <row r="2725" spans="1:7" hidden="1" x14ac:dyDescent="0.25">
      <c r="A2725" t="s">
        <v>4</v>
      </c>
      <c r="B2725" t="s">
        <v>8693</v>
      </c>
      <c r="F2725" t="s">
        <v>8454</v>
      </c>
      <c r="G2725" t="s">
        <v>1077</v>
      </c>
    </row>
    <row r="2726" spans="1:7" hidden="1" x14ac:dyDescent="0.25">
      <c r="A2726" t="s">
        <v>1967</v>
      </c>
      <c r="B2726" t="s">
        <v>8</v>
      </c>
      <c r="F2726" t="s">
        <v>8457</v>
      </c>
      <c r="G2726" t="s">
        <v>1077</v>
      </c>
    </row>
    <row r="2727" spans="1:7" hidden="1" x14ac:dyDescent="0.25">
      <c r="A2727" t="s">
        <v>1967</v>
      </c>
      <c r="B2727" t="s">
        <v>8</v>
      </c>
      <c r="F2727" t="s">
        <v>8460</v>
      </c>
      <c r="G2727" t="s">
        <v>1077</v>
      </c>
    </row>
    <row r="2728" spans="1:7" hidden="1" x14ac:dyDescent="0.25">
      <c r="A2728" t="s">
        <v>1967</v>
      </c>
      <c r="B2728" t="s">
        <v>8</v>
      </c>
      <c r="F2728" t="s">
        <v>8463</v>
      </c>
      <c r="G2728" t="s">
        <v>1077</v>
      </c>
    </row>
    <row r="2729" spans="1:7" hidden="1" x14ac:dyDescent="0.25">
      <c r="A2729" t="s">
        <v>1967</v>
      </c>
      <c r="B2729" t="s">
        <v>8</v>
      </c>
      <c r="F2729" t="s">
        <v>8466</v>
      </c>
      <c r="G2729" t="s">
        <v>1077</v>
      </c>
    </row>
    <row r="2730" spans="1:7" hidden="1" x14ac:dyDescent="0.25">
      <c r="A2730" t="s">
        <v>1967</v>
      </c>
      <c r="B2730" t="s">
        <v>8</v>
      </c>
      <c r="F2730" t="s">
        <v>8469</v>
      </c>
      <c r="G2730" t="s">
        <v>1077</v>
      </c>
    </row>
    <row r="2731" spans="1:7" hidden="1" x14ac:dyDescent="0.25">
      <c r="A2731" t="s">
        <v>1967</v>
      </c>
      <c r="B2731" t="s">
        <v>8</v>
      </c>
      <c r="F2731" t="s">
        <v>8472</v>
      </c>
      <c r="G2731" t="s">
        <v>1078</v>
      </c>
    </row>
    <row r="2732" spans="1:7" hidden="1" x14ac:dyDescent="0.25">
      <c r="A2732" t="s">
        <v>1967</v>
      </c>
      <c r="B2732" t="s">
        <v>8</v>
      </c>
      <c r="F2732" t="s">
        <v>8475</v>
      </c>
      <c r="G2732" t="s">
        <v>1078</v>
      </c>
    </row>
    <row r="2733" spans="1:7" hidden="1" x14ac:dyDescent="0.25">
      <c r="A2733" t="s">
        <v>1967</v>
      </c>
      <c r="B2733" t="s">
        <v>8</v>
      </c>
      <c r="F2733" t="s">
        <v>8478</v>
      </c>
      <c r="G2733" t="s">
        <v>1078</v>
      </c>
    </row>
    <row r="2734" spans="1:7" hidden="1" x14ac:dyDescent="0.25">
      <c r="A2734" t="s">
        <v>1967</v>
      </c>
      <c r="B2734" t="s">
        <v>8</v>
      </c>
      <c r="F2734" t="s">
        <v>8481</v>
      </c>
      <c r="G2734" t="s">
        <v>1078</v>
      </c>
    </row>
    <row r="2735" spans="1:7" hidden="1" x14ac:dyDescent="0.25">
      <c r="A2735" t="s">
        <v>1967</v>
      </c>
      <c r="B2735" t="s">
        <v>8</v>
      </c>
      <c r="F2735" t="s">
        <v>8484</v>
      </c>
      <c r="G2735" t="s">
        <v>1078</v>
      </c>
    </row>
    <row r="2736" spans="1:7" hidden="1" x14ac:dyDescent="0.25">
      <c r="A2736" t="s">
        <v>1967</v>
      </c>
      <c r="B2736" t="s">
        <v>8</v>
      </c>
      <c r="F2736" t="s">
        <v>8487</v>
      </c>
      <c r="G2736" t="s">
        <v>1078</v>
      </c>
    </row>
    <row r="2737" spans="1:7" hidden="1" x14ac:dyDescent="0.25">
      <c r="A2737" t="s">
        <v>1967</v>
      </c>
      <c r="B2737" t="s">
        <v>8</v>
      </c>
      <c r="F2737" t="s">
        <v>8490</v>
      </c>
      <c r="G2737" t="s">
        <v>1078</v>
      </c>
    </row>
    <row r="2738" spans="1:7" hidden="1" x14ac:dyDescent="0.25">
      <c r="A2738" t="s">
        <v>1967</v>
      </c>
      <c r="B2738" t="s">
        <v>8</v>
      </c>
      <c r="F2738" t="s">
        <v>6082</v>
      </c>
      <c r="G2738" t="s">
        <v>1079</v>
      </c>
    </row>
    <row r="2739" spans="1:7" hidden="1" x14ac:dyDescent="0.25">
      <c r="A2739" t="s">
        <v>1967</v>
      </c>
      <c r="B2739" t="s">
        <v>8</v>
      </c>
      <c r="F2739" t="s">
        <v>7900</v>
      </c>
      <c r="G2739" t="s">
        <v>1079</v>
      </c>
    </row>
    <row r="2740" spans="1:7" hidden="1" x14ac:dyDescent="0.25">
      <c r="A2740" t="s">
        <v>1967</v>
      </c>
      <c r="B2740" t="s">
        <v>8</v>
      </c>
      <c r="F2740" t="s">
        <v>336</v>
      </c>
      <c r="G2740" t="s">
        <v>1079</v>
      </c>
    </row>
    <row r="2741" spans="1:7" hidden="1" x14ac:dyDescent="0.25">
      <c r="A2741" t="s">
        <v>1967</v>
      </c>
      <c r="B2741" t="s">
        <v>8</v>
      </c>
      <c r="F2741" t="s">
        <v>339</v>
      </c>
      <c r="G2741" t="s">
        <v>1079</v>
      </c>
    </row>
    <row r="2742" spans="1:7" hidden="1" x14ac:dyDescent="0.25">
      <c r="A2742" t="s">
        <v>1967</v>
      </c>
      <c r="B2742" t="s">
        <v>8</v>
      </c>
      <c r="F2742" t="s">
        <v>342</v>
      </c>
      <c r="G2742" t="s">
        <v>1079</v>
      </c>
    </row>
    <row r="2743" spans="1:7" hidden="1" x14ac:dyDescent="0.25">
      <c r="A2743" t="s">
        <v>1967</v>
      </c>
      <c r="B2743" t="s">
        <v>8</v>
      </c>
      <c r="F2743" t="s">
        <v>345</v>
      </c>
      <c r="G2743" t="s">
        <v>1079</v>
      </c>
    </row>
    <row r="2744" spans="1:7" hidden="1" x14ac:dyDescent="0.25">
      <c r="A2744" t="s">
        <v>1967</v>
      </c>
      <c r="B2744" t="s">
        <v>8</v>
      </c>
      <c r="F2744" t="s">
        <v>348</v>
      </c>
      <c r="G2744" t="s">
        <v>1079</v>
      </c>
    </row>
    <row r="2745" spans="1:7" hidden="1" x14ac:dyDescent="0.25">
      <c r="A2745" t="s">
        <v>1967</v>
      </c>
      <c r="B2745" t="s">
        <v>9</v>
      </c>
      <c r="F2745" t="s">
        <v>8493</v>
      </c>
      <c r="G2745" t="s">
        <v>768</v>
      </c>
    </row>
    <row r="2746" spans="1:7" hidden="1" x14ac:dyDescent="0.25">
      <c r="A2746" t="s">
        <v>1967</v>
      </c>
      <c r="B2746" t="s">
        <v>9</v>
      </c>
      <c r="F2746" t="s">
        <v>8496</v>
      </c>
      <c r="G2746" t="s">
        <v>768</v>
      </c>
    </row>
    <row r="2747" spans="1:7" hidden="1" x14ac:dyDescent="0.25">
      <c r="A2747" t="s">
        <v>1967</v>
      </c>
      <c r="B2747" t="s">
        <v>9</v>
      </c>
      <c r="F2747" t="s">
        <v>8499</v>
      </c>
      <c r="G2747" t="s">
        <v>768</v>
      </c>
    </row>
    <row r="2748" spans="1:7" hidden="1" x14ac:dyDescent="0.25">
      <c r="A2748" t="s">
        <v>1967</v>
      </c>
      <c r="B2748" t="s">
        <v>9</v>
      </c>
      <c r="F2748" t="s">
        <v>8502</v>
      </c>
      <c r="G2748" t="s">
        <v>768</v>
      </c>
    </row>
    <row r="2749" spans="1:7" hidden="1" x14ac:dyDescent="0.25">
      <c r="A2749" t="s">
        <v>1967</v>
      </c>
      <c r="B2749" t="s">
        <v>9</v>
      </c>
      <c r="F2749" t="s">
        <v>8505</v>
      </c>
      <c r="G2749" t="s">
        <v>768</v>
      </c>
    </row>
    <row r="2750" spans="1:7" hidden="1" x14ac:dyDescent="0.25">
      <c r="A2750" t="s">
        <v>1967</v>
      </c>
      <c r="B2750" t="s">
        <v>9</v>
      </c>
      <c r="F2750" t="s">
        <v>8508</v>
      </c>
      <c r="G2750" t="s">
        <v>768</v>
      </c>
    </row>
    <row r="2751" spans="1:7" hidden="1" x14ac:dyDescent="0.25">
      <c r="A2751" t="s">
        <v>1967</v>
      </c>
      <c r="B2751" t="s">
        <v>8712</v>
      </c>
      <c r="F2751" t="s">
        <v>8511</v>
      </c>
      <c r="G2751" t="s">
        <v>768</v>
      </c>
    </row>
    <row r="2752" spans="1:7" hidden="1" x14ac:dyDescent="0.25">
      <c r="A2752" t="s">
        <v>1967</v>
      </c>
      <c r="B2752" t="s">
        <v>86</v>
      </c>
      <c r="E2752" t="s">
        <v>5410</v>
      </c>
      <c r="F2752" t="s">
        <v>8570</v>
      </c>
      <c r="G2752" t="s">
        <v>1072</v>
      </c>
    </row>
    <row r="2753" spans="1:7" hidden="1" x14ac:dyDescent="0.25">
      <c r="A2753" t="s">
        <v>1967</v>
      </c>
      <c r="B2753" t="s">
        <v>86</v>
      </c>
      <c r="E2753" t="s">
        <v>5410</v>
      </c>
      <c r="F2753" t="s">
        <v>8573</v>
      </c>
      <c r="G2753" t="s">
        <v>1072</v>
      </c>
    </row>
    <row r="2754" spans="1:7" hidden="1" x14ac:dyDescent="0.25">
      <c r="A2754" t="s">
        <v>1967</v>
      </c>
      <c r="B2754" t="s">
        <v>8713</v>
      </c>
      <c r="E2754" t="s">
        <v>5410</v>
      </c>
      <c r="F2754" t="s">
        <v>8576</v>
      </c>
      <c r="G2754" t="s">
        <v>1072</v>
      </c>
    </row>
    <row r="2755" spans="1:7" hidden="1" x14ac:dyDescent="0.25">
      <c r="A2755" t="s">
        <v>1967</v>
      </c>
      <c r="B2755" t="s">
        <v>86</v>
      </c>
      <c r="E2755" t="s">
        <v>5410</v>
      </c>
      <c r="F2755" t="s">
        <v>8579</v>
      </c>
      <c r="G2755" t="s">
        <v>1072</v>
      </c>
    </row>
    <row r="2756" spans="1:7" hidden="1" x14ac:dyDescent="0.25">
      <c r="A2756" t="s">
        <v>1967</v>
      </c>
      <c r="B2756" t="s">
        <v>86</v>
      </c>
      <c r="E2756" t="s">
        <v>5410</v>
      </c>
      <c r="F2756" t="s">
        <v>8582</v>
      </c>
      <c r="G2756" t="s">
        <v>1072</v>
      </c>
    </row>
    <row r="2757" spans="1:7" hidden="1" x14ac:dyDescent="0.25">
      <c r="A2757" t="s">
        <v>1967</v>
      </c>
      <c r="B2757" t="s">
        <v>86</v>
      </c>
      <c r="E2757" t="s">
        <v>5410</v>
      </c>
      <c r="F2757" t="s">
        <v>8585</v>
      </c>
      <c r="G2757" t="s">
        <v>1072</v>
      </c>
    </row>
    <row r="2758" spans="1:7" hidden="1" x14ac:dyDescent="0.25">
      <c r="A2758" t="s">
        <v>1967</v>
      </c>
      <c r="B2758" t="s">
        <v>86</v>
      </c>
      <c r="E2758" t="s">
        <v>5410</v>
      </c>
      <c r="F2758" t="s">
        <v>8588</v>
      </c>
      <c r="G2758" t="s">
        <v>1072</v>
      </c>
    </row>
    <row r="2759" spans="1:7" hidden="1" x14ac:dyDescent="0.25">
      <c r="A2759" t="s">
        <v>1967</v>
      </c>
      <c r="B2759" t="s">
        <v>8</v>
      </c>
      <c r="F2759" t="s">
        <v>8591</v>
      </c>
      <c r="G2759" s="1" t="s">
        <v>1566</v>
      </c>
    </row>
    <row r="2760" spans="1:7" hidden="1" x14ac:dyDescent="0.25">
      <c r="A2760" t="s">
        <v>1967</v>
      </c>
      <c r="B2760" t="s">
        <v>8714</v>
      </c>
      <c r="F2760" t="s">
        <v>8594</v>
      </c>
      <c r="G2760" s="1" t="s">
        <v>1566</v>
      </c>
    </row>
    <row r="2761" spans="1:7" hidden="1" x14ac:dyDescent="0.25">
      <c r="A2761" t="s">
        <v>1967</v>
      </c>
      <c r="B2761" t="s">
        <v>8714</v>
      </c>
      <c r="F2761" t="s">
        <v>8597</v>
      </c>
      <c r="G2761" s="1" t="s">
        <v>1566</v>
      </c>
    </row>
    <row r="2762" spans="1:7" hidden="1" x14ac:dyDescent="0.25">
      <c r="A2762" t="s">
        <v>1967</v>
      </c>
      <c r="B2762" t="s">
        <v>8</v>
      </c>
      <c r="F2762" t="s">
        <v>8600</v>
      </c>
      <c r="G2762" s="1" t="s">
        <v>1566</v>
      </c>
    </row>
    <row r="2763" spans="1:7" hidden="1" x14ac:dyDescent="0.25">
      <c r="A2763" t="s">
        <v>1967</v>
      </c>
      <c r="B2763" t="s">
        <v>8714</v>
      </c>
      <c r="F2763" t="s">
        <v>8603</v>
      </c>
      <c r="G2763" s="1" t="s">
        <v>1566</v>
      </c>
    </row>
    <row r="2764" spans="1:7" hidden="1" x14ac:dyDescent="0.25">
      <c r="A2764" t="s">
        <v>1967</v>
      </c>
      <c r="B2764" t="s">
        <v>8714</v>
      </c>
      <c r="F2764" t="s">
        <v>8606</v>
      </c>
      <c r="G2764" s="1" t="s">
        <v>1566</v>
      </c>
    </row>
    <row r="2765" spans="1:7" hidden="1" x14ac:dyDescent="0.25">
      <c r="A2765" t="s">
        <v>4</v>
      </c>
      <c r="B2765" t="s">
        <v>8693</v>
      </c>
      <c r="F2765" t="s">
        <v>8609</v>
      </c>
      <c r="G2765" s="1" t="s">
        <v>1566</v>
      </c>
    </row>
    <row r="2766" spans="1:7" hidden="1" x14ac:dyDescent="0.25">
      <c r="A2766" t="s">
        <v>4</v>
      </c>
      <c r="B2766" t="s">
        <v>7947</v>
      </c>
      <c r="F2766" t="s">
        <v>8612</v>
      </c>
      <c r="G2766" t="s">
        <v>1780</v>
      </c>
    </row>
    <row r="2767" spans="1:7" hidden="1" x14ac:dyDescent="0.25">
      <c r="A2767" t="s">
        <v>4</v>
      </c>
      <c r="B2767" t="s">
        <v>7947</v>
      </c>
      <c r="F2767" t="s">
        <v>8615</v>
      </c>
      <c r="G2767" t="s">
        <v>1780</v>
      </c>
    </row>
    <row r="2768" spans="1:7" hidden="1" x14ac:dyDescent="0.25">
      <c r="A2768" t="s">
        <v>4</v>
      </c>
      <c r="B2768" t="s">
        <v>7947</v>
      </c>
      <c r="F2768" t="s">
        <v>8618</v>
      </c>
      <c r="G2768" t="s">
        <v>1780</v>
      </c>
    </row>
    <row r="2769" spans="1:7" hidden="1" x14ac:dyDescent="0.25">
      <c r="A2769" t="s">
        <v>4</v>
      </c>
      <c r="B2769" t="s">
        <v>7947</v>
      </c>
      <c r="F2769" t="s">
        <v>8621</v>
      </c>
      <c r="G2769" t="s">
        <v>1780</v>
      </c>
    </row>
    <row r="2770" spans="1:7" hidden="1" x14ac:dyDescent="0.25">
      <c r="A2770" t="s">
        <v>4</v>
      </c>
      <c r="B2770" t="s">
        <v>7947</v>
      </c>
      <c r="F2770" t="s">
        <v>8624</v>
      </c>
      <c r="G2770" t="s">
        <v>1780</v>
      </c>
    </row>
    <row r="2771" spans="1:7" hidden="1" x14ac:dyDescent="0.25">
      <c r="A2771" t="s">
        <v>4</v>
      </c>
      <c r="B2771" t="s">
        <v>7947</v>
      </c>
      <c r="F2771" t="s">
        <v>8627</v>
      </c>
      <c r="G2771" t="s">
        <v>1780</v>
      </c>
    </row>
    <row r="2772" spans="1:7" hidden="1" x14ac:dyDescent="0.25">
      <c r="A2772" t="s">
        <v>4</v>
      </c>
      <c r="B2772" t="s">
        <v>7947</v>
      </c>
      <c r="F2772" t="s">
        <v>8630</v>
      </c>
      <c r="G2772" t="s">
        <v>1780</v>
      </c>
    </row>
    <row r="2773" spans="1:7" hidden="1" x14ac:dyDescent="0.25">
      <c r="A2773" t="s">
        <v>1967</v>
      </c>
      <c r="B2773" t="s">
        <v>8</v>
      </c>
      <c r="F2773" t="s">
        <v>8633</v>
      </c>
      <c r="G2773" t="s">
        <v>1780</v>
      </c>
    </row>
    <row r="2774" spans="1:7" hidden="1" x14ac:dyDescent="0.25">
      <c r="A2774" t="s">
        <v>4</v>
      </c>
      <c r="B2774" t="s">
        <v>7947</v>
      </c>
      <c r="F2774" t="s">
        <v>8636</v>
      </c>
      <c r="G2774" t="s">
        <v>1780</v>
      </c>
    </row>
    <row r="2775" spans="1:7" hidden="1" x14ac:dyDescent="0.25">
      <c r="A2775" t="s">
        <v>4</v>
      </c>
      <c r="B2775" t="s">
        <v>8715</v>
      </c>
      <c r="F2775" t="s">
        <v>8639</v>
      </c>
      <c r="G2775" t="s">
        <v>1780</v>
      </c>
    </row>
    <row r="2776" spans="1:7" hidden="1" x14ac:dyDescent="0.25">
      <c r="A2776" t="s">
        <v>1967</v>
      </c>
      <c r="B2776" t="s">
        <v>8</v>
      </c>
      <c r="F2776" t="s">
        <v>8642</v>
      </c>
      <c r="G2776" t="s">
        <v>1780</v>
      </c>
    </row>
    <row r="2777" spans="1:7" hidden="1" x14ac:dyDescent="0.25">
      <c r="A2777" t="s">
        <v>1967</v>
      </c>
      <c r="B2777" t="s">
        <v>8</v>
      </c>
      <c r="F2777" t="s">
        <v>8645</v>
      </c>
      <c r="G2777" t="s">
        <v>1897</v>
      </c>
    </row>
    <row r="2778" spans="1:7" hidden="1" x14ac:dyDescent="0.25">
      <c r="A2778" t="s">
        <v>1967</v>
      </c>
      <c r="B2778" t="s">
        <v>8</v>
      </c>
      <c r="F2778" t="s">
        <v>8648</v>
      </c>
      <c r="G2778" t="s">
        <v>1897</v>
      </c>
    </row>
    <row r="2779" spans="1:7" hidden="1" x14ac:dyDescent="0.25">
      <c r="A2779" t="s">
        <v>1967</v>
      </c>
      <c r="B2779" t="s">
        <v>8</v>
      </c>
      <c r="F2779" t="s">
        <v>8651</v>
      </c>
      <c r="G2779" t="s">
        <v>1897</v>
      </c>
    </row>
    <row r="2780" spans="1:7" hidden="1" x14ac:dyDescent="0.25">
      <c r="A2780" t="s">
        <v>1967</v>
      </c>
      <c r="B2780" t="s">
        <v>8</v>
      </c>
      <c r="F2780" t="s">
        <v>8654</v>
      </c>
      <c r="G2780" t="s">
        <v>1897</v>
      </c>
    </row>
    <row r="2781" spans="1:7" hidden="1" x14ac:dyDescent="0.25">
      <c r="A2781" t="s">
        <v>1967</v>
      </c>
      <c r="B2781" t="s">
        <v>8</v>
      </c>
      <c r="F2781" t="s">
        <v>8657</v>
      </c>
      <c r="G2781" t="s">
        <v>1897</v>
      </c>
    </row>
    <row r="2782" spans="1:7" hidden="1" x14ac:dyDescent="0.25">
      <c r="A2782" t="s">
        <v>1967</v>
      </c>
      <c r="B2782" t="s">
        <v>8</v>
      </c>
      <c r="F2782" t="s">
        <v>8660</v>
      </c>
      <c r="G2782" t="s">
        <v>1897</v>
      </c>
    </row>
    <row r="2783" spans="1:7" hidden="1" x14ac:dyDescent="0.25">
      <c r="A2783" t="s">
        <v>1967</v>
      </c>
      <c r="B2783" t="s">
        <v>8</v>
      </c>
      <c r="F2783" t="s">
        <v>8663</v>
      </c>
      <c r="G2783" t="s">
        <v>1897</v>
      </c>
    </row>
    <row r="2784" spans="1:7" hidden="1" x14ac:dyDescent="0.25">
      <c r="A2784" t="s">
        <v>1967</v>
      </c>
      <c r="B2784" t="s">
        <v>8</v>
      </c>
      <c r="F2784" t="s">
        <v>8666</v>
      </c>
      <c r="G2784" t="s">
        <v>1960</v>
      </c>
    </row>
    <row r="2785" spans="1:7" hidden="1" x14ac:dyDescent="0.25">
      <c r="A2785" t="s">
        <v>1967</v>
      </c>
      <c r="B2785" t="s">
        <v>8</v>
      </c>
      <c r="F2785" t="s">
        <v>8669</v>
      </c>
      <c r="G2785" t="s">
        <v>1960</v>
      </c>
    </row>
    <row r="2786" spans="1:7" hidden="1" x14ac:dyDescent="0.25">
      <c r="A2786" t="s">
        <v>1967</v>
      </c>
      <c r="B2786" t="s">
        <v>8</v>
      </c>
      <c r="F2786" t="s">
        <v>8672</v>
      </c>
      <c r="G2786" t="s">
        <v>1960</v>
      </c>
    </row>
    <row r="2787" spans="1:7" hidden="1" x14ac:dyDescent="0.25">
      <c r="A2787" t="s">
        <v>1967</v>
      </c>
      <c r="B2787" t="s">
        <v>8</v>
      </c>
      <c r="F2787" t="s">
        <v>8675</v>
      </c>
      <c r="G2787" t="s">
        <v>1960</v>
      </c>
    </row>
    <row r="2788" spans="1:7" hidden="1" x14ac:dyDescent="0.25">
      <c r="A2788" t="s">
        <v>1967</v>
      </c>
      <c r="B2788" t="s">
        <v>8</v>
      </c>
      <c r="F2788" t="s">
        <v>8678</v>
      </c>
      <c r="G2788" t="s">
        <v>1960</v>
      </c>
    </row>
    <row r="2789" spans="1:7" hidden="1" x14ac:dyDescent="0.25">
      <c r="A2789" t="s">
        <v>1967</v>
      </c>
      <c r="B2789" t="s">
        <v>8</v>
      </c>
      <c r="F2789" t="s">
        <v>8681</v>
      </c>
      <c r="G2789" t="s">
        <v>1960</v>
      </c>
    </row>
    <row r="2790" spans="1:7" hidden="1" x14ac:dyDescent="0.25">
      <c r="A2790" t="s">
        <v>1967</v>
      </c>
      <c r="B2790" t="s">
        <v>8</v>
      </c>
      <c r="F2790" t="s">
        <v>8684</v>
      </c>
      <c r="G2790" t="s">
        <v>1960</v>
      </c>
    </row>
    <row r="2791" spans="1:7" hidden="1" x14ac:dyDescent="0.25">
      <c r="A2791" t="s">
        <v>1967</v>
      </c>
      <c r="B2791" t="s">
        <v>8</v>
      </c>
      <c r="F2791" t="s">
        <v>8567</v>
      </c>
      <c r="G2791" t="s">
        <v>1079</v>
      </c>
    </row>
    <row r="2792" spans="1:7" hidden="1" x14ac:dyDescent="0.25">
      <c r="A2792" t="s">
        <v>1967</v>
      </c>
      <c r="B2792" t="s">
        <v>8</v>
      </c>
      <c r="F2792" t="s">
        <v>8694</v>
      </c>
      <c r="G2792" t="s">
        <v>1079</v>
      </c>
    </row>
    <row r="2793" spans="1:7" hidden="1" x14ac:dyDescent="0.25">
      <c r="A2793" t="s">
        <v>1967</v>
      </c>
      <c r="B2793" t="s">
        <v>8</v>
      </c>
      <c r="F2793" t="s">
        <v>8697</v>
      </c>
      <c r="G2793" t="s">
        <v>1079</v>
      </c>
    </row>
    <row r="2794" spans="1:7" hidden="1" x14ac:dyDescent="0.25">
      <c r="A2794" t="s">
        <v>1967</v>
      </c>
      <c r="B2794" t="s">
        <v>8</v>
      </c>
      <c r="F2794" t="s">
        <v>8700</v>
      </c>
      <c r="G2794" t="s">
        <v>1079</v>
      </c>
    </row>
    <row r="2795" spans="1:7" hidden="1" x14ac:dyDescent="0.25">
      <c r="A2795" t="s">
        <v>1967</v>
      </c>
      <c r="B2795" t="s">
        <v>8</v>
      </c>
      <c r="F2795" t="s">
        <v>8703</v>
      </c>
      <c r="G2795" t="s">
        <v>1079</v>
      </c>
    </row>
    <row r="2796" spans="1:7" hidden="1" x14ac:dyDescent="0.25">
      <c r="A2796" t="s">
        <v>1967</v>
      </c>
      <c r="B2796" t="s">
        <v>8</v>
      </c>
      <c r="F2796" t="s">
        <v>8706</v>
      </c>
      <c r="G2796" t="s">
        <v>1079</v>
      </c>
    </row>
    <row r="2797" spans="1:7" hidden="1" x14ac:dyDescent="0.25">
      <c r="A2797" t="s">
        <v>1967</v>
      </c>
      <c r="B2797" t="s">
        <v>8</v>
      </c>
      <c r="F2797" t="s">
        <v>8709</v>
      </c>
      <c r="G2797" t="s">
        <v>1079</v>
      </c>
    </row>
    <row r="2798" spans="1:7" hidden="1" x14ac:dyDescent="0.25">
      <c r="A2798" t="s">
        <v>1967</v>
      </c>
      <c r="E2798" t="s">
        <v>9072</v>
      </c>
      <c r="F2798" t="s">
        <v>8740</v>
      </c>
      <c r="G2798" t="s">
        <v>1074</v>
      </c>
    </row>
    <row r="2799" spans="1:7" hidden="1" x14ac:dyDescent="0.25">
      <c r="A2799" t="s">
        <v>91</v>
      </c>
      <c r="B2799" t="s">
        <v>9073</v>
      </c>
      <c r="C2799" t="s">
        <v>51</v>
      </c>
      <c r="F2799" t="s">
        <v>8743</v>
      </c>
      <c r="G2799" t="s">
        <v>1074</v>
      </c>
    </row>
    <row r="2800" spans="1:7" hidden="1" x14ac:dyDescent="0.25">
      <c r="A2800" t="s">
        <v>62</v>
      </c>
      <c r="B2800" t="s">
        <v>9073</v>
      </c>
      <c r="C2800" t="s">
        <v>9074</v>
      </c>
      <c r="F2800" t="s">
        <v>8746</v>
      </c>
      <c r="G2800" t="s">
        <v>1074</v>
      </c>
    </row>
    <row r="2801" spans="1:7" hidden="1" x14ac:dyDescent="0.25">
      <c r="A2801" t="s">
        <v>4162</v>
      </c>
      <c r="B2801" t="s">
        <v>86</v>
      </c>
      <c r="C2801" t="s">
        <v>4181</v>
      </c>
      <c r="E2801" t="s">
        <v>1583</v>
      </c>
      <c r="F2801" t="s">
        <v>8716</v>
      </c>
      <c r="G2801" t="s">
        <v>1075</v>
      </c>
    </row>
    <row r="2802" spans="1:7" hidden="1" x14ac:dyDescent="0.25">
      <c r="A2802" t="s">
        <v>4162</v>
      </c>
      <c r="B2802" t="s">
        <v>86</v>
      </c>
      <c r="C2802" t="s">
        <v>4181</v>
      </c>
      <c r="E2802" t="s">
        <v>4177</v>
      </c>
      <c r="F2802" t="s">
        <v>8719</v>
      </c>
      <c r="G2802" t="s">
        <v>1075</v>
      </c>
    </row>
    <row r="2803" spans="1:7" hidden="1" x14ac:dyDescent="0.25">
      <c r="A2803" t="s">
        <v>158</v>
      </c>
      <c r="B2803" t="s">
        <v>86</v>
      </c>
      <c r="C2803" t="s">
        <v>60</v>
      </c>
      <c r="D2803">
        <v>3</v>
      </c>
      <c r="E2803" t="s">
        <v>3030</v>
      </c>
      <c r="F2803" t="s">
        <v>8722</v>
      </c>
      <c r="G2803" t="s">
        <v>1075</v>
      </c>
    </row>
    <row r="2804" spans="1:7" hidden="1" x14ac:dyDescent="0.25">
      <c r="A2804" t="s">
        <v>158</v>
      </c>
      <c r="B2804" t="s">
        <v>86</v>
      </c>
      <c r="C2804" t="s">
        <v>60</v>
      </c>
      <c r="D2804">
        <v>2</v>
      </c>
      <c r="E2804" t="s">
        <v>3030</v>
      </c>
      <c r="F2804" t="s">
        <v>8725</v>
      </c>
      <c r="G2804" t="s">
        <v>1075</v>
      </c>
    </row>
    <row r="2805" spans="1:7" hidden="1" x14ac:dyDescent="0.25">
      <c r="A2805" t="s">
        <v>158</v>
      </c>
      <c r="B2805" t="s">
        <v>86</v>
      </c>
      <c r="C2805" t="s">
        <v>60</v>
      </c>
      <c r="D2805">
        <v>1</v>
      </c>
      <c r="E2805" t="s">
        <v>3030</v>
      </c>
      <c r="F2805" t="s">
        <v>8728</v>
      </c>
      <c r="G2805" t="s">
        <v>1075</v>
      </c>
    </row>
    <row r="2806" spans="1:7" hidden="1" x14ac:dyDescent="0.25">
      <c r="A2806" t="s">
        <v>4162</v>
      </c>
      <c r="B2806" t="s">
        <v>86</v>
      </c>
      <c r="C2806" t="s">
        <v>9075</v>
      </c>
      <c r="E2806" t="s">
        <v>1583</v>
      </c>
      <c r="F2806" t="s">
        <v>8731</v>
      </c>
      <c r="G2806" t="s">
        <v>1075</v>
      </c>
    </row>
    <row r="2807" spans="1:7" hidden="1" x14ac:dyDescent="0.25">
      <c r="A2807" t="s">
        <v>4162</v>
      </c>
      <c r="B2807" t="s">
        <v>86</v>
      </c>
      <c r="C2807" t="s">
        <v>9075</v>
      </c>
      <c r="E2807" t="s">
        <v>2891</v>
      </c>
      <c r="F2807" t="s">
        <v>8734</v>
      </c>
      <c r="G2807" t="s">
        <v>1075</v>
      </c>
    </row>
    <row r="2808" spans="1:7" hidden="1" x14ac:dyDescent="0.25">
      <c r="A2808" t="s">
        <v>158</v>
      </c>
      <c r="B2808" t="s">
        <v>86</v>
      </c>
      <c r="C2808" t="s">
        <v>60</v>
      </c>
      <c r="D2808">
        <v>1</v>
      </c>
      <c r="E2808" t="s">
        <v>3030</v>
      </c>
      <c r="F2808" t="s">
        <v>8737</v>
      </c>
      <c r="G2808" t="s">
        <v>1075</v>
      </c>
    </row>
    <row r="2809" spans="1:7" x14ac:dyDescent="0.25">
      <c r="A2809" t="s">
        <v>4</v>
      </c>
      <c r="B2809" t="s">
        <v>8691</v>
      </c>
      <c r="F2809" t="s">
        <v>8863</v>
      </c>
      <c r="G2809" t="s">
        <v>13425</v>
      </c>
    </row>
    <row r="2810" spans="1:7" x14ac:dyDescent="0.25">
      <c r="A2810" t="s">
        <v>261</v>
      </c>
      <c r="B2810" t="s">
        <v>9073</v>
      </c>
      <c r="C2810" t="s">
        <v>9074</v>
      </c>
      <c r="F2810" t="s">
        <v>8866</v>
      </c>
      <c r="G2810" t="s">
        <v>13425</v>
      </c>
    </row>
    <row r="2811" spans="1:7" x14ac:dyDescent="0.25">
      <c r="A2811" t="s">
        <v>261</v>
      </c>
      <c r="B2811" t="s">
        <v>9073</v>
      </c>
      <c r="C2811" t="s">
        <v>9074</v>
      </c>
      <c r="E2811" t="s">
        <v>2891</v>
      </c>
      <c r="F2811" t="s">
        <v>8869</v>
      </c>
      <c r="G2811" t="s">
        <v>13425</v>
      </c>
    </row>
    <row r="2812" spans="1:7" x14ac:dyDescent="0.25">
      <c r="A2812" t="s">
        <v>4</v>
      </c>
      <c r="B2812" t="s">
        <v>8691</v>
      </c>
      <c r="F2812" t="s">
        <v>8872</v>
      </c>
      <c r="G2812" t="s">
        <v>13425</v>
      </c>
    </row>
    <row r="2813" spans="1:7" hidden="1" x14ac:dyDescent="0.25">
      <c r="A2813" t="s">
        <v>4</v>
      </c>
      <c r="B2813" t="s">
        <v>8691</v>
      </c>
      <c r="F2813" t="s">
        <v>8874</v>
      </c>
      <c r="G2813" t="s">
        <v>1076</v>
      </c>
    </row>
    <row r="2814" spans="1:7" hidden="1" x14ac:dyDescent="0.25">
      <c r="A2814" t="s">
        <v>4</v>
      </c>
      <c r="B2814" t="s">
        <v>8691</v>
      </c>
      <c r="F2814" t="s">
        <v>8877</v>
      </c>
      <c r="G2814" t="s">
        <v>1076</v>
      </c>
    </row>
    <row r="2815" spans="1:7" hidden="1" x14ac:dyDescent="0.25">
      <c r="A2815" t="s">
        <v>6112</v>
      </c>
      <c r="B2815" t="s">
        <v>5411</v>
      </c>
      <c r="C2815" t="s">
        <v>9076</v>
      </c>
      <c r="F2815" t="s">
        <v>8749</v>
      </c>
      <c r="G2815" t="s">
        <v>1077</v>
      </c>
    </row>
    <row r="2816" spans="1:7" hidden="1" x14ac:dyDescent="0.25">
      <c r="A2816" t="s">
        <v>6112</v>
      </c>
      <c r="B2816" t="s">
        <v>5411</v>
      </c>
      <c r="C2816" t="s">
        <v>9076</v>
      </c>
      <c r="E2816" t="s">
        <v>2891</v>
      </c>
      <c r="F2816" t="s">
        <v>8752</v>
      </c>
      <c r="G2816" t="s">
        <v>1077</v>
      </c>
    </row>
    <row r="2817" spans="1:7" hidden="1" x14ac:dyDescent="0.25">
      <c r="A2817" t="s">
        <v>1066</v>
      </c>
      <c r="B2817" t="s">
        <v>86</v>
      </c>
      <c r="C2817" t="s">
        <v>60</v>
      </c>
      <c r="F2817" t="s">
        <v>8755</v>
      </c>
      <c r="G2817" t="s">
        <v>1077</v>
      </c>
    </row>
    <row r="2818" spans="1:7" hidden="1" x14ac:dyDescent="0.25">
      <c r="A2818" t="s">
        <v>1066</v>
      </c>
      <c r="B2818" t="s">
        <v>86</v>
      </c>
      <c r="C2818" t="s">
        <v>60</v>
      </c>
      <c r="E2818" t="s">
        <v>2891</v>
      </c>
      <c r="F2818" t="s">
        <v>8758</v>
      </c>
      <c r="G2818" t="s">
        <v>1077</v>
      </c>
    </row>
    <row r="2819" spans="1:7" hidden="1" x14ac:dyDescent="0.25">
      <c r="A2819" t="s">
        <v>1066</v>
      </c>
      <c r="B2819" t="s">
        <v>86</v>
      </c>
      <c r="C2819" t="s">
        <v>60</v>
      </c>
      <c r="E2819" t="s">
        <v>2891</v>
      </c>
      <c r="F2819" t="s">
        <v>8761</v>
      </c>
      <c r="G2819" t="s">
        <v>1077</v>
      </c>
    </row>
    <row r="2820" spans="1:7" hidden="1" x14ac:dyDescent="0.25">
      <c r="A2820" t="s">
        <v>1066</v>
      </c>
      <c r="B2820" t="s">
        <v>4188</v>
      </c>
      <c r="C2820" t="s">
        <v>60</v>
      </c>
      <c r="F2820" t="s">
        <v>8764</v>
      </c>
      <c r="G2820" t="s">
        <v>1077</v>
      </c>
    </row>
    <row r="2821" spans="1:7" hidden="1" x14ac:dyDescent="0.25">
      <c r="A2821" t="s">
        <v>1066</v>
      </c>
      <c r="B2821" t="s">
        <v>4188</v>
      </c>
      <c r="C2821" t="s">
        <v>60</v>
      </c>
      <c r="E2821" t="s">
        <v>2891</v>
      </c>
      <c r="F2821" t="s">
        <v>8767</v>
      </c>
      <c r="G2821" t="s">
        <v>1077</v>
      </c>
    </row>
    <row r="2822" spans="1:7" hidden="1" x14ac:dyDescent="0.25">
      <c r="A2822" t="s">
        <v>1066</v>
      </c>
      <c r="B2822" t="s">
        <v>4188</v>
      </c>
      <c r="C2822" t="s">
        <v>60</v>
      </c>
      <c r="E2822" t="s">
        <v>2891</v>
      </c>
      <c r="F2822" t="s">
        <v>8770</v>
      </c>
      <c r="G2822" t="s">
        <v>1077</v>
      </c>
    </row>
    <row r="2823" spans="1:7" hidden="1" x14ac:dyDescent="0.25">
      <c r="A2823" t="s">
        <v>4</v>
      </c>
      <c r="B2823" t="s">
        <v>8</v>
      </c>
      <c r="F2823" t="s">
        <v>8773</v>
      </c>
      <c r="G2823" t="s">
        <v>1077</v>
      </c>
    </row>
    <row r="2824" spans="1:7" hidden="1" x14ac:dyDescent="0.25">
      <c r="A2824" t="s">
        <v>4</v>
      </c>
      <c r="B2824" t="s">
        <v>7947</v>
      </c>
      <c r="F2824" t="s">
        <v>8776</v>
      </c>
      <c r="G2824" t="s">
        <v>1077</v>
      </c>
    </row>
    <row r="2825" spans="1:7" hidden="1" x14ac:dyDescent="0.25">
      <c r="A2825" t="s">
        <v>4</v>
      </c>
      <c r="B2825" t="s">
        <v>7947</v>
      </c>
      <c r="F2825" t="s">
        <v>8779</v>
      </c>
      <c r="G2825" t="s">
        <v>1077</v>
      </c>
    </row>
    <row r="2826" spans="1:7" hidden="1" x14ac:dyDescent="0.25">
      <c r="A2826" t="s">
        <v>4</v>
      </c>
      <c r="B2826" t="s">
        <v>8</v>
      </c>
      <c r="F2826" t="s">
        <v>8782</v>
      </c>
      <c r="G2826" t="s">
        <v>1077</v>
      </c>
    </row>
    <row r="2827" spans="1:7" hidden="1" x14ac:dyDescent="0.25">
      <c r="A2827" t="s">
        <v>9077</v>
      </c>
      <c r="B2827" t="s">
        <v>5411</v>
      </c>
      <c r="C2827" t="s">
        <v>9076</v>
      </c>
      <c r="F2827" t="s">
        <v>8880</v>
      </c>
      <c r="G2827" t="s">
        <v>1078</v>
      </c>
    </row>
    <row r="2828" spans="1:7" hidden="1" x14ac:dyDescent="0.25">
      <c r="A2828" t="s">
        <v>1967</v>
      </c>
      <c r="B2828" t="s">
        <v>8</v>
      </c>
      <c r="F2828" t="s">
        <v>8883</v>
      </c>
      <c r="G2828" t="s">
        <v>1078</v>
      </c>
    </row>
    <row r="2829" spans="1:7" hidden="1" x14ac:dyDescent="0.25">
      <c r="A2829" t="s">
        <v>1967</v>
      </c>
      <c r="B2829" t="s">
        <v>8</v>
      </c>
      <c r="F2829" t="s">
        <v>9078</v>
      </c>
      <c r="G2829" t="s">
        <v>1079</v>
      </c>
    </row>
    <row r="2830" spans="1:7" hidden="1" x14ac:dyDescent="0.25">
      <c r="A2830" t="s">
        <v>1967</v>
      </c>
      <c r="B2830" t="s">
        <v>8</v>
      </c>
      <c r="F2830" t="s">
        <v>9081</v>
      </c>
      <c r="G2830" t="s">
        <v>1079</v>
      </c>
    </row>
    <row r="2831" spans="1:7" hidden="1" x14ac:dyDescent="0.25">
      <c r="A2831" t="s">
        <v>1967</v>
      </c>
      <c r="B2831" t="s">
        <v>5408</v>
      </c>
      <c r="F2831" t="s">
        <v>8886</v>
      </c>
      <c r="G2831" t="s">
        <v>768</v>
      </c>
    </row>
    <row r="2832" spans="1:7" hidden="1" x14ac:dyDescent="0.25">
      <c r="A2832" t="s">
        <v>4</v>
      </c>
      <c r="B2832" t="s">
        <v>9</v>
      </c>
      <c r="F2832" t="s">
        <v>8889</v>
      </c>
      <c r="G2832" t="s">
        <v>768</v>
      </c>
    </row>
    <row r="2833" spans="1:7" hidden="1" x14ac:dyDescent="0.25">
      <c r="A2833" t="s">
        <v>765</v>
      </c>
      <c r="B2833" t="s">
        <v>1570</v>
      </c>
      <c r="F2833" t="s">
        <v>8892</v>
      </c>
      <c r="G2833" t="s">
        <v>768</v>
      </c>
    </row>
    <row r="2834" spans="1:7" hidden="1" x14ac:dyDescent="0.25">
      <c r="A2834" t="s">
        <v>1987</v>
      </c>
      <c r="B2834" t="s">
        <v>768</v>
      </c>
      <c r="F2834" t="s">
        <v>8895</v>
      </c>
      <c r="G2834" t="s">
        <v>768</v>
      </c>
    </row>
    <row r="2835" spans="1:7" hidden="1" x14ac:dyDescent="0.25">
      <c r="A2835" t="s">
        <v>9084</v>
      </c>
      <c r="B2835" t="s">
        <v>9085</v>
      </c>
      <c r="F2835" t="s">
        <v>8898</v>
      </c>
      <c r="G2835" t="s">
        <v>768</v>
      </c>
    </row>
    <row r="2836" spans="1:7" hidden="1" x14ac:dyDescent="0.25">
      <c r="A2836" t="s">
        <v>1987</v>
      </c>
      <c r="B2836" t="s">
        <v>768</v>
      </c>
      <c r="F2836" t="s">
        <v>8901</v>
      </c>
      <c r="G2836" t="s">
        <v>768</v>
      </c>
    </row>
    <row r="2837" spans="1:7" hidden="1" x14ac:dyDescent="0.25">
      <c r="A2837" t="s">
        <v>1987</v>
      </c>
      <c r="B2837" t="s">
        <v>768</v>
      </c>
      <c r="E2837" t="s">
        <v>2891</v>
      </c>
      <c r="F2837" t="s">
        <v>8904</v>
      </c>
      <c r="G2837" t="s">
        <v>768</v>
      </c>
    </row>
    <row r="2838" spans="1:7" hidden="1" x14ac:dyDescent="0.25">
      <c r="A2838" t="s">
        <v>4</v>
      </c>
      <c r="B2838" t="s">
        <v>9</v>
      </c>
      <c r="F2838" t="s">
        <v>8907</v>
      </c>
      <c r="G2838" t="s">
        <v>768</v>
      </c>
    </row>
    <row r="2839" spans="1:7" hidden="1" x14ac:dyDescent="0.25">
      <c r="A2839" t="s">
        <v>4</v>
      </c>
      <c r="B2839" t="s">
        <v>9</v>
      </c>
      <c r="F2839" t="s">
        <v>8910</v>
      </c>
      <c r="G2839" t="s">
        <v>768</v>
      </c>
    </row>
    <row r="2840" spans="1:7" hidden="1" x14ac:dyDescent="0.25">
      <c r="A2840" t="s">
        <v>1967</v>
      </c>
      <c r="B2840" t="s">
        <v>86</v>
      </c>
      <c r="E2840" t="s">
        <v>5410</v>
      </c>
      <c r="F2840" t="s">
        <v>8785</v>
      </c>
      <c r="G2840" t="s">
        <v>1072</v>
      </c>
    </row>
    <row r="2841" spans="1:7" hidden="1" x14ac:dyDescent="0.25">
      <c r="A2841" t="s">
        <v>4</v>
      </c>
      <c r="B2841" t="s">
        <v>9</v>
      </c>
      <c r="F2841" t="s">
        <v>8788</v>
      </c>
      <c r="G2841" t="s">
        <v>1072</v>
      </c>
    </row>
    <row r="2842" spans="1:7" hidden="1" x14ac:dyDescent="0.25">
      <c r="A2842" t="s">
        <v>9086</v>
      </c>
      <c r="B2842" t="s">
        <v>9087</v>
      </c>
      <c r="F2842" t="s">
        <v>8791</v>
      </c>
      <c r="G2842" t="s">
        <v>1072</v>
      </c>
    </row>
    <row r="2843" spans="1:7" hidden="1" x14ac:dyDescent="0.25">
      <c r="A2843" t="s">
        <v>1987</v>
      </c>
      <c r="B2843" t="s">
        <v>1267</v>
      </c>
      <c r="F2843" t="s">
        <v>8794</v>
      </c>
      <c r="G2843" t="s">
        <v>1072</v>
      </c>
    </row>
    <row r="2844" spans="1:7" hidden="1" x14ac:dyDescent="0.25">
      <c r="A2844" t="s">
        <v>9086</v>
      </c>
      <c r="B2844" t="s">
        <v>5071</v>
      </c>
      <c r="F2844" t="s">
        <v>8797</v>
      </c>
      <c r="G2844" t="s">
        <v>1072</v>
      </c>
    </row>
    <row r="2845" spans="1:7" hidden="1" x14ac:dyDescent="0.25">
      <c r="A2845" t="s">
        <v>5407</v>
      </c>
      <c r="B2845" t="s">
        <v>5411</v>
      </c>
      <c r="C2845" t="s">
        <v>9088</v>
      </c>
      <c r="F2845" t="s">
        <v>8800</v>
      </c>
      <c r="G2845" t="s">
        <v>1072</v>
      </c>
    </row>
    <row r="2846" spans="1:7" hidden="1" x14ac:dyDescent="0.25">
      <c r="A2846" t="s">
        <v>4</v>
      </c>
      <c r="B2846" t="s">
        <v>9</v>
      </c>
      <c r="F2846" t="s">
        <v>8803</v>
      </c>
      <c r="G2846" t="s">
        <v>1072</v>
      </c>
    </row>
    <row r="2847" spans="1:7" hidden="1" x14ac:dyDescent="0.25">
      <c r="A2847" t="s">
        <v>5407</v>
      </c>
      <c r="B2847" t="s">
        <v>5411</v>
      </c>
      <c r="C2847" t="s">
        <v>9089</v>
      </c>
      <c r="F2847" t="s">
        <v>8806</v>
      </c>
      <c r="G2847" t="s">
        <v>1072</v>
      </c>
    </row>
    <row r="2848" spans="1:7" hidden="1" x14ac:dyDescent="0.25">
      <c r="A2848" t="s">
        <v>4</v>
      </c>
      <c r="B2848" t="s">
        <v>9090</v>
      </c>
      <c r="F2848" t="s">
        <v>8809</v>
      </c>
      <c r="G2848" t="s">
        <v>1072</v>
      </c>
    </row>
    <row r="2849" spans="1:7" hidden="1" x14ac:dyDescent="0.25">
      <c r="A2849" t="s">
        <v>5407</v>
      </c>
      <c r="B2849" t="s">
        <v>5411</v>
      </c>
      <c r="C2849" t="s">
        <v>9089</v>
      </c>
      <c r="F2849" t="s">
        <v>8812</v>
      </c>
      <c r="G2849" t="s">
        <v>1072</v>
      </c>
    </row>
    <row r="2850" spans="1:7" hidden="1" x14ac:dyDescent="0.25">
      <c r="A2850" t="s">
        <v>5407</v>
      </c>
      <c r="B2850" t="s">
        <v>5411</v>
      </c>
      <c r="C2850" t="s">
        <v>9089</v>
      </c>
      <c r="F2850" t="s">
        <v>8815</v>
      </c>
      <c r="G2850" t="s">
        <v>1072</v>
      </c>
    </row>
    <row r="2851" spans="1:7" hidden="1" x14ac:dyDescent="0.25">
      <c r="A2851" t="s">
        <v>4</v>
      </c>
      <c r="B2851" t="s">
        <v>9</v>
      </c>
      <c r="F2851" t="s">
        <v>8818</v>
      </c>
      <c r="G2851" t="s">
        <v>1072</v>
      </c>
    </row>
    <row r="2852" spans="1:7" hidden="1" x14ac:dyDescent="0.25">
      <c r="A2852" t="s">
        <v>5407</v>
      </c>
      <c r="B2852" t="s">
        <v>5411</v>
      </c>
      <c r="C2852" t="s">
        <v>9089</v>
      </c>
      <c r="F2852" t="s">
        <v>8821</v>
      </c>
      <c r="G2852" t="s">
        <v>1072</v>
      </c>
    </row>
    <row r="2853" spans="1:7" hidden="1" x14ac:dyDescent="0.25">
      <c r="A2853" t="s">
        <v>5407</v>
      </c>
      <c r="B2853" t="s">
        <v>5411</v>
      </c>
      <c r="C2853" t="s">
        <v>9089</v>
      </c>
      <c r="F2853" t="s">
        <v>8824</v>
      </c>
      <c r="G2853" t="s">
        <v>1072</v>
      </c>
    </row>
    <row r="2854" spans="1:7" hidden="1" x14ac:dyDescent="0.25">
      <c r="A2854" t="s">
        <v>4</v>
      </c>
      <c r="B2854" t="s">
        <v>9</v>
      </c>
      <c r="F2854" t="s">
        <v>8827</v>
      </c>
      <c r="G2854" t="s">
        <v>1072</v>
      </c>
    </row>
    <row r="2855" spans="1:7" hidden="1" x14ac:dyDescent="0.25">
      <c r="A2855" t="s">
        <v>4</v>
      </c>
      <c r="B2855" t="s">
        <v>86</v>
      </c>
      <c r="E2855" t="s">
        <v>5410</v>
      </c>
      <c r="F2855" t="s">
        <v>8830</v>
      </c>
      <c r="G2855" t="s">
        <v>1072</v>
      </c>
    </row>
    <row r="2856" spans="1:7" hidden="1" x14ac:dyDescent="0.25">
      <c r="A2856" t="s">
        <v>9091</v>
      </c>
      <c r="B2856" t="s">
        <v>1267</v>
      </c>
      <c r="F2856" t="s">
        <v>8833</v>
      </c>
      <c r="G2856" t="s">
        <v>1072</v>
      </c>
    </row>
    <row r="2857" spans="1:7" hidden="1" x14ac:dyDescent="0.25">
      <c r="A2857" t="s">
        <v>1987</v>
      </c>
      <c r="B2857" t="s">
        <v>1267</v>
      </c>
      <c r="F2857" t="s">
        <v>8836</v>
      </c>
      <c r="G2857" t="s">
        <v>1072</v>
      </c>
    </row>
    <row r="2858" spans="1:7" hidden="1" x14ac:dyDescent="0.25">
      <c r="A2858" t="s">
        <v>1987</v>
      </c>
      <c r="B2858" t="s">
        <v>1267</v>
      </c>
      <c r="F2858" t="s">
        <v>8839</v>
      </c>
      <c r="G2858" t="s">
        <v>1072</v>
      </c>
    </row>
    <row r="2859" spans="1:7" hidden="1" x14ac:dyDescent="0.25">
      <c r="A2859" t="s">
        <v>4</v>
      </c>
      <c r="B2859" t="s">
        <v>9</v>
      </c>
      <c r="F2859" t="s">
        <v>8842</v>
      </c>
      <c r="G2859" t="s">
        <v>1072</v>
      </c>
    </row>
    <row r="2860" spans="1:7" hidden="1" x14ac:dyDescent="0.25">
      <c r="A2860" t="s">
        <v>9086</v>
      </c>
      <c r="B2860" t="s">
        <v>5071</v>
      </c>
      <c r="F2860" t="s">
        <v>8845</v>
      </c>
      <c r="G2860" t="s">
        <v>1072</v>
      </c>
    </row>
    <row r="2861" spans="1:7" hidden="1" x14ac:dyDescent="0.25">
      <c r="A2861" t="s">
        <v>5407</v>
      </c>
      <c r="B2861" t="s">
        <v>5411</v>
      </c>
      <c r="C2861" t="s">
        <v>500</v>
      </c>
      <c r="F2861" t="s">
        <v>8848</v>
      </c>
      <c r="G2861" t="s">
        <v>1072</v>
      </c>
    </row>
    <row r="2862" spans="1:7" hidden="1" x14ac:dyDescent="0.25">
      <c r="A2862" t="s">
        <v>4</v>
      </c>
      <c r="B2862" t="s">
        <v>7615</v>
      </c>
      <c r="F2862" t="s">
        <v>8851</v>
      </c>
      <c r="G2862" t="s">
        <v>1072</v>
      </c>
    </row>
    <row r="2863" spans="1:7" hidden="1" x14ac:dyDescent="0.25">
      <c r="A2863" t="s">
        <v>9092</v>
      </c>
      <c r="B2863" t="s">
        <v>1267</v>
      </c>
      <c r="F2863" t="s">
        <v>8854</v>
      </c>
      <c r="G2863" t="s">
        <v>1072</v>
      </c>
    </row>
    <row r="2864" spans="1:7" hidden="1" x14ac:dyDescent="0.25">
      <c r="A2864" t="s">
        <v>9092</v>
      </c>
      <c r="B2864" t="s">
        <v>1267</v>
      </c>
      <c r="F2864" t="s">
        <v>8857</v>
      </c>
      <c r="G2864" t="s">
        <v>1072</v>
      </c>
    </row>
    <row r="2865" spans="1:7" hidden="1" x14ac:dyDescent="0.25">
      <c r="A2865" t="s">
        <v>4</v>
      </c>
      <c r="B2865" t="s">
        <v>86</v>
      </c>
      <c r="E2865" t="s">
        <v>5410</v>
      </c>
      <c r="F2865" t="s">
        <v>8860</v>
      </c>
      <c r="G2865" t="s">
        <v>1072</v>
      </c>
    </row>
    <row r="2866" spans="1:7" hidden="1" x14ac:dyDescent="0.25">
      <c r="A2866" t="s">
        <v>4</v>
      </c>
      <c r="B2866" t="s">
        <v>8</v>
      </c>
      <c r="F2866" t="s">
        <v>8913</v>
      </c>
      <c r="G2866" s="1" t="s">
        <v>1566</v>
      </c>
    </row>
    <row r="2867" spans="1:7" hidden="1" x14ac:dyDescent="0.25">
      <c r="A2867" t="s">
        <v>261</v>
      </c>
      <c r="B2867" t="s">
        <v>86</v>
      </c>
      <c r="C2867" t="s">
        <v>9076</v>
      </c>
      <c r="F2867" t="s">
        <v>8916</v>
      </c>
      <c r="G2867" s="1" t="s">
        <v>1566</v>
      </c>
    </row>
    <row r="2868" spans="1:7" hidden="1" x14ac:dyDescent="0.25">
      <c r="A2868" t="s">
        <v>4162</v>
      </c>
      <c r="B2868" t="s">
        <v>86</v>
      </c>
      <c r="C2868" t="s">
        <v>9076</v>
      </c>
      <c r="F2868" t="s">
        <v>8919</v>
      </c>
      <c r="G2868" s="1" t="s">
        <v>1566</v>
      </c>
    </row>
    <row r="2869" spans="1:7" hidden="1" x14ac:dyDescent="0.25">
      <c r="A2869" t="s">
        <v>4162</v>
      </c>
      <c r="B2869" t="s">
        <v>9093</v>
      </c>
      <c r="C2869" t="s">
        <v>9076</v>
      </c>
      <c r="F2869" t="s">
        <v>8922</v>
      </c>
      <c r="G2869" s="1" t="s">
        <v>1566</v>
      </c>
    </row>
    <row r="2870" spans="1:7" hidden="1" x14ac:dyDescent="0.25">
      <c r="A2870" t="s">
        <v>4164</v>
      </c>
      <c r="B2870" t="s">
        <v>86</v>
      </c>
      <c r="C2870" t="s">
        <v>60</v>
      </c>
      <c r="E2870" t="s">
        <v>1568</v>
      </c>
      <c r="F2870" t="s">
        <v>8925</v>
      </c>
      <c r="G2870" s="1" t="s">
        <v>1566</v>
      </c>
    </row>
    <row r="2871" spans="1:7" hidden="1" x14ac:dyDescent="0.25">
      <c r="A2871" t="s">
        <v>4164</v>
      </c>
      <c r="B2871" t="s">
        <v>86</v>
      </c>
      <c r="C2871" t="s">
        <v>9088</v>
      </c>
      <c r="F2871" t="s">
        <v>8928</v>
      </c>
      <c r="G2871" s="1" t="s">
        <v>1566</v>
      </c>
    </row>
    <row r="2872" spans="1:7" hidden="1" x14ac:dyDescent="0.25">
      <c r="A2872" t="s">
        <v>4164</v>
      </c>
      <c r="B2872" t="s">
        <v>86</v>
      </c>
      <c r="C2872" t="s">
        <v>9088</v>
      </c>
      <c r="E2872" t="s">
        <v>2891</v>
      </c>
      <c r="F2872" t="s">
        <v>8931</v>
      </c>
      <c r="G2872" s="1" t="s">
        <v>1566</v>
      </c>
    </row>
    <row r="2873" spans="1:7" hidden="1" x14ac:dyDescent="0.25">
      <c r="A2873" t="s">
        <v>4164</v>
      </c>
      <c r="B2873" t="s">
        <v>86</v>
      </c>
      <c r="C2873" t="s">
        <v>9089</v>
      </c>
      <c r="F2873" t="s">
        <v>8934</v>
      </c>
      <c r="G2873" s="1" t="s">
        <v>1566</v>
      </c>
    </row>
    <row r="2874" spans="1:7" hidden="1" x14ac:dyDescent="0.25">
      <c r="A2874" t="s">
        <v>4164</v>
      </c>
      <c r="B2874" t="s">
        <v>86</v>
      </c>
      <c r="C2874" t="s">
        <v>9089</v>
      </c>
      <c r="F2874" t="s">
        <v>8937</v>
      </c>
      <c r="G2874" s="1" t="s">
        <v>1566</v>
      </c>
    </row>
    <row r="2875" spans="1:7" hidden="1" x14ac:dyDescent="0.25">
      <c r="A2875" t="s">
        <v>4164</v>
      </c>
      <c r="B2875" t="s">
        <v>86</v>
      </c>
      <c r="C2875" t="s">
        <v>9089</v>
      </c>
      <c r="F2875" t="s">
        <v>8940</v>
      </c>
      <c r="G2875" s="1" t="s">
        <v>1566</v>
      </c>
    </row>
    <row r="2876" spans="1:7" hidden="1" x14ac:dyDescent="0.25">
      <c r="A2876" t="s">
        <v>4164</v>
      </c>
      <c r="B2876" t="s">
        <v>86</v>
      </c>
      <c r="C2876" t="s">
        <v>9089</v>
      </c>
      <c r="F2876" t="s">
        <v>8943</v>
      </c>
      <c r="G2876" s="1" t="s">
        <v>1566</v>
      </c>
    </row>
    <row r="2877" spans="1:7" hidden="1" x14ac:dyDescent="0.25">
      <c r="A2877" t="s">
        <v>4164</v>
      </c>
      <c r="B2877" t="s">
        <v>86</v>
      </c>
      <c r="C2877" t="s">
        <v>9089</v>
      </c>
      <c r="F2877" t="s">
        <v>8946</v>
      </c>
      <c r="G2877" s="1" t="s">
        <v>1566</v>
      </c>
    </row>
    <row r="2878" spans="1:7" hidden="1" x14ac:dyDescent="0.25">
      <c r="A2878" t="s">
        <v>4164</v>
      </c>
      <c r="B2878" t="s">
        <v>86</v>
      </c>
      <c r="C2878" t="s">
        <v>60</v>
      </c>
      <c r="E2878" t="s">
        <v>1568</v>
      </c>
      <c r="F2878" t="s">
        <v>8949</v>
      </c>
      <c r="G2878" s="1" t="s">
        <v>1566</v>
      </c>
    </row>
    <row r="2879" spans="1:7" hidden="1" x14ac:dyDescent="0.25">
      <c r="A2879" t="s">
        <v>4164</v>
      </c>
      <c r="B2879" t="s">
        <v>86</v>
      </c>
      <c r="C2879" t="s">
        <v>60</v>
      </c>
      <c r="E2879" t="s">
        <v>1568</v>
      </c>
      <c r="F2879" t="s">
        <v>8952</v>
      </c>
      <c r="G2879" s="1" t="s">
        <v>1566</v>
      </c>
    </row>
    <row r="2880" spans="1:7" hidden="1" x14ac:dyDescent="0.25">
      <c r="A2880" t="s">
        <v>4164</v>
      </c>
      <c r="B2880" t="s">
        <v>86</v>
      </c>
      <c r="C2880" t="s">
        <v>9089</v>
      </c>
      <c r="F2880" t="s">
        <v>8955</v>
      </c>
      <c r="G2880" s="1" t="s">
        <v>1566</v>
      </c>
    </row>
    <row r="2881" spans="1:7" hidden="1" x14ac:dyDescent="0.25">
      <c r="A2881" t="s">
        <v>505</v>
      </c>
      <c r="B2881" t="s">
        <v>503</v>
      </c>
      <c r="C2881" t="s">
        <v>58</v>
      </c>
      <c r="F2881" t="s">
        <v>8958</v>
      </c>
      <c r="G2881" s="1" t="s">
        <v>1566</v>
      </c>
    </row>
    <row r="2882" spans="1:7" hidden="1" x14ac:dyDescent="0.25">
      <c r="A2882" t="s">
        <v>505</v>
      </c>
      <c r="B2882" t="s">
        <v>503</v>
      </c>
      <c r="C2882" t="s">
        <v>58</v>
      </c>
      <c r="F2882" t="s">
        <v>8961</v>
      </c>
      <c r="G2882" s="1" t="s">
        <v>1566</v>
      </c>
    </row>
    <row r="2883" spans="1:7" hidden="1" x14ac:dyDescent="0.25">
      <c r="A2883" t="s">
        <v>505</v>
      </c>
      <c r="B2883" t="s">
        <v>503</v>
      </c>
      <c r="C2883" t="s">
        <v>58</v>
      </c>
      <c r="F2883" t="s">
        <v>8964</v>
      </c>
      <c r="G2883" s="1" t="s">
        <v>1566</v>
      </c>
    </row>
    <row r="2884" spans="1:7" hidden="1" x14ac:dyDescent="0.25">
      <c r="A2884" t="s">
        <v>505</v>
      </c>
      <c r="B2884" t="s">
        <v>503</v>
      </c>
      <c r="C2884" t="s">
        <v>58</v>
      </c>
      <c r="F2884" t="s">
        <v>8967</v>
      </c>
      <c r="G2884" s="1" t="s">
        <v>1566</v>
      </c>
    </row>
    <row r="2885" spans="1:7" hidden="1" x14ac:dyDescent="0.25">
      <c r="A2885" t="s">
        <v>505</v>
      </c>
      <c r="B2885" t="s">
        <v>503</v>
      </c>
      <c r="C2885" t="s">
        <v>58</v>
      </c>
      <c r="F2885" t="s">
        <v>8970</v>
      </c>
      <c r="G2885" s="1" t="s">
        <v>1566</v>
      </c>
    </row>
    <row r="2886" spans="1:7" hidden="1" x14ac:dyDescent="0.25">
      <c r="A2886" t="s">
        <v>505</v>
      </c>
      <c r="B2886" t="s">
        <v>503</v>
      </c>
      <c r="C2886" t="s">
        <v>9094</v>
      </c>
      <c r="F2886" t="s">
        <v>8973</v>
      </c>
      <c r="G2886" s="1" t="s">
        <v>1566</v>
      </c>
    </row>
    <row r="2887" spans="1:7" hidden="1" x14ac:dyDescent="0.25">
      <c r="A2887" t="s">
        <v>505</v>
      </c>
      <c r="B2887" t="s">
        <v>503</v>
      </c>
      <c r="C2887" t="s">
        <v>58</v>
      </c>
      <c r="F2887" t="s">
        <v>8976</v>
      </c>
      <c r="G2887" s="1" t="s">
        <v>1566</v>
      </c>
    </row>
    <row r="2888" spans="1:7" hidden="1" x14ac:dyDescent="0.25">
      <c r="A2888" t="s">
        <v>505</v>
      </c>
      <c r="B2888" t="s">
        <v>503</v>
      </c>
      <c r="C2888" t="s">
        <v>9088</v>
      </c>
      <c r="F2888" t="s">
        <v>8979</v>
      </c>
      <c r="G2888" s="1" t="s">
        <v>1566</v>
      </c>
    </row>
    <row r="2889" spans="1:7" hidden="1" x14ac:dyDescent="0.25">
      <c r="A2889" t="s">
        <v>4164</v>
      </c>
      <c r="B2889" t="s">
        <v>86</v>
      </c>
      <c r="C2889" t="s">
        <v>500</v>
      </c>
      <c r="F2889" t="s">
        <v>8982</v>
      </c>
      <c r="G2889" s="1" t="s">
        <v>1566</v>
      </c>
    </row>
    <row r="2890" spans="1:7" hidden="1" x14ac:dyDescent="0.25">
      <c r="A2890" t="s">
        <v>4164</v>
      </c>
      <c r="B2890" t="s">
        <v>86</v>
      </c>
      <c r="C2890" t="s">
        <v>500</v>
      </c>
      <c r="E2890" t="s">
        <v>2891</v>
      </c>
      <c r="F2890" t="s">
        <v>8985</v>
      </c>
      <c r="G2890" s="1" t="s">
        <v>1566</v>
      </c>
    </row>
    <row r="2891" spans="1:7" hidden="1" x14ac:dyDescent="0.25">
      <c r="A2891" t="s">
        <v>505</v>
      </c>
      <c r="B2891" t="s">
        <v>503</v>
      </c>
      <c r="C2891" t="s">
        <v>58</v>
      </c>
      <c r="F2891" t="s">
        <v>8988</v>
      </c>
      <c r="G2891" s="1" t="s">
        <v>1566</v>
      </c>
    </row>
    <row r="2892" spans="1:7" hidden="1" x14ac:dyDescent="0.25">
      <c r="A2892" t="s">
        <v>505</v>
      </c>
      <c r="B2892" t="s">
        <v>503</v>
      </c>
      <c r="C2892" t="s">
        <v>58</v>
      </c>
      <c r="F2892" t="s">
        <v>8991</v>
      </c>
      <c r="G2892" s="1" t="s">
        <v>1566</v>
      </c>
    </row>
    <row r="2893" spans="1:7" hidden="1" x14ac:dyDescent="0.25">
      <c r="A2893" t="s">
        <v>505</v>
      </c>
      <c r="B2893" t="s">
        <v>503</v>
      </c>
      <c r="C2893" t="s">
        <v>9095</v>
      </c>
      <c r="F2893" t="s">
        <v>8994</v>
      </c>
      <c r="G2893" s="1" t="s">
        <v>1566</v>
      </c>
    </row>
    <row r="2894" spans="1:7" hidden="1" x14ac:dyDescent="0.25">
      <c r="A2894" t="s">
        <v>505</v>
      </c>
      <c r="B2894" t="s">
        <v>503</v>
      </c>
      <c r="C2894" t="s">
        <v>9096</v>
      </c>
      <c r="F2894" t="s">
        <v>8997</v>
      </c>
      <c r="G2894" s="1" t="s">
        <v>1566</v>
      </c>
    </row>
    <row r="2895" spans="1:7" hidden="1" x14ac:dyDescent="0.25">
      <c r="A2895" t="s">
        <v>7085</v>
      </c>
      <c r="B2895" t="s">
        <v>5411</v>
      </c>
      <c r="C2895" t="s">
        <v>9076</v>
      </c>
      <c r="F2895" t="s">
        <v>9000</v>
      </c>
      <c r="G2895" t="s">
        <v>1780</v>
      </c>
    </row>
    <row r="2896" spans="1:7" hidden="1" x14ac:dyDescent="0.25">
      <c r="A2896" t="s">
        <v>623</v>
      </c>
      <c r="B2896" t="s">
        <v>5411</v>
      </c>
      <c r="F2896" t="s">
        <v>9003</v>
      </c>
      <c r="G2896" t="s">
        <v>1780</v>
      </c>
    </row>
    <row r="2897" spans="1:7" hidden="1" x14ac:dyDescent="0.25">
      <c r="A2897" t="s">
        <v>623</v>
      </c>
      <c r="B2897" t="s">
        <v>5411</v>
      </c>
      <c r="F2897" t="s">
        <v>9006</v>
      </c>
      <c r="G2897" t="s">
        <v>1780</v>
      </c>
    </row>
    <row r="2898" spans="1:7" hidden="1" x14ac:dyDescent="0.25">
      <c r="A2898" t="s">
        <v>623</v>
      </c>
      <c r="B2898" t="s">
        <v>5411</v>
      </c>
      <c r="F2898" t="s">
        <v>9009</v>
      </c>
      <c r="G2898" t="s">
        <v>1780</v>
      </c>
    </row>
    <row r="2899" spans="1:7" hidden="1" x14ac:dyDescent="0.25">
      <c r="A2899" t="s">
        <v>7085</v>
      </c>
      <c r="B2899" t="s">
        <v>5411</v>
      </c>
      <c r="C2899" t="s">
        <v>9088</v>
      </c>
      <c r="F2899" t="s">
        <v>9012</v>
      </c>
      <c r="G2899" t="s">
        <v>1780</v>
      </c>
    </row>
    <row r="2900" spans="1:7" hidden="1" x14ac:dyDescent="0.25">
      <c r="A2900" t="s">
        <v>4</v>
      </c>
      <c r="B2900" t="s">
        <v>8</v>
      </c>
      <c r="F2900" t="s">
        <v>9015</v>
      </c>
      <c r="G2900" t="s">
        <v>1780</v>
      </c>
    </row>
    <row r="2901" spans="1:7" hidden="1" x14ac:dyDescent="0.25">
      <c r="A2901" t="s">
        <v>623</v>
      </c>
      <c r="B2901" t="s">
        <v>5411</v>
      </c>
      <c r="F2901" t="s">
        <v>9018</v>
      </c>
      <c r="G2901" t="s">
        <v>1780</v>
      </c>
    </row>
    <row r="2902" spans="1:7" hidden="1" x14ac:dyDescent="0.25">
      <c r="A2902" t="s">
        <v>623</v>
      </c>
      <c r="B2902" t="s">
        <v>5411</v>
      </c>
      <c r="F2902" t="s">
        <v>9021</v>
      </c>
      <c r="G2902" t="s">
        <v>1780</v>
      </c>
    </row>
    <row r="2903" spans="1:7" hidden="1" x14ac:dyDescent="0.25">
      <c r="A2903" t="s">
        <v>623</v>
      </c>
      <c r="B2903" t="s">
        <v>5411</v>
      </c>
      <c r="F2903" t="s">
        <v>9024</v>
      </c>
      <c r="G2903" t="s">
        <v>1780</v>
      </c>
    </row>
    <row r="2904" spans="1:7" hidden="1" x14ac:dyDescent="0.25">
      <c r="A2904" t="s">
        <v>623</v>
      </c>
      <c r="B2904" t="s">
        <v>5411</v>
      </c>
      <c r="F2904" t="s">
        <v>9027</v>
      </c>
      <c r="G2904" t="s">
        <v>1780</v>
      </c>
    </row>
    <row r="2905" spans="1:7" hidden="1" x14ac:dyDescent="0.25">
      <c r="A2905" t="s">
        <v>4</v>
      </c>
      <c r="B2905" t="s">
        <v>8</v>
      </c>
      <c r="F2905" t="s">
        <v>9030</v>
      </c>
      <c r="G2905" t="s">
        <v>1780</v>
      </c>
    </row>
    <row r="2906" spans="1:7" hidden="1" x14ac:dyDescent="0.25">
      <c r="A2906" t="s">
        <v>4</v>
      </c>
      <c r="B2906" t="s">
        <v>5411</v>
      </c>
      <c r="C2906" t="s">
        <v>9076</v>
      </c>
      <c r="F2906" t="s">
        <v>9033</v>
      </c>
      <c r="G2906" t="s">
        <v>1897</v>
      </c>
    </row>
    <row r="2907" spans="1:7" hidden="1" x14ac:dyDescent="0.25">
      <c r="A2907" t="s">
        <v>4</v>
      </c>
      <c r="B2907" t="s">
        <v>8</v>
      </c>
      <c r="F2907" t="s">
        <v>9036</v>
      </c>
      <c r="G2907" t="s">
        <v>1897</v>
      </c>
    </row>
    <row r="2908" spans="1:7" hidden="1" x14ac:dyDescent="0.25">
      <c r="A2908" t="s">
        <v>4</v>
      </c>
      <c r="B2908" t="s">
        <v>12</v>
      </c>
      <c r="F2908" t="s">
        <v>9039</v>
      </c>
      <c r="G2908" t="s">
        <v>1897</v>
      </c>
    </row>
    <row r="2909" spans="1:7" hidden="1" x14ac:dyDescent="0.25">
      <c r="A2909" t="s">
        <v>4</v>
      </c>
      <c r="B2909" t="s">
        <v>9097</v>
      </c>
      <c r="F2909" t="s">
        <v>9042</v>
      </c>
      <c r="G2909" t="s">
        <v>1897</v>
      </c>
    </row>
    <row r="2910" spans="1:7" hidden="1" x14ac:dyDescent="0.25">
      <c r="A2910" t="s">
        <v>4</v>
      </c>
      <c r="B2910" t="s">
        <v>8</v>
      </c>
      <c r="F2910" t="s">
        <v>9045</v>
      </c>
      <c r="G2910" t="s">
        <v>1897</v>
      </c>
    </row>
    <row r="2911" spans="1:7" hidden="1" x14ac:dyDescent="0.25">
      <c r="A2911" t="s">
        <v>4</v>
      </c>
      <c r="B2911" t="s">
        <v>12</v>
      </c>
      <c r="F2911" t="s">
        <v>9048</v>
      </c>
      <c r="G2911" t="s">
        <v>1897</v>
      </c>
    </row>
    <row r="2912" spans="1:7" hidden="1" x14ac:dyDescent="0.25">
      <c r="A2912" t="s">
        <v>4</v>
      </c>
      <c r="B2912" t="s">
        <v>12</v>
      </c>
      <c r="F2912" t="s">
        <v>9051</v>
      </c>
      <c r="G2912" t="s">
        <v>1897</v>
      </c>
    </row>
    <row r="2913" spans="1:7" hidden="1" x14ac:dyDescent="0.25">
      <c r="A2913" t="s">
        <v>4</v>
      </c>
      <c r="B2913" t="s">
        <v>7947</v>
      </c>
      <c r="F2913" t="s">
        <v>9054</v>
      </c>
      <c r="G2913" t="s">
        <v>1960</v>
      </c>
    </row>
    <row r="2914" spans="1:7" hidden="1" x14ac:dyDescent="0.25">
      <c r="A2914" t="s">
        <v>7085</v>
      </c>
      <c r="B2914" t="s">
        <v>5411</v>
      </c>
      <c r="C2914" t="s">
        <v>9088</v>
      </c>
      <c r="F2914" t="s">
        <v>9057</v>
      </c>
      <c r="G2914" t="s">
        <v>1960</v>
      </c>
    </row>
    <row r="2915" spans="1:7" hidden="1" x14ac:dyDescent="0.25">
      <c r="A2915" t="s">
        <v>4</v>
      </c>
      <c r="B2915" t="s">
        <v>8</v>
      </c>
      <c r="F2915" t="s">
        <v>9060</v>
      </c>
      <c r="G2915" t="s">
        <v>1960</v>
      </c>
    </row>
    <row r="2916" spans="1:7" hidden="1" x14ac:dyDescent="0.25">
      <c r="A2916" t="s">
        <v>4</v>
      </c>
      <c r="B2916" t="s">
        <v>9098</v>
      </c>
      <c r="F2916" t="s">
        <v>9063</v>
      </c>
      <c r="G2916" t="s">
        <v>1960</v>
      </c>
    </row>
    <row r="2917" spans="1:7" hidden="1" x14ac:dyDescent="0.25">
      <c r="A2917" t="s">
        <v>4</v>
      </c>
      <c r="B2917" t="s">
        <v>9098</v>
      </c>
      <c r="F2917" t="s">
        <v>9066</v>
      </c>
      <c r="G2917" t="s">
        <v>1960</v>
      </c>
    </row>
    <row r="2918" spans="1:7" hidden="1" x14ac:dyDescent="0.25">
      <c r="A2918" t="s">
        <v>4</v>
      </c>
      <c r="B2918" t="s">
        <v>8</v>
      </c>
      <c r="F2918" t="s">
        <v>9069</v>
      </c>
      <c r="G2918" t="s">
        <v>1960</v>
      </c>
    </row>
    <row r="2919" spans="1:7" hidden="1" x14ac:dyDescent="0.25">
      <c r="A2919" t="s">
        <v>91</v>
      </c>
      <c r="B2919" t="s">
        <v>4134</v>
      </c>
      <c r="C2919" t="s">
        <v>5010</v>
      </c>
      <c r="F2919" t="s">
        <v>9128</v>
      </c>
      <c r="G2919" t="s">
        <v>1074</v>
      </c>
    </row>
    <row r="2920" spans="1:7" hidden="1" x14ac:dyDescent="0.25">
      <c r="A2920" t="s">
        <v>62</v>
      </c>
      <c r="B2920" t="s">
        <v>4134</v>
      </c>
      <c r="C2920" t="s">
        <v>5010</v>
      </c>
      <c r="F2920" t="s">
        <v>9131</v>
      </c>
      <c r="G2920" t="s">
        <v>1074</v>
      </c>
    </row>
    <row r="2921" spans="1:7" hidden="1" x14ac:dyDescent="0.25">
      <c r="A2921" t="s">
        <v>1967</v>
      </c>
      <c r="F2921" t="s">
        <v>9134</v>
      </c>
      <c r="G2921" t="s">
        <v>1074</v>
      </c>
    </row>
    <row r="2922" spans="1:7" hidden="1" x14ac:dyDescent="0.25">
      <c r="A2922" t="s">
        <v>62</v>
      </c>
      <c r="B2922" t="s">
        <v>8250</v>
      </c>
      <c r="C2922" t="s">
        <v>2899</v>
      </c>
      <c r="E2922" t="s">
        <v>9221</v>
      </c>
      <c r="F2922" t="s">
        <v>9137</v>
      </c>
      <c r="G2922" t="s">
        <v>1074</v>
      </c>
    </row>
    <row r="2923" spans="1:7" hidden="1" x14ac:dyDescent="0.25">
      <c r="A2923" t="s">
        <v>1569</v>
      </c>
      <c r="B2923" t="s">
        <v>4134</v>
      </c>
      <c r="F2923" t="s">
        <v>9099</v>
      </c>
      <c r="G2923" t="s">
        <v>1075</v>
      </c>
    </row>
    <row r="2924" spans="1:7" hidden="1" x14ac:dyDescent="0.25">
      <c r="A2924" t="s">
        <v>9222</v>
      </c>
      <c r="B2924" t="s">
        <v>4134</v>
      </c>
      <c r="F2924" t="s">
        <v>9102</v>
      </c>
      <c r="G2924" t="s">
        <v>1075</v>
      </c>
    </row>
    <row r="2925" spans="1:7" hidden="1" x14ac:dyDescent="0.25">
      <c r="A2925" t="s">
        <v>9222</v>
      </c>
      <c r="B2925" t="s">
        <v>4134</v>
      </c>
      <c r="E2925" t="s">
        <v>9223</v>
      </c>
      <c r="F2925" t="s">
        <v>9105</v>
      </c>
      <c r="G2925" t="s">
        <v>1075</v>
      </c>
    </row>
    <row r="2926" spans="1:7" hidden="1" x14ac:dyDescent="0.25">
      <c r="A2926" t="s">
        <v>9222</v>
      </c>
      <c r="B2926" t="s">
        <v>4134</v>
      </c>
      <c r="C2926" t="s">
        <v>9224</v>
      </c>
      <c r="E2926" t="s">
        <v>9225</v>
      </c>
      <c r="F2926" t="s">
        <v>9108</v>
      </c>
      <c r="G2926" t="s">
        <v>1075</v>
      </c>
    </row>
    <row r="2927" spans="1:7" hidden="1" x14ac:dyDescent="0.25">
      <c r="A2927" t="s">
        <v>622</v>
      </c>
      <c r="B2927" t="s">
        <v>4134</v>
      </c>
      <c r="F2927" t="s">
        <v>9111</v>
      </c>
      <c r="G2927" t="s">
        <v>1075</v>
      </c>
    </row>
    <row r="2928" spans="1:7" hidden="1" x14ac:dyDescent="0.25">
      <c r="A2928" t="s">
        <v>1967</v>
      </c>
      <c r="B2928" t="s">
        <v>8</v>
      </c>
      <c r="F2928" t="s">
        <v>9114</v>
      </c>
      <c r="G2928" t="s">
        <v>1075</v>
      </c>
    </row>
    <row r="2929" spans="1:7" hidden="1" x14ac:dyDescent="0.25">
      <c r="A2929" t="s">
        <v>505</v>
      </c>
      <c r="B2929" t="s">
        <v>503</v>
      </c>
      <c r="C2929" t="s">
        <v>2884</v>
      </c>
      <c r="F2929" t="s">
        <v>9117</v>
      </c>
      <c r="G2929" t="s">
        <v>1075</v>
      </c>
    </row>
    <row r="2930" spans="1:7" hidden="1" x14ac:dyDescent="0.25">
      <c r="A2930" t="s">
        <v>505</v>
      </c>
      <c r="B2930" t="s">
        <v>503</v>
      </c>
      <c r="C2930" t="s">
        <v>2884</v>
      </c>
      <c r="E2930" t="s">
        <v>2891</v>
      </c>
      <c r="F2930" t="s">
        <v>9120</v>
      </c>
      <c r="G2930" t="s">
        <v>1075</v>
      </c>
    </row>
    <row r="2931" spans="1:7" hidden="1" x14ac:dyDescent="0.25">
      <c r="A2931" t="s">
        <v>9226</v>
      </c>
      <c r="B2931" t="s">
        <v>9227</v>
      </c>
      <c r="E2931" t="s">
        <v>6450</v>
      </c>
      <c r="F2931" t="s">
        <v>9123</v>
      </c>
      <c r="G2931" t="s">
        <v>1075</v>
      </c>
    </row>
    <row r="2932" spans="1:7" x14ac:dyDescent="0.25">
      <c r="A2932" t="s">
        <v>4</v>
      </c>
      <c r="B2932" t="s">
        <v>8691</v>
      </c>
      <c r="F2932" t="s">
        <v>9126</v>
      </c>
      <c r="G2932" t="s">
        <v>13425</v>
      </c>
    </row>
    <row r="2933" spans="1:7" x14ac:dyDescent="0.25">
      <c r="A2933" t="s">
        <v>4</v>
      </c>
      <c r="B2933" t="s">
        <v>8691</v>
      </c>
      <c r="F2933" t="s">
        <v>9228</v>
      </c>
      <c r="G2933" t="s">
        <v>13425</v>
      </c>
    </row>
    <row r="2934" spans="1:7" x14ac:dyDescent="0.25">
      <c r="A2934" t="s">
        <v>4</v>
      </c>
      <c r="B2934" t="s">
        <v>8691</v>
      </c>
      <c r="F2934" t="s">
        <v>9230</v>
      </c>
      <c r="G2934" t="s">
        <v>13425</v>
      </c>
    </row>
    <row r="2935" spans="1:7" x14ac:dyDescent="0.25">
      <c r="A2935" t="s">
        <v>4</v>
      </c>
      <c r="B2935" t="s">
        <v>8691</v>
      </c>
      <c r="F2935" t="s">
        <v>9232</v>
      </c>
      <c r="G2935" t="s">
        <v>13425</v>
      </c>
    </row>
    <row r="2936" spans="1:7" hidden="1" x14ac:dyDescent="0.25">
      <c r="A2936" t="s">
        <v>4</v>
      </c>
      <c r="B2936" t="s">
        <v>8691</v>
      </c>
      <c r="F2936" t="s">
        <v>9140</v>
      </c>
      <c r="G2936" t="s">
        <v>1076</v>
      </c>
    </row>
    <row r="2937" spans="1:7" hidden="1" x14ac:dyDescent="0.25">
      <c r="A2937" t="s">
        <v>4</v>
      </c>
      <c r="B2937" t="s">
        <v>8691</v>
      </c>
      <c r="F2937" t="s">
        <v>9234</v>
      </c>
      <c r="G2937" t="s">
        <v>1076</v>
      </c>
    </row>
    <row r="2938" spans="1:7" hidden="1" x14ac:dyDescent="0.25">
      <c r="A2938" t="s">
        <v>4</v>
      </c>
      <c r="B2938" t="s">
        <v>9249</v>
      </c>
      <c r="F2938" t="s">
        <v>9237</v>
      </c>
      <c r="G2938" t="s">
        <v>1076</v>
      </c>
    </row>
    <row r="2939" spans="1:7" hidden="1" x14ac:dyDescent="0.25">
      <c r="A2939" t="s">
        <v>158</v>
      </c>
      <c r="B2939" t="s">
        <v>5411</v>
      </c>
      <c r="C2939" t="s">
        <v>500</v>
      </c>
      <c r="F2939" t="s">
        <v>9240</v>
      </c>
      <c r="G2939" t="s">
        <v>1076</v>
      </c>
    </row>
    <row r="2940" spans="1:7" hidden="1" x14ac:dyDescent="0.25">
      <c r="A2940" t="s">
        <v>158</v>
      </c>
      <c r="B2940" t="s">
        <v>5411</v>
      </c>
      <c r="C2940" t="s">
        <v>500</v>
      </c>
      <c r="E2940" t="s">
        <v>2891</v>
      </c>
      <c r="F2940" t="s">
        <v>9243</v>
      </c>
      <c r="G2940" t="s">
        <v>1076</v>
      </c>
    </row>
    <row r="2941" spans="1:7" hidden="1" x14ac:dyDescent="0.25">
      <c r="A2941" t="s">
        <v>4</v>
      </c>
      <c r="B2941" t="s">
        <v>9250</v>
      </c>
      <c r="F2941" t="s">
        <v>9246</v>
      </c>
      <c r="G2941" t="s">
        <v>1076</v>
      </c>
    </row>
    <row r="2942" spans="1:7" hidden="1" x14ac:dyDescent="0.25">
      <c r="A2942" t="s">
        <v>4</v>
      </c>
      <c r="B2942" t="s">
        <v>7947</v>
      </c>
      <c r="F2942" t="s">
        <v>9143</v>
      </c>
      <c r="G2942" t="s">
        <v>1077</v>
      </c>
    </row>
    <row r="2943" spans="1:7" hidden="1" x14ac:dyDescent="0.25">
      <c r="A2943" t="s">
        <v>4</v>
      </c>
      <c r="B2943" t="s">
        <v>7947</v>
      </c>
      <c r="E2943" t="s">
        <v>2891</v>
      </c>
      <c r="F2943" t="s">
        <v>9146</v>
      </c>
      <c r="G2943" t="s">
        <v>1077</v>
      </c>
    </row>
    <row r="2944" spans="1:7" hidden="1" x14ac:dyDescent="0.25">
      <c r="A2944" t="s">
        <v>4</v>
      </c>
      <c r="B2944" t="s">
        <v>7947</v>
      </c>
      <c r="E2944" t="s">
        <v>2891</v>
      </c>
      <c r="F2944" t="s">
        <v>9149</v>
      </c>
      <c r="G2944" t="s">
        <v>1077</v>
      </c>
    </row>
    <row r="2945" spans="1:7" hidden="1" x14ac:dyDescent="0.25">
      <c r="A2945" t="s">
        <v>1066</v>
      </c>
      <c r="B2945" t="s">
        <v>4188</v>
      </c>
      <c r="C2945" t="s">
        <v>60</v>
      </c>
      <c r="F2945" t="s">
        <v>9251</v>
      </c>
      <c r="G2945" t="s">
        <v>1077</v>
      </c>
    </row>
    <row r="2946" spans="1:7" hidden="1" x14ac:dyDescent="0.25">
      <c r="A2946" t="s">
        <v>4</v>
      </c>
      <c r="B2946" t="s">
        <v>7947</v>
      </c>
      <c r="F2946" t="s">
        <v>9254</v>
      </c>
      <c r="G2946" t="s">
        <v>1077</v>
      </c>
    </row>
    <row r="2947" spans="1:7" hidden="1" x14ac:dyDescent="0.25">
      <c r="A2947" t="s">
        <v>4</v>
      </c>
      <c r="B2947" t="s">
        <v>7947</v>
      </c>
      <c r="F2947" t="s">
        <v>9257</v>
      </c>
      <c r="G2947" t="s">
        <v>1077</v>
      </c>
    </row>
    <row r="2948" spans="1:7" hidden="1" x14ac:dyDescent="0.25">
      <c r="A2948" t="s">
        <v>4</v>
      </c>
      <c r="B2948" t="s">
        <v>7947</v>
      </c>
      <c r="F2948" t="s">
        <v>9260</v>
      </c>
      <c r="G2948" t="s">
        <v>1077</v>
      </c>
    </row>
    <row r="2949" spans="1:7" hidden="1" x14ac:dyDescent="0.25">
      <c r="A2949" t="s">
        <v>4</v>
      </c>
      <c r="B2949" t="s">
        <v>7947</v>
      </c>
      <c r="F2949" t="s">
        <v>9263</v>
      </c>
      <c r="G2949" t="s">
        <v>1077</v>
      </c>
    </row>
    <row r="2950" spans="1:7" hidden="1" x14ac:dyDescent="0.25">
      <c r="A2950" t="s">
        <v>4</v>
      </c>
      <c r="B2950" t="s">
        <v>8</v>
      </c>
      <c r="F2950" t="s">
        <v>9266</v>
      </c>
      <c r="G2950" t="s">
        <v>1077</v>
      </c>
    </row>
    <row r="2951" spans="1:7" hidden="1" x14ac:dyDescent="0.25">
      <c r="A2951" t="s">
        <v>1967</v>
      </c>
      <c r="B2951" t="s">
        <v>8</v>
      </c>
      <c r="F2951" t="s">
        <v>9152</v>
      </c>
      <c r="G2951" t="s">
        <v>1078</v>
      </c>
    </row>
    <row r="2952" spans="1:7" hidden="1" x14ac:dyDescent="0.25">
      <c r="A2952" t="s">
        <v>1967</v>
      </c>
      <c r="B2952" t="s">
        <v>8</v>
      </c>
      <c r="F2952" t="s">
        <v>9269</v>
      </c>
      <c r="G2952" t="s">
        <v>1078</v>
      </c>
    </row>
    <row r="2953" spans="1:7" hidden="1" x14ac:dyDescent="0.25">
      <c r="A2953" t="s">
        <v>9281</v>
      </c>
      <c r="B2953" t="s">
        <v>60</v>
      </c>
      <c r="F2953" t="s">
        <v>9272</v>
      </c>
      <c r="G2953" t="s">
        <v>1078</v>
      </c>
    </row>
    <row r="2954" spans="1:7" hidden="1" x14ac:dyDescent="0.25">
      <c r="A2954" t="s">
        <v>1066</v>
      </c>
      <c r="B2954" t="s">
        <v>4188</v>
      </c>
      <c r="C2954" t="s">
        <v>60</v>
      </c>
      <c r="F2954" t="s">
        <v>9275</v>
      </c>
      <c r="G2954" t="s">
        <v>1078</v>
      </c>
    </row>
    <row r="2955" spans="1:7" hidden="1" x14ac:dyDescent="0.25">
      <c r="A2955" t="s">
        <v>4</v>
      </c>
      <c r="B2955" t="s">
        <v>8</v>
      </c>
      <c r="F2955" t="s">
        <v>9278</v>
      </c>
      <c r="G2955" t="s">
        <v>1078</v>
      </c>
    </row>
    <row r="2956" spans="1:7" hidden="1" x14ac:dyDescent="0.25">
      <c r="A2956" t="s">
        <v>1967</v>
      </c>
      <c r="B2956" t="s">
        <v>8</v>
      </c>
      <c r="F2956" t="s">
        <v>9282</v>
      </c>
      <c r="G2956" t="s">
        <v>1079</v>
      </c>
    </row>
    <row r="2957" spans="1:7" hidden="1" x14ac:dyDescent="0.25">
      <c r="A2957" t="s">
        <v>1967</v>
      </c>
      <c r="B2957" t="s">
        <v>8</v>
      </c>
      <c r="F2957" t="s">
        <v>9285</v>
      </c>
      <c r="G2957" t="s">
        <v>1079</v>
      </c>
    </row>
    <row r="2958" spans="1:7" hidden="1" x14ac:dyDescent="0.25">
      <c r="A2958" t="s">
        <v>1967</v>
      </c>
      <c r="B2958" t="s">
        <v>8</v>
      </c>
      <c r="F2958" t="s">
        <v>9288</v>
      </c>
      <c r="G2958" t="s">
        <v>1079</v>
      </c>
    </row>
    <row r="2959" spans="1:7" hidden="1" x14ac:dyDescent="0.25">
      <c r="A2959" t="s">
        <v>4</v>
      </c>
      <c r="B2959" t="s">
        <v>9</v>
      </c>
      <c r="F2959" t="s">
        <v>9155</v>
      </c>
      <c r="G2959" t="s">
        <v>768</v>
      </c>
    </row>
    <row r="2960" spans="1:7" hidden="1" x14ac:dyDescent="0.25">
      <c r="A2960" t="s">
        <v>4</v>
      </c>
      <c r="B2960" t="s">
        <v>9</v>
      </c>
      <c r="E2960" t="s">
        <v>2891</v>
      </c>
      <c r="F2960" t="s">
        <v>9158</v>
      </c>
      <c r="G2960" t="s">
        <v>768</v>
      </c>
    </row>
    <row r="2961" spans="1:7" hidden="1" x14ac:dyDescent="0.25">
      <c r="A2961" t="s">
        <v>9291</v>
      </c>
      <c r="B2961" t="s">
        <v>1570</v>
      </c>
      <c r="F2961" t="s">
        <v>9161</v>
      </c>
      <c r="G2961" t="s">
        <v>768</v>
      </c>
    </row>
    <row r="2962" spans="1:7" hidden="1" x14ac:dyDescent="0.25">
      <c r="A2962" t="s">
        <v>9291</v>
      </c>
      <c r="B2962" t="s">
        <v>1570</v>
      </c>
      <c r="E2962" t="s">
        <v>2891</v>
      </c>
      <c r="F2962" t="s">
        <v>9164</v>
      </c>
      <c r="G2962" t="s">
        <v>768</v>
      </c>
    </row>
    <row r="2963" spans="1:7" hidden="1" x14ac:dyDescent="0.25">
      <c r="A2963" t="s">
        <v>9291</v>
      </c>
      <c r="B2963" t="s">
        <v>1570</v>
      </c>
      <c r="E2963" t="s">
        <v>2891</v>
      </c>
      <c r="F2963" t="s">
        <v>9167</v>
      </c>
      <c r="G2963" t="s">
        <v>768</v>
      </c>
    </row>
    <row r="2964" spans="1:7" hidden="1" x14ac:dyDescent="0.25">
      <c r="A2964" t="s">
        <v>1987</v>
      </c>
      <c r="B2964" t="s">
        <v>768</v>
      </c>
      <c r="F2964" t="s">
        <v>9170</v>
      </c>
      <c r="G2964" t="s">
        <v>768</v>
      </c>
    </row>
    <row r="2965" spans="1:7" hidden="1" x14ac:dyDescent="0.25">
      <c r="A2965" t="s">
        <v>4</v>
      </c>
      <c r="B2965" t="s">
        <v>9</v>
      </c>
      <c r="F2965" t="s">
        <v>9292</v>
      </c>
      <c r="G2965" t="s">
        <v>768</v>
      </c>
    </row>
    <row r="2966" spans="1:7" hidden="1" x14ac:dyDescent="0.25">
      <c r="A2966" t="s">
        <v>1987</v>
      </c>
      <c r="B2966" t="s">
        <v>768</v>
      </c>
      <c r="F2966" t="s">
        <v>9295</v>
      </c>
      <c r="G2966" t="s">
        <v>768</v>
      </c>
    </row>
    <row r="2967" spans="1:7" hidden="1" x14ac:dyDescent="0.25">
      <c r="A2967" t="s">
        <v>1987</v>
      </c>
      <c r="B2967" t="s">
        <v>768</v>
      </c>
      <c r="F2967" t="s">
        <v>9298</v>
      </c>
      <c r="G2967" t="s">
        <v>768</v>
      </c>
    </row>
    <row r="2968" spans="1:7" hidden="1" x14ac:dyDescent="0.25">
      <c r="A2968" t="s">
        <v>9291</v>
      </c>
      <c r="B2968" t="s">
        <v>1570</v>
      </c>
      <c r="F2968" t="s">
        <v>9301</v>
      </c>
      <c r="G2968" t="s">
        <v>768</v>
      </c>
    </row>
    <row r="2969" spans="1:7" hidden="1" x14ac:dyDescent="0.25">
      <c r="A2969" t="s">
        <v>1987</v>
      </c>
      <c r="B2969" t="s">
        <v>768</v>
      </c>
      <c r="F2969" t="s">
        <v>9304</v>
      </c>
      <c r="G2969" t="s">
        <v>768</v>
      </c>
    </row>
    <row r="2970" spans="1:7" hidden="1" x14ac:dyDescent="0.25">
      <c r="A2970" t="s">
        <v>1987</v>
      </c>
      <c r="B2970" t="s">
        <v>768</v>
      </c>
      <c r="F2970" t="s">
        <v>9307</v>
      </c>
      <c r="G2970" t="s">
        <v>768</v>
      </c>
    </row>
    <row r="2971" spans="1:7" hidden="1" x14ac:dyDescent="0.25">
      <c r="A2971" t="s">
        <v>9291</v>
      </c>
      <c r="B2971" t="s">
        <v>1570</v>
      </c>
      <c r="F2971" t="s">
        <v>9310</v>
      </c>
      <c r="G2971" t="s">
        <v>768</v>
      </c>
    </row>
    <row r="2972" spans="1:7" hidden="1" x14ac:dyDescent="0.25">
      <c r="A2972" t="s">
        <v>1987</v>
      </c>
      <c r="B2972" t="s">
        <v>768</v>
      </c>
      <c r="F2972" t="s">
        <v>9313</v>
      </c>
      <c r="G2972" t="s">
        <v>768</v>
      </c>
    </row>
    <row r="2973" spans="1:7" hidden="1" x14ac:dyDescent="0.25">
      <c r="A2973" t="s">
        <v>1987</v>
      </c>
      <c r="B2973" t="s">
        <v>768</v>
      </c>
      <c r="F2973" t="s">
        <v>9316</v>
      </c>
      <c r="G2973" t="s">
        <v>768</v>
      </c>
    </row>
    <row r="2974" spans="1:7" hidden="1" x14ac:dyDescent="0.25">
      <c r="A2974" t="s">
        <v>9337</v>
      </c>
      <c r="B2974" t="s">
        <v>503</v>
      </c>
      <c r="F2974" t="s">
        <v>9319</v>
      </c>
      <c r="G2974" t="s">
        <v>768</v>
      </c>
    </row>
    <row r="2975" spans="1:7" hidden="1" x14ac:dyDescent="0.25">
      <c r="A2975" t="s">
        <v>9291</v>
      </c>
      <c r="B2975" t="s">
        <v>1570</v>
      </c>
      <c r="F2975" t="s">
        <v>9322</v>
      </c>
      <c r="G2975" t="s">
        <v>768</v>
      </c>
    </row>
    <row r="2976" spans="1:7" hidden="1" x14ac:dyDescent="0.25">
      <c r="A2976" t="s">
        <v>9291</v>
      </c>
      <c r="B2976" t="s">
        <v>1570</v>
      </c>
      <c r="F2976" t="s">
        <v>9325</v>
      </c>
      <c r="G2976" t="s">
        <v>768</v>
      </c>
    </row>
    <row r="2977" spans="1:7" hidden="1" x14ac:dyDescent="0.25">
      <c r="A2977" t="s">
        <v>9291</v>
      </c>
      <c r="B2977" t="s">
        <v>1570</v>
      </c>
      <c r="F2977" t="s">
        <v>9328</v>
      </c>
      <c r="G2977" t="s">
        <v>768</v>
      </c>
    </row>
    <row r="2978" spans="1:7" hidden="1" x14ac:dyDescent="0.25">
      <c r="A2978" t="s">
        <v>1987</v>
      </c>
      <c r="B2978" t="s">
        <v>768</v>
      </c>
      <c r="F2978" t="s">
        <v>9331</v>
      </c>
      <c r="G2978" t="s">
        <v>768</v>
      </c>
    </row>
    <row r="2979" spans="1:7" hidden="1" x14ac:dyDescent="0.25">
      <c r="A2979" t="s">
        <v>9291</v>
      </c>
      <c r="B2979" t="s">
        <v>1570</v>
      </c>
      <c r="F2979" t="s">
        <v>9334</v>
      </c>
      <c r="G2979" t="s">
        <v>768</v>
      </c>
    </row>
    <row r="2980" spans="1:7" hidden="1" x14ac:dyDescent="0.25">
      <c r="A2980" t="s">
        <v>9338</v>
      </c>
      <c r="B2980" t="s">
        <v>1267</v>
      </c>
      <c r="F2980" t="s">
        <v>9173</v>
      </c>
      <c r="G2980" t="s">
        <v>1072</v>
      </c>
    </row>
    <row r="2981" spans="1:7" hidden="1" x14ac:dyDescent="0.25">
      <c r="A2981" t="s">
        <v>9338</v>
      </c>
      <c r="B2981" t="s">
        <v>1267</v>
      </c>
      <c r="F2981" t="s">
        <v>9176</v>
      </c>
      <c r="G2981" t="s">
        <v>1072</v>
      </c>
    </row>
    <row r="2982" spans="1:7" hidden="1" x14ac:dyDescent="0.25">
      <c r="A2982" t="s">
        <v>9338</v>
      </c>
      <c r="B2982" t="s">
        <v>9339</v>
      </c>
      <c r="F2982" t="s">
        <v>9179</v>
      </c>
      <c r="G2982" t="s">
        <v>1072</v>
      </c>
    </row>
    <row r="2983" spans="1:7" hidden="1" x14ac:dyDescent="0.25">
      <c r="A2983" t="s">
        <v>4</v>
      </c>
      <c r="B2983" t="s">
        <v>7615</v>
      </c>
      <c r="F2983" t="s">
        <v>9182</v>
      </c>
      <c r="G2983" t="s">
        <v>1072</v>
      </c>
    </row>
    <row r="2984" spans="1:7" hidden="1" x14ac:dyDescent="0.25">
      <c r="A2984" t="s">
        <v>9338</v>
      </c>
      <c r="B2984" t="s">
        <v>1267</v>
      </c>
      <c r="F2984" t="s">
        <v>9340</v>
      </c>
      <c r="G2984" t="s">
        <v>1072</v>
      </c>
    </row>
    <row r="2985" spans="1:7" hidden="1" x14ac:dyDescent="0.25">
      <c r="A2985" t="s">
        <v>9338</v>
      </c>
      <c r="B2985" t="s">
        <v>1267</v>
      </c>
      <c r="F2985" t="s">
        <v>9343</v>
      </c>
      <c r="G2985" t="s">
        <v>1072</v>
      </c>
    </row>
    <row r="2986" spans="1:7" hidden="1" x14ac:dyDescent="0.25">
      <c r="A2986" t="s">
        <v>9338</v>
      </c>
      <c r="B2986" t="s">
        <v>1267</v>
      </c>
      <c r="F2986" t="s">
        <v>9346</v>
      </c>
      <c r="G2986" t="s">
        <v>1072</v>
      </c>
    </row>
    <row r="2987" spans="1:7" hidden="1" x14ac:dyDescent="0.25">
      <c r="A2987" t="s">
        <v>9338</v>
      </c>
      <c r="B2987" t="s">
        <v>1267</v>
      </c>
      <c r="F2987" t="s">
        <v>9349</v>
      </c>
      <c r="G2987" t="s">
        <v>1072</v>
      </c>
    </row>
    <row r="2988" spans="1:7" hidden="1" x14ac:dyDescent="0.25">
      <c r="A2988" t="s">
        <v>9338</v>
      </c>
      <c r="B2988" t="s">
        <v>1267</v>
      </c>
      <c r="F2988" t="s">
        <v>9352</v>
      </c>
      <c r="G2988" t="s">
        <v>1072</v>
      </c>
    </row>
    <row r="2989" spans="1:7" hidden="1" x14ac:dyDescent="0.25">
      <c r="A2989" t="s">
        <v>9338</v>
      </c>
      <c r="B2989" t="s">
        <v>1267</v>
      </c>
      <c r="F2989" t="s">
        <v>9355</v>
      </c>
      <c r="G2989" t="s">
        <v>1072</v>
      </c>
    </row>
    <row r="2990" spans="1:7" hidden="1" x14ac:dyDescent="0.25">
      <c r="A2990" t="s">
        <v>9367</v>
      </c>
      <c r="B2990" t="s">
        <v>1267</v>
      </c>
      <c r="F2990" t="s">
        <v>9358</v>
      </c>
      <c r="G2990" t="s">
        <v>1072</v>
      </c>
    </row>
    <row r="2991" spans="1:7" hidden="1" x14ac:dyDescent="0.25">
      <c r="A2991" t="s">
        <v>9337</v>
      </c>
      <c r="B2991" t="s">
        <v>5071</v>
      </c>
      <c r="F2991" t="s">
        <v>9361</v>
      </c>
      <c r="G2991" t="s">
        <v>1072</v>
      </c>
    </row>
    <row r="2992" spans="1:7" hidden="1" x14ac:dyDescent="0.25">
      <c r="A2992" t="s">
        <v>4</v>
      </c>
      <c r="B2992" t="s">
        <v>86</v>
      </c>
      <c r="E2992" t="s">
        <v>5410</v>
      </c>
      <c r="F2992" t="s">
        <v>9364</v>
      </c>
      <c r="G2992" t="s">
        <v>1072</v>
      </c>
    </row>
    <row r="2993" spans="1:7" hidden="1" x14ac:dyDescent="0.25">
      <c r="A2993" t="s">
        <v>7944</v>
      </c>
      <c r="B2993" t="s">
        <v>4134</v>
      </c>
      <c r="F2993" t="s">
        <v>9185</v>
      </c>
      <c r="G2993" s="1" t="s">
        <v>1566</v>
      </c>
    </row>
    <row r="2994" spans="1:7" hidden="1" x14ac:dyDescent="0.25">
      <c r="A2994" t="s">
        <v>505</v>
      </c>
      <c r="B2994" t="s">
        <v>1570</v>
      </c>
      <c r="C2994" t="s">
        <v>58</v>
      </c>
      <c r="F2994" t="s">
        <v>9188</v>
      </c>
      <c r="G2994" s="1" t="s">
        <v>1566</v>
      </c>
    </row>
    <row r="2995" spans="1:7" hidden="1" x14ac:dyDescent="0.25">
      <c r="A2995" t="s">
        <v>7944</v>
      </c>
      <c r="B2995" t="s">
        <v>4134</v>
      </c>
      <c r="F2995" t="s">
        <v>9191</v>
      </c>
      <c r="G2995" s="1" t="s">
        <v>1566</v>
      </c>
    </row>
    <row r="2996" spans="1:7" hidden="1" x14ac:dyDescent="0.25">
      <c r="A2996" t="s">
        <v>4</v>
      </c>
      <c r="B2996" t="s">
        <v>8</v>
      </c>
      <c r="F2996" t="s">
        <v>9194</v>
      </c>
      <c r="G2996" s="1" t="s">
        <v>1566</v>
      </c>
    </row>
    <row r="2997" spans="1:7" hidden="1" x14ac:dyDescent="0.25">
      <c r="A2997" t="s">
        <v>505</v>
      </c>
      <c r="B2997" t="s">
        <v>1570</v>
      </c>
      <c r="C2997" t="s">
        <v>58</v>
      </c>
      <c r="E2997" t="s">
        <v>9401</v>
      </c>
      <c r="F2997" t="s">
        <v>9368</v>
      </c>
      <c r="G2997" s="1" t="s">
        <v>1566</v>
      </c>
    </row>
    <row r="2998" spans="1:7" hidden="1" x14ac:dyDescent="0.25">
      <c r="A2998" t="s">
        <v>505</v>
      </c>
      <c r="B2998" t="s">
        <v>1570</v>
      </c>
      <c r="C2998" t="s">
        <v>58</v>
      </c>
      <c r="E2998" t="s">
        <v>9401</v>
      </c>
      <c r="F2998" t="s">
        <v>9371</v>
      </c>
      <c r="G2998" s="1" t="s">
        <v>1566</v>
      </c>
    </row>
    <row r="2999" spans="1:7" hidden="1" x14ac:dyDescent="0.25">
      <c r="A2999" t="s">
        <v>505</v>
      </c>
      <c r="B2999" t="s">
        <v>1570</v>
      </c>
      <c r="C2999" t="s">
        <v>58</v>
      </c>
      <c r="E2999" t="s">
        <v>2904</v>
      </c>
      <c r="F2999" t="s">
        <v>9374</v>
      </c>
      <c r="G2999" s="1" t="s">
        <v>1566</v>
      </c>
    </row>
    <row r="3000" spans="1:7" hidden="1" x14ac:dyDescent="0.25">
      <c r="A3000" t="s">
        <v>1569</v>
      </c>
      <c r="B3000" t="s">
        <v>9402</v>
      </c>
      <c r="F3000" t="s">
        <v>9377</v>
      </c>
      <c r="G3000" s="1" t="s">
        <v>1566</v>
      </c>
    </row>
    <row r="3001" spans="1:7" hidden="1" x14ac:dyDescent="0.25">
      <c r="A3001" t="s">
        <v>622</v>
      </c>
      <c r="B3001" t="s">
        <v>9402</v>
      </c>
      <c r="F3001" t="s">
        <v>9380</v>
      </c>
      <c r="G3001" s="1" t="s">
        <v>1566</v>
      </c>
    </row>
    <row r="3002" spans="1:7" hidden="1" x14ac:dyDescent="0.25">
      <c r="A3002" t="s">
        <v>505</v>
      </c>
      <c r="B3002" t="s">
        <v>1570</v>
      </c>
      <c r="C3002" t="s">
        <v>58</v>
      </c>
      <c r="E3002" t="s">
        <v>9401</v>
      </c>
      <c r="F3002" t="s">
        <v>9383</v>
      </c>
      <c r="G3002" s="1" t="s">
        <v>1566</v>
      </c>
    </row>
    <row r="3003" spans="1:7" hidden="1" x14ac:dyDescent="0.25">
      <c r="A3003" t="s">
        <v>1569</v>
      </c>
      <c r="B3003" t="s">
        <v>9403</v>
      </c>
      <c r="F3003" t="s">
        <v>9386</v>
      </c>
      <c r="G3003" s="1" t="s">
        <v>1566</v>
      </c>
    </row>
    <row r="3004" spans="1:7" hidden="1" x14ac:dyDescent="0.25">
      <c r="A3004" t="s">
        <v>261</v>
      </c>
      <c r="B3004" t="s">
        <v>9403</v>
      </c>
      <c r="C3004" t="s">
        <v>2899</v>
      </c>
      <c r="F3004" t="s">
        <v>9389</v>
      </c>
      <c r="G3004" s="1" t="s">
        <v>1566</v>
      </c>
    </row>
    <row r="3005" spans="1:7" hidden="1" x14ac:dyDescent="0.25">
      <c r="A3005" t="s">
        <v>622</v>
      </c>
      <c r="B3005" t="s">
        <v>9403</v>
      </c>
      <c r="C3005" t="s">
        <v>2899</v>
      </c>
      <c r="F3005" t="s">
        <v>9392</v>
      </c>
      <c r="G3005" s="1" t="s">
        <v>1566</v>
      </c>
    </row>
    <row r="3006" spans="1:7" hidden="1" x14ac:dyDescent="0.25">
      <c r="A3006" t="s">
        <v>505</v>
      </c>
      <c r="B3006" t="s">
        <v>1570</v>
      </c>
      <c r="C3006" t="s">
        <v>58</v>
      </c>
      <c r="E3006" t="s">
        <v>9401</v>
      </c>
      <c r="F3006" t="s">
        <v>9395</v>
      </c>
      <c r="G3006" s="1" t="s">
        <v>1566</v>
      </c>
    </row>
    <row r="3007" spans="1:7" hidden="1" x14ac:dyDescent="0.25">
      <c r="A3007" t="s">
        <v>4</v>
      </c>
      <c r="B3007" t="s">
        <v>8</v>
      </c>
      <c r="F3007" t="s">
        <v>9398</v>
      </c>
      <c r="G3007" s="1" t="s">
        <v>1566</v>
      </c>
    </row>
    <row r="3008" spans="1:7" hidden="1" x14ac:dyDescent="0.25">
      <c r="A3008" t="s">
        <v>1967</v>
      </c>
      <c r="B3008" t="s">
        <v>8</v>
      </c>
      <c r="F3008" t="s">
        <v>9197</v>
      </c>
      <c r="G3008" t="s">
        <v>1780</v>
      </c>
    </row>
    <row r="3009" spans="1:7" hidden="1" x14ac:dyDescent="0.25">
      <c r="A3009" t="s">
        <v>4</v>
      </c>
      <c r="B3009" t="s">
        <v>8</v>
      </c>
      <c r="F3009" t="s">
        <v>9404</v>
      </c>
      <c r="G3009" t="s">
        <v>1780</v>
      </c>
    </row>
    <row r="3010" spans="1:7" hidden="1" x14ac:dyDescent="0.25">
      <c r="A3010" t="s">
        <v>623</v>
      </c>
      <c r="B3010" t="s">
        <v>5411</v>
      </c>
      <c r="F3010" t="s">
        <v>9407</v>
      </c>
      <c r="G3010" t="s">
        <v>1780</v>
      </c>
    </row>
    <row r="3011" spans="1:7" hidden="1" x14ac:dyDescent="0.25">
      <c r="A3011" t="s">
        <v>623</v>
      </c>
      <c r="B3011" t="s">
        <v>5411</v>
      </c>
      <c r="F3011" t="s">
        <v>9410</v>
      </c>
      <c r="G3011" t="s">
        <v>1780</v>
      </c>
    </row>
    <row r="3012" spans="1:7" hidden="1" x14ac:dyDescent="0.25">
      <c r="A3012" t="s">
        <v>623</v>
      </c>
      <c r="B3012" t="s">
        <v>5411</v>
      </c>
      <c r="F3012" t="s">
        <v>9413</v>
      </c>
      <c r="G3012" t="s">
        <v>1780</v>
      </c>
    </row>
    <row r="3013" spans="1:7" hidden="1" x14ac:dyDescent="0.25">
      <c r="A3013" t="s">
        <v>623</v>
      </c>
      <c r="B3013" t="s">
        <v>5411</v>
      </c>
      <c r="F3013" t="s">
        <v>9416</v>
      </c>
      <c r="G3013" t="s">
        <v>1780</v>
      </c>
    </row>
    <row r="3014" spans="1:7" hidden="1" x14ac:dyDescent="0.25">
      <c r="A3014" t="s">
        <v>623</v>
      </c>
      <c r="B3014" t="s">
        <v>5411</v>
      </c>
      <c r="F3014" t="s">
        <v>9419</v>
      </c>
      <c r="G3014" t="s">
        <v>1780</v>
      </c>
    </row>
    <row r="3015" spans="1:7" hidden="1" x14ac:dyDescent="0.25">
      <c r="A3015" t="s">
        <v>4</v>
      </c>
      <c r="B3015" t="s">
        <v>8</v>
      </c>
      <c r="F3015" t="s">
        <v>9422</v>
      </c>
      <c r="G3015" t="s">
        <v>1780</v>
      </c>
    </row>
    <row r="3016" spans="1:7" hidden="1" x14ac:dyDescent="0.25">
      <c r="A3016" t="s">
        <v>4</v>
      </c>
      <c r="B3016" t="s">
        <v>8</v>
      </c>
      <c r="F3016" t="s">
        <v>9200</v>
      </c>
      <c r="G3016" t="s">
        <v>1897</v>
      </c>
    </row>
    <row r="3017" spans="1:7" hidden="1" x14ac:dyDescent="0.25">
      <c r="A3017" t="s">
        <v>4</v>
      </c>
      <c r="B3017" t="s">
        <v>12</v>
      </c>
      <c r="F3017" t="s">
        <v>9203</v>
      </c>
      <c r="G3017" t="s">
        <v>1897</v>
      </c>
    </row>
    <row r="3018" spans="1:7" hidden="1" x14ac:dyDescent="0.25">
      <c r="A3018" t="s">
        <v>4</v>
      </c>
      <c r="B3018" t="s">
        <v>8</v>
      </c>
      <c r="F3018" t="s">
        <v>9206</v>
      </c>
      <c r="G3018" t="s">
        <v>1897</v>
      </c>
    </row>
    <row r="3019" spans="1:7" hidden="1" x14ac:dyDescent="0.25">
      <c r="A3019" t="s">
        <v>4</v>
      </c>
      <c r="B3019" t="s">
        <v>12</v>
      </c>
      <c r="F3019" t="s">
        <v>9425</v>
      </c>
      <c r="G3019" t="s">
        <v>1897</v>
      </c>
    </row>
    <row r="3020" spans="1:7" hidden="1" x14ac:dyDescent="0.25">
      <c r="A3020" t="s">
        <v>4</v>
      </c>
      <c r="B3020" t="s">
        <v>12</v>
      </c>
      <c r="F3020" t="s">
        <v>9428</v>
      </c>
      <c r="G3020" t="s">
        <v>1897</v>
      </c>
    </row>
    <row r="3021" spans="1:7" hidden="1" x14ac:dyDescent="0.25">
      <c r="A3021" t="s">
        <v>4</v>
      </c>
      <c r="B3021" t="s">
        <v>7947</v>
      </c>
      <c r="F3021" t="s">
        <v>9209</v>
      </c>
      <c r="G3021" t="s">
        <v>1960</v>
      </c>
    </row>
    <row r="3022" spans="1:7" hidden="1" x14ac:dyDescent="0.25">
      <c r="A3022" t="s">
        <v>4</v>
      </c>
      <c r="B3022" t="s">
        <v>7947</v>
      </c>
      <c r="F3022" t="s">
        <v>9212</v>
      </c>
      <c r="G3022" t="s">
        <v>1960</v>
      </c>
    </row>
    <row r="3023" spans="1:7" hidden="1" x14ac:dyDescent="0.25">
      <c r="A3023" t="s">
        <v>4</v>
      </c>
      <c r="B3023" t="s">
        <v>7947</v>
      </c>
      <c r="F3023" t="s">
        <v>9215</v>
      </c>
      <c r="G3023" t="s">
        <v>1960</v>
      </c>
    </row>
    <row r="3024" spans="1:7" hidden="1" x14ac:dyDescent="0.25">
      <c r="A3024" t="s">
        <v>4</v>
      </c>
      <c r="B3024" t="s">
        <v>8</v>
      </c>
      <c r="F3024" t="s">
        <v>9218</v>
      </c>
      <c r="G3024" t="s">
        <v>1960</v>
      </c>
    </row>
    <row r="3025" spans="1:7" hidden="1" x14ac:dyDescent="0.25">
      <c r="A3025" t="s">
        <v>4</v>
      </c>
      <c r="B3025" t="s">
        <v>8</v>
      </c>
      <c r="F3025" t="s">
        <v>9431</v>
      </c>
      <c r="G3025" t="s">
        <v>1960</v>
      </c>
    </row>
    <row r="3026" spans="1:7" hidden="1" x14ac:dyDescent="0.25">
      <c r="A3026" t="s">
        <v>4</v>
      </c>
      <c r="B3026" t="s">
        <v>8</v>
      </c>
      <c r="F3026" t="s">
        <v>9434</v>
      </c>
      <c r="G3026" t="s">
        <v>1960</v>
      </c>
    </row>
    <row r="3027" spans="1:7" hidden="1" x14ac:dyDescent="0.25">
      <c r="A3027" t="s">
        <v>4</v>
      </c>
      <c r="B3027" t="s">
        <v>9098</v>
      </c>
      <c r="F3027" t="s">
        <v>9437</v>
      </c>
      <c r="G3027" t="s">
        <v>1960</v>
      </c>
    </row>
    <row r="3028" spans="1:7" hidden="1" x14ac:dyDescent="0.25">
      <c r="A3028" t="s">
        <v>4</v>
      </c>
      <c r="B3028" t="s">
        <v>9098</v>
      </c>
      <c r="F3028" t="s">
        <v>9440</v>
      </c>
      <c r="G3028" t="s">
        <v>1960</v>
      </c>
    </row>
    <row r="3029" spans="1:7" hidden="1" x14ac:dyDescent="0.25">
      <c r="A3029" t="s">
        <v>4</v>
      </c>
      <c r="B3029" t="s">
        <v>9098</v>
      </c>
      <c r="F3029" t="s">
        <v>9443</v>
      </c>
      <c r="G3029" t="s">
        <v>1960</v>
      </c>
    </row>
    <row r="3030" spans="1:7" hidden="1" x14ac:dyDescent="0.25">
      <c r="A3030" t="s">
        <v>4</v>
      </c>
      <c r="B3030" t="s">
        <v>9098</v>
      </c>
      <c r="F3030" t="s">
        <v>9446</v>
      </c>
      <c r="G3030" t="s">
        <v>1960</v>
      </c>
    </row>
    <row r="3031" spans="1:7" hidden="1" x14ac:dyDescent="0.25">
      <c r="A3031" t="s">
        <v>4</v>
      </c>
      <c r="B3031" t="s">
        <v>8</v>
      </c>
      <c r="F3031" t="s">
        <v>9449</v>
      </c>
      <c r="G3031" t="s">
        <v>1960</v>
      </c>
    </row>
    <row r="3032" spans="1:7" hidden="1" x14ac:dyDescent="0.25">
      <c r="A3032" t="s">
        <v>91</v>
      </c>
      <c r="B3032" t="s">
        <v>6574</v>
      </c>
      <c r="C3032" t="s">
        <v>51</v>
      </c>
      <c r="F3032" t="s">
        <v>9471</v>
      </c>
      <c r="G3032" t="s">
        <v>1074</v>
      </c>
    </row>
    <row r="3033" spans="1:7" hidden="1" x14ac:dyDescent="0.25">
      <c r="A3033" t="s">
        <v>62</v>
      </c>
      <c r="B3033" t="s">
        <v>6574</v>
      </c>
      <c r="C3033" t="s">
        <v>4181</v>
      </c>
      <c r="F3033" t="s">
        <v>9474</v>
      </c>
      <c r="G3033" t="s">
        <v>1074</v>
      </c>
    </row>
    <row r="3034" spans="1:7" hidden="1" x14ac:dyDescent="0.25">
      <c r="A3034" t="s">
        <v>91</v>
      </c>
      <c r="B3034" t="s">
        <v>9563</v>
      </c>
      <c r="F3034" t="s">
        <v>9477</v>
      </c>
      <c r="G3034" t="s">
        <v>1074</v>
      </c>
    </row>
    <row r="3035" spans="1:7" hidden="1" x14ac:dyDescent="0.25">
      <c r="A3035" t="s">
        <v>91</v>
      </c>
      <c r="B3035" t="s">
        <v>6574</v>
      </c>
      <c r="C3035" t="s">
        <v>51</v>
      </c>
      <c r="F3035" t="s">
        <v>9480</v>
      </c>
      <c r="G3035" t="s">
        <v>1074</v>
      </c>
    </row>
    <row r="3036" spans="1:7" hidden="1" x14ac:dyDescent="0.25">
      <c r="A3036" t="s">
        <v>62</v>
      </c>
      <c r="B3036" t="s">
        <v>9563</v>
      </c>
      <c r="F3036" t="s">
        <v>9483</v>
      </c>
      <c r="G3036" t="s">
        <v>1074</v>
      </c>
    </row>
    <row r="3037" spans="1:7" hidden="1" x14ac:dyDescent="0.25">
      <c r="A3037" t="s">
        <v>62</v>
      </c>
      <c r="B3037" t="s">
        <v>6574</v>
      </c>
      <c r="C3037" t="s">
        <v>9564</v>
      </c>
      <c r="F3037" t="s">
        <v>9486</v>
      </c>
      <c r="G3037" t="s">
        <v>1074</v>
      </c>
    </row>
    <row r="3038" spans="1:7" hidden="1" x14ac:dyDescent="0.25">
      <c r="A3038" t="s">
        <v>1967</v>
      </c>
      <c r="F3038" t="s">
        <v>9489</v>
      </c>
      <c r="G3038" t="s">
        <v>1074</v>
      </c>
    </row>
    <row r="3039" spans="1:7" hidden="1" x14ac:dyDescent="0.25">
      <c r="A3039" t="s">
        <v>1569</v>
      </c>
      <c r="B3039" t="s">
        <v>6574</v>
      </c>
      <c r="C3039" t="s">
        <v>51</v>
      </c>
      <c r="F3039" t="s">
        <v>9452</v>
      </c>
      <c r="G3039" t="s">
        <v>1075</v>
      </c>
    </row>
    <row r="3040" spans="1:7" hidden="1" x14ac:dyDescent="0.25">
      <c r="A3040" t="s">
        <v>622</v>
      </c>
      <c r="B3040" t="s">
        <v>6574</v>
      </c>
      <c r="C3040" t="s">
        <v>4181</v>
      </c>
      <c r="F3040" t="s">
        <v>9455</v>
      </c>
      <c r="G3040" t="s">
        <v>1075</v>
      </c>
    </row>
    <row r="3041" spans="1:7" hidden="1" x14ac:dyDescent="0.25">
      <c r="A3041" t="s">
        <v>1569</v>
      </c>
      <c r="B3041" t="s">
        <v>6574</v>
      </c>
      <c r="C3041" t="s">
        <v>51</v>
      </c>
      <c r="F3041" t="s">
        <v>9458</v>
      </c>
      <c r="G3041" t="s">
        <v>1075</v>
      </c>
    </row>
    <row r="3042" spans="1:7" hidden="1" x14ac:dyDescent="0.25">
      <c r="A3042" t="s">
        <v>622</v>
      </c>
      <c r="B3042" t="s">
        <v>6574</v>
      </c>
      <c r="C3042" t="s">
        <v>9564</v>
      </c>
      <c r="F3042" t="s">
        <v>9461</v>
      </c>
      <c r="G3042" t="s">
        <v>1075</v>
      </c>
    </row>
    <row r="3043" spans="1:7" hidden="1" x14ac:dyDescent="0.25">
      <c r="A3043" t="s">
        <v>1967</v>
      </c>
      <c r="B3043" t="s">
        <v>8</v>
      </c>
      <c r="F3043" t="s">
        <v>9464</v>
      </c>
      <c r="G3043" t="s">
        <v>1075</v>
      </c>
    </row>
    <row r="3044" spans="1:7" x14ac:dyDescent="0.25">
      <c r="A3044" t="s">
        <v>4</v>
      </c>
      <c r="B3044" t="s">
        <v>9565</v>
      </c>
      <c r="F3044" t="s">
        <v>9467</v>
      </c>
      <c r="G3044" t="s">
        <v>13425</v>
      </c>
    </row>
    <row r="3045" spans="1:7" x14ac:dyDescent="0.25">
      <c r="A3045" t="s">
        <v>1967</v>
      </c>
      <c r="B3045" t="s">
        <v>8</v>
      </c>
      <c r="F3045" t="s">
        <v>9469</v>
      </c>
      <c r="G3045" t="s">
        <v>13425</v>
      </c>
    </row>
    <row r="3046" spans="1:7" hidden="1" x14ac:dyDescent="0.25">
      <c r="A3046" t="s">
        <v>4</v>
      </c>
      <c r="B3046" t="s">
        <v>8691</v>
      </c>
      <c r="F3046" t="s">
        <v>9513</v>
      </c>
      <c r="G3046" t="s">
        <v>1076</v>
      </c>
    </row>
    <row r="3047" spans="1:7" hidden="1" x14ac:dyDescent="0.25">
      <c r="A3047" t="s">
        <v>1967</v>
      </c>
      <c r="B3047" t="s">
        <v>8</v>
      </c>
      <c r="F3047" t="s">
        <v>9516</v>
      </c>
      <c r="G3047" t="s">
        <v>1076</v>
      </c>
    </row>
    <row r="3048" spans="1:7" hidden="1" x14ac:dyDescent="0.25">
      <c r="A3048" t="s">
        <v>4</v>
      </c>
      <c r="B3048" t="s">
        <v>7947</v>
      </c>
      <c r="F3048" t="s">
        <v>9519</v>
      </c>
      <c r="G3048" t="s">
        <v>1077</v>
      </c>
    </row>
    <row r="3049" spans="1:7" hidden="1" x14ac:dyDescent="0.25">
      <c r="A3049" t="s">
        <v>4</v>
      </c>
      <c r="B3049" t="s">
        <v>7947</v>
      </c>
      <c r="F3049" t="s">
        <v>9522</v>
      </c>
      <c r="G3049" t="s">
        <v>1077</v>
      </c>
    </row>
    <row r="3050" spans="1:7" hidden="1" x14ac:dyDescent="0.25">
      <c r="A3050" t="s">
        <v>4</v>
      </c>
      <c r="B3050" t="s">
        <v>7947</v>
      </c>
      <c r="F3050" t="s">
        <v>9525</v>
      </c>
      <c r="G3050" t="s">
        <v>1077</v>
      </c>
    </row>
    <row r="3051" spans="1:7" hidden="1" x14ac:dyDescent="0.25">
      <c r="A3051" t="s">
        <v>1967</v>
      </c>
      <c r="B3051" t="s">
        <v>8</v>
      </c>
      <c r="F3051" t="s">
        <v>9492</v>
      </c>
      <c r="G3051" t="s">
        <v>1078</v>
      </c>
    </row>
    <row r="3052" spans="1:7" hidden="1" x14ac:dyDescent="0.25">
      <c r="A3052" t="s">
        <v>1967</v>
      </c>
      <c r="B3052" t="s">
        <v>8</v>
      </c>
      <c r="F3052" t="s">
        <v>9495</v>
      </c>
      <c r="G3052" t="s">
        <v>1078</v>
      </c>
    </row>
    <row r="3053" spans="1:7" hidden="1" x14ac:dyDescent="0.25">
      <c r="A3053" t="s">
        <v>1967</v>
      </c>
      <c r="B3053" t="s">
        <v>8</v>
      </c>
      <c r="F3053" t="s">
        <v>9566</v>
      </c>
      <c r="G3053" t="s">
        <v>1079</v>
      </c>
    </row>
    <row r="3054" spans="1:7" hidden="1" x14ac:dyDescent="0.25">
      <c r="A3054" t="s">
        <v>1967</v>
      </c>
      <c r="B3054" t="s">
        <v>8</v>
      </c>
      <c r="F3054" t="s">
        <v>9568</v>
      </c>
      <c r="G3054" t="s">
        <v>1079</v>
      </c>
    </row>
    <row r="3055" spans="1:7" hidden="1" x14ac:dyDescent="0.25">
      <c r="A3055" t="s">
        <v>9291</v>
      </c>
      <c r="B3055" t="s">
        <v>1570</v>
      </c>
      <c r="F3055" t="s">
        <v>9498</v>
      </c>
      <c r="G3055" t="s">
        <v>768</v>
      </c>
    </row>
    <row r="3056" spans="1:7" hidden="1" x14ac:dyDescent="0.25">
      <c r="A3056" t="s">
        <v>4</v>
      </c>
      <c r="B3056" t="s">
        <v>9</v>
      </c>
      <c r="F3056" t="s">
        <v>9501</v>
      </c>
      <c r="G3056" t="s">
        <v>768</v>
      </c>
    </row>
    <row r="3057" spans="1:7" hidden="1" x14ac:dyDescent="0.25">
      <c r="A3057" t="s">
        <v>9291</v>
      </c>
      <c r="B3057" t="s">
        <v>1570</v>
      </c>
      <c r="F3057" t="s">
        <v>9504</v>
      </c>
      <c r="G3057" t="s">
        <v>768</v>
      </c>
    </row>
    <row r="3058" spans="1:7" hidden="1" x14ac:dyDescent="0.25">
      <c r="A3058" t="s">
        <v>1987</v>
      </c>
      <c r="B3058" t="s">
        <v>768</v>
      </c>
      <c r="F3058" t="s">
        <v>9507</v>
      </c>
      <c r="G3058" t="s">
        <v>768</v>
      </c>
    </row>
    <row r="3059" spans="1:7" hidden="1" x14ac:dyDescent="0.25">
      <c r="A3059" t="s">
        <v>4</v>
      </c>
      <c r="B3059" t="s">
        <v>9</v>
      </c>
      <c r="F3059" t="s">
        <v>9510</v>
      </c>
      <c r="G3059" t="s">
        <v>768</v>
      </c>
    </row>
    <row r="3060" spans="1:7" hidden="1" x14ac:dyDescent="0.25">
      <c r="A3060" t="s">
        <v>4</v>
      </c>
      <c r="B3060" t="s">
        <v>6574</v>
      </c>
      <c r="C3060" t="s">
        <v>9224</v>
      </c>
      <c r="F3060" t="s">
        <v>9537</v>
      </c>
      <c r="G3060" s="1" t="s">
        <v>1566</v>
      </c>
    </row>
    <row r="3061" spans="1:7" hidden="1" x14ac:dyDescent="0.25">
      <c r="A3061" t="s">
        <v>4</v>
      </c>
      <c r="B3061" t="s">
        <v>6574</v>
      </c>
      <c r="C3061" t="s">
        <v>9224</v>
      </c>
      <c r="F3061" t="s">
        <v>9540</v>
      </c>
      <c r="G3061" s="1" t="s">
        <v>1566</v>
      </c>
    </row>
    <row r="3062" spans="1:7" hidden="1" x14ac:dyDescent="0.25">
      <c r="A3062" t="s">
        <v>505</v>
      </c>
      <c r="B3062" t="s">
        <v>1570</v>
      </c>
      <c r="C3062" t="s">
        <v>58</v>
      </c>
      <c r="F3062" t="s">
        <v>9543</v>
      </c>
      <c r="G3062" s="1" t="s">
        <v>1566</v>
      </c>
    </row>
    <row r="3063" spans="1:7" hidden="1" x14ac:dyDescent="0.25">
      <c r="A3063" t="s">
        <v>1967</v>
      </c>
      <c r="B3063" t="s">
        <v>8</v>
      </c>
      <c r="F3063" t="s">
        <v>9546</v>
      </c>
      <c r="G3063" t="s">
        <v>1780</v>
      </c>
    </row>
    <row r="3064" spans="1:7" hidden="1" x14ac:dyDescent="0.25">
      <c r="A3064" t="s">
        <v>1967</v>
      </c>
      <c r="B3064" t="s">
        <v>8</v>
      </c>
      <c r="F3064" t="s">
        <v>9548</v>
      </c>
      <c r="G3064" t="s">
        <v>1780</v>
      </c>
    </row>
    <row r="3065" spans="1:7" hidden="1" x14ac:dyDescent="0.25">
      <c r="A3065" t="s">
        <v>1967</v>
      </c>
      <c r="B3065" t="s">
        <v>8</v>
      </c>
      <c r="F3065" t="s">
        <v>9551</v>
      </c>
      <c r="G3065" t="s">
        <v>1897</v>
      </c>
    </row>
    <row r="3066" spans="1:7" hidden="1" x14ac:dyDescent="0.25">
      <c r="A3066" t="s">
        <v>1967</v>
      </c>
      <c r="B3066" t="s">
        <v>8</v>
      </c>
      <c r="F3066" t="s">
        <v>9554</v>
      </c>
      <c r="G3066" t="s">
        <v>1897</v>
      </c>
    </row>
    <row r="3067" spans="1:7" hidden="1" x14ac:dyDescent="0.25">
      <c r="A3067" t="s">
        <v>1967</v>
      </c>
      <c r="B3067" t="s">
        <v>8</v>
      </c>
      <c r="F3067" t="s">
        <v>9557</v>
      </c>
      <c r="G3067" t="s">
        <v>1960</v>
      </c>
    </row>
    <row r="3068" spans="1:7" hidden="1" x14ac:dyDescent="0.25">
      <c r="A3068" t="s">
        <v>1967</v>
      </c>
      <c r="B3068" t="s">
        <v>8</v>
      </c>
      <c r="F3068" t="s">
        <v>9560</v>
      </c>
      <c r="G3068" t="s">
        <v>1960</v>
      </c>
    </row>
    <row r="3069" spans="1:7" hidden="1" x14ac:dyDescent="0.25">
      <c r="A3069" t="s">
        <v>4</v>
      </c>
      <c r="B3069" t="s">
        <v>86</v>
      </c>
      <c r="E3069" t="s">
        <v>5410</v>
      </c>
      <c r="F3069" t="s">
        <v>9528</v>
      </c>
      <c r="G3069" t="s">
        <v>1072</v>
      </c>
    </row>
    <row r="3070" spans="1:7" hidden="1" x14ac:dyDescent="0.25">
      <c r="A3070" t="s">
        <v>4</v>
      </c>
      <c r="B3070" t="s">
        <v>9571</v>
      </c>
      <c r="F3070" t="s">
        <v>9531</v>
      </c>
      <c r="G3070" t="s">
        <v>1072</v>
      </c>
    </row>
    <row r="3071" spans="1:7" hidden="1" x14ac:dyDescent="0.25">
      <c r="A3071" t="s">
        <v>9572</v>
      </c>
      <c r="B3071" t="s">
        <v>9087</v>
      </c>
      <c r="F3071" t="s">
        <v>9534</v>
      </c>
      <c r="G3071" t="s">
        <v>1072</v>
      </c>
    </row>
    <row r="3072" spans="1:7" hidden="1" x14ac:dyDescent="0.25">
      <c r="A3072" t="s">
        <v>1967</v>
      </c>
      <c r="F3072" t="s">
        <v>9588</v>
      </c>
      <c r="G3072" t="s">
        <v>1074</v>
      </c>
    </row>
    <row r="3073" spans="1:7" hidden="1" x14ac:dyDescent="0.25">
      <c r="A3073" t="s">
        <v>1967</v>
      </c>
      <c r="F3073" t="s">
        <v>9591</v>
      </c>
      <c r="G3073" t="s">
        <v>1074</v>
      </c>
    </row>
    <row r="3074" spans="1:7" hidden="1" x14ac:dyDescent="0.25">
      <c r="A3074" t="s">
        <v>1967</v>
      </c>
      <c r="B3074" t="s">
        <v>8</v>
      </c>
      <c r="F3074" t="s">
        <v>9594</v>
      </c>
      <c r="G3074" t="s">
        <v>1075</v>
      </c>
    </row>
    <row r="3075" spans="1:7" hidden="1" x14ac:dyDescent="0.25">
      <c r="A3075" t="s">
        <v>1967</v>
      </c>
      <c r="B3075" t="s">
        <v>8</v>
      </c>
      <c r="F3075" t="s">
        <v>9597</v>
      </c>
      <c r="G3075" t="s">
        <v>1075</v>
      </c>
    </row>
    <row r="3076" spans="1:7" x14ac:dyDescent="0.25">
      <c r="A3076" t="s">
        <v>4</v>
      </c>
      <c r="B3076" t="s">
        <v>8691</v>
      </c>
      <c r="F3076" t="s">
        <v>9600</v>
      </c>
      <c r="G3076" t="s">
        <v>13425</v>
      </c>
    </row>
    <row r="3077" spans="1:7" x14ac:dyDescent="0.25">
      <c r="A3077" t="s">
        <v>4</v>
      </c>
      <c r="B3077" t="s">
        <v>8691</v>
      </c>
      <c r="F3077" t="s">
        <v>9602</v>
      </c>
      <c r="G3077" t="s">
        <v>13425</v>
      </c>
    </row>
    <row r="3078" spans="1:7" hidden="1" x14ac:dyDescent="0.25">
      <c r="A3078" t="s">
        <v>4</v>
      </c>
      <c r="B3078" t="s">
        <v>8691</v>
      </c>
      <c r="F3078" t="s">
        <v>9604</v>
      </c>
      <c r="G3078" t="s">
        <v>1076</v>
      </c>
    </row>
    <row r="3079" spans="1:7" hidden="1" x14ac:dyDescent="0.25">
      <c r="A3079" t="s">
        <v>4</v>
      </c>
      <c r="B3079" t="s">
        <v>8691</v>
      </c>
      <c r="F3079" t="s">
        <v>9607</v>
      </c>
      <c r="G3079" t="s">
        <v>1076</v>
      </c>
    </row>
    <row r="3080" spans="1:7" hidden="1" x14ac:dyDescent="0.25">
      <c r="A3080" t="s">
        <v>4</v>
      </c>
      <c r="B3080" t="s">
        <v>8691</v>
      </c>
      <c r="F3080" t="s">
        <v>9610</v>
      </c>
      <c r="G3080" t="s">
        <v>1076</v>
      </c>
    </row>
    <row r="3081" spans="1:7" hidden="1" x14ac:dyDescent="0.25">
      <c r="A3081" t="s">
        <v>4</v>
      </c>
      <c r="B3081" t="s">
        <v>9754</v>
      </c>
      <c r="F3081" t="s">
        <v>9573</v>
      </c>
      <c r="G3081" t="s">
        <v>1077</v>
      </c>
    </row>
    <row r="3082" spans="1:7" hidden="1" x14ac:dyDescent="0.25">
      <c r="A3082" t="s">
        <v>4</v>
      </c>
      <c r="B3082" t="s">
        <v>9754</v>
      </c>
      <c r="F3082" t="s">
        <v>9576</v>
      </c>
      <c r="G3082" t="s">
        <v>1077</v>
      </c>
    </row>
    <row r="3083" spans="1:7" hidden="1" x14ac:dyDescent="0.25">
      <c r="A3083" t="s">
        <v>4</v>
      </c>
      <c r="B3083" t="s">
        <v>9754</v>
      </c>
      <c r="F3083" t="s">
        <v>9579</v>
      </c>
      <c r="G3083" t="s">
        <v>1077</v>
      </c>
    </row>
    <row r="3084" spans="1:7" hidden="1" x14ac:dyDescent="0.25">
      <c r="A3084" t="s">
        <v>4</v>
      </c>
      <c r="B3084" t="s">
        <v>9754</v>
      </c>
      <c r="F3084" t="s">
        <v>9582</v>
      </c>
      <c r="G3084" t="s">
        <v>1077</v>
      </c>
    </row>
    <row r="3085" spans="1:7" hidden="1" x14ac:dyDescent="0.25">
      <c r="A3085" t="s">
        <v>4</v>
      </c>
      <c r="B3085" t="s">
        <v>9754</v>
      </c>
      <c r="F3085" t="s">
        <v>9585</v>
      </c>
      <c r="G3085" t="s">
        <v>1077</v>
      </c>
    </row>
    <row r="3086" spans="1:7" hidden="1" x14ac:dyDescent="0.25">
      <c r="A3086" t="s">
        <v>1967</v>
      </c>
      <c r="B3086" t="s">
        <v>8</v>
      </c>
      <c r="F3086" t="s">
        <v>9613</v>
      </c>
      <c r="G3086" t="s">
        <v>1078</v>
      </c>
    </row>
    <row r="3087" spans="1:7" hidden="1" x14ac:dyDescent="0.25">
      <c r="A3087" t="s">
        <v>1967</v>
      </c>
      <c r="B3087" t="s">
        <v>8</v>
      </c>
      <c r="F3087" t="s">
        <v>9616</v>
      </c>
      <c r="G3087" t="s">
        <v>1078</v>
      </c>
    </row>
    <row r="3088" spans="1:7" hidden="1" x14ac:dyDescent="0.25">
      <c r="A3088" t="s">
        <v>4</v>
      </c>
      <c r="B3088" t="s">
        <v>9791</v>
      </c>
      <c r="F3088" t="s">
        <v>9755</v>
      </c>
      <c r="G3088" t="s">
        <v>1079</v>
      </c>
    </row>
    <row r="3089" spans="1:7" hidden="1" x14ac:dyDescent="0.25">
      <c r="A3089" t="s">
        <v>4</v>
      </c>
      <c r="B3089" t="s">
        <v>9791</v>
      </c>
      <c r="E3089" t="s">
        <v>2891</v>
      </c>
      <c r="F3089" t="s">
        <v>9758</v>
      </c>
      <c r="G3089" t="s">
        <v>1079</v>
      </c>
    </row>
    <row r="3090" spans="1:7" hidden="1" x14ac:dyDescent="0.25">
      <c r="A3090" t="s">
        <v>4</v>
      </c>
      <c r="B3090" t="s">
        <v>9791</v>
      </c>
      <c r="E3090" t="s">
        <v>2891</v>
      </c>
      <c r="F3090" t="s">
        <v>9761</v>
      </c>
      <c r="G3090" t="s">
        <v>1079</v>
      </c>
    </row>
    <row r="3091" spans="1:7" hidden="1" x14ac:dyDescent="0.25">
      <c r="A3091" t="s">
        <v>4</v>
      </c>
      <c r="B3091" t="s">
        <v>9791</v>
      </c>
      <c r="E3091" t="s">
        <v>2891</v>
      </c>
      <c r="F3091" t="s">
        <v>9764</v>
      </c>
      <c r="G3091" t="s">
        <v>1079</v>
      </c>
    </row>
    <row r="3092" spans="1:7" hidden="1" x14ac:dyDescent="0.25">
      <c r="A3092" t="s">
        <v>4</v>
      </c>
      <c r="B3092" t="s">
        <v>9791</v>
      </c>
      <c r="E3092" t="s">
        <v>2891</v>
      </c>
      <c r="F3092" t="s">
        <v>9767</v>
      </c>
      <c r="G3092" t="s">
        <v>1079</v>
      </c>
    </row>
    <row r="3093" spans="1:7" hidden="1" x14ac:dyDescent="0.25">
      <c r="A3093" t="s">
        <v>4</v>
      </c>
      <c r="B3093" t="s">
        <v>9791</v>
      </c>
      <c r="E3093" t="s">
        <v>2891</v>
      </c>
      <c r="F3093" t="s">
        <v>9770</v>
      </c>
      <c r="G3093" t="s">
        <v>1079</v>
      </c>
    </row>
    <row r="3094" spans="1:7" hidden="1" x14ac:dyDescent="0.25">
      <c r="A3094" t="s">
        <v>4</v>
      </c>
      <c r="B3094" t="s">
        <v>9791</v>
      </c>
      <c r="E3094" t="s">
        <v>2891</v>
      </c>
      <c r="F3094" t="s">
        <v>9773</v>
      </c>
      <c r="G3094" t="s">
        <v>1079</v>
      </c>
    </row>
    <row r="3095" spans="1:7" hidden="1" x14ac:dyDescent="0.25">
      <c r="A3095" t="s">
        <v>4</v>
      </c>
      <c r="B3095" t="s">
        <v>9791</v>
      </c>
      <c r="E3095" t="s">
        <v>2891</v>
      </c>
      <c r="F3095" t="s">
        <v>9776</v>
      </c>
      <c r="G3095" t="s">
        <v>1079</v>
      </c>
    </row>
    <row r="3096" spans="1:7" hidden="1" x14ac:dyDescent="0.25">
      <c r="A3096" t="s">
        <v>4</v>
      </c>
      <c r="B3096" t="s">
        <v>9791</v>
      </c>
      <c r="E3096" t="s">
        <v>2891</v>
      </c>
      <c r="F3096" t="s">
        <v>9779</v>
      </c>
      <c r="G3096" t="s">
        <v>1079</v>
      </c>
    </row>
    <row r="3097" spans="1:7" hidden="1" x14ac:dyDescent="0.25">
      <c r="A3097" t="s">
        <v>4</v>
      </c>
      <c r="B3097" t="s">
        <v>9791</v>
      </c>
      <c r="E3097" t="s">
        <v>2891</v>
      </c>
      <c r="F3097" t="s">
        <v>9782</v>
      </c>
      <c r="G3097" t="s">
        <v>1079</v>
      </c>
    </row>
    <row r="3098" spans="1:7" hidden="1" x14ac:dyDescent="0.25">
      <c r="A3098" t="s">
        <v>4</v>
      </c>
      <c r="B3098" t="s">
        <v>9791</v>
      </c>
      <c r="E3098" t="s">
        <v>2891</v>
      </c>
      <c r="F3098" t="s">
        <v>9785</v>
      </c>
      <c r="G3098" t="s">
        <v>1079</v>
      </c>
    </row>
    <row r="3099" spans="1:7" hidden="1" x14ac:dyDescent="0.25">
      <c r="A3099" t="s">
        <v>4</v>
      </c>
      <c r="B3099" t="s">
        <v>9791</v>
      </c>
      <c r="E3099" t="s">
        <v>2891</v>
      </c>
      <c r="F3099" t="s">
        <v>9788</v>
      </c>
      <c r="G3099" t="s">
        <v>1079</v>
      </c>
    </row>
    <row r="3100" spans="1:7" hidden="1" x14ac:dyDescent="0.25">
      <c r="A3100" t="s">
        <v>9291</v>
      </c>
      <c r="B3100" t="s">
        <v>1570</v>
      </c>
      <c r="F3100" t="s">
        <v>9619</v>
      </c>
      <c r="G3100" t="s">
        <v>768</v>
      </c>
    </row>
    <row r="3101" spans="1:7" hidden="1" x14ac:dyDescent="0.25">
      <c r="A3101" t="s">
        <v>9291</v>
      </c>
      <c r="B3101" t="s">
        <v>1570</v>
      </c>
      <c r="F3101" t="s">
        <v>9622</v>
      </c>
      <c r="G3101" t="s">
        <v>768</v>
      </c>
    </row>
    <row r="3102" spans="1:7" hidden="1" x14ac:dyDescent="0.25">
      <c r="A3102" t="s">
        <v>9291</v>
      </c>
      <c r="B3102" t="s">
        <v>1570</v>
      </c>
      <c r="F3102" t="s">
        <v>9625</v>
      </c>
      <c r="G3102" t="s">
        <v>768</v>
      </c>
    </row>
    <row r="3103" spans="1:7" hidden="1" x14ac:dyDescent="0.25">
      <c r="A3103" t="s">
        <v>1987</v>
      </c>
      <c r="B3103" t="s">
        <v>768</v>
      </c>
      <c r="F3103" t="s">
        <v>9628</v>
      </c>
      <c r="G3103" t="s">
        <v>768</v>
      </c>
    </row>
    <row r="3104" spans="1:7" hidden="1" x14ac:dyDescent="0.25">
      <c r="A3104" t="s">
        <v>1987</v>
      </c>
      <c r="B3104" t="s">
        <v>768</v>
      </c>
      <c r="F3104" t="s">
        <v>9631</v>
      </c>
      <c r="G3104" t="s">
        <v>768</v>
      </c>
    </row>
    <row r="3105" spans="1:7" hidden="1" x14ac:dyDescent="0.25">
      <c r="A3105" t="s">
        <v>1987</v>
      </c>
      <c r="B3105" t="s">
        <v>768</v>
      </c>
      <c r="F3105" t="s">
        <v>9634</v>
      </c>
      <c r="G3105" t="s">
        <v>768</v>
      </c>
    </row>
    <row r="3106" spans="1:7" hidden="1" x14ac:dyDescent="0.25">
      <c r="A3106" t="s">
        <v>9291</v>
      </c>
      <c r="B3106" t="s">
        <v>1570</v>
      </c>
      <c r="F3106" t="s">
        <v>9637</v>
      </c>
      <c r="G3106" t="s">
        <v>768</v>
      </c>
    </row>
    <row r="3107" spans="1:7" hidden="1" x14ac:dyDescent="0.25">
      <c r="A3107" t="s">
        <v>4</v>
      </c>
      <c r="B3107" t="s">
        <v>9</v>
      </c>
      <c r="F3107" t="s">
        <v>9640</v>
      </c>
      <c r="G3107" t="s">
        <v>768</v>
      </c>
    </row>
    <row r="3108" spans="1:7" hidden="1" x14ac:dyDescent="0.25">
      <c r="A3108" t="s">
        <v>9291</v>
      </c>
      <c r="B3108" t="s">
        <v>1570</v>
      </c>
      <c r="F3108" t="s">
        <v>9643</v>
      </c>
      <c r="G3108" t="s">
        <v>768</v>
      </c>
    </row>
    <row r="3109" spans="1:7" hidden="1" x14ac:dyDescent="0.25">
      <c r="A3109" t="s">
        <v>1987</v>
      </c>
      <c r="B3109" t="s">
        <v>768</v>
      </c>
      <c r="F3109" t="s">
        <v>9646</v>
      </c>
      <c r="G3109" t="s">
        <v>768</v>
      </c>
    </row>
    <row r="3110" spans="1:7" hidden="1" x14ac:dyDescent="0.25">
      <c r="A3110" t="s">
        <v>9291</v>
      </c>
      <c r="B3110" t="s">
        <v>1570</v>
      </c>
      <c r="F3110" t="s">
        <v>9649</v>
      </c>
      <c r="G3110" t="s">
        <v>768</v>
      </c>
    </row>
    <row r="3111" spans="1:7" hidden="1" x14ac:dyDescent="0.25">
      <c r="A3111" t="s">
        <v>9291</v>
      </c>
      <c r="B3111" t="s">
        <v>1570</v>
      </c>
      <c r="F3111" t="s">
        <v>9652</v>
      </c>
      <c r="G3111" t="s">
        <v>768</v>
      </c>
    </row>
    <row r="3112" spans="1:7" hidden="1" x14ac:dyDescent="0.25">
      <c r="A3112" t="s">
        <v>9291</v>
      </c>
      <c r="B3112" t="s">
        <v>1570</v>
      </c>
      <c r="F3112" t="s">
        <v>9655</v>
      </c>
      <c r="G3112" t="s">
        <v>768</v>
      </c>
    </row>
    <row r="3113" spans="1:7" hidden="1" x14ac:dyDescent="0.25">
      <c r="A3113" t="s">
        <v>9337</v>
      </c>
      <c r="B3113" t="s">
        <v>503</v>
      </c>
      <c r="F3113" t="s">
        <v>9658</v>
      </c>
      <c r="G3113" t="s">
        <v>768</v>
      </c>
    </row>
    <row r="3114" spans="1:7" hidden="1" x14ac:dyDescent="0.25">
      <c r="A3114" t="s">
        <v>9291</v>
      </c>
      <c r="B3114" t="s">
        <v>1570</v>
      </c>
      <c r="F3114" t="s">
        <v>9661</v>
      </c>
      <c r="G3114" t="s">
        <v>768</v>
      </c>
    </row>
    <row r="3115" spans="1:7" hidden="1" x14ac:dyDescent="0.25">
      <c r="A3115" t="s">
        <v>9291</v>
      </c>
      <c r="B3115" t="s">
        <v>1570</v>
      </c>
      <c r="F3115" t="s">
        <v>9664</v>
      </c>
      <c r="G3115" t="s">
        <v>768</v>
      </c>
    </row>
    <row r="3116" spans="1:7" hidden="1" x14ac:dyDescent="0.25">
      <c r="A3116" t="s">
        <v>1987</v>
      </c>
      <c r="B3116" t="s">
        <v>768</v>
      </c>
      <c r="F3116" t="s">
        <v>9667</v>
      </c>
      <c r="G3116" t="s">
        <v>768</v>
      </c>
    </row>
    <row r="3117" spans="1:7" hidden="1" x14ac:dyDescent="0.25">
      <c r="A3117" t="s">
        <v>1987</v>
      </c>
      <c r="B3117" t="s">
        <v>768</v>
      </c>
      <c r="F3117" t="s">
        <v>9670</v>
      </c>
      <c r="G3117" t="s">
        <v>768</v>
      </c>
    </row>
    <row r="3118" spans="1:7" hidden="1" x14ac:dyDescent="0.25">
      <c r="A3118" t="s">
        <v>9338</v>
      </c>
      <c r="B3118" t="s">
        <v>1267</v>
      </c>
      <c r="F3118" t="s">
        <v>9673</v>
      </c>
      <c r="G3118" t="s">
        <v>1072</v>
      </c>
    </row>
    <row r="3119" spans="1:7" hidden="1" x14ac:dyDescent="0.25">
      <c r="A3119" t="s">
        <v>9338</v>
      </c>
      <c r="B3119" t="s">
        <v>1267</v>
      </c>
      <c r="F3119" t="s">
        <v>9676</v>
      </c>
      <c r="G3119" t="s">
        <v>1072</v>
      </c>
    </row>
    <row r="3120" spans="1:7" hidden="1" x14ac:dyDescent="0.25">
      <c r="A3120" t="s">
        <v>4</v>
      </c>
      <c r="B3120" t="s">
        <v>9</v>
      </c>
      <c r="F3120" t="s">
        <v>9679</v>
      </c>
      <c r="G3120" t="s">
        <v>1072</v>
      </c>
    </row>
    <row r="3121" spans="1:7" hidden="1" x14ac:dyDescent="0.25">
      <c r="A3121" t="s">
        <v>4</v>
      </c>
      <c r="B3121" t="s">
        <v>5408</v>
      </c>
      <c r="F3121" t="s">
        <v>9682</v>
      </c>
      <c r="G3121" t="s">
        <v>1072</v>
      </c>
    </row>
    <row r="3122" spans="1:7" hidden="1" x14ac:dyDescent="0.25">
      <c r="A3122" t="s">
        <v>5407</v>
      </c>
      <c r="B3122" t="s">
        <v>5411</v>
      </c>
      <c r="C3122" t="s">
        <v>9088</v>
      </c>
      <c r="D3122">
        <v>1</v>
      </c>
      <c r="F3122" t="s">
        <v>9685</v>
      </c>
      <c r="G3122" t="s">
        <v>1072</v>
      </c>
    </row>
    <row r="3123" spans="1:7" hidden="1" x14ac:dyDescent="0.25">
      <c r="A3123" t="s">
        <v>5407</v>
      </c>
      <c r="B3123" t="s">
        <v>5411</v>
      </c>
      <c r="C3123" t="s">
        <v>9088</v>
      </c>
      <c r="D3123">
        <v>2</v>
      </c>
      <c r="F3123" t="s">
        <v>9688</v>
      </c>
      <c r="G3123" t="s">
        <v>1072</v>
      </c>
    </row>
    <row r="3124" spans="1:7" hidden="1" x14ac:dyDescent="0.25">
      <c r="A3124" t="s">
        <v>5407</v>
      </c>
      <c r="B3124" t="s">
        <v>5411</v>
      </c>
      <c r="C3124" t="s">
        <v>9088</v>
      </c>
      <c r="D3124">
        <v>1</v>
      </c>
      <c r="F3124" t="s">
        <v>9691</v>
      </c>
      <c r="G3124" t="s">
        <v>1072</v>
      </c>
    </row>
    <row r="3125" spans="1:7" hidden="1" x14ac:dyDescent="0.25">
      <c r="A3125" t="s">
        <v>4</v>
      </c>
      <c r="B3125" t="s">
        <v>5408</v>
      </c>
      <c r="F3125" t="s">
        <v>9694</v>
      </c>
      <c r="G3125" t="s">
        <v>1072</v>
      </c>
    </row>
    <row r="3126" spans="1:7" hidden="1" x14ac:dyDescent="0.25">
      <c r="A3126" t="s">
        <v>4</v>
      </c>
      <c r="B3126" t="s">
        <v>5408</v>
      </c>
      <c r="F3126" t="s">
        <v>9697</v>
      </c>
      <c r="G3126" t="s">
        <v>1072</v>
      </c>
    </row>
    <row r="3127" spans="1:7" hidden="1" x14ac:dyDescent="0.25">
      <c r="A3127" t="s">
        <v>4</v>
      </c>
      <c r="B3127" t="s">
        <v>86</v>
      </c>
      <c r="E3127" t="s">
        <v>5410</v>
      </c>
      <c r="F3127" t="s">
        <v>9700</v>
      </c>
      <c r="G3127" t="s">
        <v>1072</v>
      </c>
    </row>
    <row r="3128" spans="1:7" hidden="1" x14ac:dyDescent="0.25">
      <c r="A3128" t="s">
        <v>1967</v>
      </c>
      <c r="B3128" t="s">
        <v>8</v>
      </c>
      <c r="F3128" t="s">
        <v>9703</v>
      </c>
      <c r="G3128" s="1" t="s">
        <v>1566</v>
      </c>
    </row>
    <row r="3129" spans="1:7" hidden="1" x14ac:dyDescent="0.25">
      <c r="A3129" t="s">
        <v>505</v>
      </c>
      <c r="B3129" t="s">
        <v>1570</v>
      </c>
      <c r="C3129" t="s">
        <v>58</v>
      </c>
      <c r="F3129" t="s">
        <v>9706</v>
      </c>
      <c r="G3129" s="1" t="s">
        <v>1566</v>
      </c>
    </row>
    <row r="3130" spans="1:7" hidden="1" x14ac:dyDescent="0.25">
      <c r="A3130" t="s">
        <v>4164</v>
      </c>
      <c r="B3130" t="s">
        <v>86</v>
      </c>
      <c r="C3130" t="s">
        <v>9088</v>
      </c>
      <c r="F3130" t="s">
        <v>9709</v>
      </c>
      <c r="G3130" s="1" t="s">
        <v>1566</v>
      </c>
    </row>
    <row r="3131" spans="1:7" hidden="1" x14ac:dyDescent="0.25">
      <c r="A3131" t="s">
        <v>4164</v>
      </c>
      <c r="B3131" t="s">
        <v>86</v>
      </c>
      <c r="C3131" t="s">
        <v>9088</v>
      </c>
      <c r="F3131" t="s">
        <v>9712</v>
      </c>
      <c r="G3131" s="1" t="s">
        <v>1566</v>
      </c>
    </row>
    <row r="3132" spans="1:7" hidden="1" x14ac:dyDescent="0.25">
      <c r="A3132" t="s">
        <v>4164</v>
      </c>
      <c r="B3132" t="s">
        <v>86</v>
      </c>
      <c r="C3132" t="s">
        <v>9088</v>
      </c>
      <c r="F3132" t="s">
        <v>9715</v>
      </c>
      <c r="G3132" s="1" t="s">
        <v>1566</v>
      </c>
    </row>
    <row r="3133" spans="1:7" hidden="1" x14ac:dyDescent="0.25">
      <c r="A3133" t="s">
        <v>1967</v>
      </c>
      <c r="B3133" t="s">
        <v>8</v>
      </c>
      <c r="F3133" t="s">
        <v>9718</v>
      </c>
      <c r="G3133" t="s">
        <v>1780</v>
      </c>
    </row>
    <row r="3134" spans="1:7" hidden="1" x14ac:dyDescent="0.25">
      <c r="A3134" t="s">
        <v>7085</v>
      </c>
      <c r="B3134" t="s">
        <v>5411</v>
      </c>
      <c r="F3134" t="s">
        <v>9721</v>
      </c>
      <c r="G3134" t="s">
        <v>1780</v>
      </c>
    </row>
    <row r="3135" spans="1:7" hidden="1" x14ac:dyDescent="0.25">
      <c r="A3135" t="s">
        <v>7085</v>
      </c>
      <c r="B3135" t="s">
        <v>5411</v>
      </c>
      <c r="E3135" t="s">
        <v>2891</v>
      </c>
      <c r="F3135" t="s">
        <v>9724</v>
      </c>
      <c r="G3135" t="s">
        <v>1780</v>
      </c>
    </row>
    <row r="3136" spans="1:7" hidden="1" x14ac:dyDescent="0.25">
      <c r="A3136" t="s">
        <v>7085</v>
      </c>
      <c r="B3136" t="s">
        <v>5411</v>
      </c>
      <c r="C3136" t="s">
        <v>9088</v>
      </c>
      <c r="F3136" t="s">
        <v>9727</v>
      </c>
      <c r="G3136" t="s">
        <v>1780</v>
      </c>
    </row>
    <row r="3137" spans="1:7" hidden="1" x14ac:dyDescent="0.25">
      <c r="A3137" t="s">
        <v>9754</v>
      </c>
      <c r="B3137" t="s">
        <v>9087</v>
      </c>
      <c r="F3137" t="s">
        <v>9730</v>
      </c>
      <c r="G3137" t="s">
        <v>1897</v>
      </c>
    </row>
    <row r="3138" spans="1:7" hidden="1" x14ac:dyDescent="0.25">
      <c r="A3138" t="s">
        <v>9754</v>
      </c>
      <c r="B3138" t="s">
        <v>9087</v>
      </c>
      <c r="E3138" t="s">
        <v>2891</v>
      </c>
      <c r="F3138" t="s">
        <v>9733</v>
      </c>
      <c r="G3138" t="s">
        <v>1897</v>
      </c>
    </row>
    <row r="3139" spans="1:7" hidden="1" x14ac:dyDescent="0.25">
      <c r="A3139" t="s">
        <v>9754</v>
      </c>
      <c r="B3139" t="s">
        <v>9087</v>
      </c>
      <c r="E3139" t="s">
        <v>2891</v>
      </c>
      <c r="F3139" t="s">
        <v>9736</v>
      </c>
      <c r="G3139" t="s">
        <v>1897</v>
      </c>
    </row>
    <row r="3140" spans="1:7" hidden="1" x14ac:dyDescent="0.25">
      <c r="A3140" t="s">
        <v>9792</v>
      </c>
      <c r="B3140" t="s">
        <v>4188</v>
      </c>
      <c r="E3140" t="s">
        <v>2891</v>
      </c>
      <c r="F3140" t="s">
        <v>9739</v>
      </c>
      <c r="G3140" t="s">
        <v>1897</v>
      </c>
    </row>
    <row r="3141" spans="1:7" hidden="1" x14ac:dyDescent="0.25">
      <c r="A3141" t="s">
        <v>9754</v>
      </c>
      <c r="B3141" t="s">
        <v>9087</v>
      </c>
      <c r="E3141" t="s">
        <v>2891</v>
      </c>
      <c r="F3141" t="s">
        <v>9742</v>
      </c>
      <c r="G3141" t="s">
        <v>1897</v>
      </c>
    </row>
    <row r="3142" spans="1:7" hidden="1" x14ac:dyDescent="0.25">
      <c r="A3142" t="s">
        <v>4</v>
      </c>
      <c r="B3142" t="s">
        <v>8</v>
      </c>
      <c r="F3142" t="s">
        <v>9745</v>
      </c>
      <c r="G3142" t="s">
        <v>1897</v>
      </c>
    </row>
    <row r="3143" spans="1:7" hidden="1" x14ac:dyDescent="0.25">
      <c r="A3143" t="s">
        <v>1967</v>
      </c>
      <c r="B3143" t="s">
        <v>8</v>
      </c>
      <c r="F3143" t="s">
        <v>9748</v>
      </c>
      <c r="G3143" t="s">
        <v>1960</v>
      </c>
    </row>
    <row r="3144" spans="1:7" hidden="1" x14ac:dyDescent="0.25">
      <c r="A3144" t="s">
        <v>1967</v>
      </c>
      <c r="B3144" t="s">
        <v>8</v>
      </c>
      <c r="F3144" t="s">
        <v>9751</v>
      </c>
      <c r="G3144" t="s">
        <v>1960</v>
      </c>
    </row>
    <row r="3145" spans="1:7" hidden="1" x14ac:dyDescent="0.25">
      <c r="A3145" t="s">
        <v>1967</v>
      </c>
      <c r="F3145" t="s">
        <v>9805</v>
      </c>
      <c r="G3145" t="s">
        <v>1074</v>
      </c>
    </row>
    <row r="3146" spans="1:7" hidden="1" x14ac:dyDescent="0.25">
      <c r="A3146" t="s">
        <v>91</v>
      </c>
      <c r="B3146" t="s">
        <v>4134</v>
      </c>
      <c r="C3146" t="s">
        <v>5010</v>
      </c>
      <c r="F3146" t="s">
        <v>9808</v>
      </c>
      <c r="G3146" t="s">
        <v>1074</v>
      </c>
    </row>
    <row r="3147" spans="1:7" hidden="1" x14ac:dyDescent="0.25">
      <c r="A3147" t="s">
        <v>62</v>
      </c>
      <c r="B3147" t="s">
        <v>4134</v>
      </c>
      <c r="C3147" t="s">
        <v>5010</v>
      </c>
      <c r="F3147" t="s">
        <v>9811</v>
      </c>
      <c r="G3147" t="s">
        <v>1074</v>
      </c>
    </row>
    <row r="3148" spans="1:7" hidden="1" x14ac:dyDescent="0.25">
      <c r="A3148" t="s">
        <v>1569</v>
      </c>
      <c r="B3148" t="s">
        <v>10015</v>
      </c>
      <c r="E3148" t="s">
        <v>5405</v>
      </c>
      <c r="F3148" t="s">
        <v>9793</v>
      </c>
      <c r="G3148" t="s">
        <v>1075</v>
      </c>
    </row>
    <row r="3149" spans="1:7" hidden="1" x14ac:dyDescent="0.25">
      <c r="A3149" t="s">
        <v>622</v>
      </c>
      <c r="B3149" t="s">
        <v>10015</v>
      </c>
      <c r="F3149" t="s">
        <v>9796</v>
      </c>
      <c r="G3149" t="s">
        <v>1075</v>
      </c>
    </row>
    <row r="3150" spans="1:7" hidden="1" x14ac:dyDescent="0.25">
      <c r="A3150" t="s">
        <v>1569</v>
      </c>
      <c r="B3150" t="s">
        <v>4134</v>
      </c>
      <c r="E3150" t="s">
        <v>5405</v>
      </c>
      <c r="F3150" t="s">
        <v>9799</v>
      </c>
      <c r="G3150" t="s">
        <v>1075</v>
      </c>
    </row>
    <row r="3151" spans="1:7" hidden="1" x14ac:dyDescent="0.25">
      <c r="A3151" t="s">
        <v>622</v>
      </c>
      <c r="B3151" t="s">
        <v>4134</v>
      </c>
      <c r="F3151" t="s">
        <v>9802</v>
      </c>
      <c r="G3151" t="s">
        <v>1075</v>
      </c>
    </row>
    <row r="3152" spans="1:7" x14ac:dyDescent="0.25">
      <c r="A3152" t="s">
        <v>4</v>
      </c>
      <c r="B3152" t="s">
        <v>8691</v>
      </c>
      <c r="F3152" t="s">
        <v>9829</v>
      </c>
      <c r="G3152" t="s">
        <v>13425</v>
      </c>
    </row>
    <row r="3153" spans="1:7" x14ac:dyDescent="0.25">
      <c r="A3153" t="s">
        <v>4</v>
      </c>
      <c r="B3153" t="s">
        <v>8691</v>
      </c>
      <c r="F3153" t="s">
        <v>9831</v>
      </c>
      <c r="G3153" t="s">
        <v>13425</v>
      </c>
    </row>
    <row r="3154" spans="1:7" x14ac:dyDescent="0.25">
      <c r="A3154" t="s">
        <v>4</v>
      </c>
      <c r="B3154" t="s">
        <v>8691</v>
      </c>
      <c r="F3154" t="s">
        <v>9833</v>
      </c>
      <c r="G3154" t="s">
        <v>13425</v>
      </c>
    </row>
    <row r="3155" spans="1:7" hidden="1" x14ac:dyDescent="0.25">
      <c r="A3155" t="s">
        <v>4</v>
      </c>
      <c r="B3155" t="s">
        <v>8691</v>
      </c>
      <c r="F3155" t="s">
        <v>9997</v>
      </c>
      <c r="G3155" t="s">
        <v>1076</v>
      </c>
    </row>
    <row r="3156" spans="1:7" hidden="1" x14ac:dyDescent="0.25">
      <c r="A3156" t="s">
        <v>4</v>
      </c>
      <c r="B3156" t="s">
        <v>8691</v>
      </c>
      <c r="F3156" t="s">
        <v>9835</v>
      </c>
      <c r="G3156" t="s">
        <v>1076</v>
      </c>
    </row>
    <row r="3157" spans="1:7" hidden="1" x14ac:dyDescent="0.25">
      <c r="A3157" t="s">
        <v>4</v>
      </c>
      <c r="B3157" t="s">
        <v>8691</v>
      </c>
      <c r="F3157" t="s">
        <v>9838</v>
      </c>
      <c r="G3157" t="s">
        <v>1076</v>
      </c>
    </row>
    <row r="3158" spans="1:7" hidden="1" x14ac:dyDescent="0.25">
      <c r="A3158" t="s">
        <v>4</v>
      </c>
      <c r="B3158" t="s">
        <v>8691</v>
      </c>
      <c r="F3158" t="s">
        <v>9841</v>
      </c>
      <c r="G3158" t="s">
        <v>1076</v>
      </c>
    </row>
    <row r="3159" spans="1:7" hidden="1" x14ac:dyDescent="0.25">
      <c r="A3159" t="s">
        <v>4</v>
      </c>
      <c r="B3159" t="s">
        <v>9754</v>
      </c>
      <c r="F3159" t="s">
        <v>9814</v>
      </c>
      <c r="G3159" t="s">
        <v>1077</v>
      </c>
    </row>
    <row r="3160" spans="1:7" hidden="1" x14ac:dyDescent="0.25">
      <c r="A3160" t="s">
        <v>4</v>
      </c>
      <c r="B3160" t="s">
        <v>9754</v>
      </c>
      <c r="F3160" t="s">
        <v>9817</v>
      </c>
      <c r="G3160" t="s">
        <v>1077</v>
      </c>
    </row>
    <row r="3161" spans="1:7" hidden="1" x14ac:dyDescent="0.25">
      <c r="A3161" t="s">
        <v>4</v>
      </c>
      <c r="B3161" t="s">
        <v>9754</v>
      </c>
      <c r="F3161" t="s">
        <v>9820</v>
      </c>
      <c r="G3161" t="s">
        <v>1077</v>
      </c>
    </row>
    <row r="3162" spans="1:7" hidden="1" x14ac:dyDescent="0.25">
      <c r="A3162" t="s">
        <v>4</v>
      </c>
      <c r="B3162" t="s">
        <v>9754</v>
      </c>
      <c r="F3162" t="s">
        <v>9823</v>
      </c>
      <c r="G3162" t="s">
        <v>1077</v>
      </c>
    </row>
    <row r="3163" spans="1:7" hidden="1" x14ac:dyDescent="0.25">
      <c r="A3163" t="s">
        <v>4</v>
      </c>
      <c r="B3163" t="s">
        <v>8</v>
      </c>
      <c r="F3163" t="s">
        <v>9826</v>
      </c>
      <c r="G3163" t="s">
        <v>1077</v>
      </c>
    </row>
    <row r="3164" spans="1:7" hidden="1" x14ac:dyDescent="0.25">
      <c r="A3164" t="s">
        <v>1967</v>
      </c>
      <c r="B3164" t="s">
        <v>8</v>
      </c>
      <c r="F3164" t="s">
        <v>9844</v>
      </c>
      <c r="G3164" t="s">
        <v>1078</v>
      </c>
    </row>
    <row r="3165" spans="1:7" hidden="1" x14ac:dyDescent="0.25">
      <c r="A3165" t="s">
        <v>4</v>
      </c>
      <c r="B3165" t="s">
        <v>8</v>
      </c>
      <c r="F3165" t="s">
        <v>9847</v>
      </c>
      <c r="G3165" t="s">
        <v>1078</v>
      </c>
    </row>
    <row r="3166" spans="1:7" hidden="1" x14ac:dyDescent="0.25">
      <c r="A3166" t="s">
        <v>4</v>
      </c>
      <c r="B3166" t="s">
        <v>8</v>
      </c>
      <c r="E3166" t="s">
        <v>2891</v>
      </c>
      <c r="F3166" t="s">
        <v>9850</v>
      </c>
      <c r="G3166" t="s">
        <v>1078</v>
      </c>
    </row>
    <row r="3167" spans="1:7" hidden="1" x14ac:dyDescent="0.25">
      <c r="A3167" t="s">
        <v>4</v>
      </c>
      <c r="B3167" t="s">
        <v>9791</v>
      </c>
      <c r="E3167" t="s">
        <v>2891</v>
      </c>
      <c r="F3167" t="s">
        <v>10000</v>
      </c>
      <c r="G3167" t="s">
        <v>1079</v>
      </c>
    </row>
    <row r="3168" spans="1:7" hidden="1" x14ac:dyDescent="0.25">
      <c r="A3168" t="s">
        <v>4</v>
      </c>
      <c r="B3168" t="s">
        <v>9791</v>
      </c>
      <c r="E3168" t="s">
        <v>2891</v>
      </c>
      <c r="F3168" t="s">
        <v>10003</v>
      </c>
      <c r="G3168" t="s">
        <v>1079</v>
      </c>
    </row>
    <row r="3169" spans="1:7" hidden="1" x14ac:dyDescent="0.25">
      <c r="A3169" t="s">
        <v>4</v>
      </c>
      <c r="B3169" t="s">
        <v>9791</v>
      </c>
      <c r="E3169" t="s">
        <v>2891</v>
      </c>
      <c r="F3169" t="s">
        <v>10006</v>
      </c>
      <c r="G3169" t="s">
        <v>1079</v>
      </c>
    </row>
    <row r="3170" spans="1:7" hidden="1" x14ac:dyDescent="0.25">
      <c r="A3170" t="s">
        <v>4</v>
      </c>
      <c r="B3170" t="s">
        <v>9791</v>
      </c>
      <c r="E3170" t="s">
        <v>2891</v>
      </c>
      <c r="F3170" t="s">
        <v>10009</v>
      </c>
      <c r="G3170" t="s">
        <v>1079</v>
      </c>
    </row>
    <row r="3171" spans="1:7" hidden="1" x14ac:dyDescent="0.25">
      <c r="A3171" t="s">
        <v>1967</v>
      </c>
      <c r="B3171" t="s">
        <v>8</v>
      </c>
      <c r="F3171" t="s">
        <v>10012</v>
      </c>
      <c r="G3171" t="s">
        <v>1079</v>
      </c>
    </row>
    <row r="3172" spans="1:7" hidden="1" x14ac:dyDescent="0.25">
      <c r="A3172" t="s">
        <v>1987</v>
      </c>
      <c r="B3172" t="s">
        <v>768</v>
      </c>
      <c r="F3172" t="s">
        <v>9853</v>
      </c>
      <c r="G3172" t="s">
        <v>768</v>
      </c>
    </row>
    <row r="3173" spans="1:7" hidden="1" x14ac:dyDescent="0.25">
      <c r="A3173" t="s">
        <v>1987</v>
      </c>
      <c r="B3173" t="s">
        <v>768</v>
      </c>
      <c r="F3173" t="s">
        <v>9856</v>
      </c>
      <c r="G3173" t="s">
        <v>768</v>
      </c>
    </row>
    <row r="3174" spans="1:7" hidden="1" x14ac:dyDescent="0.25">
      <c r="A3174" t="s">
        <v>1987</v>
      </c>
      <c r="B3174" t="s">
        <v>768</v>
      </c>
      <c r="F3174" t="s">
        <v>9859</v>
      </c>
      <c r="G3174" t="s">
        <v>768</v>
      </c>
    </row>
    <row r="3175" spans="1:7" hidden="1" x14ac:dyDescent="0.25">
      <c r="A3175" t="s">
        <v>9291</v>
      </c>
      <c r="B3175" t="s">
        <v>1570</v>
      </c>
      <c r="F3175" t="s">
        <v>9862</v>
      </c>
      <c r="G3175" t="s">
        <v>768</v>
      </c>
    </row>
    <row r="3176" spans="1:7" hidden="1" x14ac:dyDescent="0.25">
      <c r="A3176" t="s">
        <v>9291</v>
      </c>
      <c r="B3176" t="s">
        <v>1570</v>
      </c>
      <c r="F3176" t="s">
        <v>9865</v>
      </c>
      <c r="G3176" t="s">
        <v>768</v>
      </c>
    </row>
    <row r="3177" spans="1:7" hidden="1" x14ac:dyDescent="0.25">
      <c r="A3177" t="s">
        <v>9291</v>
      </c>
      <c r="B3177" t="s">
        <v>1570</v>
      </c>
      <c r="F3177" t="s">
        <v>9868</v>
      </c>
      <c r="G3177" t="s">
        <v>768</v>
      </c>
    </row>
    <row r="3178" spans="1:7" hidden="1" x14ac:dyDescent="0.25">
      <c r="A3178" t="s">
        <v>9291</v>
      </c>
      <c r="B3178" t="s">
        <v>1570</v>
      </c>
      <c r="F3178" t="s">
        <v>9871</v>
      </c>
      <c r="G3178" t="s">
        <v>768</v>
      </c>
    </row>
    <row r="3179" spans="1:7" hidden="1" x14ac:dyDescent="0.25">
      <c r="A3179" t="s">
        <v>9291</v>
      </c>
      <c r="B3179" t="s">
        <v>1570</v>
      </c>
      <c r="F3179" t="s">
        <v>9874</v>
      </c>
      <c r="G3179" t="s">
        <v>768</v>
      </c>
    </row>
    <row r="3180" spans="1:7" hidden="1" x14ac:dyDescent="0.25">
      <c r="A3180" t="s">
        <v>9291</v>
      </c>
      <c r="B3180" t="s">
        <v>1570</v>
      </c>
      <c r="F3180" t="s">
        <v>9877</v>
      </c>
      <c r="G3180" t="s">
        <v>768</v>
      </c>
    </row>
    <row r="3181" spans="1:7" hidden="1" x14ac:dyDescent="0.25">
      <c r="A3181" t="s">
        <v>1987</v>
      </c>
      <c r="B3181" t="s">
        <v>768</v>
      </c>
      <c r="F3181" t="s">
        <v>9880</v>
      </c>
      <c r="G3181" t="s">
        <v>768</v>
      </c>
    </row>
    <row r="3182" spans="1:7" hidden="1" x14ac:dyDescent="0.25">
      <c r="A3182" t="s">
        <v>9337</v>
      </c>
      <c r="B3182" t="s">
        <v>503</v>
      </c>
      <c r="F3182" t="s">
        <v>9883</v>
      </c>
      <c r="G3182" t="s">
        <v>768</v>
      </c>
    </row>
    <row r="3183" spans="1:7" hidden="1" x14ac:dyDescent="0.25">
      <c r="A3183" t="s">
        <v>4</v>
      </c>
      <c r="B3183" t="s">
        <v>9</v>
      </c>
      <c r="F3183" t="s">
        <v>9886</v>
      </c>
      <c r="G3183" t="s">
        <v>768</v>
      </c>
    </row>
    <row r="3184" spans="1:7" hidden="1" x14ac:dyDescent="0.25">
      <c r="A3184" t="s">
        <v>1987</v>
      </c>
      <c r="B3184" t="s">
        <v>768</v>
      </c>
      <c r="F3184" t="s">
        <v>9889</v>
      </c>
      <c r="G3184" t="s">
        <v>768</v>
      </c>
    </row>
    <row r="3185" spans="1:7" hidden="1" x14ac:dyDescent="0.25">
      <c r="A3185" t="s">
        <v>9086</v>
      </c>
      <c r="B3185" t="s">
        <v>5071</v>
      </c>
      <c r="F3185" t="s">
        <v>9892</v>
      </c>
      <c r="G3185" t="s">
        <v>1072</v>
      </c>
    </row>
    <row r="3186" spans="1:7" hidden="1" x14ac:dyDescent="0.25">
      <c r="A3186" t="s">
        <v>4</v>
      </c>
      <c r="B3186" t="s">
        <v>7615</v>
      </c>
      <c r="F3186" t="s">
        <v>9895</v>
      </c>
      <c r="G3186" t="s">
        <v>1072</v>
      </c>
    </row>
    <row r="3187" spans="1:7" hidden="1" x14ac:dyDescent="0.25">
      <c r="A3187" t="s">
        <v>5407</v>
      </c>
      <c r="B3187" t="s">
        <v>5411</v>
      </c>
      <c r="C3187" t="s">
        <v>9088</v>
      </c>
      <c r="D3187">
        <v>1</v>
      </c>
      <c r="F3187" t="s">
        <v>9898</v>
      </c>
      <c r="G3187" t="s">
        <v>1072</v>
      </c>
    </row>
    <row r="3188" spans="1:7" hidden="1" x14ac:dyDescent="0.25">
      <c r="A3188" t="s">
        <v>5407</v>
      </c>
      <c r="B3188" t="s">
        <v>5411</v>
      </c>
      <c r="C3188" t="s">
        <v>9088</v>
      </c>
      <c r="D3188">
        <v>1</v>
      </c>
      <c r="F3188" t="s">
        <v>9901</v>
      </c>
      <c r="G3188" t="s">
        <v>1072</v>
      </c>
    </row>
    <row r="3189" spans="1:7" hidden="1" x14ac:dyDescent="0.25">
      <c r="A3189" t="s">
        <v>9572</v>
      </c>
      <c r="B3189" t="s">
        <v>5071</v>
      </c>
      <c r="F3189" t="s">
        <v>9904</v>
      </c>
      <c r="G3189" t="s">
        <v>1072</v>
      </c>
    </row>
    <row r="3190" spans="1:7" hidden="1" x14ac:dyDescent="0.25">
      <c r="A3190" t="s">
        <v>5407</v>
      </c>
      <c r="B3190" t="s">
        <v>5411</v>
      </c>
      <c r="C3190" t="s">
        <v>9088</v>
      </c>
      <c r="D3190">
        <v>2</v>
      </c>
      <c r="F3190" t="s">
        <v>9907</v>
      </c>
      <c r="G3190" t="s">
        <v>1072</v>
      </c>
    </row>
    <row r="3191" spans="1:7" hidden="1" x14ac:dyDescent="0.25">
      <c r="A3191" t="s">
        <v>158</v>
      </c>
      <c r="B3191" t="s">
        <v>5411</v>
      </c>
      <c r="C3191" t="s">
        <v>500</v>
      </c>
      <c r="D3191">
        <v>1</v>
      </c>
      <c r="F3191" t="s">
        <v>9910</v>
      </c>
      <c r="G3191" t="s">
        <v>1072</v>
      </c>
    </row>
    <row r="3192" spans="1:7" hidden="1" x14ac:dyDescent="0.25">
      <c r="A3192" t="s">
        <v>622</v>
      </c>
      <c r="B3192" t="s">
        <v>5411</v>
      </c>
      <c r="F3192" t="s">
        <v>9913</v>
      </c>
      <c r="G3192" t="s">
        <v>1072</v>
      </c>
    </row>
    <row r="3193" spans="1:7" hidden="1" x14ac:dyDescent="0.25">
      <c r="A3193" t="s">
        <v>4</v>
      </c>
      <c r="B3193" t="s">
        <v>8712</v>
      </c>
      <c r="F3193" t="s">
        <v>9916</v>
      </c>
      <c r="G3193" t="s">
        <v>1072</v>
      </c>
    </row>
    <row r="3194" spans="1:7" hidden="1" x14ac:dyDescent="0.25">
      <c r="A3194" t="s">
        <v>1569</v>
      </c>
      <c r="B3194" t="s">
        <v>10015</v>
      </c>
      <c r="F3194" t="s">
        <v>9919</v>
      </c>
      <c r="G3194" s="1" t="s">
        <v>1566</v>
      </c>
    </row>
    <row r="3195" spans="1:7" hidden="1" x14ac:dyDescent="0.25">
      <c r="A3195" t="s">
        <v>622</v>
      </c>
      <c r="B3195" t="s">
        <v>10015</v>
      </c>
      <c r="F3195" t="s">
        <v>9922</v>
      </c>
      <c r="G3195" s="1" t="s">
        <v>1566</v>
      </c>
    </row>
    <row r="3196" spans="1:7" hidden="1" x14ac:dyDescent="0.25">
      <c r="A3196" t="s">
        <v>159</v>
      </c>
      <c r="B3196" t="s">
        <v>10015</v>
      </c>
      <c r="F3196" t="s">
        <v>9925</v>
      </c>
      <c r="G3196" s="1" t="s">
        <v>1566</v>
      </c>
    </row>
    <row r="3197" spans="1:7" hidden="1" x14ac:dyDescent="0.25">
      <c r="A3197" t="s">
        <v>505</v>
      </c>
      <c r="B3197" t="s">
        <v>1570</v>
      </c>
      <c r="C3197" t="s">
        <v>58</v>
      </c>
      <c r="F3197" t="s">
        <v>9928</v>
      </c>
      <c r="G3197" s="1" t="s">
        <v>1566</v>
      </c>
    </row>
    <row r="3198" spans="1:7" hidden="1" x14ac:dyDescent="0.25">
      <c r="A3198" t="s">
        <v>10016</v>
      </c>
      <c r="B3198" t="s">
        <v>10015</v>
      </c>
      <c r="F3198" t="s">
        <v>9931</v>
      </c>
      <c r="G3198" s="1" t="s">
        <v>1566</v>
      </c>
    </row>
    <row r="3199" spans="1:7" hidden="1" x14ac:dyDescent="0.25">
      <c r="A3199" t="s">
        <v>505</v>
      </c>
      <c r="B3199" t="s">
        <v>1570</v>
      </c>
      <c r="C3199" t="s">
        <v>58</v>
      </c>
      <c r="F3199" t="s">
        <v>9934</v>
      </c>
      <c r="G3199" s="1" t="s">
        <v>1566</v>
      </c>
    </row>
    <row r="3200" spans="1:7" hidden="1" x14ac:dyDescent="0.25">
      <c r="A3200" t="s">
        <v>4164</v>
      </c>
      <c r="B3200" t="s">
        <v>86</v>
      </c>
      <c r="C3200" t="s">
        <v>9088</v>
      </c>
      <c r="F3200" t="s">
        <v>9937</v>
      </c>
      <c r="G3200" s="1" t="s">
        <v>1566</v>
      </c>
    </row>
    <row r="3201" spans="1:7" hidden="1" x14ac:dyDescent="0.25">
      <c r="A3201" t="s">
        <v>159</v>
      </c>
      <c r="B3201" t="s">
        <v>4134</v>
      </c>
      <c r="F3201" t="s">
        <v>9940</v>
      </c>
      <c r="G3201" s="1" t="s">
        <v>1566</v>
      </c>
    </row>
    <row r="3202" spans="1:7" hidden="1" x14ac:dyDescent="0.25">
      <c r="A3202" t="s">
        <v>505</v>
      </c>
      <c r="B3202" t="s">
        <v>1570</v>
      </c>
      <c r="C3202" t="s">
        <v>58</v>
      </c>
      <c r="F3202" t="s">
        <v>9943</v>
      </c>
      <c r="G3202" s="1" t="s">
        <v>1566</v>
      </c>
    </row>
    <row r="3203" spans="1:7" hidden="1" x14ac:dyDescent="0.25">
      <c r="A3203" t="s">
        <v>10017</v>
      </c>
      <c r="B3203" t="s">
        <v>4134</v>
      </c>
      <c r="F3203" t="s">
        <v>9946</v>
      </c>
      <c r="G3203" s="1" t="s">
        <v>1566</v>
      </c>
    </row>
    <row r="3204" spans="1:7" hidden="1" x14ac:dyDescent="0.25">
      <c r="A3204" t="s">
        <v>505</v>
      </c>
      <c r="B3204" t="s">
        <v>1570</v>
      </c>
      <c r="C3204" t="s">
        <v>58</v>
      </c>
      <c r="F3204" t="s">
        <v>9949</v>
      </c>
      <c r="G3204" s="1" t="s">
        <v>1566</v>
      </c>
    </row>
    <row r="3205" spans="1:7" hidden="1" x14ac:dyDescent="0.25">
      <c r="A3205" t="s">
        <v>4164</v>
      </c>
      <c r="B3205" t="s">
        <v>86</v>
      </c>
      <c r="C3205" t="s">
        <v>9088</v>
      </c>
      <c r="E3205" t="s">
        <v>4177</v>
      </c>
      <c r="F3205" t="s">
        <v>9952</v>
      </c>
      <c r="G3205" s="1" t="s">
        <v>1566</v>
      </c>
    </row>
    <row r="3206" spans="1:7" hidden="1" x14ac:dyDescent="0.25">
      <c r="A3206" t="s">
        <v>4164</v>
      </c>
      <c r="B3206" t="s">
        <v>86</v>
      </c>
      <c r="C3206" t="s">
        <v>9088</v>
      </c>
      <c r="E3206" t="s">
        <v>4177</v>
      </c>
      <c r="F3206" t="s">
        <v>9955</v>
      </c>
      <c r="G3206" s="1" t="s">
        <v>1566</v>
      </c>
    </row>
    <row r="3207" spans="1:7" hidden="1" x14ac:dyDescent="0.25">
      <c r="A3207" t="s">
        <v>505</v>
      </c>
      <c r="B3207" t="s">
        <v>1570</v>
      </c>
      <c r="C3207" t="s">
        <v>53</v>
      </c>
      <c r="F3207" t="s">
        <v>9958</v>
      </c>
      <c r="G3207" s="1" t="s">
        <v>1566</v>
      </c>
    </row>
    <row r="3208" spans="1:7" hidden="1" x14ac:dyDescent="0.25">
      <c r="A3208" t="s">
        <v>4</v>
      </c>
      <c r="B3208" t="s">
        <v>8</v>
      </c>
      <c r="F3208" t="s">
        <v>9961</v>
      </c>
      <c r="G3208" t="s">
        <v>1780</v>
      </c>
    </row>
    <row r="3209" spans="1:7" hidden="1" x14ac:dyDescent="0.25">
      <c r="A3209" t="s">
        <v>7085</v>
      </c>
      <c r="B3209" t="s">
        <v>5411</v>
      </c>
      <c r="C3209" t="s">
        <v>9088</v>
      </c>
      <c r="F3209" t="s">
        <v>9964</v>
      </c>
      <c r="G3209" t="s">
        <v>1780</v>
      </c>
    </row>
    <row r="3210" spans="1:7" hidden="1" x14ac:dyDescent="0.25">
      <c r="A3210" t="s">
        <v>623</v>
      </c>
      <c r="B3210" t="s">
        <v>5411</v>
      </c>
      <c r="F3210" t="s">
        <v>9967</v>
      </c>
      <c r="G3210" t="s">
        <v>1780</v>
      </c>
    </row>
    <row r="3211" spans="1:7" hidden="1" x14ac:dyDescent="0.25">
      <c r="A3211" t="s">
        <v>623</v>
      </c>
      <c r="B3211" t="s">
        <v>5411</v>
      </c>
      <c r="F3211" t="s">
        <v>9970</v>
      </c>
      <c r="G3211" t="s">
        <v>1780</v>
      </c>
    </row>
    <row r="3212" spans="1:7" hidden="1" x14ac:dyDescent="0.25">
      <c r="A3212" t="s">
        <v>623</v>
      </c>
      <c r="B3212" t="s">
        <v>5411</v>
      </c>
      <c r="F3212" t="s">
        <v>9973</v>
      </c>
      <c r="G3212" t="s">
        <v>1780</v>
      </c>
    </row>
    <row r="3213" spans="1:7" hidden="1" x14ac:dyDescent="0.25">
      <c r="A3213" t="s">
        <v>623</v>
      </c>
      <c r="B3213" t="s">
        <v>5411</v>
      </c>
      <c r="F3213" t="s">
        <v>9976</v>
      </c>
      <c r="G3213" t="s">
        <v>1780</v>
      </c>
    </row>
    <row r="3214" spans="1:7" hidden="1" x14ac:dyDescent="0.25">
      <c r="A3214" t="s">
        <v>4</v>
      </c>
      <c r="B3214" t="s">
        <v>8</v>
      </c>
      <c r="F3214" t="s">
        <v>9979</v>
      </c>
      <c r="G3214" t="s">
        <v>1897</v>
      </c>
    </row>
    <row r="3215" spans="1:7" hidden="1" x14ac:dyDescent="0.25">
      <c r="A3215" t="s">
        <v>9754</v>
      </c>
      <c r="B3215" t="s">
        <v>9087</v>
      </c>
      <c r="F3215" t="s">
        <v>9982</v>
      </c>
      <c r="G3215" t="s">
        <v>1897</v>
      </c>
    </row>
    <row r="3216" spans="1:7" hidden="1" x14ac:dyDescent="0.25">
      <c r="A3216" t="s">
        <v>9754</v>
      </c>
      <c r="B3216" t="s">
        <v>9087</v>
      </c>
      <c r="F3216" t="s">
        <v>9985</v>
      </c>
      <c r="G3216" t="s">
        <v>1897</v>
      </c>
    </row>
    <row r="3217" spans="1:7" hidden="1" x14ac:dyDescent="0.25">
      <c r="A3217" t="s">
        <v>1967</v>
      </c>
      <c r="B3217" t="s">
        <v>8</v>
      </c>
      <c r="F3217" t="s">
        <v>9988</v>
      </c>
      <c r="G3217" t="s">
        <v>1960</v>
      </c>
    </row>
    <row r="3218" spans="1:7" hidden="1" x14ac:dyDescent="0.25">
      <c r="A3218" t="s">
        <v>7085</v>
      </c>
      <c r="B3218" t="s">
        <v>5411</v>
      </c>
      <c r="C3218" t="s">
        <v>9088</v>
      </c>
      <c r="F3218" t="s">
        <v>9991</v>
      </c>
      <c r="G3218" t="s">
        <v>1960</v>
      </c>
    </row>
    <row r="3219" spans="1:7" hidden="1" x14ac:dyDescent="0.25">
      <c r="A3219" t="s">
        <v>4</v>
      </c>
      <c r="B3219" t="s">
        <v>8</v>
      </c>
      <c r="F3219" t="s">
        <v>9994</v>
      </c>
      <c r="G3219" t="s">
        <v>1960</v>
      </c>
    </row>
    <row r="3220" spans="1:7" hidden="1" x14ac:dyDescent="0.25">
      <c r="A3220" t="s">
        <v>91</v>
      </c>
      <c r="B3220" t="s">
        <v>10039</v>
      </c>
      <c r="C3220" t="s">
        <v>60</v>
      </c>
      <c r="F3220" t="s">
        <v>10033</v>
      </c>
      <c r="G3220" t="s">
        <v>1074</v>
      </c>
    </row>
    <row r="3221" spans="1:7" hidden="1" x14ac:dyDescent="0.25">
      <c r="A3221" t="s">
        <v>62</v>
      </c>
      <c r="B3221" t="s">
        <v>10039</v>
      </c>
      <c r="C3221" t="s">
        <v>51</v>
      </c>
      <c r="F3221" t="s">
        <v>10036</v>
      </c>
      <c r="G3221" t="s">
        <v>1074</v>
      </c>
    </row>
    <row r="3222" spans="1:7" hidden="1" x14ac:dyDescent="0.25">
      <c r="A3222" t="s">
        <v>91</v>
      </c>
      <c r="B3222" t="s">
        <v>10040</v>
      </c>
      <c r="C3222" t="s">
        <v>60</v>
      </c>
      <c r="F3222" t="s">
        <v>10018</v>
      </c>
      <c r="G3222" t="s">
        <v>1074</v>
      </c>
    </row>
    <row r="3223" spans="1:7" hidden="1" x14ac:dyDescent="0.25">
      <c r="A3223" t="s">
        <v>91</v>
      </c>
      <c r="B3223" t="s">
        <v>10041</v>
      </c>
      <c r="F3223" t="s">
        <v>10021</v>
      </c>
      <c r="G3223" t="s">
        <v>1074</v>
      </c>
    </row>
    <row r="3224" spans="1:7" hidden="1" x14ac:dyDescent="0.25">
      <c r="A3224" t="s">
        <v>62</v>
      </c>
      <c r="B3224" t="s">
        <v>10040</v>
      </c>
      <c r="C3224" t="s">
        <v>10042</v>
      </c>
      <c r="D3224">
        <v>1</v>
      </c>
      <c r="F3224" t="s">
        <v>10024</v>
      </c>
      <c r="G3224" t="s">
        <v>1074</v>
      </c>
    </row>
    <row r="3225" spans="1:7" hidden="1" x14ac:dyDescent="0.25">
      <c r="A3225" t="s">
        <v>62</v>
      </c>
      <c r="B3225" t="s">
        <v>10041</v>
      </c>
      <c r="F3225" t="s">
        <v>10027</v>
      </c>
      <c r="G3225" t="s">
        <v>1074</v>
      </c>
    </row>
    <row r="3226" spans="1:7" hidden="1" x14ac:dyDescent="0.25">
      <c r="A3226" t="s">
        <v>62</v>
      </c>
      <c r="B3226" t="s">
        <v>9402</v>
      </c>
      <c r="C3226" t="s">
        <v>58</v>
      </c>
      <c r="E3226" t="s">
        <v>9221</v>
      </c>
      <c r="F3226" t="s">
        <v>10030</v>
      </c>
      <c r="G3226" t="s">
        <v>1074</v>
      </c>
    </row>
    <row r="3227" spans="1:7" hidden="1" x14ac:dyDescent="0.25">
      <c r="A3227" t="s">
        <v>1569</v>
      </c>
      <c r="B3227" t="s">
        <v>10041</v>
      </c>
      <c r="C3227" t="s">
        <v>5010</v>
      </c>
      <c r="F3227" t="s">
        <v>10043</v>
      </c>
      <c r="G3227" t="s">
        <v>1075</v>
      </c>
    </row>
    <row r="3228" spans="1:7" hidden="1" x14ac:dyDescent="0.25">
      <c r="A3228" t="s">
        <v>6092</v>
      </c>
      <c r="B3228" t="s">
        <v>10041</v>
      </c>
      <c r="C3228" t="s">
        <v>5010</v>
      </c>
      <c r="E3228" t="s">
        <v>5405</v>
      </c>
      <c r="F3228" t="s">
        <v>10046</v>
      </c>
      <c r="G3228" t="s">
        <v>1075</v>
      </c>
    </row>
    <row r="3229" spans="1:7" hidden="1" x14ac:dyDescent="0.25">
      <c r="A3229" t="s">
        <v>622</v>
      </c>
      <c r="B3229" t="s">
        <v>10041</v>
      </c>
      <c r="C3229" t="s">
        <v>5010</v>
      </c>
      <c r="E3229" s="7"/>
      <c r="F3229" t="s">
        <v>10049</v>
      </c>
      <c r="G3229" t="s">
        <v>1075</v>
      </c>
    </row>
    <row r="3230" spans="1:7" hidden="1" x14ac:dyDescent="0.25">
      <c r="A3230" t="s">
        <v>262</v>
      </c>
      <c r="B3230" t="s">
        <v>86</v>
      </c>
      <c r="C3230" t="s">
        <v>60</v>
      </c>
      <c r="D3230">
        <v>2</v>
      </c>
      <c r="E3230" t="s">
        <v>10084</v>
      </c>
      <c r="F3230" t="s">
        <v>10054</v>
      </c>
      <c r="G3230" t="s">
        <v>1077</v>
      </c>
    </row>
    <row r="3231" spans="1:7" hidden="1" x14ac:dyDescent="0.25">
      <c r="A3231" t="s">
        <v>262</v>
      </c>
      <c r="B3231" t="s">
        <v>86</v>
      </c>
      <c r="C3231" t="s">
        <v>60</v>
      </c>
      <c r="D3231">
        <v>4</v>
      </c>
      <c r="F3231" t="s">
        <v>10057</v>
      </c>
      <c r="G3231" t="s">
        <v>1077</v>
      </c>
    </row>
    <row r="3232" spans="1:7" hidden="1" x14ac:dyDescent="0.25">
      <c r="A3232" t="s">
        <v>262</v>
      </c>
      <c r="B3232" t="s">
        <v>86</v>
      </c>
      <c r="C3232" t="s">
        <v>60</v>
      </c>
      <c r="D3232">
        <v>3</v>
      </c>
      <c r="F3232" t="s">
        <v>10063</v>
      </c>
      <c r="G3232" t="s">
        <v>1077</v>
      </c>
    </row>
    <row r="3233" spans="1:7" hidden="1" x14ac:dyDescent="0.25">
      <c r="A3233" t="s">
        <v>262</v>
      </c>
      <c r="B3233" t="s">
        <v>86</v>
      </c>
      <c r="C3233" t="s">
        <v>60</v>
      </c>
      <c r="D3233">
        <v>4</v>
      </c>
      <c r="F3233" t="s">
        <v>10066</v>
      </c>
      <c r="G3233" t="s">
        <v>1077</v>
      </c>
    </row>
    <row r="3234" spans="1:7" hidden="1" x14ac:dyDescent="0.25">
      <c r="A3234" t="s">
        <v>262</v>
      </c>
      <c r="B3234" t="s">
        <v>86</v>
      </c>
      <c r="C3234" t="s">
        <v>60</v>
      </c>
      <c r="D3234">
        <v>3</v>
      </c>
      <c r="F3234" t="s">
        <v>10069</v>
      </c>
      <c r="G3234" t="s">
        <v>1077</v>
      </c>
    </row>
    <row r="3235" spans="1:7" hidden="1" x14ac:dyDescent="0.25">
      <c r="A3235" t="s">
        <v>262</v>
      </c>
      <c r="B3235" t="s">
        <v>86</v>
      </c>
      <c r="C3235" t="s">
        <v>60</v>
      </c>
      <c r="E3235" t="s">
        <v>2891</v>
      </c>
      <c r="F3235" t="s">
        <v>10072</v>
      </c>
      <c r="G3235" t="s">
        <v>1077</v>
      </c>
    </row>
    <row r="3236" spans="1:7" hidden="1" x14ac:dyDescent="0.25">
      <c r="A3236" t="s">
        <v>262</v>
      </c>
      <c r="B3236" t="s">
        <v>86</v>
      </c>
      <c r="C3236" t="s">
        <v>60</v>
      </c>
      <c r="D3236">
        <v>3</v>
      </c>
      <c r="F3236" t="s">
        <v>10078</v>
      </c>
      <c r="G3236" t="s">
        <v>1077</v>
      </c>
    </row>
    <row r="3237" spans="1:7" hidden="1" x14ac:dyDescent="0.25">
      <c r="A3237" t="s">
        <v>262</v>
      </c>
      <c r="B3237" t="s">
        <v>86</v>
      </c>
      <c r="C3237" t="s">
        <v>60</v>
      </c>
      <c r="D3237">
        <v>1</v>
      </c>
      <c r="F3237" t="s">
        <v>10075</v>
      </c>
      <c r="G3237" t="s">
        <v>1077</v>
      </c>
    </row>
    <row r="3238" spans="1:7" hidden="1" x14ac:dyDescent="0.25">
      <c r="A3238" t="s">
        <v>262</v>
      </c>
      <c r="B3238" t="s">
        <v>86</v>
      </c>
      <c r="C3238" t="s">
        <v>60</v>
      </c>
      <c r="D3238">
        <v>3</v>
      </c>
      <c r="F3238" t="s">
        <v>10081</v>
      </c>
      <c r="G3238" t="s">
        <v>1077</v>
      </c>
    </row>
    <row r="3239" spans="1:7" hidden="1" x14ac:dyDescent="0.25">
      <c r="A3239" t="s">
        <v>262</v>
      </c>
      <c r="B3239" t="s">
        <v>86</v>
      </c>
      <c r="C3239" t="s">
        <v>60</v>
      </c>
      <c r="D3239">
        <v>2</v>
      </c>
      <c r="F3239" t="s">
        <v>10085</v>
      </c>
      <c r="G3239" t="s">
        <v>1077</v>
      </c>
    </row>
    <row r="3240" spans="1:7" hidden="1" x14ac:dyDescent="0.25">
      <c r="A3240" t="s">
        <v>262</v>
      </c>
      <c r="B3240" t="s">
        <v>86</v>
      </c>
      <c r="C3240" t="s">
        <v>60</v>
      </c>
      <c r="D3240">
        <v>3</v>
      </c>
      <c r="F3240" t="s">
        <v>10088</v>
      </c>
      <c r="G3240" t="s">
        <v>1077</v>
      </c>
    </row>
    <row r="3241" spans="1:7" hidden="1" x14ac:dyDescent="0.25">
      <c r="A3241" t="s">
        <v>262</v>
      </c>
      <c r="B3241" t="s">
        <v>86</v>
      </c>
      <c r="C3241" t="s">
        <v>60</v>
      </c>
      <c r="E3241" t="s">
        <v>2891</v>
      </c>
      <c r="F3241" t="s">
        <v>10091</v>
      </c>
      <c r="G3241" t="s">
        <v>1077</v>
      </c>
    </row>
    <row r="3242" spans="1:7" hidden="1" x14ac:dyDescent="0.25">
      <c r="A3242" t="s">
        <v>262</v>
      </c>
      <c r="B3242" t="s">
        <v>86</v>
      </c>
      <c r="C3242" t="s">
        <v>60</v>
      </c>
      <c r="D3242">
        <v>2</v>
      </c>
      <c r="F3242" t="s">
        <v>10094</v>
      </c>
      <c r="G3242" t="s">
        <v>1077</v>
      </c>
    </row>
    <row r="3243" spans="1:7" hidden="1" x14ac:dyDescent="0.25">
      <c r="A3243" t="s">
        <v>262</v>
      </c>
      <c r="B3243" t="s">
        <v>86</v>
      </c>
      <c r="C3243" t="s">
        <v>60</v>
      </c>
      <c r="D3243">
        <v>4</v>
      </c>
      <c r="F3243" t="s">
        <v>10097</v>
      </c>
      <c r="G3243" t="s">
        <v>1077</v>
      </c>
    </row>
    <row r="3244" spans="1:7" hidden="1" x14ac:dyDescent="0.25">
      <c r="A3244" t="s">
        <v>262</v>
      </c>
      <c r="B3244" t="s">
        <v>86</v>
      </c>
      <c r="C3244" t="s">
        <v>60</v>
      </c>
      <c r="D3244">
        <v>1</v>
      </c>
      <c r="F3244" t="s">
        <v>10100</v>
      </c>
      <c r="G3244" t="s">
        <v>1077</v>
      </c>
    </row>
    <row r="3245" spans="1:7" hidden="1" x14ac:dyDescent="0.25">
      <c r="A3245" t="s">
        <v>262</v>
      </c>
      <c r="B3245" t="s">
        <v>86</v>
      </c>
      <c r="C3245" t="s">
        <v>60</v>
      </c>
      <c r="D3245">
        <v>3</v>
      </c>
      <c r="F3245" t="s">
        <v>10103</v>
      </c>
      <c r="G3245" t="s">
        <v>1077</v>
      </c>
    </row>
    <row r="3246" spans="1:7" hidden="1" x14ac:dyDescent="0.25">
      <c r="A3246" t="s">
        <v>262</v>
      </c>
      <c r="B3246" t="s">
        <v>86</v>
      </c>
      <c r="C3246" t="s">
        <v>60</v>
      </c>
      <c r="D3246">
        <v>3</v>
      </c>
      <c r="F3246" t="s">
        <v>10106</v>
      </c>
      <c r="G3246" t="s">
        <v>1077</v>
      </c>
    </row>
    <row r="3247" spans="1:7" hidden="1" x14ac:dyDescent="0.25">
      <c r="A3247" t="s">
        <v>262</v>
      </c>
      <c r="B3247" t="s">
        <v>86</v>
      </c>
      <c r="C3247" t="s">
        <v>60</v>
      </c>
      <c r="D3247">
        <v>2</v>
      </c>
      <c r="F3247" t="s">
        <v>10109</v>
      </c>
      <c r="G3247" t="s">
        <v>1077</v>
      </c>
    </row>
    <row r="3248" spans="1:7" hidden="1" x14ac:dyDescent="0.25">
      <c r="A3248" t="s">
        <v>262</v>
      </c>
      <c r="B3248" t="s">
        <v>86</v>
      </c>
      <c r="C3248" t="s">
        <v>60</v>
      </c>
      <c r="D3248">
        <v>2</v>
      </c>
      <c r="F3248" t="s">
        <v>10112</v>
      </c>
      <c r="G3248" t="s">
        <v>1077</v>
      </c>
    </row>
    <row r="3249" spans="1:7" hidden="1" x14ac:dyDescent="0.25">
      <c r="A3249" t="s">
        <v>262</v>
      </c>
      <c r="B3249" t="s">
        <v>86</v>
      </c>
      <c r="C3249" t="s">
        <v>60</v>
      </c>
      <c r="D3249">
        <v>3</v>
      </c>
      <c r="F3249" t="s">
        <v>10115</v>
      </c>
      <c r="G3249" t="s">
        <v>1077</v>
      </c>
    </row>
    <row r="3250" spans="1:7" hidden="1" x14ac:dyDescent="0.25">
      <c r="A3250" t="s">
        <v>262</v>
      </c>
      <c r="B3250" t="s">
        <v>86</v>
      </c>
      <c r="C3250" t="s">
        <v>60</v>
      </c>
      <c r="D3250">
        <v>2</v>
      </c>
      <c r="F3250" t="s">
        <v>10118</v>
      </c>
      <c r="G3250" t="s">
        <v>1077</v>
      </c>
    </row>
    <row r="3251" spans="1:7" hidden="1" x14ac:dyDescent="0.25">
      <c r="A3251" t="s">
        <v>262</v>
      </c>
      <c r="B3251" t="s">
        <v>86</v>
      </c>
      <c r="C3251" t="s">
        <v>60</v>
      </c>
      <c r="D3251">
        <v>2</v>
      </c>
      <c r="F3251" t="s">
        <v>10121</v>
      </c>
      <c r="G3251" t="s">
        <v>1077</v>
      </c>
    </row>
    <row r="3252" spans="1:7" hidden="1" x14ac:dyDescent="0.25">
      <c r="A3252" t="s">
        <v>262</v>
      </c>
      <c r="B3252" t="s">
        <v>86</v>
      </c>
      <c r="C3252" t="s">
        <v>60</v>
      </c>
      <c r="D3252">
        <v>3</v>
      </c>
      <c r="F3252" t="s">
        <v>10124</v>
      </c>
      <c r="G3252" t="s">
        <v>1077</v>
      </c>
    </row>
    <row r="3253" spans="1:7" hidden="1" x14ac:dyDescent="0.25">
      <c r="A3253" t="s">
        <v>262</v>
      </c>
      <c r="B3253" t="s">
        <v>86</v>
      </c>
      <c r="C3253" t="s">
        <v>60</v>
      </c>
      <c r="E3253" t="s">
        <v>2891</v>
      </c>
      <c r="F3253" t="s">
        <v>10127</v>
      </c>
      <c r="G3253" t="s">
        <v>1077</v>
      </c>
    </row>
    <row r="3254" spans="1:7" hidden="1" x14ac:dyDescent="0.25">
      <c r="A3254" t="s">
        <v>262</v>
      </c>
      <c r="B3254" t="s">
        <v>86</v>
      </c>
      <c r="C3254" t="s">
        <v>60</v>
      </c>
      <c r="D3254">
        <v>4</v>
      </c>
      <c r="F3254" t="s">
        <v>10130</v>
      </c>
      <c r="G3254" t="s">
        <v>1077</v>
      </c>
    </row>
    <row r="3255" spans="1:7" hidden="1" x14ac:dyDescent="0.25">
      <c r="A3255" t="s">
        <v>262</v>
      </c>
      <c r="B3255" t="s">
        <v>86</v>
      </c>
      <c r="C3255" t="s">
        <v>60</v>
      </c>
      <c r="D3255">
        <v>3</v>
      </c>
      <c r="F3255" t="s">
        <v>10133</v>
      </c>
      <c r="G3255" t="s">
        <v>1077</v>
      </c>
    </row>
    <row r="3256" spans="1:7" hidden="1" x14ac:dyDescent="0.25">
      <c r="A3256" t="s">
        <v>262</v>
      </c>
      <c r="B3256" t="s">
        <v>86</v>
      </c>
      <c r="C3256" t="s">
        <v>60</v>
      </c>
      <c r="D3256">
        <v>3</v>
      </c>
      <c r="F3256" t="s">
        <v>10136</v>
      </c>
      <c r="G3256" t="s">
        <v>1077</v>
      </c>
    </row>
    <row r="3257" spans="1:7" hidden="1" x14ac:dyDescent="0.25">
      <c r="A3257" t="s">
        <v>262</v>
      </c>
      <c r="B3257" t="s">
        <v>86</v>
      </c>
      <c r="C3257" t="s">
        <v>60</v>
      </c>
      <c r="D3257">
        <v>2</v>
      </c>
      <c r="F3257" t="s">
        <v>10139</v>
      </c>
      <c r="G3257" t="s">
        <v>1077</v>
      </c>
    </row>
    <row r="3258" spans="1:7" x14ac:dyDescent="0.25">
      <c r="A3258" t="s">
        <v>4</v>
      </c>
      <c r="B3258" t="s">
        <v>8691</v>
      </c>
      <c r="F3258" t="s">
        <v>10052</v>
      </c>
      <c r="G3258" t="s">
        <v>13425</v>
      </c>
    </row>
    <row r="3259" spans="1:7" hidden="1" x14ac:dyDescent="0.25">
      <c r="A3259" t="s">
        <v>4</v>
      </c>
      <c r="B3259" t="s">
        <v>10039</v>
      </c>
      <c r="F3259" t="s">
        <v>10060</v>
      </c>
      <c r="G3259" t="s">
        <v>1076</v>
      </c>
    </row>
    <row r="3260" spans="1:7" hidden="1" x14ac:dyDescent="0.25">
      <c r="A3260" t="s">
        <v>4</v>
      </c>
      <c r="B3260" t="s">
        <v>10039</v>
      </c>
      <c r="E3260" t="s">
        <v>10154</v>
      </c>
      <c r="F3260" t="s">
        <v>10142</v>
      </c>
      <c r="G3260" t="s">
        <v>1076</v>
      </c>
    </row>
    <row r="3261" spans="1:7" hidden="1" x14ac:dyDescent="0.25">
      <c r="A3261" t="s">
        <v>4</v>
      </c>
      <c r="B3261" t="s">
        <v>10039</v>
      </c>
      <c r="E3261" t="s">
        <v>10154</v>
      </c>
      <c r="F3261" t="s">
        <v>10145</v>
      </c>
      <c r="G3261" t="s">
        <v>1076</v>
      </c>
    </row>
    <row r="3262" spans="1:7" hidden="1" x14ac:dyDescent="0.25">
      <c r="A3262" t="s">
        <v>1569</v>
      </c>
      <c r="B3262" t="s">
        <v>10040</v>
      </c>
      <c r="C3262" t="s">
        <v>60</v>
      </c>
      <c r="F3262" t="s">
        <v>10148</v>
      </c>
      <c r="G3262" t="s">
        <v>1076</v>
      </c>
    </row>
    <row r="3263" spans="1:7" hidden="1" x14ac:dyDescent="0.25">
      <c r="A3263" t="s">
        <v>4</v>
      </c>
      <c r="B3263" t="s">
        <v>8691</v>
      </c>
      <c r="F3263" t="s">
        <v>10151</v>
      </c>
      <c r="G3263" t="s">
        <v>1076</v>
      </c>
    </row>
    <row r="3264" spans="1:7" hidden="1" x14ac:dyDescent="0.25">
      <c r="A3264" t="s">
        <v>262</v>
      </c>
      <c r="B3264" t="s">
        <v>86</v>
      </c>
      <c r="C3264" t="s">
        <v>60</v>
      </c>
      <c r="D3264">
        <v>2</v>
      </c>
      <c r="E3264" t="s">
        <v>10221</v>
      </c>
      <c r="F3264" t="s">
        <v>10155</v>
      </c>
      <c r="G3264" t="s">
        <v>1077</v>
      </c>
    </row>
    <row r="3265" spans="1:7" hidden="1" x14ac:dyDescent="0.25">
      <c r="A3265" t="s">
        <v>262</v>
      </c>
      <c r="B3265" t="s">
        <v>86</v>
      </c>
      <c r="C3265" t="s">
        <v>60</v>
      </c>
      <c r="D3265">
        <v>3</v>
      </c>
      <c r="E3265" t="s">
        <v>10221</v>
      </c>
      <c r="F3265" t="s">
        <v>10158</v>
      </c>
      <c r="G3265" t="s">
        <v>1077</v>
      </c>
    </row>
    <row r="3266" spans="1:7" hidden="1" x14ac:dyDescent="0.25">
      <c r="A3266" t="s">
        <v>262</v>
      </c>
      <c r="B3266" t="s">
        <v>86</v>
      </c>
      <c r="C3266" t="s">
        <v>60</v>
      </c>
      <c r="D3266">
        <v>3</v>
      </c>
      <c r="E3266" t="s">
        <v>10221</v>
      </c>
      <c r="F3266" t="s">
        <v>10161</v>
      </c>
      <c r="G3266" t="s">
        <v>1077</v>
      </c>
    </row>
    <row r="3267" spans="1:7" hidden="1" x14ac:dyDescent="0.25">
      <c r="A3267" t="s">
        <v>262</v>
      </c>
      <c r="B3267" t="s">
        <v>86</v>
      </c>
      <c r="C3267" t="s">
        <v>60</v>
      </c>
      <c r="D3267">
        <v>4</v>
      </c>
      <c r="E3267" t="s">
        <v>10221</v>
      </c>
      <c r="F3267" t="s">
        <v>10164</v>
      </c>
      <c r="G3267" t="s">
        <v>1077</v>
      </c>
    </row>
    <row r="3268" spans="1:7" hidden="1" x14ac:dyDescent="0.25">
      <c r="A3268" t="s">
        <v>262</v>
      </c>
      <c r="B3268" t="s">
        <v>86</v>
      </c>
      <c r="C3268" t="s">
        <v>60</v>
      </c>
      <c r="D3268">
        <v>4</v>
      </c>
      <c r="E3268" t="s">
        <v>10221</v>
      </c>
      <c r="F3268" t="s">
        <v>10167</v>
      </c>
      <c r="G3268" t="s">
        <v>1077</v>
      </c>
    </row>
    <row r="3269" spans="1:7" hidden="1" x14ac:dyDescent="0.25">
      <c r="A3269" t="s">
        <v>262</v>
      </c>
      <c r="B3269" t="s">
        <v>86</v>
      </c>
      <c r="C3269" t="s">
        <v>60</v>
      </c>
      <c r="D3269">
        <v>4</v>
      </c>
      <c r="E3269" t="s">
        <v>10221</v>
      </c>
      <c r="F3269" t="s">
        <v>10170</v>
      </c>
      <c r="G3269" t="s">
        <v>1077</v>
      </c>
    </row>
    <row r="3270" spans="1:7" hidden="1" x14ac:dyDescent="0.25">
      <c r="A3270" t="s">
        <v>262</v>
      </c>
      <c r="B3270" t="s">
        <v>86</v>
      </c>
      <c r="C3270" t="s">
        <v>60</v>
      </c>
      <c r="D3270">
        <v>5</v>
      </c>
      <c r="E3270" t="s">
        <v>10221</v>
      </c>
      <c r="F3270" t="s">
        <v>10173</v>
      </c>
      <c r="G3270" t="s">
        <v>1077</v>
      </c>
    </row>
    <row r="3271" spans="1:7" hidden="1" x14ac:dyDescent="0.25">
      <c r="A3271" t="s">
        <v>262</v>
      </c>
      <c r="B3271" t="s">
        <v>86</v>
      </c>
      <c r="C3271" t="s">
        <v>60</v>
      </c>
      <c r="D3271">
        <v>2</v>
      </c>
      <c r="E3271" t="s">
        <v>10221</v>
      </c>
      <c r="F3271" t="s">
        <v>10176</v>
      </c>
      <c r="G3271" t="s">
        <v>1077</v>
      </c>
    </row>
    <row r="3272" spans="1:7" hidden="1" x14ac:dyDescent="0.25">
      <c r="A3272" t="s">
        <v>262</v>
      </c>
      <c r="B3272" t="s">
        <v>86</v>
      </c>
      <c r="C3272" t="s">
        <v>60</v>
      </c>
      <c r="D3272">
        <v>3</v>
      </c>
      <c r="E3272" t="s">
        <v>10221</v>
      </c>
      <c r="F3272" t="s">
        <v>10179</v>
      </c>
      <c r="G3272" t="s">
        <v>1077</v>
      </c>
    </row>
    <row r="3273" spans="1:7" hidden="1" x14ac:dyDescent="0.25">
      <c r="A3273" t="s">
        <v>262</v>
      </c>
      <c r="B3273" t="s">
        <v>86</v>
      </c>
      <c r="C3273" t="s">
        <v>60</v>
      </c>
      <c r="D3273">
        <v>3</v>
      </c>
      <c r="E3273" t="s">
        <v>10221</v>
      </c>
      <c r="F3273" t="s">
        <v>10182</v>
      </c>
      <c r="G3273" t="s">
        <v>1077</v>
      </c>
    </row>
    <row r="3274" spans="1:7" hidden="1" x14ac:dyDescent="0.25">
      <c r="A3274" t="s">
        <v>262</v>
      </c>
      <c r="B3274" t="s">
        <v>86</v>
      </c>
      <c r="C3274" t="s">
        <v>60</v>
      </c>
      <c r="D3274">
        <v>3</v>
      </c>
      <c r="E3274" t="s">
        <v>10221</v>
      </c>
      <c r="F3274" t="s">
        <v>10185</v>
      </c>
      <c r="G3274" t="s">
        <v>1077</v>
      </c>
    </row>
    <row r="3275" spans="1:7" hidden="1" x14ac:dyDescent="0.25">
      <c r="A3275" t="s">
        <v>262</v>
      </c>
      <c r="B3275" t="s">
        <v>86</v>
      </c>
      <c r="C3275" t="s">
        <v>60</v>
      </c>
      <c r="D3275">
        <v>2</v>
      </c>
      <c r="E3275" t="s">
        <v>10221</v>
      </c>
      <c r="F3275" t="s">
        <v>10188</v>
      </c>
      <c r="G3275" t="s">
        <v>1077</v>
      </c>
    </row>
    <row r="3276" spans="1:7" hidden="1" x14ac:dyDescent="0.25">
      <c r="A3276" t="s">
        <v>262</v>
      </c>
      <c r="B3276" t="s">
        <v>86</v>
      </c>
      <c r="C3276" t="s">
        <v>60</v>
      </c>
      <c r="D3276">
        <v>2</v>
      </c>
      <c r="E3276" t="s">
        <v>10221</v>
      </c>
      <c r="F3276" t="s">
        <v>10191</v>
      </c>
      <c r="G3276" t="s">
        <v>1077</v>
      </c>
    </row>
    <row r="3277" spans="1:7" hidden="1" x14ac:dyDescent="0.25">
      <c r="A3277" t="s">
        <v>262</v>
      </c>
      <c r="B3277" t="s">
        <v>86</v>
      </c>
      <c r="C3277" t="s">
        <v>60</v>
      </c>
      <c r="D3277">
        <v>3</v>
      </c>
      <c r="E3277" t="s">
        <v>10221</v>
      </c>
      <c r="F3277" t="s">
        <v>10194</v>
      </c>
      <c r="G3277" t="s">
        <v>1077</v>
      </c>
    </row>
    <row r="3278" spans="1:7" hidden="1" x14ac:dyDescent="0.25">
      <c r="A3278" t="s">
        <v>262</v>
      </c>
      <c r="B3278" t="s">
        <v>86</v>
      </c>
      <c r="C3278" t="s">
        <v>60</v>
      </c>
      <c r="D3278">
        <v>3</v>
      </c>
      <c r="E3278" t="s">
        <v>10221</v>
      </c>
      <c r="F3278" t="s">
        <v>10197</v>
      </c>
      <c r="G3278" t="s">
        <v>1077</v>
      </c>
    </row>
    <row r="3279" spans="1:7" hidden="1" x14ac:dyDescent="0.25">
      <c r="A3279" t="s">
        <v>262</v>
      </c>
      <c r="B3279" t="s">
        <v>86</v>
      </c>
      <c r="C3279" t="s">
        <v>60</v>
      </c>
      <c r="D3279">
        <v>3</v>
      </c>
      <c r="E3279" t="s">
        <v>10221</v>
      </c>
      <c r="F3279" t="s">
        <v>10200</v>
      </c>
      <c r="G3279" t="s">
        <v>1077</v>
      </c>
    </row>
    <row r="3280" spans="1:7" hidden="1" x14ac:dyDescent="0.25">
      <c r="A3280" t="s">
        <v>262</v>
      </c>
      <c r="B3280" t="s">
        <v>86</v>
      </c>
      <c r="C3280" t="s">
        <v>60</v>
      </c>
      <c r="D3280">
        <v>2</v>
      </c>
      <c r="E3280" t="s">
        <v>10221</v>
      </c>
      <c r="F3280" t="s">
        <v>10203</v>
      </c>
      <c r="G3280" t="s">
        <v>1077</v>
      </c>
    </row>
    <row r="3281" spans="1:7" hidden="1" x14ac:dyDescent="0.25">
      <c r="A3281" t="s">
        <v>262</v>
      </c>
      <c r="B3281" t="s">
        <v>86</v>
      </c>
      <c r="C3281" t="s">
        <v>60</v>
      </c>
      <c r="D3281">
        <v>2</v>
      </c>
      <c r="E3281" t="s">
        <v>10221</v>
      </c>
      <c r="F3281" t="s">
        <v>10206</v>
      </c>
      <c r="G3281" t="s">
        <v>1077</v>
      </c>
    </row>
    <row r="3282" spans="1:7" hidden="1" x14ac:dyDescent="0.25">
      <c r="A3282" t="s">
        <v>262</v>
      </c>
      <c r="B3282" t="s">
        <v>86</v>
      </c>
      <c r="C3282" t="s">
        <v>60</v>
      </c>
      <c r="D3282">
        <v>2</v>
      </c>
      <c r="E3282" t="s">
        <v>10221</v>
      </c>
      <c r="F3282" t="s">
        <v>10209</v>
      </c>
      <c r="G3282" t="s">
        <v>1077</v>
      </c>
    </row>
    <row r="3283" spans="1:7" hidden="1" x14ac:dyDescent="0.25">
      <c r="A3283" t="s">
        <v>10222</v>
      </c>
      <c r="B3283" t="s">
        <v>86</v>
      </c>
      <c r="C3283" t="s">
        <v>10042</v>
      </c>
      <c r="D3283">
        <v>1</v>
      </c>
      <c r="E3283" t="s">
        <v>10223</v>
      </c>
      <c r="F3283" t="s">
        <v>10212</v>
      </c>
      <c r="G3283" t="s">
        <v>1077</v>
      </c>
    </row>
    <row r="3284" spans="1:7" hidden="1" x14ac:dyDescent="0.25">
      <c r="A3284" t="s">
        <v>4</v>
      </c>
      <c r="B3284" t="s">
        <v>9754</v>
      </c>
      <c r="F3284" t="s">
        <v>10215</v>
      </c>
      <c r="G3284" t="s">
        <v>1077</v>
      </c>
    </row>
    <row r="3285" spans="1:7" hidden="1" x14ac:dyDescent="0.25">
      <c r="A3285" t="s">
        <v>4</v>
      </c>
      <c r="B3285" t="s">
        <v>2887</v>
      </c>
      <c r="F3285" t="s">
        <v>10218</v>
      </c>
      <c r="G3285" t="s">
        <v>1077</v>
      </c>
    </row>
    <row r="3286" spans="1:7" hidden="1" x14ac:dyDescent="0.25">
      <c r="A3286" t="s">
        <v>1967</v>
      </c>
      <c r="B3286" t="s">
        <v>8</v>
      </c>
      <c r="F3286" t="s">
        <v>10224</v>
      </c>
      <c r="G3286" t="s">
        <v>1078</v>
      </c>
    </row>
    <row r="3287" spans="1:7" hidden="1" x14ac:dyDescent="0.25">
      <c r="A3287" t="s">
        <v>4</v>
      </c>
      <c r="B3287" t="s">
        <v>10266</v>
      </c>
      <c r="F3287" t="s">
        <v>10263</v>
      </c>
      <c r="G3287" t="s">
        <v>1079</v>
      </c>
    </row>
    <row r="3288" spans="1:7" hidden="1" x14ac:dyDescent="0.25">
      <c r="A3288" t="s">
        <v>9291</v>
      </c>
      <c r="B3288" t="s">
        <v>1570</v>
      </c>
      <c r="F3288" t="s">
        <v>10227</v>
      </c>
      <c r="G3288" t="s">
        <v>768</v>
      </c>
    </row>
    <row r="3289" spans="1:7" hidden="1" x14ac:dyDescent="0.25">
      <c r="A3289" t="s">
        <v>9291</v>
      </c>
      <c r="B3289" t="s">
        <v>1570</v>
      </c>
      <c r="F3289" t="s">
        <v>10230</v>
      </c>
      <c r="G3289" t="s">
        <v>768</v>
      </c>
    </row>
    <row r="3290" spans="1:7" hidden="1" x14ac:dyDescent="0.25">
      <c r="A3290" t="s">
        <v>4</v>
      </c>
      <c r="B3290" t="s">
        <v>9</v>
      </c>
      <c r="F3290" t="s">
        <v>10233</v>
      </c>
      <c r="G3290" t="s">
        <v>768</v>
      </c>
    </row>
    <row r="3291" spans="1:7" hidden="1" x14ac:dyDescent="0.25">
      <c r="A3291" t="s">
        <v>9291</v>
      </c>
      <c r="B3291" t="s">
        <v>1570</v>
      </c>
      <c r="F3291" t="s">
        <v>10236</v>
      </c>
      <c r="G3291" t="s">
        <v>768</v>
      </c>
    </row>
    <row r="3292" spans="1:7" hidden="1" x14ac:dyDescent="0.25">
      <c r="A3292" t="s">
        <v>9291</v>
      </c>
      <c r="B3292" t="s">
        <v>1570</v>
      </c>
      <c r="F3292" t="s">
        <v>10239</v>
      </c>
      <c r="G3292" t="s">
        <v>768</v>
      </c>
    </row>
    <row r="3293" spans="1:7" hidden="1" x14ac:dyDescent="0.25">
      <c r="A3293" t="s">
        <v>4</v>
      </c>
      <c r="B3293" t="s">
        <v>9</v>
      </c>
      <c r="F3293" t="s">
        <v>10242</v>
      </c>
      <c r="G3293" t="s">
        <v>768</v>
      </c>
    </row>
    <row r="3294" spans="1:7" hidden="1" x14ac:dyDescent="0.25">
      <c r="A3294" t="s">
        <v>4</v>
      </c>
      <c r="B3294" t="s">
        <v>10267</v>
      </c>
      <c r="E3294" t="s">
        <v>5410</v>
      </c>
      <c r="F3294" t="s">
        <v>10245</v>
      </c>
      <c r="G3294" t="s">
        <v>1072</v>
      </c>
    </row>
    <row r="3295" spans="1:7" hidden="1" x14ac:dyDescent="0.25">
      <c r="A3295" t="s">
        <v>4</v>
      </c>
      <c r="B3295" t="s">
        <v>7615</v>
      </c>
      <c r="F3295" t="s">
        <v>10248</v>
      </c>
      <c r="G3295" t="s">
        <v>1072</v>
      </c>
    </row>
    <row r="3296" spans="1:7" hidden="1" x14ac:dyDescent="0.25">
      <c r="A3296" t="s">
        <v>261</v>
      </c>
      <c r="B3296" t="s">
        <v>9402</v>
      </c>
      <c r="C3296" t="s">
        <v>58</v>
      </c>
      <c r="E3296" t="s">
        <v>10319</v>
      </c>
      <c r="F3296" t="s">
        <v>10251</v>
      </c>
      <c r="G3296" t="s">
        <v>1072</v>
      </c>
    </row>
    <row r="3297" spans="1:7" hidden="1" x14ac:dyDescent="0.25">
      <c r="A3297" t="s">
        <v>261</v>
      </c>
      <c r="B3297" t="s">
        <v>9402</v>
      </c>
      <c r="C3297" t="s">
        <v>58</v>
      </c>
      <c r="E3297" t="s">
        <v>2891</v>
      </c>
      <c r="F3297" t="s">
        <v>10254</v>
      </c>
      <c r="G3297" t="s">
        <v>1072</v>
      </c>
    </row>
    <row r="3298" spans="1:7" hidden="1" x14ac:dyDescent="0.25">
      <c r="A3298" t="s">
        <v>4</v>
      </c>
      <c r="B3298" t="s">
        <v>5411</v>
      </c>
      <c r="E3298" t="s">
        <v>5410</v>
      </c>
      <c r="F3298" t="s">
        <v>10257</v>
      </c>
      <c r="G3298" t="s">
        <v>1072</v>
      </c>
    </row>
    <row r="3299" spans="1:7" hidden="1" x14ac:dyDescent="0.25">
      <c r="A3299" t="s">
        <v>10316</v>
      </c>
      <c r="B3299" t="s">
        <v>1570</v>
      </c>
      <c r="F3299" t="s">
        <v>10260</v>
      </c>
      <c r="G3299" s="1" t="s">
        <v>1566</v>
      </c>
    </row>
    <row r="3300" spans="1:7" hidden="1" x14ac:dyDescent="0.25">
      <c r="A3300" t="s">
        <v>261</v>
      </c>
      <c r="B3300" t="s">
        <v>9403</v>
      </c>
      <c r="C3300" t="s">
        <v>58</v>
      </c>
      <c r="E3300" t="s">
        <v>10317</v>
      </c>
      <c r="F3300" t="s">
        <v>10268</v>
      </c>
      <c r="G3300" s="1" t="s">
        <v>1566</v>
      </c>
    </row>
    <row r="3301" spans="1:7" hidden="1" x14ac:dyDescent="0.25">
      <c r="A3301" t="s">
        <v>622</v>
      </c>
      <c r="B3301" t="s">
        <v>9403</v>
      </c>
      <c r="C3301" t="s">
        <v>58</v>
      </c>
      <c r="E3301" t="s">
        <v>10318</v>
      </c>
      <c r="F3301" t="s">
        <v>10271</v>
      </c>
      <c r="G3301" s="1" t="s">
        <v>1566</v>
      </c>
    </row>
    <row r="3302" spans="1:7" hidden="1" x14ac:dyDescent="0.25">
      <c r="A3302" t="s">
        <v>623</v>
      </c>
      <c r="B3302" t="s">
        <v>5411</v>
      </c>
      <c r="F3302" t="s">
        <v>10274</v>
      </c>
      <c r="G3302" t="s">
        <v>1780</v>
      </c>
    </row>
    <row r="3303" spans="1:7" hidden="1" x14ac:dyDescent="0.25">
      <c r="A3303" t="s">
        <v>623</v>
      </c>
      <c r="B3303" t="s">
        <v>5411</v>
      </c>
      <c r="F3303" t="s">
        <v>10277</v>
      </c>
      <c r="G3303" t="s">
        <v>1780</v>
      </c>
    </row>
    <row r="3304" spans="1:7" hidden="1" x14ac:dyDescent="0.25">
      <c r="A3304" t="s">
        <v>623</v>
      </c>
      <c r="B3304" t="s">
        <v>5411</v>
      </c>
      <c r="F3304" t="s">
        <v>10280</v>
      </c>
      <c r="G3304" t="s">
        <v>1780</v>
      </c>
    </row>
    <row r="3305" spans="1:7" hidden="1" x14ac:dyDescent="0.25">
      <c r="A3305" t="s">
        <v>623</v>
      </c>
      <c r="B3305" t="s">
        <v>5411</v>
      </c>
      <c r="F3305" t="s">
        <v>10283</v>
      </c>
      <c r="G3305" t="s">
        <v>1780</v>
      </c>
    </row>
    <row r="3306" spans="1:7" hidden="1" x14ac:dyDescent="0.25">
      <c r="A3306" t="s">
        <v>623</v>
      </c>
      <c r="B3306" t="s">
        <v>5411</v>
      </c>
      <c r="F3306" t="s">
        <v>10286</v>
      </c>
      <c r="G3306" t="s">
        <v>1780</v>
      </c>
    </row>
    <row r="3307" spans="1:7" hidden="1" x14ac:dyDescent="0.25">
      <c r="A3307" t="s">
        <v>623</v>
      </c>
      <c r="B3307" t="s">
        <v>5411</v>
      </c>
      <c r="F3307" t="s">
        <v>10289</v>
      </c>
      <c r="G3307" t="s">
        <v>1780</v>
      </c>
    </row>
    <row r="3308" spans="1:7" hidden="1" x14ac:dyDescent="0.25">
      <c r="A3308" t="s">
        <v>623</v>
      </c>
      <c r="B3308" t="s">
        <v>5411</v>
      </c>
      <c r="F3308" t="s">
        <v>10292</v>
      </c>
      <c r="G3308" t="s">
        <v>1780</v>
      </c>
    </row>
    <row r="3309" spans="1:7" hidden="1" x14ac:dyDescent="0.25">
      <c r="A3309" t="s">
        <v>623</v>
      </c>
      <c r="B3309" t="s">
        <v>5411</v>
      </c>
      <c r="F3309" t="s">
        <v>10295</v>
      </c>
      <c r="G3309" t="s">
        <v>1780</v>
      </c>
    </row>
    <row r="3310" spans="1:7" hidden="1" x14ac:dyDescent="0.25">
      <c r="A3310" t="s">
        <v>4</v>
      </c>
      <c r="B3310" t="s">
        <v>8</v>
      </c>
      <c r="F3310" t="s">
        <v>10298</v>
      </c>
      <c r="G3310" t="s">
        <v>1897</v>
      </c>
    </row>
    <row r="3311" spans="1:7" hidden="1" x14ac:dyDescent="0.25">
      <c r="A3311" t="s">
        <v>4</v>
      </c>
      <c r="B3311" t="s">
        <v>8</v>
      </c>
      <c r="E3311" t="s">
        <v>2891</v>
      </c>
      <c r="F3311" t="s">
        <v>10301</v>
      </c>
      <c r="G3311" t="s">
        <v>1897</v>
      </c>
    </row>
    <row r="3312" spans="1:7" hidden="1" x14ac:dyDescent="0.25">
      <c r="A3312" t="s">
        <v>4</v>
      </c>
      <c r="B3312" t="s">
        <v>8</v>
      </c>
      <c r="E3312" t="s">
        <v>2891</v>
      </c>
      <c r="F3312" t="s">
        <v>10304</v>
      </c>
      <c r="G3312" t="s">
        <v>1897</v>
      </c>
    </row>
    <row r="3313" spans="1:7" hidden="1" x14ac:dyDescent="0.25">
      <c r="A3313" t="s">
        <v>4</v>
      </c>
      <c r="B3313" t="s">
        <v>8</v>
      </c>
      <c r="F3313" t="s">
        <v>10307</v>
      </c>
      <c r="G3313" t="s">
        <v>1960</v>
      </c>
    </row>
    <row r="3314" spans="1:7" hidden="1" x14ac:dyDescent="0.25">
      <c r="A3314" t="s">
        <v>4</v>
      </c>
      <c r="B3314" t="s">
        <v>8</v>
      </c>
      <c r="E3314" t="s">
        <v>2891</v>
      </c>
      <c r="F3314" t="s">
        <v>10310</v>
      </c>
      <c r="G3314" t="s">
        <v>1960</v>
      </c>
    </row>
    <row r="3315" spans="1:7" hidden="1" x14ac:dyDescent="0.25">
      <c r="A3315" t="s">
        <v>4</v>
      </c>
      <c r="B3315" t="s">
        <v>8</v>
      </c>
      <c r="E3315" t="s">
        <v>2891</v>
      </c>
      <c r="F3315" t="s">
        <v>10313</v>
      </c>
      <c r="G3315" t="s">
        <v>1960</v>
      </c>
    </row>
    <row r="3316" spans="1:7" hidden="1" x14ac:dyDescent="0.25">
      <c r="A3316" t="s">
        <v>1967</v>
      </c>
      <c r="F3316" t="s">
        <v>10326</v>
      </c>
      <c r="G3316" t="s">
        <v>1074</v>
      </c>
    </row>
    <row r="3317" spans="1:7" hidden="1" x14ac:dyDescent="0.25">
      <c r="A3317" t="s">
        <v>1967</v>
      </c>
      <c r="F3317" t="s">
        <v>10329</v>
      </c>
      <c r="G3317" t="s">
        <v>1074</v>
      </c>
    </row>
    <row r="3318" spans="1:7" hidden="1" x14ac:dyDescent="0.25">
      <c r="A3318" t="s">
        <v>1967</v>
      </c>
      <c r="B3318" t="s">
        <v>8</v>
      </c>
      <c r="F3318" t="s">
        <v>10320</v>
      </c>
      <c r="G3318" t="s">
        <v>1075</v>
      </c>
    </row>
    <row r="3319" spans="1:7" hidden="1" x14ac:dyDescent="0.25">
      <c r="A3319" t="s">
        <v>1967</v>
      </c>
      <c r="B3319" t="s">
        <v>8</v>
      </c>
      <c r="F3319" t="s">
        <v>10323</v>
      </c>
      <c r="G3319" t="s">
        <v>1075</v>
      </c>
    </row>
    <row r="3320" spans="1:7" hidden="1" x14ac:dyDescent="0.25">
      <c r="A3320" t="s">
        <v>1967</v>
      </c>
      <c r="B3320" t="s">
        <v>8</v>
      </c>
      <c r="F3320" t="s">
        <v>10367</v>
      </c>
      <c r="G3320" t="s">
        <v>1076</v>
      </c>
    </row>
    <row r="3321" spans="1:7" hidden="1" x14ac:dyDescent="0.25">
      <c r="A3321" t="s">
        <v>1967</v>
      </c>
      <c r="B3321" t="s">
        <v>8</v>
      </c>
      <c r="F3321" t="s">
        <v>10370</v>
      </c>
      <c r="G3321" t="s">
        <v>1076</v>
      </c>
    </row>
    <row r="3322" spans="1:7" hidden="1" x14ac:dyDescent="0.25">
      <c r="A3322" t="s">
        <v>1967</v>
      </c>
      <c r="B3322" t="s">
        <v>8</v>
      </c>
      <c r="F3322" t="s">
        <v>10373</v>
      </c>
      <c r="G3322" t="s">
        <v>1077</v>
      </c>
    </row>
    <row r="3323" spans="1:7" hidden="1" x14ac:dyDescent="0.25">
      <c r="A3323" t="s">
        <v>1967</v>
      </c>
      <c r="B3323" t="s">
        <v>8</v>
      </c>
      <c r="F3323" t="s">
        <v>10376</v>
      </c>
      <c r="G3323" t="s">
        <v>1077</v>
      </c>
    </row>
    <row r="3324" spans="1:7" hidden="1" x14ac:dyDescent="0.25">
      <c r="A3324" t="s">
        <v>1967</v>
      </c>
      <c r="B3324" t="s">
        <v>8</v>
      </c>
      <c r="F3324" t="s">
        <v>10379</v>
      </c>
      <c r="G3324" t="s">
        <v>1078</v>
      </c>
    </row>
    <row r="3325" spans="1:7" hidden="1" x14ac:dyDescent="0.25">
      <c r="A3325" t="s">
        <v>1967</v>
      </c>
      <c r="B3325" t="s">
        <v>8</v>
      </c>
      <c r="F3325" t="s">
        <v>10382</v>
      </c>
      <c r="G3325" t="s">
        <v>1078</v>
      </c>
    </row>
    <row r="3326" spans="1:7" hidden="1" x14ac:dyDescent="0.25">
      <c r="A3326" t="s">
        <v>1967</v>
      </c>
      <c r="B3326" t="s">
        <v>8</v>
      </c>
      <c r="F3326" t="s">
        <v>10385</v>
      </c>
      <c r="G3326" t="s">
        <v>1079</v>
      </c>
    </row>
    <row r="3327" spans="1:7" hidden="1" x14ac:dyDescent="0.25">
      <c r="A3327" t="s">
        <v>1967</v>
      </c>
      <c r="B3327" t="s">
        <v>8</v>
      </c>
      <c r="F3327" t="s">
        <v>10388</v>
      </c>
      <c r="G3327" t="s">
        <v>1079</v>
      </c>
    </row>
    <row r="3328" spans="1:7" hidden="1" x14ac:dyDescent="0.25">
      <c r="A3328" t="s">
        <v>9291</v>
      </c>
      <c r="B3328" t="s">
        <v>1570</v>
      </c>
      <c r="F3328" t="s">
        <v>10332</v>
      </c>
      <c r="G3328" t="s">
        <v>768</v>
      </c>
    </row>
    <row r="3329" spans="1:7" hidden="1" x14ac:dyDescent="0.25">
      <c r="A3329" t="s">
        <v>9291</v>
      </c>
      <c r="B3329" t="s">
        <v>1570</v>
      </c>
      <c r="F3329" t="s">
        <v>10335</v>
      </c>
      <c r="G3329" t="s">
        <v>768</v>
      </c>
    </row>
    <row r="3330" spans="1:7" hidden="1" x14ac:dyDescent="0.25">
      <c r="A3330" t="s">
        <v>4</v>
      </c>
      <c r="B3330" t="s">
        <v>9</v>
      </c>
      <c r="F3330" t="s">
        <v>10338</v>
      </c>
      <c r="G3330" t="s">
        <v>768</v>
      </c>
    </row>
    <row r="3331" spans="1:7" hidden="1" x14ac:dyDescent="0.25">
      <c r="A3331" t="s">
        <v>4</v>
      </c>
      <c r="B3331" t="s">
        <v>5411</v>
      </c>
      <c r="E3331" t="s">
        <v>5410</v>
      </c>
      <c r="F3331" t="s">
        <v>10341</v>
      </c>
      <c r="G3331" t="s">
        <v>1072</v>
      </c>
    </row>
    <row r="3332" spans="1:7" hidden="1" x14ac:dyDescent="0.25">
      <c r="A3332" t="s">
        <v>4</v>
      </c>
      <c r="B3332" t="s">
        <v>5071</v>
      </c>
      <c r="F3332" t="s">
        <v>10391</v>
      </c>
      <c r="G3332" t="s">
        <v>1072</v>
      </c>
    </row>
    <row r="3333" spans="1:7" hidden="1" x14ac:dyDescent="0.25">
      <c r="A3333" t="s">
        <v>4</v>
      </c>
      <c r="B3333" t="s">
        <v>10397</v>
      </c>
      <c r="F3333" t="s">
        <v>10394</v>
      </c>
      <c r="G3333" s="1" t="s">
        <v>1566</v>
      </c>
    </row>
    <row r="3334" spans="1:7" hidden="1" x14ac:dyDescent="0.25">
      <c r="A3334" t="s">
        <v>4</v>
      </c>
      <c r="B3334" t="s">
        <v>434</v>
      </c>
      <c r="F3334" t="s">
        <v>10344</v>
      </c>
      <c r="G3334" s="1" t="s">
        <v>1566</v>
      </c>
    </row>
    <row r="3335" spans="1:7" hidden="1" x14ac:dyDescent="0.25">
      <c r="A3335" t="s">
        <v>1967</v>
      </c>
      <c r="B3335" t="s">
        <v>8</v>
      </c>
      <c r="F3335" t="s">
        <v>10347</v>
      </c>
      <c r="G3335" t="s">
        <v>1780</v>
      </c>
    </row>
    <row r="3336" spans="1:7" hidden="1" x14ac:dyDescent="0.25">
      <c r="A3336" t="s">
        <v>1967</v>
      </c>
      <c r="B3336" t="s">
        <v>8</v>
      </c>
      <c r="F3336" t="s">
        <v>10350</v>
      </c>
      <c r="G3336" t="s">
        <v>1780</v>
      </c>
    </row>
    <row r="3337" spans="1:7" hidden="1" x14ac:dyDescent="0.25">
      <c r="A3337" t="s">
        <v>1967</v>
      </c>
      <c r="B3337" t="s">
        <v>8</v>
      </c>
      <c r="F3337" t="s">
        <v>10353</v>
      </c>
      <c r="G3337" t="s">
        <v>1897</v>
      </c>
    </row>
    <row r="3338" spans="1:7" hidden="1" x14ac:dyDescent="0.25">
      <c r="A3338" t="s">
        <v>1967</v>
      </c>
      <c r="B3338" t="s">
        <v>8</v>
      </c>
      <c r="F3338" t="s">
        <v>10356</v>
      </c>
      <c r="G3338" t="s">
        <v>1897</v>
      </c>
    </row>
    <row r="3339" spans="1:7" hidden="1" x14ac:dyDescent="0.25">
      <c r="A3339" t="s">
        <v>1967</v>
      </c>
      <c r="B3339" t="s">
        <v>8</v>
      </c>
      <c r="F3339" t="s">
        <v>10359</v>
      </c>
      <c r="G3339" t="s">
        <v>1960</v>
      </c>
    </row>
    <row r="3340" spans="1:7" hidden="1" x14ac:dyDescent="0.25">
      <c r="A3340" t="s">
        <v>1967</v>
      </c>
      <c r="B3340" t="s">
        <v>8</v>
      </c>
      <c r="F3340" t="s">
        <v>10362</v>
      </c>
      <c r="G3340" t="s">
        <v>1960</v>
      </c>
    </row>
    <row r="3341" spans="1:7" x14ac:dyDescent="0.25">
      <c r="A3341" t="s">
        <v>1967</v>
      </c>
      <c r="B3341" t="s">
        <v>8</v>
      </c>
      <c r="F3341" t="s">
        <v>10398</v>
      </c>
      <c r="G3341" t="s">
        <v>13425</v>
      </c>
    </row>
    <row r="3342" spans="1:7" x14ac:dyDescent="0.25">
      <c r="A3342" t="s">
        <v>1967</v>
      </c>
      <c r="B3342" t="s">
        <v>8</v>
      </c>
      <c r="F3342" t="s">
        <v>10365</v>
      </c>
      <c r="G3342" t="s">
        <v>13425</v>
      </c>
    </row>
    <row r="3343" spans="1:7" hidden="1" x14ac:dyDescent="0.25">
      <c r="A3343" t="s">
        <v>1967</v>
      </c>
      <c r="F3343" t="s">
        <v>10406</v>
      </c>
      <c r="G3343" t="s">
        <v>1074</v>
      </c>
    </row>
    <row r="3344" spans="1:7" hidden="1" x14ac:dyDescent="0.25">
      <c r="A3344" t="s">
        <v>1967</v>
      </c>
      <c r="F3344" t="s">
        <v>10409</v>
      </c>
      <c r="G3344" t="s">
        <v>1074</v>
      </c>
    </row>
    <row r="3345" spans="1:7" hidden="1" x14ac:dyDescent="0.25">
      <c r="A3345" t="s">
        <v>1967</v>
      </c>
      <c r="B3345" t="s">
        <v>8</v>
      </c>
      <c r="F3345" t="s">
        <v>10400</v>
      </c>
      <c r="G3345" t="s">
        <v>1075</v>
      </c>
    </row>
    <row r="3346" spans="1:7" hidden="1" x14ac:dyDescent="0.25">
      <c r="A3346" t="s">
        <v>1967</v>
      </c>
      <c r="B3346" t="s">
        <v>8</v>
      </c>
      <c r="F3346" t="s">
        <v>10403</v>
      </c>
      <c r="G3346" t="s">
        <v>1075</v>
      </c>
    </row>
    <row r="3347" spans="1:7" x14ac:dyDescent="0.25">
      <c r="A3347" t="s">
        <v>4</v>
      </c>
      <c r="B3347" t="s">
        <v>8691</v>
      </c>
      <c r="F3347" t="s">
        <v>10430</v>
      </c>
      <c r="G3347" t="s">
        <v>13425</v>
      </c>
    </row>
    <row r="3348" spans="1:7" x14ac:dyDescent="0.25">
      <c r="A3348" t="s">
        <v>4</v>
      </c>
      <c r="B3348" t="s">
        <v>8691</v>
      </c>
      <c r="F3348" t="s">
        <v>10432</v>
      </c>
      <c r="G3348" t="s">
        <v>13425</v>
      </c>
    </row>
    <row r="3349" spans="1:7" hidden="1" x14ac:dyDescent="0.25">
      <c r="A3349" t="s">
        <v>1967</v>
      </c>
      <c r="B3349" t="s">
        <v>8</v>
      </c>
      <c r="F3349" t="s">
        <v>10412</v>
      </c>
      <c r="G3349" t="s">
        <v>1076</v>
      </c>
    </row>
    <row r="3350" spans="1:7" hidden="1" x14ac:dyDescent="0.25">
      <c r="A3350" t="s">
        <v>1967</v>
      </c>
      <c r="B3350" t="s">
        <v>8</v>
      </c>
      <c r="F3350" t="s">
        <v>10415</v>
      </c>
      <c r="G3350" t="s">
        <v>1076</v>
      </c>
    </row>
    <row r="3351" spans="1:7" hidden="1" x14ac:dyDescent="0.25">
      <c r="A3351" t="s">
        <v>4</v>
      </c>
      <c r="B3351" t="s">
        <v>2887</v>
      </c>
      <c r="F3351" t="s">
        <v>10418</v>
      </c>
      <c r="G3351" t="s">
        <v>1077</v>
      </c>
    </row>
    <row r="3352" spans="1:7" hidden="1" x14ac:dyDescent="0.25">
      <c r="A3352" t="s">
        <v>4</v>
      </c>
      <c r="B3352" t="s">
        <v>10500</v>
      </c>
      <c r="F3352" t="s">
        <v>10421</v>
      </c>
      <c r="G3352" t="s">
        <v>1077</v>
      </c>
    </row>
    <row r="3353" spans="1:7" hidden="1" x14ac:dyDescent="0.25">
      <c r="A3353" t="s">
        <v>1967</v>
      </c>
      <c r="B3353" t="s">
        <v>8</v>
      </c>
      <c r="F3353" t="s">
        <v>10424</v>
      </c>
      <c r="G3353" t="s">
        <v>1078</v>
      </c>
    </row>
    <row r="3354" spans="1:7" hidden="1" x14ac:dyDescent="0.25">
      <c r="A3354" t="s">
        <v>1967</v>
      </c>
      <c r="B3354" t="s">
        <v>8</v>
      </c>
      <c r="F3354" t="s">
        <v>10427</v>
      </c>
      <c r="G3354" t="s">
        <v>1078</v>
      </c>
    </row>
    <row r="3355" spans="1:7" hidden="1" x14ac:dyDescent="0.25">
      <c r="A3355" t="s">
        <v>1967</v>
      </c>
      <c r="B3355" t="s">
        <v>8</v>
      </c>
      <c r="F3355" t="s">
        <v>10501</v>
      </c>
      <c r="G3355" t="s">
        <v>1079</v>
      </c>
    </row>
    <row r="3356" spans="1:7" hidden="1" x14ac:dyDescent="0.25">
      <c r="A3356" t="s">
        <v>1967</v>
      </c>
      <c r="B3356" t="s">
        <v>8</v>
      </c>
      <c r="F3356" t="s">
        <v>10504</v>
      </c>
      <c r="G3356" t="s">
        <v>1079</v>
      </c>
    </row>
    <row r="3357" spans="1:7" hidden="1" x14ac:dyDescent="0.25">
      <c r="A3357" t="s">
        <v>9291</v>
      </c>
      <c r="B3357" t="s">
        <v>1570</v>
      </c>
      <c r="F3357" t="s">
        <v>10434</v>
      </c>
      <c r="G3357" t="s">
        <v>768</v>
      </c>
    </row>
    <row r="3358" spans="1:7" hidden="1" x14ac:dyDescent="0.25">
      <c r="A3358" t="s">
        <v>9291</v>
      </c>
      <c r="B3358" t="s">
        <v>1570</v>
      </c>
      <c r="E3358" t="s">
        <v>2891</v>
      </c>
      <c r="F3358" t="s">
        <v>10437</v>
      </c>
      <c r="G3358" t="s">
        <v>768</v>
      </c>
    </row>
    <row r="3359" spans="1:7" hidden="1" x14ac:dyDescent="0.25">
      <c r="A3359" t="s">
        <v>9291</v>
      </c>
      <c r="B3359" t="s">
        <v>1570</v>
      </c>
      <c r="E3359" t="s">
        <v>2891</v>
      </c>
      <c r="F3359" t="s">
        <v>10440</v>
      </c>
      <c r="G3359" t="s">
        <v>768</v>
      </c>
    </row>
    <row r="3360" spans="1:7" hidden="1" x14ac:dyDescent="0.25">
      <c r="A3360" t="s">
        <v>9291</v>
      </c>
      <c r="B3360" t="s">
        <v>1570</v>
      </c>
      <c r="E3360" t="s">
        <v>2891</v>
      </c>
      <c r="F3360" t="s">
        <v>10443</v>
      </c>
      <c r="G3360" t="s">
        <v>768</v>
      </c>
    </row>
    <row r="3361" spans="1:7" hidden="1" x14ac:dyDescent="0.25">
      <c r="A3361" t="s">
        <v>9291</v>
      </c>
      <c r="B3361" t="s">
        <v>1570</v>
      </c>
      <c r="E3361" t="s">
        <v>2891</v>
      </c>
      <c r="F3361" t="s">
        <v>10446</v>
      </c>
      <c r="G3361" t="s">
        <v>768</v>
      </c>
    </row>
    <row r="3362" spans="1:7" hidden="1" x14ac:dyDescent="0.25">
      <c r="A3362" t="s">
        <v>9291</v>
      </c>
      <c r="B3362" t="s">
        <v>1570</v>
      </c>
      <c r="E3362" t="s">
        <v>2891</v>
      </c>
      <c r="F3362" t="s">
        <v>10449</v>
      </c>
      <c r="G3362" t="s">
        <v>768</v>
      </c>
    </row>
    <row r="3363" spans="1:7" hidden="1" x14ac:dyDescent="0.25">
      <c r="A3363" t="s">
        <v>9291</v>
      </c>
      <c r="B3363" t="s">
        <v>1570</v>
      </c>
      <c r="E3363" t="s">
        <v>2891</v>
      </c>
      <c r="F3363" t="s">
        <v>10452</v>
      </c>
      <c r="G3363" t="s">
        <v>768</v>
      </c>
    </row>
    <row r="3364" spans="1:7" hidden="1" x14ac:dyDescent="0.25">
      <c r="A3364" t="s">
        <v>9337</v>
      </c>
      <c r="B3364" t="s">
        <v>503</v>
      </c>
      <c r="F3364" t="s">
        <v>10455</v>
      </c>
      <c r="G3364" t="s">
        <v>1072</v>
      </c>
    </row>
    <row r="3365" spans="1:7" hidden="1" x14ac:dyDescent="0.25">
      <c r="A3365" t="s">
        <v>10507</v>
      </c>
      <c r="B3365" t="s">
        <v>503</v>
      </c>
      <c r="F3365" t="s">
        <v>10458</v>
      </c>
      <c r="G3365" t="s">
        <v>1072</v>
      </c>
    </row>
    <row r="3366" spans="1:7" hidden="1" x14ac:dyDescent="0.25">
      <c r="A3366" t="s">
        <v>9337</v>
      </c>
      <c r="B3366" t="s">
        <v>503</v>
      </c>
      <c r="F3366" t="s">
        <v>10461</v>
      </c>
      <c r="G3366" t="s">
        <v>1072</v>
      </c>
    </row>
    <row r="3367" spans="1:7" hidden="1" x14ac:dyDescent="0.25">
      <c r="A3367" t="s">
        <v>10507</v>
      </c>
      <c r="B3367" t="s">
        <v>503</v>
      </c>
      <c r="F3367" t="s">
        <v>10464</v>
      </c>
      <c r="G3367" t="s">
        <v>1072</v>
      </c>
    </row>
    <row r="3368" spans="1:7" hidden="1" x14ac:dyDescent="0.25">
      <c r="A3368" t="s">
        <v>4</v>
      </c>
      <c r="B3368" t="s">
        <v>7615</v>
      </c>
      <c r="F3368" t="s">
        <v>10467</v>
      </c>
      <c r="G3368" t="s">
        <v>1072</v>
      </c>
    </row>
    <row r="3369" spans="1:7" hidden="1" x14ac:dyDescent="0.25">
      <c r="A3369" t="s">
        <v>4</v>
      </c>
      <c r="B3369" t="s">
        <v>10508</v>
      </c>
      <c r="F3369" t="s">
        <v>10470</v>
      </c>
      <c r="G3369" s="1" t="s">
        <v>1566</v>
      </c>
    </row>
    <row r="3370" spans="1:7" hidden="1" x14ac:dyDescent="0.25">
      <c r="A3370" t="s">
        <v>4</v>
      </c>
      <c r="B3370" t="s">
        <v>10508</v>
      </c>
      <c r="F3370" t="s">
        <v>10473</v>
      </c>
      <c r="G3370" s="1" t="s">
        <v>1566</v>
      </c>
    </row>
    <row r="3371" spans="1:7" hidden="1" x14ac:dyDescent="0.25">
      <c r="A3371" t="s">
        <v>4</v>
      </c>
      <c r="B3371" t="s">
        <v>10508</v>
      </c>
      <c r="F3371" t="s">
        <v>10476</v>
      </c>
      <c r="G3371" s="1" t="s">
        <v>1566</v>
      </c>
    </row>
    <row r="3372" spans="1:7" hidden="1" x14ac:dyDescent="0.25">
      <c r="A3372" t="s">
        <v>4</v>
      </c>
      <c r="B3372" t="s">
        <v>10397</v>
      </c>
      <c r="F3372" t="s">
        <v>10479</v>
      </c>
      <c r="G3372" s="1" t="s">
        <v>1566</v>
      </c>
    </row>
    <row r="3373" spans="1:7" hidden="1" x14ac:dyDescent="0.25">
      <c r="A3373" t="s">
        <v>10509</v>
      </c>
      <c r="B3373" t="s">
        <v>503</v>
      </c>
      <c r="F3373" t="s">
        <v>10482</v>
      </c>
      <c r="G3373" t="s">
        <v>1780</v>
      </c>
    </row>
    <row r="3374" spans="1:7" hidden="1" x14ac:dyDescent="0.25">
      <c r="A3374" t="s">
        <v>10510</v>
      </c>
      <c r="B3374" t="s">
        <v>503</v>
      </c>
      <c r="F3374" t="s">
        <v>10485</v>
      </c>
      <c r="G3374" t="s">
        <v>1780</v>
      </c>
    </row>
    <row r="3375" spans="1:7" hidden="1" x14ac:dyDescent="0.25">
      <c r="A3375" t="s">
        <v>1967</v>
      </c>
      <c r="B3375" t="s">
        <v>8</v>
      </c>
      <c r="F3375" t="s">
        <v>10488</v>
      </c>
      <c r="G3375" t="s">
        <v>1897</v>
      </c>
    </row>
    <row r="3376" spans="1:7" hidden="1" x14ac:dyDescent="0.25">
      <c r="A3376" t="s">
        <v>9792</v>
      </c>
      <c r="B3376" t="s">
        <v>4188</v>
      </c>
      <c r="F3376" t="s">
        <v>10491</v>
      </c>
      <c r="G3376" t="s">
        <v>1897</v>
      </c>
    </row>
    <row r="3377" spans="1:7" hidden="1" x14ac:dyDescent="0.25">
      <c r="A3377" t="s">
        <v>1967</v>
      </c>
      <c r="B3377" t="s">
        <v>8</v>
      </c>
      <c r="F3377" t="s">
        <v>10494</v>
      </c>
      <c r="G3377" t="s">
        <v>1960</v>
      </c>
    </row>
    <row r="3378" spans="1:7" hidden="1" x14ac:dyDescent="0.25">
      <c r="A3378" t="s">
        <v>1967</v>
      </c>
      <c r="B3378" t="s">
        <v>8</v>
      </c>
      <c r="F3378" t="s">
        <v>10497</v>
      </c>
      <c r="G3378" t="s">
        <v>1960</v>
      </c>
    </row>
    <row r="3379" spans="1:7" hidden="1" x14ac:dyDescent="0.25">
      <c r="A3379" t="s">
        <v>1967</v>
      </c>
      <c r="F3379" t="s">
        <v>10586</v>
      </c>
      <c r="G3379" t="s">
        <v>1074</v>
      </c>
    </row>
    <row r="3380" spans="1:7" hidden="1" x14ac:dyDescent="0.25">
      <c r="A3380" t="s">
        <v>62</v>
      </c>
      <c r="B3380" t="s">
        <v>10752</v>
      </c>
      <c r="C3380" t="s">
        <v>58</v>
      </c>
      <c r="D3380">
        <v>4</v>
      </c>
      <c r="E3380" t="s">
        <v>9221</v>
      </c>
      <c r="F3380" t="s">
        <v>10589</v>
      </c>
      <c r="G3380" t="s">
        <v>1074</v>
      </c>
    </row>
    <row r="3381" spans="1:7" hidden="1" x14ac:dyDescent="0.25">
      <c r="A3381" t="s">
        <v>158</v>
      </c>
      <c r="B3381" t="s">
        <v>1570</v>
      </c>
      <c r="C3381" t="s">
        <v>2884</v>
      </c>
      <c r="D3381">
        <v>1</v>
      </c>
      <c r="E3381" t="s">
        <v>3030</v>
      </c>
      <c r="F3381" t="s">
        <v>10511</v>
      </c>
      <c r="G3381" t="s">
        <v>1075</v>
      </c>
    </row>
    <row r="3382" spans="1:7" hidden="1" x14ac:dyDescent="0.25">
      <c r="A3382" t="s">
        <v>158</v>
      </c>
      <c r="B3382" t="s">
        <v>1570</v>
      </c>
      <c r="C3382" t="s">
        <v>2884</v>
      </c>
      <c r="D3382">
        <v>1</v>
      </c>
      <c r="E3382" t="s">
        <v>3030</v>
      </c>
      <c r="F3382" t="s">
        <v>10514</v>
      </c>
      <c r="G3382" t="s">
        <v>1075</v>
      </c>
    </row>
    <row r="3383" spans="1:7" hidden="1" x14ac:dyDescent="0.25">
      <c r="A3383" t="s">
        <v>158</v>
      </c>
      <c r="B3383" t="s">
        <v>1570</v>
      </c>
      <c r="C3383" t="s">
        <v>2884</v>
      </c>
      <c r="D3383">
        <v>1</v>
      </c>
      <c r="E3383" t="s">
        <v>3030</v>
      </c>
      <c r="F3383" t="s">
        <v>10517</v>
      </c>
      <c r="G3383" t="s">
        <v>1075</v>
      </c>
    </row>
    <row r="3384" spans="1:7" hidden="1" x14ac:dyDescent="0.25">
      <c r="A3384" t="s">
        <v>158</v>
      </c>
      <c r="B3384" t="s">
        <v>1570</v>
      </c>
      <c r="C3384" t="s">
        <v>2884</v>
      </c>
      <c r="D3384">
        <v>1</v>
      </c>
      <c r="E3384" t="s">
        <v>3030</v>
      </c>
      <c r="F3384" t="s">
        <v>10520</v>
      </c>
      <c r="G3384" t="s">
        <v>1075</v>
      </c>
    </row>
    <row r="3385" spans="1:7" hidden="1" x14ac:dyDescent="0.25">
      <c r="A3385" t="s">
        <v>261</v>
      </c>
      <c r="B3385" t="s">
        <v>10752</v>
      </c>
      <c r="C3385" t="s">
        <v>2884</v>
      </c>
      <c r="D3385">
        <v>1</v>
      </c>
      <c r="F3385" t="s">
        <v>10523</v>
      </c>
      <c r="G3385" t="s">
        <v>1075</v>
      </c>
    </row>
    <row r="3386" spans="1:7" hidden="1" x14ac:dyDescent="0.25">
      <c r="A3386" t="s">
        <v>261</v>
      </c>
      <c r="B3386" t="s">
        <v>10752</v>
      </c>
      <c r="C3386" t="s">
        <v>2884</v>
      </c>
      <c r="D3386">
        <v>1</v>
      </c>
      <c r="E3386" t="s">
        <v>2891</v>
      </c>
      <c r="F3386" t="s">
        <v>10526</v>
      </c>
      <c r="G3386" t="s">
        <v>1075</v>
      </c>
    </row>
    <row r="3387" spans="1:7" hidden="1" x14ac:dyDescent="0.25">
      <c r="A3387" t="s">
        <v>261</v>
      </c>
      <c r="B3387" t="s">
        <v>10752</v>
      </c>
      <c r="C3387" t="s">
        <v>2884</v>
      </c>
      <c r="D3387">
        <v>1</v>
      </c>
      <c r="E3387" t="s">
        <v>2891</v>
      </c>
      <c r="F3387" t="s">
        <v>10529</v>
      </c>
      <c r="G3387" t="s">
        <v>1075</v>
      </c>
    </row>
    <row r="3388" spans="1:7" hidden="1" x14ac:dyDescent="0.25">
      <c r="A3388" t="s">
        <v>261</v>
      </c>
      <c r="B3388" t="s">
        <v>10752</v>
      </c>
      <c r="C3388" t="s">
        <v>2884</v>
      </c>
      <c r="D3388">
        <v>1</v>
      </c>
      <c r="E3388" t="s">
        <v>2891</v>
      </c>
      <c r="F3388" t="s">
        <v>10532</v>
      </c>
      <c r="G3388" t="s">
        <v>1075</v>
      </c>
    </row>
    <row r="3389" spans="1:7" hidden="1" x14ac:dyDescent="0.25">
      <c r="A3389" t="s">
        <v>622</v>
      </c>
      <c r="B3389" t="s">
        <v>10752</v>
      </c>
      <c r="C3389" t="s">
        <v>58</v>
      </c>
      <c r="E3389" t="s">
        <v>9221</v>
      </c>
      <c r="F3389" t="s">
        <v>10535</v>
      </c>
      <c r="G3389" t="s">
        <v>1075</v>
      </c>
    </row>
    <row r="3390" spans="1:7" hidden="1" x14ac:dyDescent="0.25">
      <c r="A3390" t="s">
        <v>158</v>
      </c>
      <c r="B3390" t="s">
        <v>1570</v>
      </c>
      <c r="C3390" t="s">
        <v>2884</v>
      </c>
      <c r="D3390">
        <v>1</v>
      </c>
      <c r="E3390" t="s">
        <v>3030</v>
      </c>
      <c r="F3390" t="s">
        <v>10538</v>
      </c>
      <c r="G3390" t="s">
        <v>1075</v>
      </c>
    </row>
    <row r="3391" spans="1:7" hidden="1" x14ac:dyDescent="0.25">
      <c r="A3391" t="s">
        <v>158</v>
      </c>
      <c r="B3391" t="s">
        <v>1570</v>
      </c>
      <c r="C3391" t="s">
        <v>2884</v>
      </c>
      <c r="D3391">
        <v>2</v>
      </c>
      <c r="E3391" t="s">
        <v>3030</v>
      </c>
      <c r="F3391" t="s">
        <v>10541</v>
      </c>
      <c r="G3391" t="s">
        <v>1075</v>
      </c>
    </row>
    <row r="3392" spans="1:7" hidden="1" x14ac:dyDescent="0.25">
      <c r="A3392" t="s">
        <v>158</v>
      </c>
      <c r="B3392" t="s">
        <v>1570</v>
      </c>
      <c r="C3392" t="s">
        <v>2884</v>
      </c>
      <c r="D3392">
        <v>2</v>
      </c>
      <c r="E3392" t="s">
        <v>3030</v>
      </c>
      <c r="F3392" t="s">
        <v>10544</v>
      </c>
      <c r="G3392" t="s">
        <v>1075</v>
      </c>
    </row>
    <row r="3393" spans="1:7" hidden="1" x14ac:dyDescent="0.25">
      <c r="A3393" t="s">
        <v>158</v>
      </c>
      <c r="B3393" t="s">
        <v>1570</v>
      </c>
      <c r="C3393" t="s">
        <v>2884</v>
      </c>
      <c r="D3393">
        <v>2</v>
      </c>
      <c r="E3393" t="s">
        <v>3030</v>
      </c>
      <c r="F3393" t="s">
        <v>10547</v>
      </c>
      <c r="G3393" t="s">
        <v>1075</v>
      </c>
    </row>
    <row r="3394" spans="1:7" hidden="1" x14ac:dyDescent="0.25">
      <c r="A3394" t="s">
        <v>505</v>
      </c>
      <c r="B3394" t="s">
        <v>503</v>
      </c>
      <c r="C3394" t="s">
        <v>2884</v>
      </c>
      <c r="E3394" t="s">
        <v>10753</v>
      </c>
      <c r="F3394" t="s">
        <v>10553</v>
      </c>
      <c r="G3394" t="s">
        <v>1075</v>
      </c>
    </row>
    <row r="3395" spans="1:7" hidden="1" x14ac:dyDescent="0.25">
      <c r="A3395" t="s">
        <v>505</v>
      </c>
      <c r="B3395" t="s">
        <v>503</v>
      </c>
      <c r="C3395" t="s">
        <v>2884</v>
      </c>
      <c r="E3395" t="s">
        <v>10753</v>
      </c>
      <c r="F3395" t="s">
        <v>10559</v>
      </c>
      <c r="G3395" t="s">
        <v>1075</v>
      </c>
    </row>
    <row r="3396" spans="1:7" hidden="1" x14ac:dyDescent="0.25">
      <c r="A3396" t="s">
        <v>505</v>
      </c>
      <c r="B3396" t="s">
        <v>503</v>
      </c>
      <c r="C3396" t="s">
        <v>2884</v>
      </c>
      <c r="E3396" t="s">
        <v>10753</v>
      </c>
      <c r="F3396" t="s">
        <v>10562</v>
      </c>
      <c r="G3396" t="s">
        <v>1075</v>
      </c>
    </row>
    <row r="3397" spans="1:7" hidden="1" x14ac:dyDescent="0.25">
      <c r="A3397" t="s">
        <v>505</v>
      </c>
      <c r="B3397" t="s">
        <v>503</v>
      </c>
      <c r="C3397" t="s">
        <v>2884</v>
      </c>
      <c r="E3397" t="s">
        <v>10753</v>
      </c>
      <c r="F3397" t="s">
        <v>10568</v>
      </c>
      <c r="G3397" t="s">
        <v>1075</v>
      </c>
    </row>
    <row r="3398" spans="1:7" hidden="1" x14ac:dyDescent="0.25">
      <c r="A3398" t="s">
        <v>505</v>
      </c>
      <c r="B3398" t="s">
        <v>503</v>
      </c>
      <c r="C3398" t="s">
        <v>2884</v>
      </c>
      <c r="E3398" t="s">
        <v>10753</v>
      </c>
      <c r="F3398" t="s">
        <v>10571</v>
      </c>
      <c r="G3398" t="s">
        <v>1075</v>
      </c>
    </row>
    <row r="3399" spans="1:7" hidden="1" x14ac:dyDescent="0.25">
      <c r="A3399" t="s">
        <v>505</v>
      </c>
      <c r="B3399" t="s">
        <v>503</v>
      </c>
      <c r="C3399" t="s">
        <v>2884</v>
      </c>
      <c r="E3399" t="s">
        <v>10753</v>
      </c>
      <c r="F3399" t="s">
        <v>10577</v>
      </c>
      <c r="G3399" t="s">
        <v>1075</v>
      </c>
    </row>
    <row r="3400" spans="1:7" hidden="1" x14ac:dyDescent="0.25">
      <c r="A3400" t="s">
        <v>505</v>
      </c>
      <c r="B3400" t="s">
        <v>503</v>
      </c>
      <c r="C3400" t="s">
        <v>2884</v>
      </c>
      <c r="E3400" t="s">
        <v>10753</v>
      </c>
      <c r="F3400" t="s">
        <v>10550</v>
      </c>
      <c r="G3400" t="s">
        <v>1075</v>
      </c>
    </row>
    <row r="3401" spans="1:7" hidden="1" x14ac:dyDescent="0.25">
      <c r="A3401" t="s">
        <v>505</v>
      </c>
      <c r="B3401" t="s">
        <v>503</v>
      </c>
      <c r="C3401" t="s">
        <v>2884</v>
      </c>
      <c r="E3401" t="s">
        <v>10753</v>
      </c>
      <c r="F3401" t="s">
        <v>10556</v>
      </c>
      <c r="G3401" t="s">
        <v>1075</v>
      </c>
    </row>
    <row r="3402" spans="1:7" hidden="1" x14ac:dyDescent="0.25">
      <c r="A3402" t="s">
        <v>505</v>
      </c>
      <c r="B3402" t="s">
        <v>503</v>
      </c>
      <c r="C3402" t="s">
        <v>2884</v>
      </c>
      <c r="E3402" t="s">
        <v>10753</v>
      </c>
      <c r="F3402" t="s">
        <v>10565</v>
      </c>
      <c r="G3402" t="s">
        <v>1075</v>
      </c>
    </row>
    <row r="3403" spans="1:7" hidden="1" x14ac:dyDescent="0.25">
      <c r="A3403" t="s">
        <v>505</v>
      </c>
      <c r="B3403" t="s">
        <v>503</v>
      </c>
      <c r="C3403" t="s">
        <v>2884</v>
      </c>
      <c r="E3403" t="s">
        <v>10753</v>
      </c>
      <c r="F3403" t="s">
        <v>10574</v>
      </c>
      <c r="G3403" t="s">
        <v>1075</v>
      </c>
    </row>
    <row r="3404" spans="1:7" x14ac:dyDescent="0.25">
      <c r="A3404" t="s">
        <v>4</v>
      </c>
      <c r="B3404" t="s">
        <v>8691</v>
      </c>
      <c r="F3404" t="s">
        <v>10607</v>
      </c>
      <c r="G3404" t="s">
        <v>13425</v>
      </c>
    </row>
    <row r="3405" spans="1:7" x14ac:dyDescent="0.25">
      <c r="A3405" t="s">
        <v>4</v>
      </c>
      <c r="B3405" t="s">
        <v>8691</v>
      </c>
      <c r="F3405" t="s">
        <v>10609</v>
      </c>
      <c r="G3405" t="s">
        <v>13425</v>
      </c>
    </row>
    <row r="3406" spans="1:7" hidden="1" x14ac:dyDescent="0.25">
      <c r="A3406" t="s">
        <v>4</v>
      </c>
      <c r="B3406" t="s">
        <v>10754</v>
      </c>
      <c r="F3406" t="s">
        <v>10580</v>
      </c>
      <c r="G3406" t="s">
        <v>1076</v>
      </c>
    </row>
    <row r="3407" spans="1:7" hidden="1" x14ac:dyDescent="0.25">
      <c r="A3407" t="s">
        <v>4</v>
      </c>
      <c r="B3407" t="s">
        <v>8691</v>
      </c>
      <c r="F3407" t="s">
        <v>10583</v>
      </c>
      <c r="G3407" t="s">
        <v>1076</v>
      </c>
    </row>
    <row r="3408" spans="1:7" hidden="1" x14ac:dyDescent="0.25">
      <c r="A3408" t="s">
        <v>4</v>
      </c>
      <c r="B3408" t="s">
        <v>9754</v>
      </c>
      <c r="F3408" t="s">
        <v>10592</v>
      </c>
      <c r="G3408" t="s">
        <v>1077</v>
      </c>
    </row>
    <row r="3409" spans="1:7" hidden="1" x14ac:dyDescent="0.25">
      <c r="A3409" t="s">
        <v>158</v>
      </c>
      <c r="B3409" t="s">
        <v>86</v>
      </c>
      <c r="C3409" t="s">
        <v>60</v>
      </c>
      <c r="E3409" t="s">
        <v>10755</v>
      </c>
      <c r="F3409" t="s">
        <v>10595</v>
      </c>
      <c r="G3409" t="s">
        <v>1077</v>
      </c>
    </row>
    <row r="3410" spans="1:7" hidden="1" x14ac:dyDescent="0.25">
      <c r="A3410" t="s">
        <v>4</v>
      </c>
      <c r="B3410" t="s">
        <v>2887</v>
      </c>
      <c r="F3410" t="s">
        <v>10598</v>
      </c>
      <c r="G3410" t="s">
        <v>1077</v>
      </c>
    </row>
    <row r="3411" spans="1:7" hidden="1" x14ac:dyDescent="0.25">
      <c r="A3411" t="s">
        <v>4</v>
      </c>
      <c r="B3411" t="s">
        <v>9754</v>
      </c>
      <c r="F3411" t="s">
        <v>10601</v>
      </c>
      <c r="G3411" t="s">
        <v>1077</v>
      </c>
    </row>
    <row r="3412" spans="1:7" hidden="1" x14ac:dyDescent="0.25">
      <c r="A3412" t="s">
        <v>4</v>
      </c>
      <c r="B3412" t="s">
        <v>9754</v>
      </c>
      <c r="F3412" t="s">
        <v>10604</v>
      </c>
      <c r="G3412" t="s">
        <v>1077</v>
      </c>
    </row>
    <row r="3413" spans="1:7" hidden="1" x14ac:dyDescent="0.25">
      <c r="A3413" t="s">
        <v>1967</v>
      </c>
      <c r="B3413" t="s">
        <v>8</v>
      </c>
      <c r="F3413" t="s">
        <v>10650</v>
      </c>
      <c r="G3413" t="s">
        <v>1078</v>
      </c>
    </row>
    <row r="3414" spans="1:7" hidden="1" x14ac:dyDescent="0.25">
      <c r="A3414" t="s">
        <v>1967</v>
      </c>
      <c r="B3414" t="s">
        <v>8</v>
      </c>
      <c r="F3414" t="s">
        <v>10653</v>
      </c>
      <c r="G3414" t="s">
        <v>1078</v>
      </c>
    </row>
    <row r="3415" spans="1:7" hidden="1" x14ac:dyDescent="0.25">
      <c r="A3415" t="s">
        <v>1967</v>
      </c>
      <c r="B3415" t="s">
        <v>8</v>
      </c>
      <c r="F3415" t="s">
        <v>10746</v>
      </c>
      <c r="G3415" t="s">
        <v>1079</v>
      </c>
    </row>
    <row r="3416" spans="1:7" hidden="1" x14ac:dyDescent="0.25">
      <c r="A3416" t="s">
        <v>1967</v>
      </c>
      <c r="B3416" t="s">
        <v>8</v>
      </c>
      <c r="F3416" t="s">
        <v>10749</v>
      </c>
      <c r="G3416" t="s">
        <v>1079</v>
      </c>
    </row>
    <row r="3417" spans="1:7" hidden="1" x14ac:dyDescent="0.25">
      <c r="A3417" t="s">
        <v>10756</v>
      </c>
      <c r="B3417" t="s">
        <v>768</v>
      </c>
      <c r="F3417" t="s">
        <v>10611</v>
      </c>
      <c r="G3417" t="s">
        <v>768</v>
      </c>
    </row>
    <row r="3418" spans="1:7" hidden="1" x14ac:dyDescent="0.25">
      <c r="A3418" t="s">
        <v>10756</v>
      </c>
      <c r="B3418" t="s">
        <v>768</v>
      </c>
      <c r="F3418" t="s">
        <v>10614</v>
      </c>
      <c r="G3418" t="s">
        <v>768</v>
      </c>
    </row>
    <row r="3419" spans="1:7" hidden="1" x14ac:dyDescent="0.25">
      <c r="A3419" t="s">
        <v>1987</v>
      </c>
      <c r="B3419" t="s">
        <v>768</v>
      </c>
      <c r="F3419" t="s">
        <v>10617</v>
      </c>
      <c r="G3419" t="s">
        <v>768</v>
      </c>
    </row>
    <row r="3420" spans="1:7" hidden="1" x14ac:dyDescent="0.25">
      <c r="A3420" t="s">
        <v>10756</v>
      </c>
      <c r="B3420" t="s">
        <v>768</v>
      </c>
      <c r="F3420" t="s">
        <v>10620</v>
      </c>
      <c r="G3420" t="s">
        <v>768</v>
      </c>
    </row>
    <row r="3421" spans="1:7" hidden="1" x14ac:dyDescent="0.25">
      <c r="A3421" t="s">
        <v>1987</v>
      </c>
      <c r="B3421" t="s">
        <v>768</v>
      </c>
      <c r="F3421" t="s">
        <v>10623</v>
      </c>
      <c r="G3421" t="s">
        <v>768</v>
      </c>
    </row>
    <row r="3422" spans="1:7" hidden="1" x14ac:dyDescent="0.25">
      <c r="A3422" t="s">
        <v>1987</v>
      </c>
      <c r="B3422" t="s">
        <v>768</v>
      </c>
      <c r="F3422" t="s">
        <v>10626</v>
      </c>
      <c r="G3422" t="s">
        <v>768</v>
      </c>
    </row>
    <row r="3423" spans="1:7" hidden="1" x14ac:dyDescent="0.25">
      <c r="A3423" t="s">
        <v>1987</v>
      </c>
      <c r="B3423" t="s">
        <v>768</v>
      </c>
      <c r="F3423" t="s">
        <v>10629</v>
      </c>
      <c r="G3423" t="s">
        <v>768</v>
      </c>
    </row>
    <row r="3424" spans="1:7" hidden="1" x14ac:dyDescent="0.25">
      <c r="A3424" t="s">
        <v>9291</v>
      </c>
      <c r="B3424" t="s">
        <v>1570</v>
      </c>
      <c r="F3424" t="s">
        <v>10632</v>
      </c>
      <c r="G3424" t="s">
        <v>768</v>
      </c>
    </row>
    <row r="3425" spans="1:7" hidden="1" x14ac:dyDescent="0.25">
      <c r="A3425" t="s">
        <v>1987</v>
      </c>
      <c r="B3425" t="s">
        <v>768</v>
      </c>
      <c r="F3425" t="s">
        <v>10635</v>
      </c>
      <c r="G3425" t="s">
        <v>768</v>
      </c>
    </row>
    <row r="3426" spans="1:7" hidden="1" x14ac:dyDescent="0.25">
      <c r="A3426" t="s">
        <v>9291</v>
      </c>
      <c r="B3426" t="s">
        <v>1570</v>
      </c>
      <c r="F3426" t="s">
        <v>10638</v>
      </c>
      <c r="G3426" t="s">
        <v>768</v>
      </c>
    </row>
    <row r="3427" spans="1:7" hidden="1" x14ac:dyDescent="0.25">
      <c r="A3427" t="s">
        <v>9291</v>
      </c>
      <c r="B3427" t="s">
        <v>1570</v>
      </c>
      <c r="F3427" t="s">
        <v>10641</v>
      </c>
      <c r="G3427" t="s">
        <v>768</v>
      </c>
    </row>
    <row r="3428" spans="1:7" hidden="1" x14ac:dyDescent="0.25">
      <c r="A3428" t="s">
        <v>1987</v>
      </c>
      <c r="B3428" t="s">
        <v>768</v>
      </c>
      <c r="F3428" t="s">
        <v>10644</v>
      </c>
      <c r="G3428" t="s">
        <v>768</v>
      </c>
    </row>
    <row r="3429" spans="1:7" hidden="1" x14ac:dyDescent="0.25">
      <c r="A3429" t="s">
        <v>1987</v>
      </c>
      <c r="B3429" t="s">
        <v>768</v>
      </c>
      <c r="F3429" t="s">
        <v>10647</v>
      </c>
      <c r="G3429" t="s">
        <v>768</v>
      </c>
    </row>
    <row r="3430" spans="1:7" hidden="1" x14ac:dyDescent="0.25">
      <c r="A3430" t="s">
        <v>9337</v>
      </c>
      <c r="B3430" t="s">
        <v>503</v>
      </c>
      <c r="F3430" t="s">
        <v>10656</v>
      </c>
      <c r="G3430" t="s">
        <v>1072</v>
      </c>
    </row>
    <row r="3431" spans="1:7" hidden="1" x14ac:dyDescent="0.25">
      <c r="A3431" t="s">
        <v>4</v>
      </c>
      <c r="B3431" t="s">
        <v>7615</v>
      </c>
      <c r="F3431" t="s">
        <v>10659</v>
      </c>
      <c r="G3431" t="s">
        <v>1072</v>
      </c>
    </row>
    <row r="3432" spans="1:7" hidden="1" x14ac:dyDescent="0.25">
      <c r="A3432" t="s">
        <v>5407</v>
      </c>
      <c r="B3432" t="s">
        <v>5411</v>
      </c>
      <c r="C3432" t="s">
        <v>9088</v>
      </c>
      <c r="F3432" t="s">
        <v>10662</v>
      </c>
      <c r="G3432" t="s">
        <v>1072</v>
      </c>
    </row>
    <row r="3433" spans="1:7" hidden="1" x14ac:dyDescent="0.25">
      <c r="A3433" t="s">
        <v>9572</v>
      </c>
      <c r="B3433" t="s">
        <v>5071</v>
      </c>
      <c r="F3433" t="s">
        <v>10665</v>
      </c>
      <c r="G3433" t="s">
        <v>1072</v>
      </c>
    </row>
    <row r="3434" spans="1:7" hidden="1" x14ac:dyDescent="0.25">
      <c r="A3434" t="s">
        <v>5407</v>
      </c>
      <c r="B3434" t="s">
        <v>5411</v>
      </c>
      <c r="C3434" t="s">
        <v>9088</v>
      </c>
      <c r="F3434" t="s">
        <v>10668</v>
      </c>
      <c r="G3434" t="s">
        <v>1072</v>
      </c>
    </row>
    <row r="3435" spans="1:7" hidden="1" x14ac:dyDescent="0.25">
      <c r="A3435" t="s">
        <v>158</v>
      </c>
      <c r="B3435" t="s">
        <v>9087</v>
      </c>
      <c r="C3435" t="s">
        <v>2884</v>
      </c>
      <c r="F3435" t="s">
        <v>10671</v>
      </c>
      <c r="G3435" t="s">
        <v>1072</v>
      </c>
    </row>
    <row r="3436" spans="1:7" hidden="1" x14ac:dyDescent="0.25">
      <c r="A3436" t="s">
        <v>9086</v>
      </c>
      <c r="B3436" t="s">
        <v>5071</v>
      </c>
      <c r="F3436" t="s">
        <v>10674</v>
      </c>
      <c r="G3436" t="s">
        <v>1072</v>
      </c>
    </row>
    <row r="3437" spans="1:7" hidden="1" x14ac:dyDescent="0.25">
      <c r="A3437" t="s">
        <v>9337</v>
      </c>
      <c r="B3437" t="s">
        <v>503</v>
      </c>
      <c r="F3437" t="s">
        <v>10677</v>
      </c>
      <c r="G3437" t="s">
        <v>1072</v>
      </c>
    </row>
    <row r="3438" spans="1:7" hidden="1" x14ac:dyDescent="0.25">
      <c r="A3438" t="s">
        <v>9086</v>
      </c>
      <c r="B3438" t="s">
        <v>5071</v>
      </c>
      <c r="F3438" t="s">
        <v>10680</v>
      </c>
      <c r="G3438" t="s">
        <v>1072</v>
      </c>
    </row>
    <row r="3439" spans="1:7" hidden="1" x14ac:dyDescent="0.25">
      <c r="A3439" t="s">
        <v>9086</v>
      </c>
      <c r="B3439" t="s">
        <v>5071</v>
      </c>
      <c r="F3439" t="s">
        <v>10683</v>
      </c>
      <c r="G3439" t="s">
        <v>1072</v>
      </c>
    </row>
    <row r="3440" spans="1:7" hidden="1" x14ac:dyDescent="0.25">
      <c r="A3440" t="s">
        <v>1987</v>
      </c>
      <c r="B3440" t="s">
        <v>1267</v>
      </c>
      <c r="E3440" t="s">
        <v>10757</v>
      </c>
      <c r="F3440" t="s">
        <v>10686</v>
      </c>
      <c r="G3440" t="s">
        <v>1072</v>
      </c>
    </row>
    <row r="3441" spans="1:7" hidden="1" x14ac:dyDescent="0.25">
      <c r="A3441" t="s">
        <v>9086</v>
      </c>
      <c r="B3441" t="s">
        <v>5071</v>
      </c>
      <c r="F3441" t="s">
        <v>10689</v>
      </c>
      <c r="G3441" t="s">
        <v>1072</v>
      </c>
    </row>
    <row r="3442" spans="1:7" hidden="1" x14ac:dyDescent="0.25">
      <c r="A3442" t="s">
        <v>4164</v>
      </c>
      <c r="B3442" t="s">
        <v>86</v>
      </c>
      <c r="C3442" t="s">
        <v>9088</v>
      </c>
      <c r="F3442" t="s">
        <v>10692</v>
      </c>
      <c r="G3442" s="1" t="s">
        <v>1566</v>
      </c>
    </row>
    <row r="3443" spans="1:7" hidden="1" x14ac:dyDescent="0.25">
      <c r="A3443" t="s">
        <v>505</v>
      </c>
      <c r="B3443" t="s">
        <v>1570</v>
      </c>
      <c r="C3443" t="s">
        <v>2884</v>
      </c>
      <c r="F3443" t="s">
        <v>10695</v>
      </c>
      <c r="G3443" s="1" t="s">
        <v>1566</v>
      </c>
    </row>
    <row r="3444" spans="1:7" hidden="1" x14ac:dyDescent="0.25">
      <c r="A3444" t="s">
        <v>4164</v>
      </c>
      <c r="B3444" t="s">
        <v>86</v>
      </c>
      <c r="C3444" t="s">
        <v>9088</v>
      </c>
      <c r="F3444" t="s">
        <v>10698</v>
      </c>
      <c r="G3444" s="1" t="s">
        <v>1566</v>
      </c>
    </row>
    <row r="3445" spans="1:7" hidden="1" x14ac:dyDescent="0.25">
      <c r="A3445" t="s">
        <v>505</v>
      </c>
      <c r="B3445" t="s">
        <v>1570</v>
      </c>
      <c r="C3445" t="s">
        <v>2884</v>
      </c>
      <c r="E3445" t="s">
        <v>6258</v>
      </c>
      <c r="F3445" t="s">
        <v>10701</v>
      </c>
      <c r="G3445" s="1" t="s">
        <v>1566</v>
      </c>
    </row>
    <row r="3446" spans="1:7" hidden="1" x14ac:dyDescent="0.25">
      <c r="A3446" t="s">
        <v>505</v>
      </c>
      <c r="B3446" t="s">
        <v>1570</v>
      </c>
      <c r="C3446" t="s">
        <v>2884</v>
      </c>
      <c r="F3446" t="s">
        <v>10704</v>
      </c>
      <c r="G3446" s="1" t="s">
        <v>1566</v>
      </c>
    </row>
    <row r="3447" spans="1:7" hidden="1" x14ac:dyDescent="0.25">
      <c r="A3447" t="s">
        <v>505</v>
      </c>
      <c r="B3447" t="s">
        <v>1570</v>
      </c>
      <c r="C3447" t="s">
        <v>2884</v>
      </c>
      <c r="F3447" t="s">
        <v>10707</v>
      </c>
      <c r="G3447" s="1" t="s">
        <v>1566</v>
      </c>
    </row>
    <row r="3448" spans="1:7" hidden="1" x14ac:dyDescent="0.25">
      <c r="A3448" t="s">
        <v>505</v>
      </c>
      <c r="B3448" t="s">
        <v>1570</v>
      </c>
      <c r="C3448" t="s">
        <v>2884</v>
      </c>
      <c r="F3448" t="s">
        <v>10710</v>
      </c>
      <c r="G3448" s="1" t="s">
        <v>1566</v>
      </c>
    </row>
    <row r="3449" spans="1:7" hidden="1" x14ac:dyDescent="0.25">
      <c r="A3449" t="s">
        <v>505</v>
      </c>
      <c r="B3449" t="s">
        <v>1570</v>
      </c>
      <c r="C3449" t="s">
        <v>2884</v>
      </c>
      <c r="F3449" t="s">
        <v>10713</v>
      </c>
      <c r="G3449" s="1" t="s">
        <v>1566</v>
      </c>
    </row>
    <row r="3450" spans="1:7" hidden="1" x14ac:dyDescent="0.25">
      <c r="A3450" t="s">
        <v>505</v>
      </c>
      <c r="B3450" t="s">
        <v>1570</v>
      </c>
      <c r="C3450" t="s">
        <v>2884</v>
      </c>
      <c r="F3450" t="s">
        <v>10716</v>
      </c>
      <c r="G3450" s="1" t="s">
        <v>1566</v>
      </c>
    </row>
    <row r="3451" spans="1:7" hidden="1" x14ac:dyDescent="0.25">
      <c r="A3451" t="s">
        <v>505</v>
      </c>
      <c r="B3451" t="s">
        <v>1570</v>
      </c>
      <c r="C3451" t="s">
        <v>2884</v>
      </c>
      <c r="F3451" t="s">
        <v>10719</v>
      </c>
      <c r="G3451" s="1" t="s">
        <v>1566</v>
      </c>
    </row>
    <row r="3452" spans="1:7" hidden="1" x14ac:dyDescent="0.25">
      <c r="A3452" t="s">
        <v>1967</v>
      </c>
      <c r="B3452" t="s">
        <v>8</v>
      </c>
      <c r="F3452" t="s">
        <v>10722</v>
      </c>
      <c r="G3452" t="s">
        <v>1780</v>
      </c>
    </row>
    <row r="3453" spans="1:7" hidden="1" x14ac:dyDescent="0.25">
      <c r="A3453" t="s">
        <v>1967</v>
      </c>
      <c r="B3453" t="s">
        <v>8</v>
      </c>
      <c r="F3453" t="s">
        <v>10725</v>
      </c>
      <c r="G3453" t="s">
        <v>1780</v>
      </c>
    </row>
    <row r="3454" spans="1:7" hidden="1" x14ac:dyDescent="0.25">
      <c r="A3454" t="s">
        <v>9754</v>
      </c>
      <c r="B3454" t="s">
        <v>9087</v>
      </c>
      <c r="F3454" t="s">
        <v>10728</v>
      </c>
      <c r="G3454" t="s">
        <v>1897</v>
      </c>
    </row>
    <row r="3455" spans="1:7" hidden="1" x14ac:dyDescent="0.25">
      <c r="A3455" t="s">
        <v>9754</v>
      </c>
      <c r="B3455" t="s">
        <v>9087</v>
      </c>
      <c r="E3455" t="s">
        <v>2891</v>
      </c>
      <c r="F3455" t="s">
        <v>10731</v>
      </c>
      <c r="G3455" t="s">
        <v>1897</v>
      </c>
    </row>
    <row r="3456" spans="1:7" hidden="1" x14ac:dyDescent="0.25">
      <c r="A3456" t="s">
        <v>9754</v>
      </c>
      <c r="B3456" t="s">
        <v>9087</v>
      </c>
      <c r="E3456" t="s">
        <v>2891</v>
      </c>
      <c r="F3456" t="s">
        <v>10734</v>
      </c>
      <c r="G3456" t="s">
        <v>1897</v>
      </c>
    </row>
    <row r="3457" spans="1:7" hidden="1" x14ac:dyDescent="0.25">
      <c r="A3457" t="s">
        <v>9754</v>
      </c>
      <c r="B3457" t="s">
        <v>9087</v>
      </c>
      <c r="E3457" t="s">
        <v>2891</v>
      </c>
      <c r="F3457" t="s">
        <v>10737</v>
      </c>
      <c r="G3457" t="s">
        <v>1897</v>
      </c>
    </row>
    <row r="3458" spans="1:7" hidden="1" x14ac:dyDescent="0.25">
      <c r="A3458" t="s">
        <v>1967</v>
      </c>
      <c r="B3458" t="s">
        <v>8</v>
      </c>
      <c r="F3458" t="s">
        <v>10740</v>
      </c>
      <c r="G3458" t="s">
        <v>1960</v>
      </c>
    </row>
    <row r="3459" spans="1:7" hidden="1" x14ac:dyDescent="0.25">
      <c r="A3459" t="s">
        <v>1967</v>
      </c>
      <c r="B3459" t="s">
        <v>8</v>
      </c>
      <c r="F3459" t="s">
        <v>10743</v>
      </c>
      <c r="G3459" t="s">
        <v>1960</v>
      </c>
    </row>
    <row r="3460" spans="1:7" hidden="1" x14ac:dyDescent="0.25">
      <c r="A3460" t="s">
        <v>91</v>
      </c>
      <c r="B3460" t="s">
        <v>70</v>
      </c>
      <c r="C3460" t="s">
        <v>5010</v>
      </c>
      <c r="F3460" t="s">
        <v>10768</v>
      </c>
      <c r="G3460" t="s">
        <v>1074</v>
      </c>
    </row>
    <row r="3461" spans="1:7" hidden="1" x14ac:dyDescent="0.25">
      <c r="A3461" t="s">
        <v>62</v>
      </c>
      <c r="B3461" t="s">
        <v>70</v>
      </c>
      <c r="C3461" t="s">
        <v>5027</v>
      </c>
      <c r="F3461" t="s">
        <v>10771</v>
      </c>
      <c r="G3461" t="s">
        <v>1074</v>
      </c>
    </row>
    <row r="3462" spans="1:7" hidden="1" x14ac:dyDescent="0.25">
      <c r="A3462" t="s">
        <v>1569</v>
      </c>
      <c r="B3462" t="s">
        <v>10015</v>
      </c>
      <c r="F3462" t="s">
        <v>10758</v>
      </c>
      <c r="G3462" t="s">
        <v>1075</v>
      </c>
    </row>
    <row r="3463" spans="1:7" hidden="1" x14ac:dyDescent="0.25">
      <c r="A3463" t="s">
        <v>622</v>
      </c>
      <c r="B3463" t="s">
        <v>10015</v>
      </c>
      <c r="F3463" t="s">
        <v>10761</v>
      </c>
      <c r="G3463" t="s">
        <v>1075</v>
      </c>
    </row>
    <row r="3464" spans="1:7" x14ac:dyDescent="0.25">
      <c r="A3464" t="s">
        <v>4</v>
      </c>
      <c r="B3464" t="s">
        <v>8691</v>
      </c>
      <c r="F3464" t="s">
        <v>10764</v>
      </c>
      <c r="G3464" t="s">
        <v>13425</v>
      </c>
    </row>
    <row r="3465" spans="1:7" x14ac:dyDescent="0.25">
      <c r="A3465" t="s">
        <v>4</v>
      </c>
      <c r="B3465" t="s">
        <v>8691</v>
      </c>
      <c r="F3465" t="s">
        <v>10766</v>
      </c>
      <c r="G3465" t="s">
        <v>13425</v>
      </c>
    </row>
    <row r="3466" spans="1:7" hidden="1" x14ac:dyDescent="0.25">
      <c r="A3466" t="s">
        <v>4</v>
      </c>
      <c r="B3466" t="s">
        <v>70</v>
      </c>
      <c r="C3466" t="s">
        <v>5027</v>
      </c>
      <c r="F3466" t="s">
        <v>10774</v>
      </c>
      <c r="G3466" t="s">
        <v>1076</v>
      </c>
    </row>
    <row r="3467" spans="1:7" hidden="1" x14ac:dyDescent="0.25">
      <c r="A3467" t="s">
        <v>261</v>
      </c>
      <c r="B3467" t="s">
        <v>70</v>
      </c>
      <c r="C3467" t="s">
        <v>5027</v>
      </c>
      <c r="F3467" t="s">
        <v>10777</v>
      </c>
      <c r="G3467" t="s">
        <v>1076</v>
      </c>
    </row>
    <row r="3468" spans="1:7" hidden="1" x14ac:dyDescent="0.25">
      <c r="A3468" t="s">
        <v>4</v>
      </c>
      <c r="B3468" t="s">
        <v>7947</v>
      </c>
      <c r="F3468" t="s">
        <v>10780</v>
      </c>
      <c r="G3468" t="s">
        <v>1077</v>
      </c>
    </row>
    <row r="3469" spans="1:7" hidden="1" x14ac:dyDescent="0.25">
      <c r="A3469" t="s">
        <v>4</v>
      </c>
      <c r="B3469" t="s">
        <v>7947</v>
      </c>
      <c r="F3469" t="s">
        <v>10783</v>
      </c>
      <c r="G3469" t="s">
        <v>1077</v>
      </c>
    </row>
    <row r="3470" spans="1:7" hidden="1" x14ac:dyDescent="0.25">
      <c r="A3470" t="s">
        <v>1967</v>
      </c>
      <c r="B3470" t="s">
        <v>8</v>
      </c>
      <c r="F3470" t="s">
        <v>10786</v>
      </c>
      <c r="G3470" t="s">
        <v>1078</v>
      </c>
    </row>
    <row r="3471" spans="1:7" hidden="1" x14ac:dyDescent="0.25">
      <c r="A3471" t="s">
        <v>1967</v>
      </c>
      <c r="B3471" t="s">
        <v>8</v>
      </c>
      <c r="F3471" t="s">
        <v>10870</v>
      </c>
      <c r="G3471" t="s">
        <v>1079</v>
      </c>
    </row>
    <row r="3472" spans="1:7" hidden="1" x14ac:dyDescent="0.25">
      <c r="A3472" t="s">
        <v>4</v>
      </c>
      <c r="B3472" t="s">
        <v>9</v>
      </c>
      <c r="F3472" t="s">
        <v>10789</v>
      </c>
      <c r="G3472" t="s">
        <v>768</v>
      </c>
    </row>
    <row r="3473" spans="1:7" hidden="1" x14ac:dyDescent="0.25">
      <c r="A3473" t="s">
        <v>9291</v>
      </c>
      <c r="B3473" t="s">
        <v>1570</v>
      </c>
      <c r="F3473" t="s">
        <v>10792</v>
      </c>
      <c r="G3473" t="s">
        <v>768</v>
      </c>
    </row>
    <row r="3474" spans="1:7" hidden="1" x14ac:dyDescent="0.25">
      <c r="A3474" t="s">
        <v>10756</v>
      </c>
      <c r="B3474" t="s">
        <v>768</v>
      </c>
      <c r="F3474" t="s">
        <v>10795</v>
      </c>
      <c r="G3474" t="s">
        <v>768</v>
      </c>
    </row>
    <row r="3475" spans="1:7" hidden="1" x14ac:dyDescent="0.25">
      <c r="A3475" t="s">
        <v>1987</v>
      </c>
      <c r="B3475" t="s">
        <v>768</v>
      </c>
      <c r="F3475" t="s">
        <v>10798</v>
      </c>
      <c r="G3475" t="s">
        <v>768</v>
      </c>
    </row>
    <row r="3476" spans="1:7" hidden="1" x14ac:dyDescent="0.25">
      <c r="A3476" t="s">
        <v>10756</v>
      </c>
      <c r="B3476" t="s">
        <v>768</v>
      </c>
      <c r="F3476" t="s">
        <v>10801</v>
      </c>
      <c r="G3476" t="s">
        <v>768</v>
      </c>
    </row>
    <row r="3477" spans="1:7" hidden="1" x14ac:dyDescent="0.25">
      <c r="A3477" t="s">
        <v>1987</v>
      </c>
      <c r="B3477" t="s">
        <v>768</v>
      </c>
      <c r="F3477" t="s">
        <v>10804</v>
      </c>
      <c r="G3477" t="s">
        <v>768</v>
      </c>
    </row>
    <row r="3478" spans="1:7" hidden="1" x14ac:dyDescent="0.25">
      <c r="A3478" t="s">
        <v>10756</v>
      </c>
      <c r="B3478" t="s">
        <v>768</v>
      </c>
      <c r="F3478" t="s">
        <v>10807</v>
      </c>
      <c r="G3478" t="s">
        <v>768</v>
      </c>
    </row>
    <row r="3479" spans="1:7" hidden="1" x14ac:dyDescent="0.25">
      <c r="A3479" t="s">
        <v>1987</v>
      </c>
      <c r="B3479" t="s">
        <v>768</v>
      </c>
      <c r="F3479" t="s">
        <v>10810</v>
      </c>
      <c r="G3479" t="s">
        <v>768</v>
      </c>
    </row>
    <row r="3480" spans="1:7" hidden="1" x14ac:dyDescent="0.25">
      <c r="A3480" t="s">
        <v>9337</v>
      </c>
      <c r="B3480" t="s">
        <v>503</v>
      </c>
      <c r="F3480" t="s">
        <v>10813</v>
      </c>
      <c r="G3480" t="s">
        <v>1072</v>
      </c>
    </row>
    <row r="3481" spans="1:7" hidden="1" x14ac:dyDescent="0.25">
      <c r="A3481" t="s">
        <v>4</v>
      </c>
      <c r="B3481" t="s">
        <v>7615</v>
      </c>
      <c r="F3481" t="s">
        <v>10816</v>
      </c>
      <c r="G3481" t="s">
        <v>1072</v>
      </c>
    </row>
    <row r="3482" spans="1:7" hidden="1" x14ac:dyDescent="0.25">
      <c r="A3482" t="s">
        <v>4</v>
      </c>
      <c r="B3482" t="s">
        <v>5411</v>
      </c>
      <c r="E3482" t="s">
        <v>5410</v>
      </c>
      <c r="F3482" t="s">
        <v>10819</v>
      </c>
      <c r="G3482" t="s">
        <v>1072</v>
      </c>
    </row>
    <row r="3483" spans="1:7" hidden="1" x14ac:dyDescent="0.25">
      <c r="A3483" t="s">
        <v>1569</v>
      </c>
      <c r="B3483" t="s">
        <v>70</v>
      </c>
      <c r="F3483" t="s">
        <v>10822</v>
      </c>
      <c r="G3483" s="1" t="s">
        <v>1566</v>
      </c>
    </row>
    <row r="3484" spans="1:7" hidden="1" x14ac:dyDescent="0.25">
      <c r="A3484" t="s">
        <v>261</v>
      </c>
      <c r="B3484" t="s">
        <v>70</v>
      </c>
      <c r="C3484" t="s">
        <v>10873</v>
      </c>
      <c r="F3484" t="s">
        <v>10825</v>
      </c>
      <c r="G3484" s="1" t="s">
        <v>1566</v>
      </c>
    </row>
    <row r="3485" spans="1:7" hidden="1" x14ac:dyDescent="0.25">
      <c r="A3485" t="s">
        <v>261</v>
      </c>
      <c r="B3485" t="s">
        <v>70</v>
      </c>
      <c r="C3485" t="s">
        <v>10873</v>
      </c>
      <c r="E3485" t="s">
        <v>2891</v>
      </c>
      <c r="F3485" t="s">
        <v>10828</v>
      </c>
      <c r="G3485" s="1" t="s">
        <v>1566</v>
      </c>
    </row>
    <row r="3486" spans="1:7" hidden="1" x14ac:dyDescent="0.25">
      <c r="A3486" t="s">
        <v>261</v>
      </c>
      <c r="B3486" t="s">
        <v>70</v>
      </c>
      <c r="C3486" t="s">
        <v>10873</v>
      </c>
      <c r="E3486" t="s">
        <v>2891</v>
      </c>
      <c r="F3486" t="s">
        <v>10831</v>
      </c>
      <c r="G3486" s="1" t="s">
        <v>1566</v>
      </c>
    </row>
    <row r="3487" spans="1:7" hidden="1" x14ac:dyDescent="0.25">
      <c r="A3487" t="s">
        <v>261</v>
      </c>
      <c r="B3487" t="s">
        <v>70</v>
      </c>
      <c r="C3487" t="s">
        <v>10873</v>
      </c>
      <c r="E3487" t="s">
        <v>2891</v>
      </c>
      <c r="F3487" t="s">
        <v>10834</v>
      </c>
      <c r="G3487" s="1" t="s">
        <v>1566</v>
      </c>
    </row>
    <row r="3488" spans="1:7" hidden="1" x14ac:dyDescent="0.25">
      <c r="A3488" t="s">
        <v>622</v>
      </c>
      <c r="B3488" t="s">
        <v>70</v>
      </c>
      <c r="F3488" t="s">
        <v>10837</v>
      </c>
      <c r="G3488" s="1" t="s">
        <v>1566</v>
      </c>
    </row>
    <row r="3489" spans="1:7" hidden="1" x14ac:dyDescent="0.25">
      <c r="A3489" t="s">
        <v>4164</v>
      </c>
      <c r="B3489" t="s">
        <v>86</v>
      </c>
      <c r="C3489" t="s">
        <v>9088</v>
      </c>
      <c r="F3489" t="s">
        <v>10840</v>
      </c>
      <c r="G3489" s="1" t="s">
        <v>1566</v>
      </c>
    </row>
    <row r="3490" spans="1:7" hidden="1" x14ac:dyDescent="0.25">
      <c r="A3490" t="s">
        <v>159</v>
      </c>
      <c r="B3490" t="s">
        <v>10015</v>
      </c>
      <c r="F3490" t="s">
        <v>10843</v>
      </c>
      <c r="G3490" s="1" t="s">
        <v>1566</v>
      </c>
    </row>
    <row r="3491" spans="1:7" hidden="1" x14ac:dyDescent="0.25">
      <c r="A3491" t="s">
        <v>1569</v>
      </c>
      <c r="B3491" t="s">
        <v>10015</v>
      </c>
      <c r="F3491" t="s">
        <v>10846</v>
      </c>
      <c r="G3491" s="1" t="s">
        <v>1566</v>
      </c>
    </row>
    <row r="3492" spans="1:7" hidden="1" x14ac:dyDescent="0.25">
      <c r="A3492" t="s">
        <v>4</v>
      </c>
      <c r="B3492" t="s">
        <v>10874</v>
      </c>
      <c r="F3492" t="s">
        <v>10849</v>
      </c>
      <c r="G3492" s="1" t="s">
        <v>1566</v>
      </c>
    </row>
    <row r="3493" spans="1:7" hidden="1" x14ac:dyDescent="0.25">
      <c r="A3493" t="s">
        <v>622</v>
      </c>
      <c r="B3493" t="s">
        <v>10015</v>
      </c>
      <c r="F3493" t="s">
        <v>10852</v>
      </c>
      <c r="G3493" s="1" t="s">
        <v>1566</v>
      </c>
    </row>
    <row r="3494" spans="1:7" hidden="1" x14ac:dyDescent="0.25">
      <c r="A3494" t="s">
        <v>1967</v>
      </c>
      <c r="B3494" t="s">
        <v>8</v>
      </c>
      <c r="F3494" t="s">
        <v>10855</v>
      </c>
      <c r="G3494" t="s">
        <v>1780</v>
      </c>
    </row>
    <row r="3495" spans="1:7" hidden="1" x14ac:dyDescent="0.25">
      <c r="A3495" t="s">
        <v>1967</v>
      </c>
      <c r="B3495" t="s">
        <v>8</v>
      </c>
      <c r="F3495" t="s">
        <v>10858</v>
      </c>
      <c r="G3495" t="s">
        <v>1780</v>
      </c>
    </row>
    <row r="3496" spans="1:7" hidden="1" x14ac:dyDescent="0.25">
      <c r="A3496" t="s">
        <v>10875</v>
      </c>
      <c r="B3496" t="s">
        <v>9087</v>
      </c>
      <c r="F3496" t="s">
        <v>10861</v>
      </c>
      <c r="G3496" t="s">
        <v>1897</v>
      </c>
    </row>
    <row r="3497" spans="1:7" hidden="1" x14ac:dyDescent="0.25">
      <c r="A3497" t="s">
        <v>4</v>
      </c>
      <c r="B3497" t="s">
        <v>8</v>
      </c>
      <c r="F3497" t="s">
        <v>10864</v>
      </c>
      <c r="G3497" t="s">
        <v>1897</v>
      </c>
    </row>
    <row r="3498" spans="1:7" hidden="1" x14ac:dyDescent="0.25">
      <c r="A3498" t="s">
        <v>1967</v>
      </c>
      <c r="B3498" t="s">
        <v>8</v>
      </c>
      <c r="F3498" t="s">
        <v>10867</v>
      </c>
      <c r="G3498" t="s">
        <v>1960</v>
      </c>
    </row>
    <row r="3499" spans="1:7" hidden="1" x14ac:dyDescent="0.25">
      <c r="A3499" t="s">
        <v>91</v>
      </c>
      <c r="B3499" t="s">
        <v>10988</v>
      </c>
      <c r="F3499" t="s">
        <v>10876</v>
      </c>
      <c r="G3499" t="s">
        <v>1074</v>
      </c>
    </row>
    <row r="3500" spans="1:7" hidden="1" x14ac:dyDescent="0.25">
      <c r="A3500" t="s">
        <v>62</v>
      </c>
      <c r="B3500" t="s">
        <v>10988</v>
      </c>
      <c r="C3500" t="s">
        <v>53</v>
      </c>
      <c r="D3500">
        <v>11</v>
      </c>
      <c r="F3500" t="s">
        <v>10879</v>
      </c>
      <c r="G3500" t="s">
        <v>1074</v>
      </c>
    </row>
    <row r="3501" spans="1:7" hidden="1" x14ac:dyDescent="0.25">
      <c r="A3501" t="s">
        <v>91</v>
      </c>
      <c r="B3501" t="s">
        <v>10989</v>
      </c>
      <c r="F3501" t="s">
        <v>10882</v>
      </c>
      <c r="G3501" t="s">
        <v>1074</v>
      </c>
    </row>
    <row r="3502" spans="1:7" hidden="1" x14ac:dyDescent="0.25">
      <c r="A3502" t="s">
        <v>1967</v>
      </c>
      <c r="F3502" t="s">
        <v>10885</v>
      </c>
      <c r="G3502" t="s">
        <v>1074</v>
      </c>
    </row>
    <row r="3503" spans="1:7" hidden="1" x14ac:dyDescent="0.25">
      <c r="A3503" t="s">
        <v>1967</v>
      </c>
      <c r="B3503" t="s">
        <v>8</v>
      </c>
      <c r="F3503" t="s">
        <v>10888</v>
      </c>
      <c r="G3503" t="s">
        <v>1075</v>
      </c>
    </row>
    <row r="3504" spans="1:7" hidden="1" x14ac:dyDescent="0.25">
      <c r="A3504" t="s">
        <v>1967</v>
      </c>
      <c r="B3504" t="s">
        <v>8</v>
      </c>
      <c r="F3504" t="s">
        <v>10891</v>
      </c>
      <c r="G3504" t="s">
        <v>1075</v>
      </c>
    </row>
    <row r="3505" spans="1:7" x14ac:dyDescent="0.25">
      <c r="A3505" t="s">
        <v>4</v>
      </c>
      <c r="B3505" t="s">
        <v>10988</v>
      </c>
      <c r="F3505" t="s">
        <v>10927</v>
      </c>
      <c r="G3505" t="s">
        <v>13425</v>
      </c>
    </row>
    <row r="3506" spans="1:7" x14ac:dyDescent="0.25">
      <c r="A3506" t="s">
        <v>1967</v>
      </c>
      <c r="B3506" t="s">
        <v>8</v>
      </c>
      <c r="F3506" t="s">
        <v>10929</v>
      </c>
      <c r="G3506" t="s">
        <v>13425</v>
      </c>
    </row>
    <row r="3507" spans="1:7" hidden="1" x14ac:dyDescent="0.25">
      <c r="A3507" t="s">
        <v>1967</v>
      </c>
      <c r="B3507" t="s">
        <v>8</v>
      </c>
      <c r="F3507" t="s">
        <v>10894</v>
      </c>
      <c r="G3507" t="s">
        <v>1076</v>
      </c>
    </row>
    <row r="3508" spans="1:7" hidden="1" x14ac:dyDescent="0.25">
      <c r="A3508" t="s">
        <v>1967</v>
      </c>
      <c r="B3508" t="s">
        <v>8</v>
      </c>
      <c r="F3508" t="s">
        <v>10897</v>
      </c>
      <c r="G3508" t="s">
        <v>1076</v>
      </c>
    </row>
    <row r="3509" spans="1:7" hidden="1" x14ac:dyDescent="0.25">
      <c r="A3509" t="s">
        <v>4</v>
      </c>
      <c r="B3509" t="s">
        <v>8</v>
      </c>
      <c r="F3509" t="s">
        <v>10931</v>
      </c>
      <c r="G3509" t="s">
        <v>1077</v>
      </c>
    </row>
    <row r="3510" spans="1:7" hidden="1" x14ac:dyDescent="0.25">
      <c r="A3510" t="s">
        <v>622</v>
      </c>
      <c r="B3510" t="s">
        <v>10989</v>
      </c>
      <c r="E3510" t="s">
        <v>10990</v>
      </c>
      <c r="F3510" t="s">
        <v>10934</v>
      </c>
      <c r="G3510" t="s">
        <v>1077</v>
      </c>
    </row>
    <row r="3511" spans="1:7" hidden="1" x14ac:dyDescent="0.25">
      <c r="A3511" t="s">
        <v>4</v>
      </c>
      <c r="B3511" t="s">
        <v>9754</v>
      </c>
      <c r="F3511" t="s">
        <v>10937</v>
      </c>
      <c r="G3511" t="s">
        <v>1077</v>
      </c>
    </row>
    <row r="3512" spans="1:7" hidden="1" x14ac:dyDescent="0.25">
      <c r="A3512" t="s">
        <v>4</v>
      </c>
      <c r="B3512" t="s">
        <v>7947</v>
      </c>
      <c r="F3512" t="s">
        <v>10900</v>
      </c>
      <c r="G3512" t="s">
        <v>1078</v>
      </c>
    </row>
    <row r="3513" spans="1:7" hidden="1" x14ac:dyDescent="0.25">
      <c r="A3513" t="s">
        <v>1967</v>
      </c>
      <c r="B3513" t="s">
        <v>8</v>
      </c>
      <c r="F3513" t="s">
        <v>10903</v>
      </c>
      <c r="G3513" t="s">
        <v>1078</v>
      </c>
    </row>
    <row r="3514" spans="1:7" hidden="1" x14ac:dyDescent="0.25">
      <c r="A3514" t="s">
        <v>1967</v>
      </c>
      <c r="B3514" t="s">
        <v>8</v>
      </c>
      <c r="F3514" t="s">
        <v>10991</v>
      </c>
      <c r="G3514" t="s">
        <v>1079</v>
      </c>
    </row>
    <row r="3515" spans="1:7" hidden="1" x14ac:dyDescent="0.25">
      <c r="A3515" t="s">
        <v>1967</v>
      </c>
      <c r="B3515" t="s">
        <v>8</v>
      </c>
      <c r="F3515" t="s">
        <v>10994</v>
      </c>
      <c r="G3515" t="s">
        <v>1079</v>
      </c>
    </row>
    <row r="3516" spans="1:7" hidden="1" x14ac:dyDescent="0.25">
      <c r="A3516" t="s">
        <v>9337</v>
      </c>
      <c r="B3516" t="s">
        <v>1570</v>
      </c>
      <c r="F3516" t="s">
        <v>10906</v>
      </c>
      <c r="G3516" t="s">
        <v>768</v>
      </c>
    </row>
    <row r="3517" spans="1:7" hidden="1" x14ac:dyDescent="0.25">
      <c r="A3517" t="s">
        <v>1987</v>
      </c>
      <c r="B3517" t="s">
        <v>768</v>
      </c>
      <c r="F3517" t="s">
        <v>10909</v>
      </c>
      <c r="G3517" t="s">
        <v>768</v>
      </c>
    </row>
    <row r="3518" spans="1:7" hidden="1" x14ac:dyDescent="0.25">
      <c r="A3518" t="s">
        <v>10997</v>
      </c>
      <c r="B3518" t="s">
        <v>10998</v>
      </c>
      <c r="F3518" t="s">
        <v>10912</v>
      </c>
      <c r="G3518" t="s">
        <v>1072</v>
      </c>
    </row>
    <row r="3519" spans="1:7" hidden="1" x14ac:dyDescent="0.25">
      <c r="A3519" t="s">
        <v>9572</v>
      </c>
      <c r="B3519" t="s">
        <v>1570</v>
      </c>
      <c r="F3519" t="s">
        <v>10915</v>
      </c>
      <c r="G3519" t="s">
        <v>1072</v>
      </c>
    </row>
    <row r="3520" spans="1:7" hidden="1" x14ac:dyDescent="0.25">
      <c r="A3520" t="s">
        <v>261</v>
      </c>
      <c r="B3520" t="s">
        <v>10988</v>
      </c>
      <c r="C3520" t="s">
        <v>7081</v>
      </c>
      <c r="D3520">
        <v>1</v>
      </c>
      <c r="F3520" t="s">
        <v>10940</v>
      </c>
      <c r="G3520" s="1" t="s">
        <v>1566</v>
      </c>
    </row>
    <row r="3521" spans="1:7" hidden="1" x14ac:dyDescent="0.25">
      <c r="A3521" t="s">
        <v>261</v>
      </c>
      <c r="B3521" t="s">
        <v>10988</v>
      </c>
      <c r="C3521" t="s">
        <v>7081</v>
      </c>
      <c r="D3521">
        <v>1</v>
      </c>
      <c r="F3521" t="s">
        <v>10943</v>
      </c>
      <c r="G3521" s="1" t="s">
        <v>1566</v>
      </c>
    </row>
    <row r="3522" spans="1:7" hidden="1" x14ac:dyDescent="0.25">
      <c r="A3522" t="s">
        <v>261</v>
      </c>
      <c r="B3522" t="s">
        <v>10988</v>
      </c>
      <c r="C3522" t="s">
        <v>7081</v>
      </c>
      <c r="D3522">
        <v>1</v>
      </c>
      <c r="F3522" t="s">
        <v>10946</v>
      </c>
      <c r="G3522" s="1" t="s">
        <v>1566</v>
      </c>
    </row>
    <row r="3523" spans="1:7" hidden="1" x14ac:dyDescent="0.25">
      <c r="A3523" t="s">
        <v>261</v>
      </c>
      <c r="B3523" t="s">
        <v>10988</v>
      </c>
      <c r="C3523" t="s">
        <v>7081</v>
      </c>
      <c r="D3523">
        <v>1</v>
      </c>
      <c r="F3523" t="s">
        <v>10949</v>
      </c>
      <c r="G3523" s="1" t="s">
        <v>1566</v>
      </c>
    </row>
    <row r="3524" spans="1:7" hidden="1" x14ac:dyDescent="0.25">
      <c r="A3524" t="s">
        <v>261</v>
      </c>
      <c r="B3524" t="s">
        <v>10988</v>
      </c>
      <c r="C3524" t="s">
        <v>7081</v>
      </c>
      <c r="D3524">
        <v>1</v>
      </c>
      <c r="F3524" t="s">
        <v>10952</v>
      </c>
      <c r="G3524" s="1" t="s">
        <v>1566</v>
      </c>
    </row>
    <row r="3525" spans="1:7" hidden="1" x14ac:dyDescent="0.25">
      <c r="A3525" t="s">
        <v>261</v>
      </c>
      <c r="B3525" t="s">
        <v>10988</v>
      </c>
      <c r="C3525" t="s">
        <v>7081</v>
      </c>
      <c r="D3525">
        <v>1</v>
      </c>
      <c r="F3525" t="s">
        <v>10955</v>
      </c>
      <c r="G3525" s="1" t="s">
        <v>1566</v>
      </c>
    </row>
    <row r="3526" spans="1:7" hidden="1" x14ac:dyDescent="0.25">
      <c r="A3526" t="s">
        <v>261</v>
      </c>
      <c r="B3526" t="s">
        <v>10988</v>
      </c>
      <c r="C3526" t="s">
        <v>7081</v>
      </c>
      <c r="D3526">
        <v>1</v>
      </c>
      <c r="F3526" t="s">
        <v>10958</v>
      </c>
      <c r="G3526" s="1" t="s">
        <v>1566</v>
      </c>
    </row>
    <row r="3527" spans="1:7" hidden="1" x14ac:dyDescent="0.25">
      <c r="A3527" t="s">
        <v>261</v>
      </c>
      <c r="B3527" t="s">
        <v>10988</v>
      </c>
      <c r="C3527" t="s">
        <v>7081</v>
      </c>
      <c r="D3527">
        <v>1</v>
      </c>
      <c r="F3527" t="s">
        <v>10961</v>
      </c>
      <c r="G3527" s="1" t="s">
        <v>1566</v>
      </c>
    </row>
    <row r="3528" spans="1:7" hidden="1" x14ac:dyDescent="0.25">
      <c r="A3528" t="s">
        <v>261</v>
      </c>
      <c r="B3528" t="s">
        <v>10988</v>
      </c>
      <c r="C3528" t="s">
        <v>7081</v>
      </c>
      <c r="D3528">
        <v>1</v>
      </c>
      <c r="F3528" t="s">
        <v>10964</v>
      </c>
      <c r="G3528" s="1" t="s">
        <v>1566</v>
      </c>
    </row>
    <row r="3529" spans="1:7" hidden="1" x14ac:dyDescent="0.25">
      <c r="A3529" t="s">
        <v>261</v>
      </c>
      <c r="B3529" t="s">
        <v>10988</v>
      </c>
      <c r="C3529" t="s">
        <v>7081</v>
      </c>
      <c r="D3529">
        <v>1</v>
      </c>
      <c r="F3529" t="s">
        <v>10967</v>
      </c>
      <c r="G3529" s="1" t="s">
        <v>1566</v>
      </c>
    </row>
    <row r="3530" spans="1:7" hidden="1" x14ac:dyDescent="0.25">
      <c r="A3530" t="s">
        <v>261</v>
      </c>
      <c r="B3530" t="s">
        <v>10988</v>
      </c>
      <c r="C3530" t="s">
        <v>7081</v>
      </c>
      <c r="D3530">
        <v>1</v>
      </c>
      <c r="F3530" t="s">
        <v>10970</v>
      </c>
      <c r="G3530" s="1" t="s">
        <v>1566</v>
      </c>
    </row>
    <row r="3531" spans="1:7" hidden="1" x14ac:dyDescent="0.25">
      <c r="A3531" t="s">
        <v>622</v>
      </c>
      <c r="B3531" t="s">
        <v>10988</v>
      </c>
      <c r="F3531" t="s">
        <v>10973</v>
      </c>
      <c r="G3531" s="1" t="s">
        <v>1566</v>
      </c>
    </row>
    <row r="3532" spans="1:7" hidden="1" x14ac:dyDescent="0.25">
      <c r="A3532" t="s">
        <v>505</v>
      </c>
      <c r="B3532" t="s">
        <v>1570</v>
      </c>
      <c r="C3532" t="s">
        <v>2884</v>
      </c>
      <c r="F3532" t="s">
        <v>10976</v>
      </c>
      <c r="G3532" s="1" t="s">
        <v>1566</v>
      </c>
    </row>
    <row r="3533" spans="1:7" hidden="1" x14ac:dyDescent="0.25">
      <c r="A3533" t="s">
        <v>505</v>
      </c>
      <c r="B3533" t="s">
        <v>1570</v>
      </c>
      <c r="C3533" t="s">
        <v>2884</v>
      </c>
      <c r="F3533" t="s">
        <v>10979</v>
      </c>
      <c r="G3533" s="1" t="s">
        <v>1566</v>
      </c>
    </row>
    <row r="3534" spans="1:7" hidden="1" x14ac:dyDescent="0.25">
      <c r="A3534" t="s">
        <v>1967</v>
      </c>
      <c r="B3534" t="s">
        <v>8</v>
      </c>
      <c r="F3534" t="s">
        <v>10918</v>
      </c>
      <c r="G3534" t="s">
        <v>1780</v>
      </c>
    </row>
    <row r="3535" spans="1:7" hidden="1" x14ac:dyDescent="0.25">
      <c r="A3535" t="s">
        <v>11002</v>
      </c>
      <c r="F3535" t="s">
        <v>10999</v>
      </c>
      <c r="G3535" t="s">
        <v>1780</v>
      </c>
    </row>
    <row r="3536" spans="1:7" hidden="1" x14ac:dyDescent="0.25">
      <c r="A3536" t="s">
        <v>1967</v>
      </c>
      <c r="B3536" t="s">
        <v>8</v>
      </c>
      <c r="E3536" t="s">
        <v>1977</v>
      </c>
      <c r="F3536" t="s">
        <v>10982</v>
      </c>
      <c r="G3536" t="s">
        <v>1897</v>
      </c>
    </row>
    <row r="3537" spans="1:7" hidden="1" x14ac:dyDescent="0.25">
      <c r="A3537" t="s">
        <v>1967</v>
      </c>
      <c r="B3537" t="s">
        <v>8</v>
      </c>
      <c r="E3537" t="s">
        <v>1977</v>
      </c>
      <c r="F3537" t="s">
        <v>10985</v>
      </c>
      <c r="G3537" t="s">
        <v>1897</v>
      </c>
    </row>
    <row r="3538" spans="1:7" hidden="1" x14ac:dyDescent="0.25">
      <c r="A3538" t="s">
        <v>1977</v>
      </c>
      <c r="F3538" t="s">
        <v>10921</v>
      </c>
      <c r="G3538" t="s">
        <v>1960</v>
      </c>
    </row>
    <row r="3539" spans="1:7" hidden="1" x14ac:dyDescent="0.25">
      <c r="A3539" t="s">
        <v>1967</v>
      </c>
      <c r="B3539" t="s">
        <v>8</v>
      </c>
      <c r="F3539" t="s">
        <v>10924</v>
      </c>
      <c r="G3539" t="s">
        <v>1960</v>
      </c>
    </row>
    <row r="3540" spans="1:7" hidden="1" x14ac:dyDescent="0.25">
      <c r="A3540" t="s">
        <v>1967</v>
      </c>
      <c r="F3540" t="s">
        <v>11009</v>
      </c>
      <c r="G3540" t="s">
        <v>1074</v>
      </c>
    </row>
    <row r="3541" spans="1:7" hidden="1" x14ac:dyDescent="0.25">
      <c r="A3541" t="s">
        <v>91</v>
      </c>
      <c r="B3541" t="s">
        <v>11273</v>
      </c>
      <c r="C3541" t="s">
        <v>60</v>
      </c>
      <c r="F3541" t="s">
        <v>11012</v>
      </c>
      <c r="G3541" t="s">
        <v>1074</v>
      </c>
    </row>
    <row r="3542" spans="1:7" hidden="1" x14ac:dyDescent="0.25">
      <c r="A3542" t="s">
        <v>62</v>
      </c>
      <c r="B3542" t="s">
        <v>11273</v>
      </c>
      <c r="C3542" t="s">
        <v>51</v>
      </c>
      <c r="F3542" t="s">
        <v>11015</v>
      </c>
      <c r="G3542" t="s">
        <v>1074</v>
      </c>
    </row>
    <row r="3543" spans="1:7" hidden="1" x14ac:dyDescent="0.25">
      <c r="A3543" t="s">
        <v>62</v>
      </c>
      <c r="B3543" t="s">
        <v>6111</v>
      </c>
      <c r="C3543" t="s">
        <v>11274</v>
      </c>
      <c r="F3543" t="s">
        <v>11018</v>
      </c>
      <c r="G3543" t="s">
        <v>1074</v>
      </c>
    </row>
    <row r="3544" spans="1:7" hidden="1" x14ac:dyDescent="0.25">
      <c r="A3544" t="s">
        <v>91</v>
      </c>
      <c r="B3544" t="s">
        <v>6111</v>
      </c>
      <c r="F3544" t="s">
        <v>11021</v>
      </c>
      <c r="G3544" t="s">
        <v>1074</v>
      </c>
    </row>
    <row r="3545" spans="1:7" hidden="1" x14ac:dyDescent="0.25">
      <c r="A3545" t="s">
        <v>1967</v>
      </c>
      <c r="B3545" t="s">
        <v>8</v>
      </c>
      <c r="F3545" t="s">
        <v>11003</v>
      </c>
      <c r="G3545" t="s">
        <v>1075</v>
      </c>
    </row>
    <row r="3546" spans="1:7" hidden="1" x14ac:dyDescent="0.25">
      <c r="A3546" t="s">
        <v>4</v>
      </c>
      <c r="B3546" t="s">
        <v>10015</v>
      </c>
      <c r="F3546" t="s">
        <v>11006</v>
      </c>
      <c r="G3546" t="s">
        <v>1075</v>
      </c>
    </row>
    <row r="3547" spans="1:7" x14ac:dyDescent="0.25">
      <c r="A3547" t="s">
        <v>4</v>
      </c>
      <c r="B3547" t="s">
        <v>8691</v>
      </c>
      <c r="F3547" t="s">
        <v>11036</v>
      </c>
      <c r="G3547" t="s">
        <v>13425</v>
      </c>
    </row>
    <row r="3548" spans="1:7" x14ac:dyDescent="0.25">
      <c r="A3548" t="s">
        <v>4</v>
      </c>
      <c r="B3548" t="s">
        <v>8691</v>
      </c>
      <c r="F3548" t="s">
        <v>11038</v>
      </c>
      <c r="G3548" t="s">
        <v>13425</v>
      </c>
    </row>
    <row r="3549" spans="1:7" x14ac:dyDescent="0.25">
      <c r="A3549" t="s">
        <v>4</v>
      </c>
      <c r="B3549" t="s">
        <v>8691</v>
      </c>
      <c r="F3549" t="s">
        <v>11040</v>
      </c>
      <c r="G3549" t="s">
        <v>13425</v>
      </c>
    </row>
    <row r="3550" spans="1:7" hidden="1" x14ac:dyDescent="0.25">
      <c r="A3550" t="s">
        <v>4</v>
      </c>
      <c r="B3550" t="s">
        <v>8691</v>
      </c>
      <c r="F3550" t="s">
        <v>11048</v>
      </c>
      <c r="G3550" t="s">
        <v>1076</v>
      </c>
    </row>
    <row r="3551" spans="1:7" hidden="1" x14ac:dyDescent="0.25">
      <c r="A3551" t="s">
        <v>4</v>
      </c>
      <c r="B3551" t="s">
        <v>9754</v>
      </c>
      <c r="F3551" t="s">
        <v>11024</v>
      </c>
      <c r="G3551" t="s">
        <v>1077</v>
      </c>
    </row>
    <row r="3552" spans="1:7" hidden="1" x14ac:dyDescent="0.25">
      <c r="A3552" t="s">
        <v>4</v>
      </c>
      <c r="B3552" t="s">
        <v>9754</v>
      </c>
      <c r="F3552" t="s">
        <v>11027</v>
      </c>
      <c r="G3552" t="s">
        <v>1077</v>
      </c>
    </row>
    <row r="3553" spans="1:7" hidden="1" x14ac:dyDescent="0.25">
      <c r="A3553" t="s">
        <v>4</v>
      </c>
      <c r="B3553" t="s">
        <v>9754</v>
      </c>
      <c r="F3553" t="s">
        <v>11030</v>
      </c>
      <c r="G3553" t="s">
        <v>1077</v>
      </c>
    </row>
    <row r="3554" spans="1:7" hidden="1" x14ac:dyDescent="0.25">
      <c r="A3554" t="s">
        <v>4</v>
      </c>
      <c r="B3554" t="s">
        <v>9754</v>
      </c>
      <c r="F3554" t="s">
        <v>11033</v>
      </c>
      <c r="G3554" t="s">
        <v>1077</v>
      </c>
    </row>
    <row r="3555" spans="1:7" hidden="1" x14ac:dyDescent="0.25">
      <c r="A3555" t="s">
        <v>1967</v>
      </c>
      <c r="B3555" t="s">
        <v>8</v>
      </c>
      <c r="F3555" t="s">
        <v>11042</v>
      </c>
      <c r="G3555" t="s">
        <v>1078</v>
      </c>
    </row>
    <row r="3556" spans="1:7" hidden="1" x14ac:dyDescent="0.25">
      <c r="A3556" t="s">
        <v>4</v>
      </c>
      <c r="B3556" t="s">
        <v>7947</v>
      </c>
      <c r="F3556" t="s">
        <v>11045</v>
      </c>
      <c r="G3556" t="s">
        <v>1078</v>
      </c>
    </row>
    <row r="3557" spans="1:7" hidden="1" x14ac:dyDescent="0.25">
      <c r="A3557" t="s">
        <v>1967</v>
      </c>
      <c r="B3557" t="s">
        <v>8</v>
      </c>
      <c r="F3557" t="s">
        <v>11275</v>
      </c>
      <c r="G3557" t="s">
        <v>1079</v>
      </c>
    </row>
    <row r="3558" spans="1:7" hidden="1" x14ac:dyDescent="0.25">
      <c r="A3558" t="s">
        <v>1967</v>
      </c>
      <c r="B3558" t="s">
        <v>8</v>
      </c>
      <c r="F3558" t="s">
        <v>11278</v>
      </c>
      <c r="G3558" t="s">
        <v>1079</v>
      </c>
    </row>
    <row r="3559" spans="1:7" hidden="1" x14ac:dyDescent="0.25">
      <c r="A3559" t="s">
        <v>1987</v>
      </c>
      <c r="B3559" t="s">
        <v>768</v>
      </c>
      <c r="F3559" t="s">
        <v>11060</v>
      </c>
      <c r="G3559" t="s">
        <v>768</v>
      </c>
    </row>
    <row r="3560" spans="1:7" hidden="1" x14ac:dyDescent="0.25">
      <c r="A3560" t="s">
        <v>9291</v>
      </c>
      <c r="B3560" t="s">
        <v>1570</v>
      </c>
      <c r="F3560" t="s">
        <v>11063</v>
      </c>
      <c r="G3560" t="s">
        <v>768</v>
      </c>
    </row>
    <row r="3561" spans="1:7" hidden="1" x14ac:dyDescent="0.25">
      <c r="A3561" t="s">
        <v>9291</v>
      </c>
      <c r="B3561" t="s">
        <v>1570</v>
      </c>
      <c r="F3561" t="s">
        <v>11066</v>
      </c>
      <c r="G3561" t="s">
        <v>768</v>
      </c>
    </row>
    <row r="3562" spans="1:7" hidden="1" x14ac:dyDescent="0.25">
      <c r="A3562" t="s">
        <v>9291</v>
      </c>
      <c r="B3562" t="s">
        <v>1570</v>
      </c>
      <c r="F3562" t="s">
        <v>11069</v>
      </c>
      <c r="G3562" t="s">
        <v>768</v>
      </c>
    </row>
    <row r="3563" spans="1:7" hidden="1" x14ac:dyDescent="0.25">
      <c r="A3563" t="s">
        <v>4</v>
      </c>
      <c r="B3563" t="s">
        <v>9</v>
      </c>
      <c r="F3563" t="s">
        <v>11072</v>
      </c>
      <c r="G3563" t="s">
        <v>768</v>
      </c>
    </row>
    <row r="3564" spans="1:7" hidden="1" x14ac:dyDescent="0.25">
      <c r="A3564" t="s">
        <v>9291</v>
      </c>
      <c r="B3564" t="s">
        <v>1570</v>
      </c>
      <c r="F3564" t="s">
        <v>11075</v>
      </c>
      <c r="G3564" t="s">
        <v>768</v>
      </c>
    </row>
    <row r="3565" spans="1:7" hidden="1" x14ac:dyDescent="0.25">
      <c r="A3565" t="s">
        <v>1987</v>
      </c>
      <c r="B3565" t="s">
        <v>768</v>
      </c>
      <c r="F3565" t="s">
        <v>11078</v>
      </c>
      <c r="G3565" t="s">
        <v>768</v>
      </c>
    </row>
    <row r="3566" spans="1:7" hidden="1" x14ac:dyDescent="0.25">
      <c r="A3566" t="s">
        <v>9291</v>
      </c>
      <c r="B3566" t="s">
        <v>1570</v>
      </c>
      <c r="F3566" t="s">
        <v>11081</v>
      </c>
      <c r="G3566" t="s">
        <v>768</v>
      </c>
    </row>
    <row r="3567" spans="1:7" hidden="1" x14ac:dyDescent="0.25">
      <c r="A3567" t="s">
        <v>1987</v>
      </c>
      <c r="B3567" t="s">
        <v>768</v>
      </c>
      <c r="F3567" t="s">
        <v>11084</v>
      </c>
      <c r="G3567" t="s">
        <v>768</v>
      </c>
    </row>
    <row r="3568" spans="1:7" hidden="1" x14ac:dyDescent="0.25">
      <c r="A3568" t="s">
        <v>4</v>
      </c>
      <c r="B3568" t="s">
        <v>9</v>
      </c>
      <c r="F3568" t="s">
        <v>11087</v>
      </c>
      <c r="G3568" t="s">
        <v>1072</v>
      </c>
    </row>
    <row r="3569" spans="1:7" hidden="1" x14ac:dyDescent="0.25">
      <c r="A3569" t="s">
        <v>158</v>
      </c>
      <c r="B3569" t="s">
        <v>5411</v>
      </c>
      <c r="C3569" t="s">
        <v>500</v>
      </c>
      <c r="D3569">
        <v>1</v>
      </c>
      <c r="F3569" t="s">
        <v>11090</v>
      </c>
      <c r="G3569" t="s">
        <v>1072</v>
      </c>
    </row>
    <row r="3570" spans="1:7" hidden="1" x14ac:dyDescent="0.25">
      <c r="A3570" t="s">
        <v>5407</v>
      </c>
      <c r="B3570" t="s">
        <v>5411</v>
      </c>
      <c r="C3570" t="s">
        <v>9089</v>
      </c>
      <c r="D3570">
        <v>1</v>
      </c>
      <c r="F3570" t="s">
        <v>11093</v>
      </c>
      <c r="G3570" t="s">
        <v>1072</v>
      </c>
    </row>
    <row r="3571" spans="1:7" hidden="1" x14ac:dyDescent="0.25">
      <c r="A3571" t="s">
        <v>9086</v>
      </c>
      <c r="B3571" t="s">
        <v>9087</v>
      </c>
      <c r="F3571" t="s">
        <v>11096</v>
      </c>
      <c r="G3571" t="s">
        <v>1072</v>
      </c>
    </row>
    <row r="3572" spans="1:7" hidden="1" x14ac:dyDescent="0.25">
      <c r="A3572" t="s">
        <v>1987</v>
      </c>
      <c r="B3572" t="s">
        <v>1267</v>
      </c>
      <c r="E3572" t="s">
        <v>10757</v>
      </c>
      <c r="F3572" t="s">
        <v>11099</v>
      </c>
      <c r="G3572" t="s">
        <v>1072</v>
      </c>
    </row>
    <row r="3573" spans="1:7" hidden="1" x14ac:dyDescent="0.25">
      <c r="A3573" t="s">
        <v>9086</v>
      </c>
      <c r="B3573" t="s">
        <v>9087</v>
      </c>
      <c r="F3573" t="s">
        <v>11102</v>
      </c>
      <c r="G3573" t="s">
        <v>1072</v>
      </c>
    </row>
    <row r="3574" spans="1:7" hidden="1" x14ac:dyDescent="0.25">
      <c r="A3574" t="s">
        <v>9086</v>
      </c>
      <c r="B3574" t="s">
        <v>9087</v>
      </c>
      <c r="F3574" t="s">
        <v>11105</v>
      </c>
      <c r="G3574" t="s">
        <v>1072</v>
      </c>
    </row>
    <row r="3575" spans="1:7" hidden="1" x14ac:dyDescent="0.25">
      <c r="A3575" t="s">
        <v>9572</v>
      </c>
      <c r="B3575" t="s">
        <v>1570</v>
      </c>
      <c r="F3575" t="s">
        <v>11108</v>
      </c>
      <c r="G3575" t="s">
        <v>1072</v>
      </c>
    </row>
    <row r="3576" spans="1:7" hidden="1" x14ac:dyDescent="0.25">
      <c r="A3576" t="s">
        <v>4</v>
      </c>
      <c r="B3576" t="s">
        <v>7615</v>
      </c>
      <c r="F3576" t="s">
        <v>11111</v>
      </c>
      <c r="G3576" t="s">
        <v>1072</v>
      </c>
    </row>
    <row r="3577" spans="1:7" hidden="1" x14ac:dyDescent="0.25">
      <c r="A3577" t="s">
        <v>505</v>
      </c>
      <c r="B3577" t="s">
        <v>1570</v>
      </c>
      <c r="C3577" t="s">
        <v>2884</v>
      </c>
      <c r="F3577" t="s">
        <v>11114</v>
      </c>
      <c r="G3577" s="1" t="s">
        <v>1566</v>
      </c>
    </row>
    <row r="3578" spans="1:7" hidden="1" x14ac:dyDescent="0.25">
      <c r="A3578" t="s">
        <v>11281</v>
      </c>
      <c r="B3578" t="s">
        <v>86</v>
      </c>
      <c r="F3578" t="s">
        <v>11117</v>
      </c>
      <c r="G3578" s="1" t="s">
        <v>1566</v>
      </c>
    </row>
    <row r="3579" spans="1:7" hidden="1" x14ac:dyDescent="0.25">
      <c r="A3579" t="s">
        <v>11282</v>
      </c>
      <c r="B3579" t="s">
        <v>86</v>
      </c>
      <c r="F3579" t="s">
        <v>11120</v>
      </c>
      <c r="G3579" s="1" t="s">
        <v>1566</v>
      </c>
    </row>
    <row r="3580" spans="1:7" hidden="1" x14ac:dyDescent="0.25">
      <c r="A3580" t="s">
        <v>505</v>
      </c>
      <c r="B3580" t="s">
        <v>1570</v>
      </c>
      <c r="C3580" t="s">
        <v>2884</v>
      </c>
      <c r="F3580" t="s">
        <v>11123</v>
      </c>
      <c r="G3580" s="1" t="s">
        <v>1566</v>
      </c>
    </row>
    <row r="3581" spans="1:7" hidden="1" x14ac:dyDescent="0.25">
      <c r="A3581" t="s">
        <v>505</v>
      </c>
      <c r="B3581" t="s">
        <v>503</v>
      </c>
      <c r="C3581" t="s">
        <v>9088</v>
      </c>
      <c r="F3581" t="s">
        <v>11126</v>
      </c>
      <c r="G3581" s="1" t="s">
        <v>1566</v>
      </c>
    </row>
    <row r="3582" spans="1:7" hidden="1" x14ac:dyDescent="0.25">
      <c r="A3582" t="s">
        <v>1569</v>
      </c>
      <c r="B3582" t="s">
        <v>10015</v>
      </c>
      <c r="F3582" t="s">
        <v>11129</v>
      </c>
      <c r="G3582" s="1" t="s">
        <v>1566</v>
      </c>
    </row>
    <row r="3583" spans="1:7" hidden="1" x14ac:dyDescent="0.25">
      <c r="A3583" t="s">
        <v>11283</v>
      </c>
      <c r="B3583" t="s">
        <v>10015</v>
      </c>
      <c r="F3583" t="s">
        <v>11132</v>
      </c>
      <c r="G3583" s="1" t="s">
        <v>1566</v>
      </c>
    </row>
    <row r="3584" spans="1:7" hidden="1" x14ac:dyDescent="0.25">
      <c r="A3584" t="s">
        <v>11284</v>
      </c>
      <c r="B3584" t="s">
        <v>86</v>
      </c>
      <c r="F3584" t="s">
        <v>11135</v>
      </c>
      <c r="G3584" s="1" t="s">
        <v>1566</v>
      </c>
    </row>
    <row r="3585" spans="1:7" hidden="1" x14ac:dyDescent="0.25">
      <c r="A3585" t="s">
        <v>505</v>
      </c>
      <c r="B3585" t="s">
        <v>1570</v>
      </c>
      <c r="C3585" t="s">
        <v>2884</v>
      </c>
      <c r="F3585" t="s">
        <v>11138</v>
      </c>
      <c r="G3585" s="1" t="s">
        <v>1566</v>
      </c>
    </row>
    <row r="3586" spans="1:7" hidden="1" x14ac:dyDescent="0.25">
      <c r="A3586" t="s">
        <v>622</v>
      </c>
      <c r="B3586" t="s">
        <v>10015</v>
      </c>
      <c r="F3586" t="s">
        <v>11141</v>
      </c>
      <c r="G3586" s="1" t="s">
        <v>1566</v>
      </c>
    </row>
    <row r="3587" spans="1:7" hidden="1" x14ac:dyDescent="0.25">
      <c r="A3587" t="s">
        <v>1967</v>
      </c>
      <c r="B3587" t="s">
        <v>8</v>
      </c>
      <c r="F3587" t="s">
        <v>11144</v>
      </c>
      <c r="G3587" t="s">
        <v>1780</v>
      </c>
    </row>
    <row r="3588" spans="1:7" hidden="1" x14ac:dyDescent="0.25">
      <c r="A3588" t="s">
        <v>262</v>
      </c>
      <c r="B3588" t="s">
        <v>11273</v>
      </c>
      <c r="C3588" t="s">
        <v>60</v>
      </c>
      <c r="F3588" t="s">
        <v>11147</v>
      </c>
      <c r="G3588" t="s">
        <v>1780</v>
      </c>
    </row>
    <row r="3589" spans="1:7" hidden="1" x14ac:dyDescent="0.25">
      <c r="A3589" t="s">
        <v>262</v>
      </c>
      <c r="B3589" t="s">
        <v>11273</v>
      </c>
      <c r="C3589" t="s">
        <v>60</v>
      </c>
      <c r="E3589" t="s">
        <v>2891</v>
      </c>
      <c r="F3589" t="s">
        <v>11150</v>
      </c>
      <c r="G3589" t="s">
        <v>1780</v>
      </c>
    </row>
    <row r="3590" spans="1:7" hidden="1" x14ac:dyDescent="0.25">
      <c r="A3590" t="s">
        <v>262</v>
      </c>
      <c r="B3590" t="s">
        <v>11273</v>
      </c>
      <c r="C3590" t="s">
        <v>60</v>
      </c>
      <c r="E3590" t="s">
        <v>2891</v>
      </c>
      <c r="F3590" t="s">
        <v>11153</v>
      </c>
      <c r="G3590" t="s">
        <v>1780</v>
      </c>
    </row>
    <row r="3591" spans="1:7" hidden="1" x14ac:dyDescent="0.25">
      <c r="A3591" t="s">
        <v>262</v>
      </c>
      <c r="B3591" t="s">
        <v>11273</v>
      </c>
      <c r="C3591" t="s">
        <v>60</v>
      </c>
      <c r="E3591" t="s">
        <v>2891</v>
      </c>
      <c r="F3591" t="s">
        <v>11156</v>
      </c>
      <c r="G3591" t="s">
        <v>1780</v>
      </c>
    </row>
    <row r="3592" spans="1:7" hidden="1" x14ac:dyDescent="0.25">
      <c r="A3592" t="s">
        <v>262</v>
      </c>
      <c r="B3592" t="s">
        <v>11273</v>
      </c>
      <c r="C3592" t="s">
        <v>60</v>
      </c>
      <c r="E3592" t="s">
        <v>2891</v>
      </c>
      <c r="F3592" t="s">
        <v>11159</v>
      </c>
      <c r="G3592" t="s">
        <v>1780</v>
      </c>
    </row>
    <row r="3593" spans="1:7" hidden="1" x14ac:dyDescent="0.25">
      <c r="A3593" t="s">
        <v>262</v>
      </c>
      <c r="B3593" t="s">
        <v>11273</v>
      </c>
      <c r="C3593" t="s">
        <v>60</v>
      </c>
      <c r="E3593" t="s">
        <v>2891</v>
      </c>
      <c r="F3593" t="s">
        <v>11162</v>
      </c>
      <c r="G3593" t="s">
        <v>1780</v>
      </c>
    </row>
    <row r="3594" spans="1:7" hidden="1" x14ac:dyDescent="0.25">
      <c r="A3594" t="s">
        <v>262</v>
      </c>
      <c r="B3594" t="s">
        <v>11273</v>
      </c>
      <c r="C3594" t="s">
        <v>60</v>
      </c>
      <c r="E3594" t="s">
        <v>2891</v>
      </c>
      <c r="F3594" t="s">
        <v>11165</v>
      </c>
      <c r="G3594" t="s">
        <v>1780</v>
      </c>
    </row>
    <row r="3595" spans="1:7" hidden="1" x14ac:dyDescent="0.25">
      <c r="A3595" t="s">
        <v>262</v>
      </c>
      <c r="B3595" t="s">
        <v>11273</v>
      </c>
      <c r="C3595" t="s">
        <v>60</v>
      </c>
      <c r="E3595" t="s">
        <v>2891</v>
      </c>
      <c r="F3595" t="s">
        <v>11168</v>
      </c>
      <c r="G3595" t="s">
        <v>1780</v>
      </c>
    </row>
    <row r="3596" spans="1:7" hidden="1" x14ac:dyDescent="0.25">
      <c r="A3596" t="s">
        <v>262</v>
      </c>
      <c r="B3596" t="s">
        <v>11273</v>
      </c>
      <c r="C3596" t="s">
        <v>60</v>
      </c>
      <c r="E3596" t="s">
        <v>2891</v>
      </c>
      <c r="F3596" t="s">
        <v>11171</v>
      </c>
      <c r="G3596" t="s">
        <v>1780</v>
      </c>
    </row>
    <row r="3597" spans="1:7" hidden="1" x14ac:dyDescent="0.25">
      <c r="A3597" t="s">
        <v>262</v>
      </c>
      <c r="B3597" t="s">
        <v>11273</v>
      </c>
      <c r="C3597" t="s">
        <v>60</v>
      </c>
      <c r="E3597" t="s">
        <v>2891</v>
      </c>
      <c r="F3597" t="s">
        <v>11174</v>
      </c>
      <c r="G3597" t="s">
        <v>1780</v>
      </c>
    </row>
    <row r="3598" spans="1:7" hidden="1" x14ac:dyDescent="0.25">
      <c r="A3598" t="s">
        <v>262</v>
      </c>
      <c r="B3598" t="s">
        <v>11273</v>
      </c>
      <c r="C3598" t="s">
        <v>60</v>
      </c>
      <c r="E3598" t="s">
        <v>2891</v>
      </c>
      <c r="F3598" t="s">
        <v>11177</v>
      </c>
      <c r="G3598" t="s">
        <v>1780</v>
      </c>
    </row>
    <row r="3599" spans="1:7" hidden="1" x14ac:dyDescent="0.25">
      <c r="A3599" t="s">
        <v>262</v>
      </c>
      <c r="B3599" t="s">
        <v>11273</v>
      </c>
      <c r="C3599" t="s">
        <v>60</v>
      </c>
      <c r="E3599" t="s">
        <v>2891</v>
      </c>
      <c r="F3599" t="s">
        <v>11180</v>
      </c>
      <c r="G3599" t="s">
        <v>1780</v>
      </c>
    </row>
    <row r="3600" spans="1:7" hidden="1" x14ac:dyDescent="0.25">
      <c r="A3600" t="s">
        <v>11283</v>
      </c>
      <c r="B3600" t="s">
        <v>11273</v>
      </c>
      <c r="F3600" t="s">
        <v>11183</v>
      </c>
      <c r="G3600" t="s">
        <v>1780</v>
      </c>
    </row>
    <row r="3601" spans="1:7" hidden="1" x14ac:dyDescent="0.25">
      <c r="A3601" t="s">
        <v>262</v>
      </c>
      <c r="B3601" t="s">
        <v>11273</v>
      </c>
      <c r="C3601" t="s">
        <v>60</v>
      </c>
      <c r="F3601" t="s">
        <v>11186</v>
      </c>
      <c r="G3601" t="s">
        <v>1780</v>
      </c>
    </row>
    <row r="3602" spans="1:7" hidden="1" x14ac:dyDescent="0.25">
      <c r="A3602" t="s">
        <v>262</v>
      </c>
      <c r="B3602" t="s">
        <v>11273</v>
      </c>
      <c r="C3602" t="s">
        <v>60</v>
      </c>
      <c r="E3602" t="s">
        <v>2891</v>
      </c>
      <c r="F3602" t="s">
        <v>11189</v>
      </c>
      <c r="G3602" t="s">
        <v>1780</v>
      </c>
    </row>
    <row r="3603" spans="1:7" hidden="1" x14ac:dyDescent="0.25">
      <c r="A3603" t="s">
        <v>262</v>
      </c>
      <c r="B3603" t="s">
        <v>11273</v>
      </c>
      <c r="C3603" t="s">
        <v>60</v>
      </c>
      <c r="E3603" t="s">
        <v>2891</v>
      </c>
      <c r="F3603" t="s">
        <v>11192</v>
      </c>
      <c r="G3603" t="s">
        <v>1780</v>
      </c>
    </row>
    <row r="3604" spans="1:7" hidden="1" x14ac:dyDescent="0.25">
      <c r="A3604" t="s">
        <v>262</v>
      </c>
      <c r="B3604" t="s">
        <v>11273</v>
      </c>
      <c r="C3604" t="s">
        <v>60</v>
      </c>
      <c r="E3604" t="s">
        <v>2891</v>
      </c>
      <c r="F3604" t="s">
        <v>11195</v>
      </c>
      <c r="G3604" t="s">
        <v>1780</v>
      </c>
    </row>
    <row r="3605" spans="1:7" hidden="1" x14ac:dyDescent="0.25">
      <c r="A3605" t="s">
        <v>262</v>
      </c>
      <c r="B3605" t="s">
        <v>11273</v>
      </c>
      <c r="C3605" t="s">
        <v>60</v>
      </c>
      <c r="E3605" t="s">
        <v>2891</v>
      </c>
      <c r="F3605" t="s">
        <v>11198</v>
      </c>
      <c r="G3605" t="s">
        <v>1780</v>
      </c>
    </row>
    <row r="3606" spans="1:7" hidden="1" x14ac:dyDescent="0.25">
      <c r="A3606" t="s">
        <v>262</v>
      </c>
      <c r="B3606" t="s">
        <v>11273</v>
      </c>
      <c r="C3606" t="s">
        <v>60</v>
      </c>
      <c r="E3606" t="s">
        <v>2891</v>
      </c>
      <c r="F3606" t="s">
        <v>11201</v>
      </c>
      <c r="G3606" t="s">
        <v>1780</v>
      </c>
    </row>
    <row r="3607" spans="1:7" hidden="1" x14ac:dyDescent="0.25">
      <c r="A3607" t="s">
        <v>262</v>
      </c>
      <c r="B3607" t="s">
        <v>11273</v>
      </c>
      <c r="C3607" t="s">
        <v>60</v>
      </c>
      <c r="E3607" t="s">
        <v>2891</v>
      </c>
      <c r="F3607" t="s">
        <v>11204</v>
      </c>
      <c r="G3607" t="s">
        <v>1780</v>
      </c>
    </row>
    <row r="3608" spans="1:7" hidden="1" x14ac:dyDescent="0.25">
      <c r="A3608" t="s">
        <v>262</v>
      </c>
      <c r="B3608" t="s">
        <v>11273</v>
      </c>
      <c r="C3608" t="s">
        <v>60</v>
      </c>
      <c r="E3608" t="s">
        <v>2891</v>
      </c>
      <c r="F3608" t="s">
        <v>11207</v>
      </c>
      <c r="G3608" t="s">
        <v>1780</v>
      </c>
    </row>
    <row r="3609" spans="1:7" hidden="1" x14ac:dyDescent="0.25">
      <c r="A3609" t="s">
        <v>262</v>
      </c>
      <c r="B3609" t="s">
        <v>11273</v>
      </c>
      <c r="C3609" t="s">
        <v>60</v>
      </c>
      <c r="E3609" t="s">
        <v>2891</v>
      </c>
      <c r="F3609" t="s">
        <v>11210</v>
      </c>
      <c r="G3609" t="s">
        <v>1780</v>
      </c>
    </row>
    <row r="3610" spans="1:7" hidden="1" x14ac:dyDescent="0.25">
      <c r="A3610" t="s">
        <v>262</v>
      </c>
      <c r="B3610" t="s">
        <v>11273</v>
      </c>
      <c r="C3610" t="s">
        <v>60</v>
      </c>
      <c r="E3610" t="s">
        <v>2891</v>
      </c>
      <c r="F3610" t="s">
        <v>11213</v>
      </c>
      <c r="G3610" t="s">
        <v>1780</v>
      </c>
    </row>
    <row r="3611" spans="1:7" hidden="1" x14ac:dyDescent="0.25">
      <c r="A3611" t="s">
        <v>262</v>
      </c>
      <c r="B3611" t="s">
        <v>11273</v>
      </c>
      <c r="C3611" t="s">
        <v>60</v>
      </c>
      <c r="E3611" t="s">
        <v>2891</v>
      </c>
      <c r="F3611" t="s">
        <v>11216</v>
      </c>
      <c r="G3611" t="s">
        <v>1780</v>
      </c>
    </row>
    <row r="3612" spans="1:7" hidden="1" x14ac:dyDescent="0.25">
      <c r="A3612" t="s">
        <v>5039</v>
      </c>
      <c r="B3612" t="s">
        <v>11273</v>
      </c>
      <c r="F3612" t="s">
        <v>11219</v>
      </c>
      <c r="G3612" t="s">
        <v>1780</v>
      </c>
    </row>
    <row r="3613" spans="1:7" hidden="1" x14ac:dyDescent="0.25">
      <c r="A3613" t="s">
        <v>623</v>
      </c>
      <c r="B3613" t="s">
        <v>5411</v>
      </c>
      <c r="F3613" t="s">
        <v>11222</v>
      </c>
      <c r="G3613" t="s">
        <v>1780</v>
      </c>
    </row>
    <row r="3614" spans="1:7" hidden="1" x14ac:dyDescent="0.25">
      <c r="A3614" t="s">
        <v>623</v>
      </c>
      <c r="B3614" t="s">
        <v>5411</v>
      </c>
      <c r="F3614" t="s">
        <v>11225</v>
      </c>
      <c r="G3614" t="s">
        <v>1780</v>
      </c>
    </row>
    <row r="3615" spans="1:7" hidden="1" x14ac:dyDescent="0.25">
      <c r="A3615" t="s">
        <v>623</v>
      </c>
      <c r="B3615" t="s">
        <v>5411</v>
      </c>
      <c r="F3615" t="s">
        <v>11228</v>
      </c>
      <c r="G3615" t="s">
        <v>1780</v>
      </c>
    </row>
    <row r="3616" spans="1:7" hidden="1" x14ac:dyDescent="0.25">
      <c r="A3616" t="s">
        <v>623</v>
      </c>
      <c r="B3616" t="s">
        <v>5411</v>
      </c>
      <c r="F3616" t="s">
        <v>11231</v>
      </c>
      <c r="G3616" t="s">
        <v>1780</v>
      </c>
    </row>
    <row r="3617" spans="1:7" hidden="1" x14ac:dyDescent="0.25">
      <c r="A3617" t="s">
        <v>623</v>
      </c>
      <c r="B3617" t="s">
        <v>5411</v>
      </c>
      <c r="F3617" t="s">
        <v>11234</v>
      </c>
      <c r="G3617" t="s">
        <v>1780</v>
      </c>
    </row>
    <row r="3618" spans="1:7" hidden="1" x14ac:dyDescent="0.25">
      <c r="A3618" t="s">
        <v>4</v>
      </c>
      <c r="B3618" t="s">
        <v>8</v>
      </c>
      <c r="F3618" t="s">
        <v>11237</v>
      </c>
      <c r="G3618" t="s">
        <v>1780</v>
      </c>
    </row>
    <row r="3619" spans="1:7" hidden="1" x14ac:dyDescent="0.25">
      <c r="A3619" t="s">
        <v>4</v>
      </c>
      <c r="B3619" t="s">
        <v>8</v>
      </c>
      <c r="F3619" t="s">
        <v>11240</v>
      </c>
      <c r="G3619" t="s">
        <v>1897</v>
      </c>
    </row>
    <row r="3620" spans="1:7" hidden="1" x14ac:dyDescent="0.25">
      <c r="A3620" t="s">
        <v>9754</v>
      </c>
      <c r="B3620" t="s">
        <v>5071</v>
      </c>
      <c r="F3620" t="s">
        <v>11243</v>
      </c>
      <c r="G3620" t="s">
        <v>1897</v>
      </c>
    </row>
    <row r="3621" spans="1:7" hidden="1" x14ac:dyDescent="0.25">
      <c r="A3621" t="s">
        <v>9754</v>
      </c>
      <c r="B3621" t="s">
        <v>5071</v>
      </c>
      <c r="F3621" t="s">
        <v>11246</v>
      </c>
      <c r="G3621" t="s">
        <v>1897</v>
      </c>
    </row>
    <row r="3622" spans="1:7" hidden="1" x14ac:dyDescent="0.25">
      <c r="A3622" t="s">
        <v>9754</v>
      </c>
      <c r="B3622" t="s">
        <v>5071</v>
      </c>
      <c r="F3622" t="s">
        <v>11249</v>
      </c>
      <c r="G3622" t="s">
        <v>1897</v>
      </c>
    </row>
    <row r="3623" spans="1:7" hidden="1" x14ac:dyDescent="0.25">
      <c r="A3623" t="s">
        <v>1967</v>
      </c>
      <c r="B3623" t="s">
        <v>8</v>
      </c>
      <c r="F3623" t="s">
        <v>11252</v>
      </c>
      <c r="G3623" t="s">
        <v>1960</v>
      </c>
    </row>
    <row r="3624" spans="1:7" hidden="1" x14ac:dyDescent="0.25">
      <c r="A3624" t="s">
        <v>4</v>
      </c>
      <c r="B3624" t="s">
        <v>8</v>
      </c>
      <c r="F3624" t="s">
        <v>11255</v>
      </c>
      <c r="G3624" t="s">
        <v>1960</v>
      </c>
    </row>
    <row r="3625" spans="1:7" hidden="1" x14ac:dyDescent="0.25">
      <c r="A3625" t="s">
        <v>159</v>
      </c>
      <c r="B3625" t="s">
        <v>11285</v>
      </c>
      <c r="F3625" t="s">
        <v>11258</v>
      </c>
      <c r="G3625" t="s">
        <v>1960</v>
      </c>
    </row>
    <row r="3626" spans="1:7" hidden="1" x14ac:dyDescent="0.25">
      <c r="A3626" t="s">
        <v>4</v>
      </c>
      <c r="B3626" t="s">
        <v>8</v>
      </c>
      <c r="F3626" t="s">
        <v>11261</v>
      </c>
      <c r="G3626" t="s">
        <v>1960</v>
      </c>
    </row>
    <row r="3627" spans="1:7" hidden="1" x14ac:dyDescent="0.25">
      <c r="A3627" t="s">
        <v>4</v>
      </c>
      <c r="B3627" t="s">
        <v>8</v>
      </c>
      <c r="F3627" t="s">
        <v>11264</v>
      </c>
      <c r="G3627" t="s">
        <v>1960</v>
      </c>
    </row>
    <row r="3628" spans="1:7" hidden="1" x14ac:dyDescent="0.25">
      <c r="A3628" t="s">
        <v>11286</v>
      </c>
      <c r="F3628" t="s">
        <v>11267</v>
      </c>
      <c r="G3628" t="s">
        <v>1960</v>
      </c>
    </row>
    <row r="3629" spans="1:7" hidden="1" x14ac:dyDescent="0.25">
      <c r="A3629" t="s">
        <v>4</v>
      </c>
      <c r="B3629" t="s">
        <v>11287</v>
      </c>
      <c r="F3629" t="s">
        <v>11270</v>
      </c>
      <c r="G3629" t="s">
        <v>1960</v>
      </c>
    </row>
    <row r="3630" spans="1:7" hidden="1" x14ac:dyDescent="0.25">
      <c r="A3630" t="s">
        <v>261</v>
      </c>
      <c r="B3630" t="s">
        <v>6111</v>
      </c>
      <c r="C3630" t="s">
        <v>11274</v>
      </c>
      <c r="F3630" t="s">
        <v>11051</v>
      </c>
      <c r="G3630" t="s">
        <v>1076</v>
      </c>
    </row>
    <row r="3631" spans="1:7" hidden="1" x14ac:dyDescent="0.25">
      <c r="A3631" t="s">
        <v>622</v>
      </c>
      <c r="B3631" t="s">
        <v>6111</v>
      </c>
      <c r="C3631" t="s">
        <v>11274</v>
      </c>
      <c r="F3631" t="s">
        <v>11054</v>
      </c>
      <c r="G3631" t="s">
        <v>1076</v>
      </c>
    </row>
    <row r="3632" spans="1:7" hidden="1" x14ac:dyDescent="0.25">
      <c r="A3632" t="s">
        <v>1569</v>
      </c>
      <c r="B3632" t="s">
        <v>6111</v>
      </c>
      <c r="F3632" t="s">
        <v>11057</v>
      </c>
      <c r="G3632" t="s">
        <v>1076</v>
      </c>
    </row>
    <row r="3633" spans="1:7" hidden="1" x14ac:dyDescent="0.25">
      <c r="A3633" t="s">
        <v>1967</v>
      </c>
      <c r="F3633" t="s">
        <v>11309</v>
      </c>
      <c r="G3633" t="s">
        <v>1074</v>
      </c>
    </row>
    <row r="3634" spans="1:7" hidden="1" x14ac:dyDescent="0.25">
      <c r="A3634" t="s">
        <v>91</v>
      </c>
      <c r="B3634" t="s">
        <v>70</v>
      </c>
      <c r="C3634" t="s">
        <v>51</v>
      </c>
      <c r="F3634" t="s">
        <v>11312</v>
      </c>
      <c r="G3634" t="s">
        <v>1074</v>
      </c>
    </row>
    <row r="3635" spans="1:7" hidden="1" x14ac:dyDescent="0.25">
      <c r="A3635" t="s">
        <v>62</v>
      </c>
      <c r="B3635" t="s">
        <v>70</v>
      </c>
      <c r="C3635" t="s">
        <v>11489</v>
      </c>
      <c r="D3635">
        <v>2</v>
      </c>
      <c r="F3635" t="s">
        <v>11315</v>
      </c>
      <c r="G3635" t="s">
        <v>1074</v>
      </c>
    </row>
    <row r="3636" spans="1:7" hidden="1" x14ac:dyDescent="0.25">
      <c r="A3636" t="s">
        <v>91</v>
      </c>
      <c r="B3636" t="s">
        <v>70</v>
      </c>
      <c r="C3636" t="s">
        <v>11489</v>
      </c>
      <c r="D3636">
        <v>2</v>
      </c>
      <c r="F3636" t="s">
        <v>11318</v>
      </c>
      <c r="G3636" t="s">
        <v>1074</v>
      </c>
    </row>
    <row r="3637" spans="1:7" hidden="1" x14ac:dyDescent="0.25">
      <c r="A3637" t="s">
        <v>62</v>
      </c>
      <c r="B3637" t="s">
        <v>70</v>
      </c>
      <c r="C3637" t="s">
        <v>51</v>
      </c>
      <c r="F3637" t="s">
        <v>11321</v>
      </c>
      <c r="G3637" t="s">
        <v>1074</v>
      </c>
    </row>
    <row r="3638" spans="1:7" hidden="1" x14ac:dyDescent="0.25">
      <c r="A3638" t="s">
        <v>91</v>
      </c>
      <c r="B3638" t="s">
        <v>66</v>
      </c>
      <c r="C3638" t="s">
        <v>51</v>
      </c>
      <c r="F3638" t="s">
        <v>11324</v>
      </c>
      <c r="G3638" t="s">
        <v>1074</v>
      </c>
    </row>
    <row r="3639" spans="1:7" hidden="1" x14ac:dyDescent="0.25">
      <c r="A3639" t="s">
        <v>62</v>
      </c>
      <c r="B3639" t="s">
        <v>66</v>
      </c>
      <c r="C3639" t="s">
        <v>51</v>
      </c>
      <c r="E3639" t="s">
        <v>5074</v>
      </c>
      <c r="F3639" t="s">
        <v>11327</v>
      </c>
      <c r="G3639" t="s">
        <v>1074</v>
      </c>
    </row>
    <row r="3640" spans="1:7" hidden="1" x14ac:dyDescent="0.25">
      <c r="A3640" t="s">
        <v>1967</v>
      </c>
      <c r="F3640" t="s">
        <v>11330</v>
      </c>
      <c r="G3640" t="s">
        <v>1074</v>
      </c>
    </row>
    <row r="3641" spans="1:7" hidden="1" x14ac:dyDescent="0.25">
      <c r="A3641" t="s">
        <v>158</v>
      </c>
      <c r="B3641" t="s">
        <v>86</v>
      </c>
      <c r="C3641" t="s">
        <v>60</v>
      </c>
      <c r="D3641">
        <v>1</v>
      </c>
      <c r="E3641" t="s">
        <v>3030</v>
      </c>
      <c r="F3641" t="s">
        <v>11288</v>
      </c>
      <c r="G3641" t="s">
        <v>1075</v>
      </c>
    </row>
    <row r="3642" spans="1:7" hidden="1" x14ac:dyDescent="0.25">
      <c r="A3642" t="s">
        <v>158</v>
      </c>
      <c r="B3642" t="s">
        <v>86</v>
      </c>
      <c r="C3642" t="s">
        <v>58</v>
      </c>
      <c r="E3642" t="s">
        <v>3030</v>
      </c>
      <c r="F3642" t="s">
        <v>11291</v>
      </c>
      <c r="G3642" t="s">
        <v>1075</v>
      </c>
    </row>
    <row r="3643" spans="1:7" hidden="1" x14ac:dyDescent="0.25">
      <c r="A3643" t="s">
        <v>158</v>
      </c>
      <c r="B3643" t="s">
        <v>86</v>
      </c>
      <c r="C3643" t="s">
        <v>58</v>
      </c>
      <c r="E3643" t="s">
        <v>3030</v>
      </c>
      <c r="F3643" t="s">
        <v>11294</v>
      </c>
      <c r="G3643" t="s">
        <v>1075</v>
      </c>
    </row>
    <row r="3644" spans="1:7" hidden="1" x14ac:dyDescent="0.25">
      <c r="A3644" t="s">
        <v>505</v>
      </c>
      <c r="B3644" t="s">
        <v>503</v>
      </c>
      <c r="C3644" t="s">
        <v>2884</v>
      </c>
      <c r="E3644" t="s">
        <v>10753</v>
      </c>
      <c r="F3644" t="s">
        <v>11297</v>
      </c>
      <c r="G3644" t="s">
        <v>1075</v>
      </c>
    </row>
    <row r="3645" spans="1:7" hidden="1" x14ac:dyDescent="0.25">
      <c r="A3645" t="s">
        <v>505</v>
      </c>
      <c r="B3645" t="s">
        <v>503</v>
      </c>
      <c r="C3645" t="s">
        <v>2884</v>
      </c>
      <c r="E3645" t="s">
        <v>10753</v>
      </c>
      <c r="F3645" t="s">
        <v>11300</v>
      </c>
      <c r="G3645" t="s">
        <v>1075</v>
      </c>
    </row>
    <row r="3646" spans="1:7" hidden="1" x14ac:dyDescent="0.25">
      <c r="A3646" t="s">
        <v>505</v>
      </c>
      <c r="B3646" t="s">
        <v>503</v>
      </c>
      <c r="C3646" t="s">
        <v>2884</v>
      </c>
      <c r="E3646" t="s">
        <v>10753</v>
      </c>
      <c r="F3646" t="s">
        <v>11303</v>
      </c>
      <c r="G3646" t="s">
        <v>1075</v>
      </c>
    </row>
    <row r="3647" spans="1:7" hidden="1" x14ac:dyDescent="0.25">
      <c r="A3647" t="s">
        <v>505</v>
      </c>
      <c r="B3647" t="s">
        <v>503</v>
      </c>
      <c r="C3647" t="s">
        <v>2884</v>
      </c>
      <c r="E3647" t="s">
        <v>10753</v>
      </c>
      <c r="F3647" t="s">
        <v>11306</v>
      </c>
      <c r="G3647" t="s">
        <v>1075</v>
      </c>
    </row>
    <row r="3648" spans="1:7" x14ac:dyDescent="0.25">
      <c r="A3648" t="s">
        <v>4</v>
      </c>
      <c r="B3648" t="s">
        <v>8691</v>
      </c>
      <c r="F3648" t="s">
        <v>11435</v>
      </c>
      <c r="G3648" t="s">
        <v>13425</v>
      </c>
    </row>
    <row r="3649" spans="1:7" x14ac:dyDescent="0.25">
      <c r="A3649" t="s">
        <v>261</v>
      </c>
      <c r="B3649" t="s">
        <v>70</v>
      </c>
      <c r="C3649" t="s">
        <v>11489</v>
      </c>
      <c r="D3649">
        <v>2</v>
      </c>
      <c r="F3649" t="s">
        <v>11437</v>
      </c>
      <c r="G3649" t="s">
        <v>13425</v>
      </c>
    </row>
    <row r="3650" spans="1:7" x14ac:dyDescent="0.25">
      <c r="A3650" t="s">
        <v>622</v>
      </c>
      <c r="B3650" t="s">
        <v>70</v>
      </c>
      <c r="C3650" t="s">
        <v>11489</v>
      </c>
      <c r="F3650" t="s">
        <v>11440</v>
      </c>
      <c r="G3650" t="s">
        <v>13425</v>
      </c>
    </row>
    <row r="3651" spans="1:7" x14ac:dyDescent="0.25">
      <c r="A3651" t="s">
        <v>1569</v>
      </c>
      <c r="B3651" t="s">
        <v>70</v>
      </c>
      <c r="F3651" t="s">
        <v>11442</v>
      </c>
      <c r="G3651" t="s">
        <v>13425</v>
      </c>
    </row>
    <row r="3652" spans="1:7" x14ac:dyDescent="0.25">
      <c r="A3652" t="s">
        <v>262</v>
      </c>
      <c r="B3652" t="s">
        <v>70</v>
      </c>
      <c r="C3652" t="s">
        <v>11489</v>
      </c>
      <c r="D3652">
        <v>2</v>
      </c>
      <c r="F3652" t="s">
        <v>11444</v>
      </c>
      <c r="G3652" t="s">
        <v>13425</v>
      </c>
    </row>
    <row r="3653" spans="1:7" x14ac:dyDescent="0.25">
      <c r="A3653" t="s">
        <v>622</v>
      </c>
      <c r="B3653" t="s">
        <v>70</v>
      </c>
      <c r="F3653" t="s">
        <v>11446</v>
      </c>
      <c r="G3653" t="s">
        <v>13425</v>
      </c>
    </row>
    <row r="3654" spans="1:7" x14ac:dyDescent="0.25">
      <c r="A3654" t="s">
        <v>1569</v>
      </c>
      <c r="B3654" t="s">
        <v>66</v>
      </c>
      <c r="F3654" t="s">
        <v>11448</v>
      </c>
      <c r="G3654" t="s">
        <v>13425</v>
      </c>
    </row>
    <row r="3655" spans="1:7" x14ac:dyDescent="0.25">
      <c r="A3655" t="s">
        <v>6092</v>
      </c>
      <c r="B3655" t="s">
        <v>66</v>
      </c>
      <c r="F3655" t="s">
        <v>11450</v>
      </c>
      <c r="G3655" t="s">
        <v>13425</v>
      </c>
    </row>
    <row r="3656" spans="1:7" x14ac:dyDescent="0.25">
      <c r="A3656" t="s">
        <v>622</v>
      </c>
      <c r="B3656" t="s">
        <v>66</v>
      </c>
      <c r="F3656" t="s">
        <v>11452</v>
      </c>
      <c r="G3656" t="s">
        <v>13425</v>
      </c>
    </row>
    <row r="3657" spans="1:7" x14ac:dyDescent="0.25">
      <c r="A3657" t="s">
        <v>4</v>
      </c>
      <c r="B3657" t="s">
        <v>8691</v>
      </c>
      <c r="F3657" t="s">
        <v>11454</v>
      </c>
      <c r="G3657" t="s">
        <v>13425</v>
      </c>
    </row>
    <row r="3658" spans="1:7" hidden="1" x14ac:dyDescent="0.25">
      <c r="A3658" t="s">
        <v>4</v>
      </c>
      <c r="B3658" t="s">
        <v>8691</v>
      </c>
      <c r="F3658" t="s">
        <v>11333</v>
      </c>
      <c r="G3658" t="s">
        <v>1076</v>
      </c>
    </row>
    <row r="3659" spans="1:7" hidden="1" x14ac:dyDescent="0.25">
      <c r="A3659" t="s">
        <v>4</v>
      </c>
      <c r="B3659" t="s">
        <v>8691</v>
      </c>
      <c r="F3659" t="s">
        <v>11336</v>
      </c>
      <c r="G3659" t="s">
        <v>1076</v>
      </c>
    </row>
    <row r="3660" spans="1:7" hidden="1" x14ac:dyDescent="0.25">
      <c r="A3660" t="s">
        <v>4</v>
      </c>
      <c r="B3660" t="s">
        <v>8691</v>
      </c>
      <c r="F3660" t="s">
        <v>11339</v>
      </c>
      <c r="G3660" t="s">
        <v>1076</v>
      </c>
    </row>
    <row r="3661" spans="1:7" hidden="1" x14ac:dyDescent="0.25">
      <c r="A3661" t="s">
        <v>4</v>
      </c>
      <c r="B3661" t="s">
        <v>8</v>
      </c>
      <c r="F3661" t="s">
        <v>11456</v>
      </c>
      <c r="G3661" t="s">
        <v>1077</v>
      </c>
    </row>
    <row r="3662" spans="1:7" hidden="1" x14ac:dyDescent="0.25">
      <c r="A3662" t="s">
        <v>4</v>
      </c>
      <c r="B3662" t="s">
        <v>11490</v>
      </c>
      <c r="F3662" t="s">
        <v>11459</v>
      </c>
      <c r="G3662" t="s">
        <v>1077</v>
      </c>
    </row>
    <row r="3663" spans="1:7" hidden="1" x14ac:dyDescent="0.25">
      <c r="A3663" t="s">
        <v>4</v>
      </c>
      <c r="B3663" t="s">
        <v>8</v>
      </c>
      <c r="F3663" t="s">
        <v>11462</v>
      </c>
      <c r="G3663" t="s">
        <v>1077</v>
      </c>
    </row>
    <row r="3664" spans="1:7" hidden="1" x14ac:dyDescent="0.25">
      <c r="A3664" t="s">
        <v>4</v>
      </c>
      <c r="B3664" t="s">
        <v>8693</v>
      </c>
      <c r="F3664" t="s">
        <v>11491</v>
      </c>
      <c r="G3664" t="s">
        <v>1078</v>
      </c>
    </row>
    <row r="3665" spans="1:7" hidden="1" x14ac:dyDescent="0.25">
      <c r="A3665" t="s">
        <v>1967</v>
      </c>
      <c r="B3665" t="s">
        <v>8</v>
      </c>
      <c r="F3665" t="s">
        <v>11465</v>
      </c>
      <c r="G3665" t="s">
        <v>1078</v>
      </c>
    </row>
    <row r="3666" spans="1:7" hidden="1" x14ac:dyDescent="0.25">
      <c r="A3666" t="s">
        <v>1967</v>
      </c>
      <c r="B3666" t="s">
        <v>8</v>
      </c>
      <c r="F3666" t="s">
        <v>11468</v>
      </c>
      <c r="G3666" t="s">
        <v>1078</v>
      </c>
    </row>
    <row r="3667" spans="1:7" hidden="1" x14ac:dyDescent="0.25">
      <c r="A3667" t="s">
        <v>1967</v>
      </c>
      <c r="B3667" t="s">
        <v>8</v>
      </c>
      <c r="F3667" t="s">
        <v>11494</v>
      </c>
      <c r="G3667" t="s">
        <v>1079</v>
      </c>
    </row>
    <row r="3668" spans="1:7" hidden="1" x14ac:dyDescent="0.25">
      <c r="A3668" t="s">
        <v>1967</v>
      </c>
      <c r="B3668" t="s">
        <v>8</v>
      </c>
      <c r="F3668" t="s">
        <v>11497</v>
      </c>
      <c r="G3668" t="s">
        <v>1079</v>
      </c>
    </row>
    <row r="3669" spans="1:7" hidden="1" x14ac:dyDescent="0.25">
      <c r="A3669" t="s">
        <v>1967</v>
      </c>
      <c r="B3669" t="s">
        <v>8</v>
      </c>
      <c r="F3669" t="s">
        <v>11500</v>
      </c>
      <c r="G3669" t="s">
        <v>1079</v>
      </c>
    </row>
    <row r="3670" spans="1:7" hidden="1" x14ac:dyDescent="0.25">
      <c r="A3670" t="s">
        <v>9291</v>
      </c>
      <c r="B3670" t="s">
        <v>1570</v>
      </c>
      <c r="F3670" t="s">
        <v>11471</v>
      </c>
      <c r="G3670" t="s">
        <v>768</v>
      </c>
    </row>
    <row r="3671" spans="1:7" hidden="1" x14ac:dyDescent="0.25">
      <c r="A3671" t="s">
        <v>1987</v>
      </c>
      <c r="B3671" t="s">
        <v>768</v>
      </c>
      <c r="F3671" t="s">
        <v>11474</v>
      </c>
      <c r="G3671" t="s">
        <v>768</v>
      </c>
    </row>
    <row r="3672" spans="1:7" hidden="1" x14ac:dyDescent="0.25">
      <c r="A3672" t="s">
        <v>9291</v>
      </c>
      <c r="B3672" t="s">
        <v>1570</v>
      </c>
      <c r="F3672" t="s">
        <v>11477</v>
      </c>
      <c r="G3672" t="s">
        <v>768</v>
      </c>
    </row>
    <row r="3673" spans="1:7" hidden="1" x14ac:dyDescent="0.25">
      <c r="A3673" t="s">
        <v>1987</v>
      </c>
      <c r="B3673" t="s">
        <v>768</v>
      </c>
      <c r="F3673" t="s">
        <v>11480</v>
      </c>
      <c r="G3673" t="s">
        <v>768</v>
      </c>
    </row>
    <row r="3674" spans="1:7" hidden="1" x14ac:dyDescent="0.25">
      <c r="A3674" t="s">
        <v>1987</v>
      </c>
      <c r="B3674" t="s">
        <v>768</v>
      </c>
      <c r="F3674" t="s">
        <v>11483</v>
      </c>
      <c r="G3674" t="s">
        <v>768</v>
      </c>
    </row>
    <row r="3675" spans="1:7" hidden="1" x14ac:dyDescent="0.25">
      <c r="A3675" t="s">
        <v>4</v>
      </c>
      <c r="B3675" t="s">
        <v>9</v>
      </c>
      <c r="F3675" t="s">
        <v>11486</v>
      </c>
      <c r="G3675" t="s">
        <v>768</v>
      </c>
    </row>
    <row r="3676" spans="1:7" hidden="1" x14ac:dyDescent="0.25">
      <c r="A3676" t="s">
        <v>9086</v>
      </c>
      <c r="B3676" t="s">
        <v>9087</v>
      </c>
      <c r="F3676" t="s">
        <v>11342</v>
      </c>
      <c r="G3676" t="s">
        <v>1072</v>
      </c>
    </row>
    <row r="3677" spans="1:7" hidden="1" x14ac:dyDescent="0.25">
      <c r="A3677" t="s">
        <v>9086</v>
      </c>
      <c r="B3677" t="s">
        <v>9087</v>
      </c>
      <c r="F3677" t="s">
        <v>11345</v>
      </c>
      <c r="G3677" t="s">
        <v>1072</v>
      </c>
    </row>
    <row r="3678" spans="1:7" hidden="1" x14ac:dyDescent="0.25">
      <c r="A3678" t="s">
        <v>9572</v>
      </c>
      <c r="B3678" t="s">
        <v>1570</v>
      </c>
      <c r="F3678" t="s">
        <v>11348</v>
      </c>
      <c r="G3678" t="s">
        <v>1072</v>
      </c>
    </row>
    <row r="3679" spans="1:7" hidden="1" x14ac:dyDescent="0.25">
      <c r="A3679" t="s">
        <v>11503</v>
      </c>
      <c r="B3679" t="s">
        <v>1570</v>
      </c>
      <c r="F3679" t="s">
        <v>11351</v>
      </c>
      <c r="G3679" t="s">
        <v>1072</v>
      </c>
    </row>
    <row r="3680" spans="1:7" hidden="1" x14ac:dyDescent="0.25">
      <c r="A3680" t="s">
        <v>9086</v>
      </c>
      <c r="B3680" t="s">
        <v>9087</v>
      </c>
      <c r="F3680" t="s">
        <v>11354</v>
      </c>
      <c r="G3680" t="s">
        <v>1072</v>
      </c>
    </row>
    <row r="3681" spans="1:7" hidden="1" x14ac:dyDescent="0.25">
      <c r="A3681" t="s">
        <v>1987</v>
      </c>
      <c r="B3681" t="s">
        <v>1267</v>
      </c>
      <c r="F3681" t="s">
        <v>11357</v>
      </c>
      <c r="G3681" t="s">
        <v>1072</v>
      </c>
    </row>
    <row r="3682" spans="1:7" hidden="1" x14ac:dyDescent="0.25">
      <c r="A3682" t="s">
        <v>4</v>
      </c>
      <c r="B3682" t="s">
        <v>9</v>
      </c>
      <c r="F3682" t="s">
        <v>11360</v>
      </c>
      <c r="G3682" t="s">
        <v>1072</v>
      </c>
    </row>
    <row r="3683" spans="1:7" hidden="1" x14ac:dyDescent="0.25">
      <c r="A3683" t="s">
        <v>4</v>
      </c>
      <c r="B3683" t="s">
        <v>9</v>
      </c>
      <c r="F3683" t="s">
        <v>11363</v>
      </c>
      <c r="G3683" t="s">
        <v>1072</v>
      </c>
    </row>
    <row r="3684" spans="1:7" hidden="1" x14ac:dyDescent="0.25">
      <c r="A3684" t="s">
        <v>9086</v>
      </c>
      <c r="B3684" t="s">
        <v>9087</v>
      </c>
      <c r="F3684" t="s">
        <v>11366</v>
      </c>
      <c r="G3684" t="s">
        <v>1072</v>
      </c>
    </row>
    <row r="3685" spans="1:7" hidden="1" x14ac:dyDescent="0.25">
      <c r="A3685" t="s">
        <v>4</v>
      </c>
      <c r="B3685" t="s">
        <v>11504</v>
      </c>
      <c r="F3685" t="s">
        <v>11369</v>
      </c>
      <c r="G3685" t="s">
        <v>1072</v>
      </c>
    </row>
    <row r="3686" spans="1:7" hidden="1" x14ac:dyDescent="0.25">
      <c r="A3686" t="s">
        <v>9572</v>
      </c>
      <c r="B3686" t="s">
        <v>1570</v>
      </c>
      <c r="E3686" t="s">
        <v>11505</v>
      </c>
      <c r="F3686" t="s">
        <v>11372</v>
      </c>
      <c r="G3686" t="s">
        <v>1072</v>
      </c>
    </row>
    <row r="3687" spans="1:7" hidden="1" x14ac:dyDescent="0.25">
      <c r="A3687" t="s">
        <v>9086</v>
      </c>
      <c r="B3687" t="s">
        <v>9087</v>
      </c>
      <c r="F3687" t="s">
        <v>11375</v>
      </c>
      <c r="G3687" t="s">
        <v>1072</v>
      </c>
    </row>
    <row r="3688" spans="1:7" hidden="1" x14ac:dyDescent="0.25">
      <c r="A3688" t="s">
        <v>4164</v>
      </c>
      <c r="B3688" t="s">
        <v>86</v>
      </c>
      <c r="C3688" t="s">
        <v>11506</v>
      </c>
      <c r="F3688" t="s">
        <v>11378</v>
      </c>
      <c r="G3688" t="s">
        <v>1780</v>
      </c>
    </row>
    <row r="3689" spans="1:7" hidden="1" x14ac:dyDescent="0.25">
      <c r="A3689" t="s">
        <v>158</v>
      </c>
      <c r="B3689" t="s">
        <v>86</v>
      </c>
      <c r="C3689" t="s">
        <v>58</v>
      </c>
      <c r="E3689" t="s">
        <v>11507</v>
      </c>
      <c r="F3689" t="s">
        <v>11381</v>
      </c>
      <c r="G3689" t="s">
        <v>1780</v>
      </c>
    </row>
    <row r="3690" spans="1:7" hidden="1" x14ac:dyDescent="0.25">
      <c r="A3690" t="s">
        <v>11508</v>
      </c>
      <c r="B3690" t="s">
        <v>1570</v>
      </c>
      <c r="F3690" t="s">
        <v>11384</v>
      </c>
      <c r="G3690" t="s">
        <v>1780</v>
      </c>
    </row>
    <row r="3691" spans="1:7" hidden="1" x14ac:dyDescent="0.25">
      <c r="A3691" t="s">
        <v>11509</v>
      </c>
      <c r="B3691" t="s">
        <v>1570</v>
      </c>
      <c r="F3691" t="s">
        <v>11387</v>
      </c>
      <c r="G3691" t="s">
        <v>1780</v>
      </c>
    </row>
    <row r="3692" spans="1:7" hidden="1" x14ac:dyDescent="0.25">
      <c r="A3692" t="s">
        <v>11510</v>
      </c>
      <c r="B3692" t="s">
        <v>1570</v>
      </c>
      <c r="F3692" t="s">
        <v>11390</v>
      </c>
      <c r="G3692" t="s">
        <v>1780</v>
      </c>
    </row>
    <row r="3693" spans="1:7" hidden="1" x14ac:dyDescent="0.25">
      <c r="A3693" t="s">
        <v>11510</v>
      </c>
      <c r="B3693" t="s">
        <v>1570</v>
      </c>
      <c r="F3693" t="s">
        <v>11393</v>
      </c>
      <c r="G3693" t="s">
        <v>1780</v>
      </c>
    </row>
    <row r="3694" spans="1:7" hidden="1" x14ac:dyDescent="0.25">
      <c r="A3694" t="s">
        <v>11510</v>
      </c>
      <c r="B3694" t="s">
        <v>1570</v>
      </c>
      <c r="F3694" t="s">
        <v>11396</v>
      </c>
      <c r="G3694" t="s">
        <v>1780</v>
      </c>
    </row>
    <row r="3695" spans="1:7" hidden="1" x14ac:dyDescent="0.25">
      <c r="A3695" t="s">
        <v>4</v>
      </c>
      <c r="B3695" t="s">
        <v>7947</v>
      </c>
      <c r="F3695" t="s">
        <v>11399</v>
      </c>
      <c r="G3695" t="s">
        <v>1780</v>
      </c>
    </row>
    <row r="3696" spans="1:7" hidden="1" x14ac:dyDescent="0.25">
      <c r="A3696" t="s">
        <v>1967</v>
      </c>
      <c r="B3696" t="s">
        <v>8</v>
      </c>
      <c r="F3696" t="s">
        <v>11402</v>
      </c>
      <c r="G3696" t="s">
        <v>1780</v>
      </c>
    </row>
    <row r="3697" spans="1:7" hidden="1" x14ac:dyDescent="0.25">
      <c r="A3697" t="s">
        <v>4</v>
      </c>
      <c r="B3697" t="s">
        <v>7947</v>
      </c>
      <c r="F3697" t="s">
        <v>11405</v>
      </c>
      <c r="G3697" t="s">
        <v>1780</v>
      </c>
    </row>
    <row r="3698" spans="1:7" hidden="1" x14ac:dyDescent="0.25">
      <c r="A3698" t="s">
        <v>9792</v>
      </c>
      <c r="B3698" t="s">
        <v>4188</v>
      </c>
      <c r="F3698" t="s">
        <v>11408</v>
      </c>
      <c r="G3698" t="s">
        <v>1897</v>
      </c>
    </row>
    <row r="3699" spans="1:7" hidden="1" x14ac:dyDescent="0.25">
      <c r="A3699" t="s">
        <v>1967</v>
      </c>
      <c r="B3699" t="s">
        <v>8</v>
      </c>
      <c r="F3699" t="s">
        <v>11411</v>
      </c>
      <c r="G3699" t="s">
        <v>1897</v>
      </c>
    </row>
    <row r="3700" spans="1:7" hidden="1" x14ac:dyDescent="0.25">
      <c r="A3700" t="s">
        <v>4</v>
      </c>
      <c r="B3700" t="s">
        <v>8</v>
      </c>
      <c r="F3700" t="s">
        <v>11414</v>
      </c>
      <c r="G3700" t="s">
        <v>1897</v>
      </c>
    </row>
    <row r="3701" spans="1:7" hidden="1" x14ac:dyDescent="0.25">
      <c r="A3701" t="s">
        <v>9754</v>
      </c>
      <c r="B3701" t="s">
        <v>5071</v>
      </c>
      <c r="F3701" t="s">
        <v>11417</v>
      </c>
      <c r="G3701" t="s">
        <v>1897</v>
      </c>
    </row>
    <row r="3702" spans="1:7" hidden="1" x14ac:dyDescent="0.25">
      <c r="A3702" t="s">
        <v>4</v>
      </c>
      <c r="B3702" t="s">
        <v>8</v>
      </c>
      <c r="F3702" t="s">
        <v>11420</v>
      </c>
      <c r="G3702" t="s">
        <v>1897</v>
      </c>
    </row>
    <row r="3703" spans="1:7" hidden="1" x14ac:dyDescent="0.25">
      <c r="A3703" t="s">
        <v>4</v>
      </c>
      <c r="B3703" t="s">
        <v>11285</v>
      </c>
      <c r="F3703" t="s">
        <v>11423</v>
      </c>
      <c r="G3703" t="s">
        <v>1960</v>
      </c>
    </row>
    <row r="3704" spans="1:7" hidden="1" x14ac:dyDescent="0.25">
      <c r="A3704" t="s">
        <v>4</v>
      </c>
      <c r="B3704" t="s">
        <v>11511</v>
      </c>
      <c r="F3704" t="s">
        <v>11426</v>
      </c>
      <c r="G3704" t="s">
        <v>1960</v>
      </c>
    </row>
    <row r="3705" spans="1:7" hidden="1" x14ac:dyDescent="0.25">
      <c r="A3705" t="s">
        <v>11512</v>
      </c>
      <c r="F3705" t="s">
        <v>11429</v>
      </c>
      <c r="G3705" t="s">
        <v>1960</v>
      </c>
    </row>
    <row r="3706" spans="1:7" hidden="1" x14ac:dyDescent="0.25">
      <c r="A3706" t="s">
        <v>4</v>
      </c>
      <c r="B3706" t="s">
        <v>8</v>
      </c>
      <c r="F3706" t="s">
        <v>11432</v>
      </c>
      <c r="G3706" t="s">
        <v>1960</v>
      </c>
    </row>
    <row r="3707" spans="1:7" hidden="1" x14ac:dyDescent="0.25">
      <c r="A3707" t="s">
        <v>91</v>
      </c>
      <c r="B3707" t="s">
        <v>11622</v>
      </c>
      <c r="F3707" t="s">
        <v>11532</v>
      </c>
      <c r="G3707" t="s">
        <v>1074</v>
      </c>
    </row>
    <row r="3708" spans="1:7" hidden="1" x14ac:dyDescent="0.25">
      <c r="A3708" t="s">
        <v>62</v>
      </c>
      <c r="B3708" t="s">
        <v>11622</v>
      </c>
      <c r="F3708" t="s">
        <v>11535</v>
      </c>
      <c r="G3708" t="s">
        <v>1074</v>
      </c>
    </row>
    <row r="3709" spans="1:7" hidden="1" x14ac:dyDescent="0.25">
      <c r="A3709" t="s">
        <v>1967</v>
      </c>
      <c r="F3709" t="s">
        <v>11538</v>
      </c>
      <c r="G3709" t="s">
        <v>1074</v>
      </c>
    </row>
    <row r="3710" spans="1:7" hidden="1" x14ac:dyDescent="0.25">
      <c r="A3710" t="s">
        <v>1967</v>
      </c>
      <c r="B3710" t="s">
        <v>8</v>
      </c>
      <c r="F3710" t="s">
        <v>11513</v>
      </c>
      <c r="G3710" t="s">
        <v>1075</v>
      </c>
    </row>
    <row r="3711" spans="1:7" hidden="1" x14ac:dyDescent="0.25">
      <c r="A3711" t="s">
        <v>1967</v>
      </c>
      <c r="B3711" t="s">
        <v>8</v>
      </c>
      <c r="F3711" t="s">
        <v>11623</v>
      </c>
      <c r="G3711" t="s">
        <v>1075</v>
      </c>
    </row>
    <row r="3712" spans="1:7" x14ac:dyDescent="0.25">
      <c r="A3712" t="s">
        <v>6092</v>
      </c>
      <c r="B3712" t="s">
        <v>11632</v>
      </c>
      <c r="F3712" t="s">
        <v>11516</v>
      </c>
      <c r="G3712" t="s">
        <v>13425</v>
      </c>
    </row>
    <row r="3713" spans="1:7" x14ac:dyDescent="0.25">
      <c r="A3713" t="s">
        <v>1967</v>
      </c>
      <c r="B3713" t="s">
        <v>8</v>
      </c>
      <c r="F3713" t="s">
        <v>11518</v>
      </c>
      <c r="G3713" t="s">
        <v>13425</v>
      </c>
    </row>
    <row r="3714" spans="1:7" hidden="1" x14ac:dyDescent="0.25">
      <c r="A3714" t="s">
        <v>4</v>
      </c>
      <c r="B3714" t="s">
        <v>8</v>
      </c>
      <c r="F3714" t="s">
        <v>11520</v>
      </c>
      <c r="G3714" t="s">
        <v>1076</v>
      </c>
    </row>
    <row r="3715" spans="1:7" hidden="1" x14ac:dyDescent="0.25">
      <c r="A3715" t="s">
        <v>1967</v>
      </c>
      <c r="B3715" t="s">
        <v>8</v>
      </c>
      <c r="F3715" t="s">
        <v>11523</v>
      </c>
      <c r="G3715" t="s">
        <v>1076</v>
      </c>
    </row>
    <row r="3716" spans="1:7" hidden="1" x14ac:dyDescent="0.25">
      <c r="A3716" t="s">
        <v>1967</v>
      </c>
      <c r="B3716" t="s">
        <v>8</v>
      </c>
      <c r="F3716" t="s">
        <v>11526</v>
      </c>
      <c r="G3716" t="s">
        <v>1077</v>
      </c>
    </row>
    <row r="3717" spans="1:7" hidden="1" x14ac:dyDescent="0.25">
      <c r="A3717" t="s">
        <v>4</v>
      </c>
      <c r="B3717" t="s">
        <v>2887</v>
      </c>
      <c r="F3717" t="s">
        <v>11529</v>
      </c>
      <c r="G3717" t="s">
        <v>1077</v>
      </c>
    </row>
    <row r="3718" spans="1:7" hidden="1" x14ac:dyDescent="0.25">
      <c r="A3718" t="s">
        <v>1967</v>
      </c>
      <c r="B3718" t="s">
        <v>8</v>
      </c>
      <c r="F3718" t="s">
        <v>11541</v>
      </c>
      <c r="G3718" t="s">
        <v>1078</v>
      </c>
    </row>
    <row r="3719" spans="1:7" hidden="1" x14ac:dyDescent="0.25">
      <c r="A3719" t="s">
        <v>1967</v>
      </c>
      <c r="B3719" t="s">
        <v>8</v>
      </c>
      <c r="F3719" t="s">
        <v>11544</v>
      </c>
      <c r="G3719" t="s">
        <v>1078</v>
      </c>
    </row>
    <row r="3720" spans="1:7" hidden="1" x14ac:dyDescent="0.25">
      <c r="A3720" t="s">
        <v>1967</v>
      </c>
      <c r="B3720" t="s">
        <v>8</v>
      </c>
      <c r="F3720" t="s">
        <v>11626</v>
      </c>
      <c r="G3720" t="s">
        <v>1079</v>
      </c>
    </row>
    <row r="3721" spans="1:7" hidden="1" x14ac:dyDescent="0.25">
      <c r="A3721" t="s">
        <v>1967</v>
      </c>
      <c r="B3721" t="s">
        <v>8</v>
      </c>
      <c r="F3721" t="s">
        <v>11629</v>
      </c>
      <c r="G3721" t="s">
        <v>1079</v>
      </c>
    </row>
    <row r="3722" spans="1:7" hidden="1" x14ac:dyDescent="0.25">
      <c r="A3722" t="s">
        <v>4</v>
      </c>
      <c r="B3722" t="s">
        <v>9</v>
      </c>
      <c r="F3722" t="s">
        <v>11547</v>
      </c>
      <c r="G3722" t="s">
        <v>768</v>
      </c>
    </row>
    <row r="3723" spans="1:7" hidden="1" x14ac:dyDescent="0.25">
      <c r="A3723" t="s">
        <v>1987</v>
      </c>
      <c r="B3723" t="s">
        <v>768</v>
      </c>
      <c r="F3723" t="s">
        <v>11550</v>
      </c>
      <c r="G3723" t="s">
        <v>768</v>
      </c>
    </row>
    <row r="3724" spans="1:7" hidden="1" x14ac:dyDescent="0.25">
      <c r="A3724" t="s">
        <v>1987</v>
      </c>
      <c r="B3724" t="s">
        <v>768</v>
      </c>
      <c r="F3724" t="s">
        <v>11553</v>
      </c>
      <c r="G3724" t="s">
        <v>768</v>
      </c>
    </row>
    <row r="3725" spans="1:7" hidden="1" x14ac:dyDescent="0.25">
      <c r="A3725" t="s">
        <v>1987</v>
      </c>
      <c r="B3725" t="s">
        <v>768</v>
      </c>
      <c r="F3725" t="s">
        <v>11556</v>
      </c>
      <c r="G3725" t="s">
        <v>768</v>
      </c>
    </row>
    <row r="3726" spans="1:7" hidden="1" x14ac:dyDescent="0.25">
      <c r="A3726" t="s">
        <v>4</v>
      </c>
      <c r="B3726" t="s">
        <v>7615</v>
      </c>
      <c r="F3726" t="s">
        <v>11559</v>
      </c>
      <c r="G3726" t="s">
        <v>1072</v>
      </c>
    </row>
    <row r="3727" spans="1:7" hidden="1" x14ac:dyDescent="0.25">
      <c r="A3727" t="s">
        <v>1987</v>
      </c>
      <c r="B3727" t="s">
        <v>1267</v>
      </c>
      <c r="F3727" t="s">
        <v>11562</v>
      </c>
      <c r="G3727" t="s">
        <v>1072</v>
      </c>
    </row>
    <row r="3728" spans="1:7" hidden="1" x14ac:dyDescent="0.25">
      <c r="A3728" t="s">
        <v>9086</v>
      </c>
      <c r="B3728" t="s">
        <v>9087</v>
      </c>
      <c r="F3728" t="s">
        <v>11565</v>
      </c>
      <c r="G3728" t="s">
        <v>1072</v>
      </c>
    </row>
    <row r="3729" spans="1:7" hidden="1" x14ac:dyDescent="0.25">
      <c r="A3729" t="s">
        <v>9572</v>
      </c>
      <c r="B3729" t="s">
        <v>1570</v>
      </c>
      <c r="F3729" t="s">
        <v>11568</v>
      </c>
      <c r="G3729" t="s">
        <v>1072</v>
      </c>
    </row>
    <row r="3730" spans="1:7" hidden="1" x14ac:dyDescent="0.25">
      <c r="A3730" t="s">
        <v>9572</v>
      </c>
      <c r="B3730" t="s">
        <v>1570</v>
      </c>
      <c r="F3730" t="s">
        <v>11571</v>
      </c>
      <c r="G3730" t="s">
        <v>1072</v>
      </c>
    </row>
    <row r="3731" spans="1:7" hidden="1" x14ac:dyDescent="0.25">
      <c r="A3731" t="s">
        <v>9086</v>
      </c>
      <c r="B3731" t="s">
        <v>9087</v>
      </c>
      <c r="F3731" t="s">
        <v>11574</v>
      </c>
      <c r="G3731" t="s">
        <v>1072</v>
      </c>
    </row>
    <row r="3732" spans="1:7" hidden="1" x14ac:dyDescent="0.25">
      <c r="A3732" t="s">
        <v>9086</v>
      </c>
      <c r="B3732" t="s">
        <v>9087</v>
      </c>
      <c r="F3732" t="s">
        <v>11577</v>
      </c>
      <c r="G3732" t="s">
        <v>1072</v>
      </c>
    </row>
    <row r="3733" spans="1:7" hidden="1" x14ac:dyDescent="0.25">
      <c r="A3733" t="s">
        <v>4</v>
      </c>
      <c r="B3733" t="s">
        <v>9</v>
      </c>
      <c r="F3733" t="s">
        <v>11580</v>
      </c>
      <c r="G3733" t="s">
        <v>1072</v>
      </c>
    </row>
    <row r="3734" spans="1:7" hidden="1" x14ac:dyDescent="0.25">
      <c r="A3734" t="s">
        <v>4</v>
      </c>
      <c r="B3734" t="s">
        <v>9</v>
      </c>
      <c r="E3734" t="s">
        <v>2891</v>
      </c>
      <c r="F3734" t="s">
        <v>11583</v>
      </c>
      <c r="G3734" t="s">
        <v>1072</v>
      </c>
    </row>
    <row r="3735" spans="1:7" hidden="1" x14ac:dyDescent="0.25">
      <c r="A3735" t="s">
        <v>4</v>
      </c>
      <c r="B3735" t="s">
        <v>11633</v>
      </c>
      <c r="F3735" t="s">
        <v>11586</v>
      </c>
      <c r="G3735" t="s">
        <v>1072</v>
      </c>
    </row>
    <row r="3736" spans="1:7" hidden="1" x14ac:dyDescent="0.25">
      <c r="A3736" t="s">
        <v>1967</v>
      </c>
      <c r="B3736" t="s">
        <v>8</v>
      </c>
      <c r="F3736" t="s">
        <v>11589</v>
      </c>
      <c r="G3736" s="1" t="s">
        <v>1566</v>
      </c>
    </row>
    <row r="3737" spans="1:7" hidden="1" x14ac:dyDescent="0.25">
      <c r="A3737" t="s">
        <v>505</v>
      </c>
      <c r="B3737" t="s">
        <v>1570</v>
      </c>
      <c r="C3737" t="s">
        <v>58</v>
      </c>
      <c r="F3737" t="s">
        <v>11592</v>
      </c>
      <c r="G3737" s="1" t="s">
        <v>1566</v>
      </c>
    </row>
    <row r="3738" spans="1:7" hidden="1" x14ac:dyDescent="0.25">
      <c r="A3738" t="s">
        <v>505</v>
      </c>
      <c r="B3738" t="s">
        <v>1570</v>
      </c>
      <c r="C3738" t="s">
        <v>58</v>
      </c>
      <c r="F3738" t="s">
        <v>11595</v>
      </c>
      <c r="G3738" s="1" t="s">
        <v>1566</v>
      </c>
    </row>
    <row r="3739" spans="1:7" hidden="1" x14ac:dyDescent="0.25">
      <c r="A3739" t="s">
        <v>1967</v>
      </c>
      <c r="B3739" t="s">
        <v>8</v>
      </c>
      <c r="F3739" t="s">
        <v>11598</v>
      </c>
      <c r="G3739" t="s">
        <v>1780</v>
      </c>
    </row>
    <row r="3740" spans="1:7" hidden="1" x14ac:dyDescent="0.25">
      <c r="A3740" t="s">
        <v>1967</v>
      </c>
      <c r="B3740" t="s">
        <v>8</v>
      </c>
      <c r="F3740" t="s">
        <v>11601</v>
      </c>
      <c r="G3740" t="s">
        <v>1780</v>
      </c>
    </row>
    <row r="3741" spans="1:7" hidden="1" x14ac:dyDescent="0.25">
      <c r="A3741" t="s">
        <v>1967</v>
      </c>
      <c r="B3741" t="s">
        <v>8</v>
      </c>
      <c r="F3741" t="s">
        <v>11604</v>
      </c>
      <c r="G3741" t="s">
        <v>1897</v>
      </c>
    </row>
    <row r="3742" spans="1:7" hidden="1" x14ac:dyDescent="0.25">
      <c r="A3742" t="s">
        <v>9754</v>
      </c>
      <c r="B3742" t="s">
        <v>5071</v>
      </c>
      <c r="F3742" t="s">
        <v>11607</v>
      </c>
      <c r="G3742" t="s">
        <v>1897</v>
      </c>
    </row>
    <row r="3743" spans="1:7" hidden="1" x14ac:dyDescent="0.25">
      <c r="A3743" t="s">
        <v>9754</v>
      </c>
      <c r="B3743" t="s">
        <v>5071</v>
      </c>
      <c r="F3743" t="s">
        <v>11610</v>
      </c>
      <c r="G3743" t="s">
        <v>1897</v>
      </c>
    </row>
    <row r="3744" spans="1:7" hidden="1" x14ac:dyDescent="0.25">
      <c r="A3744" t="s">
        <v>4</v>
      </c>
      <c r="B3744" t="s">
        <v>8</v>
      </c>
      <c r="F3744" t="s">
        <v>11613</v>
      </c>
      <c r="G3744" t="s">
        <v>1897</v>
      </c>
    </row>
    <row r="3745" spans="1:7" hidden="1" x14ac:dyDescent="0.25">
      <c r="A3745" t="s">
        <v>1967</v>
      </c>
      <c r="B3745" t="s">
        <v>8</v>
      </c>
      <c r="F3745" t="s">
        <v>11616</v>
      </c>
      <c r="G3745" t="s">
        <v>1960</v>
      </c>
    </row>
    <row r="3746" spans="1:7" hidden="1" x14ac:dyDescent="0.25">
      <c r="A3746" t="s">
        <v>1967</v>
      </c>
      <c r="B3746" t="s">
        <v>8</v>
      </c>
      <c r="F3746" t="s">
        <v>11619</v>
      </c>
      <c r="G3746" t="s">
        <v>1960</v>
      </c>
    </row>
    <row r="3747" spans="1:7" hidden="1" x14ac:dyDescent="0.25">
      <c r="A3747" t="s">
        <v>4</v>
      </c>
      <c r="B3747" t="s">
        <v>8691</v>
      </c>
      <c r="F3747" t="s">
        <v>11726</v>
      </c>
      <c r="G3747" t="s">
        <v>1076</v>
      </c>
    </row>
    <row r="3748" spans="1:7" hidden="1" x14ac:dyDescent="0.25">
      <c r="A3748" t="s">
        <v>11807</v>
      </c>
      <c r="B3748" t="s">
        <v>11808</v>
      </c>
      <c r="C3748" t="s">
        <v>5010</v>
      </c>
      <c r="F3748" t="s">
        <v>11729</v>
      </c>
      <c r="G3748" t="s">
        <v>1076</v>
      </c>
    </row>
    <row r="3749" spans="1:7" hidden="1" x14ac:dyDescent="0.25">
      <c r="A3749" t="s">
        <v>62</v>
      </c>
      <c r="B3749" t="s">
        <v>11808</v>
      </c>
      <c r="C3749" t="s">
        <v>5010</v>
      </c>
      <c r="F3749" t="s">
        <v>11732</v>
      </c>
      <c r="G3749" t="s">
        <v>1076</v>
      </c>
    </row>
    <row r="3750" spans="1:7" hidden="1" x14ac:dyDescent="0.25">
      <c r="A3750" t="s">
        <v>11807</v>
      </c>
      <c r="B3750" t="s">
        <v>4134</v>
      </c>
      <c r="C3750" t="s">
        <v>5010</v>
      </c>
      <c r="F3750" t="s">
        <v>11735</v>
      </c>
      <c r="G3750" t="s">
        <v>1076</v>
      </c>
    </row>
    <row r="3751" spans="1:7" hidden="1" x14ac:dyDescent="0.25">
      <c r="A3751" t="s">
        <v>62</v>
      </c>
      <c r="B3751" t="s">
        <v>4134</v>
      </c>
      <c r="C3751" t="s">
        <v>5010</v>
      </c>
      <c r="F3751" t="s">
        <v>11738</v>
      </c>
      <c r="G3751" t="s">
        <v>1076</v>
      </c>
    </row>
    <row r="3752" spans="1:7" hidden="1" x14ac:dyDescent="0.25">
      <c r="A3752" t="s">
        <v>1569</v>
      </c>
      <c r="B3752" t="s">
        <v>70</v>
      </c>
      <c r="C3752" t="s">
        <v>5010</v>
      </c>
      <c r="F3752" t="s">
        <v>11741</v>
      </c>
      <c r="G3752" t="s">
        <v>1076</v>
      </c>
    </row>
    <row r="3753" spans="1:7" hidden="1" x14ac:dyDescent="0.25">
      <c r="A3753" t="s">
        <v>11807</v>
      </c>
      <c r="B3753" t="s">
        <v>70</v>
      </c>
      <c r="F3753" t="s">
        <v>11744</v>
      </c>
      <c r="G3753" t="s">
        <v>1076</v>
      </c>
    </row>
    <row r="3754" spans="1:7" hidden="1" x14ac:dyDescent="0.25">
      <c r="A3754" t="s">
        <v>11809</v>
      </c>
      <c r="B3754" t="s">
        <v>70</v>
      </c>
      <c r="C3754" t="s">
        <v>9224</v>
      </c>
      <c r="F3754" t="s">
        <v>11747</v>
      </c>
      <c r="G3754" t="s">
        <v>1076</v>
      </c>
    </row>
    <row r="3755" spans="1:7" hidden="1" x14ac:dyDescent="0.25">
      <c r="A3755" t="s">
        <v>622</v>
      </c>
      <c r="B3755" t="s">
        <v>70</v>
      </c>
      <c r="C3755" t="s">
        <v>9224</v>
      </c>
      <c r="F3755" t="s">
        <v>11750</v>
      </c>
      <c r="G3755" t="s">
        <v>1076</v>
      </c>
    </row>
    <row r="3756" spans="1:7" hidden="1" x14ac:dyDescent="0.25">
      <c r="A3756" t="s">
        <v>4</v>
      </c>
      <c r="B3756" t="s">
        <v>2887</v>
      </c>
      <c r="F3756" t="s">
        <v>11753</v>
      </c>
      <c r="G3756" t="s">
        <v>1077</v>
      </c>
    </row>
    <row r="3757" spans="1:7" hidden="1" x14ac:dyDescent="0.25">
      <c r="A3757" t="s">
        <v>6092</v>
      </c>
      <c r="B3757" t="s">
        <v>11808</v>
      </c>
      <c r="F3757" t="s">
        <v>11756</v>
      </c>
      <c r="G3757" t="s">
        <v>1077</v>
      </c>
    </row>
    <row r="3758" spans="1:7" hidden="1" x14ac:dyDescent="0.25">
      <c r="A3758" t="s">
        <v>159</v>
      </c>
      <c r="B3758" t="s">
        <v>11808</v>
      </c>
      <c r="F3758" t="s">
        <v>11759</v>
      </c>
      <c r="G3758" t="s">
        <v>1077</v>
      </c>
    </row>
    <row r="3759" spans="1:7" hidden="1" x14ac:dyDescent="0.25">
      <c r="A3759" t="s">
        <v>201</v>
      </c>
      <c r="B3759" t="s">
        <v>11808</v>
      </c>
      <c r="F3759" t="s">
        <v>11762</v>
      </c>
      <c r="G3759" t="s">
        <v>1077</v>
      </c>
    </row>
    <row r="3760" spans="1:7" hidden="1" x14ac:dyDescent="0.25">
      <c r="A3760" t="s">
        <v>4</v>
      </c>
      <c r="B3760" t="s">
        <v>8</v>
      </c>
      <c r="F3760" t="s">
        <v>11765</v>
      </c>
      <c r="G3760" t="s">
        <v>1077</v>
      </c>
    </row>
    <row r="3761" spans="1:7" hidden="1" x14ac:dyDescent="0.25">
      <c r="A3761" t="s">
        <v>159</v>
      </c>
      <c r="B3761" t="s">
        <v>4134</v>
      </c>
      <c r="F3761" t="s">
        <v>11768</v>
      </c>
      <c r="G3761" t="s">
        <v>1077</v>
      </c>
    </row>
    <row r="3762" spans="1:7" hidden="1" x14ac:dyDescent="0.25">
      <c r="A3762" t="s">
        <v>201</v>
      </c>
      <c r="B3762" t="s">
        <v>4134</v>
      </c>
      <c r="F3762" t="s">
        <v>11771</v>
      </c>
      <c r="G3762" t="s">
        <v>1077</v>
      </c>
    </row>
    <row r="3763" spans="1:7" hidden="1" x14ac:dyDescent="0.25">
      <c r="A3763" t="s">
        <v>4</v>
      </c>
      <c r="B3763" t="s">
        <v>8</v>
      </c>
      <c r="F3763" t="s">
        <v>11774</v>
      </c>
      <c r="G3763" t="s">
        <v>1077</v>
      </c>
    </row>
    <row r="3764" spans="1:7" hidden="1" x14ac:dyDescent="0.25">
      <c r="A3764" t="s">
        <v>159</v>
      </c>
      <c r="B3764" t="s">
        <v>70</v>
      </c>
      <c r="F3764" t="s">
        <v>11777</v>
      </c>
      <c r="G3764" t="s">
        <v>1077</v>
      </c>
    </row>
    <row r="3765" spans="1:7" hidden="1" x14ac:dyDescent="0.25">
      <c r="A3765" t="s">
        <v>4</v>
      </c>
      <c r="B3765" t="s">
        <v>8</v>
      </c>
      <c r="F3765" t="s">
        <v>11780</v>
      </c>
      <c r="G3765" t="s">
        <v>1077</v>
      </c>
    </row>
    <row r="3766" spans="1:7" hidden="1" x14ac:dyDescent="0.25">
      <c r="A3766" t="s">
        <v>1967</v>
      </c>
      <c r="B3766" t="s">
        <v>8</v>
      </c>
      <c r="F3766" t="s">
        <v>11783</v>
      </c>
      <c r="G3766" t="s">
        <v>1078</v>
      </c>
    </row>
    <row r="3767" spans="1:7" hidden="1" x14ac:dyDescent="0.25">
      <c r="A3767" t="s">
        <v>11810</v>
      </c>
      <c r="F3767" t="s">
        <v>11786</v>
      </c>
      <c r="G3767" t="s">
        <v>1078</v>
      </c>
    </row>
    <row r="3768" spans="1:7" hidden="1" x14ac:dyDescent="0.25">
      <c r="A3768" t="s">
        <v>11811</v>
      </c>
      <c r="F3768" t="s">
        <v>11789</v>
      </c>
      <c r="G3768" t="s">
        <v>1078</v>
      </c>
    </row>
    <row r="3769" spans="1:7" hidden="1" x14ac:dyDescent="0.25">
      <c r="A3769" t="s">
        <v>1967</v>
      </c>
      <c r="B3769" t="s">
        <v>8</v>
      </c>
      <c r="F3769" t="s">
        <v>11792</v>
      </c>
      <c r="G3769" t="s">
        <v>1078</v>
      </c>
    </row>
    <row r="3770" spans="1:7" hidden="1" x14ac:dyDescent="0.25">
      <c r="A3770" t="s">
        <v>4</v>
      </c>
      <c r="B3770" t="s">
        <v>7947</v>
      </c>
      <c r="F3770" t="s">
        <v>11795</v>
      </c>
      <c r="G3770" t="s">
        <v>1078</v>
      </c>
    </row>
    <row r="3771" spans="1:7" hidden="1" x14ac:dyDescent="0.25">
      <c r="A3771" t="s">
        <v>4</v>
      </c>
      <c r="B3771" t="s">
        <v>8</v>
      </c>
      <c r="F3771" t="s">
        <v>11798</v>
      </c>
      <c r="G3771" t="s">
        <v>1078</v>
      </c>
    </row>
    <row r="3772" spans="1:7" hidden="1" x14ac:dyDescent="0.25">
      <c r="A3772" t="s">
        <v>4</v>
      </c>
      <c r="B3772" t="s">
        <v>7947</v>
      </c>
      <c r="F3772" t="s">
        <v>11801</v>
      </c>
      <c r="G3772" t="s">
        <v>1078</v>
      </c>
    </row>
    <row r="3773" spans="1:7" hidden="1" x14ac:dyDescent="0.25">
      <c r="A3773" t="s">
        <v>4</v>
      </c>
      <c r="B3773" t="s">
        <v>7947</v>
      </c>
      <c r="F3773" t="s">
        <v>11804</v>
      </c>
      <c r="G3773" t="s">
        <v>1078</v>
      </c>
    </row>
    <row r="3774" spans="1:7" hidden="1" x14ac:dyDescent="0.25">
      <c r="A3774" t="s">
        <v>4</v>
      </c>
      <c r="B3774" t="s">
        <v>9791</v>
      </c>
      <c r="F3774" t="s">
        <v>11634</v>
      </c>
      <c r="G3774" t="s">
        <v>1079</v>
      </c>
    </row>
    <row r="3775" spans="1:7" hidden="1" x14ac:dyDescent="0.25">
      <c r="A3775" t="s">
        <v>4</v>
      </c>
      <c r="B3775" t="s">
        <v>8</v>
      </c>
      <c r="F3775" t="s">
        <v>11637</v>
      </c>
      <c r="G3775" t="s">
        <v>1079</v>
      </c>
    </row>
    <row r="3776" spans="1:7" hidden="1" x14ac:dyDescent="0.25">
      <c r="A3776" t="s">
        <v>4</v>
      </c>
      <c r="B3776" t="s">
        <v>9791</v>
      </c>
      <c r="F3776" t="s">
        <v>11640</v>
      </c>
      <c r="G3776" t="s">
        <v>1079</v>
      </c>
    </row>
    <row r="3777" spans="1:7" hidden="1" x14ac:dyDescent="0.25">
      <c r="A3777" t="s">
        <v>4</v>
      </c>
      <c r="B3777" t="s">
        <v>9791</v>
      </c>
      <c r="F3777" t="s">
        <v>11643</v>
      </c>
      <c r="G3777" t="s">
        <v>1079</v>
      </c>
    </row>
    <row r="3778" spans="1:7" hidden="1" x14ac:dyDescent="0.25">
      <c r="A3778" t="s">
        <v>11811</v>
      </c>
      <c r="F3778" t="s">
        <v>11646</v>
      </c>
      <c r="G3778" t="s">
        <v>1079</v>
      </c>
    </row>
    <row r="3779" spans="1:7" hidden="1" x14ac:dyDescent="0.25">
      <c r="A3779" t="s">
        <v>4</v>
      </c>
      <c r="B3779" t="s">
        <v>8</v>
      </c>
      <c r="F3779" t="s">
        <v>11649</v>
      </c>
      <c r="G3779" t="s">
        <v>1079</v>
      </c>
    </row>
    <row r="3780" spans="1:7" hidden="1" x14ac:dyDescent="0.25">
      <c r="A3780" t="s">
        <v>4</v>
      </c>
      <c r="B3780" t="s">
        <v>8</v>
      </c>
      <c r="F3780" t="s">
        <v>11652</v>
      </c>
      <c r="G3780" t="s">
        <v>1079</v>
      </c>
    </row>
    <row r="3781" spans="1:7" hidden="1" x14ac:dyDescent="0.25">
      <c r="A3781" t="s">
        <v>4</v>
      </c>
      <c r="B3781" t="s">
        <v>8</v>
      </c>
      <c r="F3781" t="s">
        <v>11655</v>
      </c>
      <c r="G3781" t="s">
        <v>1079</v>
      </c>
    </row>
    <row r="3782" spans="1:7" hidden="1" x14ac:dyDescent="0.25">
      <c r="A3782" t="s">
        <v>4</v>
      </c>
      <c r="B3782" t="s">
        <v>8</v>
      </c>
      <c r="F3782" t="s">
        <v>11658</v>
      </c>
      <c r="G3782" t="s">
        <v>1079</v>
      </c>
    </row>
    <row r="3783" spans="1:7" hidden="1" x14ac:dyDescent="0.25">
      <c r="A3783" t="s">
        <v>11812</v>
      </c>
      <c r="B3783" t="s">
        <v>2887</v>
      </c>
      <c r="F3783" t="s">
        <v>11661</v>
      </c>
      <c r="G3783" t="s">
        <v>1079</v>
      </c>
    </row>
    <row r="3784" spans="1:7" hidden="1" x14ac:dyDescent="0.25">
      <c r="A3784" t="s">
        <v>4</v>
      </c>
      <c r="B3784" t="s">
        <v>9791</v>
      </c>
      <c r="F3784" t="s">
        <v>11664</v>
      </c>
      <c r="G3784" t="s">
        <v>1079</v>
      </c>
    </row>
    <row r="3785" spans="1:7" hidden="1" x14ac:dyDescent="0.25">
      <c r="A3785" t="s">
        <v>4</v>
      </c>
      <c r="B3785" t="s">
        <v>8</v>
      </c>
      <c r="F3785" t="s">
        <v>11667</v>
      </c>
      <c r="G3785" t="s">
        <v>1079</v>
      </c>
    </row>
    <row r="3786" spans="1:7" hidden="1" x14ac:dyDescent="0.25">
      <c r="A3786" t="s">
        <v>4</v>
      </c>
      <c r="B3786" t="s">
        <v>8</v>
      </c>
      <c r="F3786" t="s">
        <v>11670</v>
      </c>
      <c r="G3786" t="s">
        <v>1897</v>
      </c>
    </row>
    <row r="3787" spans="1:7" hidden="1" x14ac:dyDescent="0.25">
      <c r="A3787" t="s">
        <v>4</v>
      </c>
      <c r="B3787" t="s">
        <v>8</v>
      </c>
      <c r="E3787" t="s">
        <v>2891</v>
      </c>
      <c r="F3787" t="s">
        <v>11673</v>
      </c>
      <c r="G3787" t="s">
        <v>1897</v>
      </c>
    </row>
    <row r="3788" spans="1:7" hidden="1" x14ac:dyDescent="0.25">
      <c r="A3788" t="s">
        <v>4</v>
      </c>
      <c r="B3788" t="s">
        <v>2887</v>
      </c>
      <c r="F3788" t="s">
        <v>11676</v>
      </c>
      <c r="G3788" t="s">
        <v>1897</v>
      </c>
    </row>
    <row r="3789" spans="1:7" hidden="1" x14ac:dyDescent="0.25">
      <c r="A3789" t="s">
        <v>4</v>
      </c>
      <c r="B3789" t="s">
        <v>2887</v>
      </c>
      <c r="F3789" t="s">
        <v>11679</v>
      </c>
      <c r="G3789" t="s">
        <v>1897</v>
      </c>
    </row>
    <row r="3790" spans="1:7" hidden="1" x14ac:dyDescent="0.25">
      <c r="A3790" t="s">
        <v>11811</v>
      </c>
      <c r="F3790" t="s">
        <v>11682</v>
      </c>
      <c r="G3790" t="s">
        <v>1897</v>
      </c>
    </row>
    <row r="3791" spans="1:7" hidden="1" x14ac:dyDescent="0.25">
      <c r="A3791" t="s">
        <v>4</v>
      </c>
      <c r="B3791" t="s">
        <v>8</v>
      </c>
      <c r="F3791" t="s">
        <v>11685</v>
      </c>
      <c r="G3791" t="s">
        <v>1897</v>
      </c>
    </row>
    <row r="3792" spans="1:7" hidden="1" x14ac:dyDescent="0.25">
      <c r="A3792" t="s">
        <v>1967</v>
      </c>
      <c r="B3792" t="s">
        <v>8</v>
      </c>
      <c r="F3792" t="s">
        <v>11688</v>
      </c>
      <c r="G3792" t="s">
        <v>1897</v>
      </c>
    </row>
    <row r="3793" spans="1:7" hidden="1" x14ac:dyDescent="0.25">
      <c r="A3793" t="s">
        <v>4</v>
      </c>
      <c r="B3793" t="s">
        <v>11813</v>
      </c>
      <c r="F3793" t="s">
        <v>11691</v>
      </c>
      <c r="G3793" t="s">
        <v>1897</v>
      </c>
    </row>
    <row r="3794" spans="1:7" hidden="1" x14ac:dyDescent="0.25">
      <c r="A3794" t="s">
        <v>4</v>
      </c>
      <c r="B3794" t="s">
        <v>11813</v>
      </c>
      <c r="E3794" t="s">
        <v>2891</v>
      </c>
      <c r="F3794" t="s">
        <v>11694</v>
      </c>
      <c r="G3794" t="s">
        <v>1897</v>
      </c>
    </row>
    <row r="3795" spans="1:7" hidden="1" x14ac:dyDescent="0.25">
      <c r="A3795" t="s">
        <v>4</v>
      </c>
      <c r="B3795" t="s">
        <v>8</v>
      </c>
      <c r="F3795" t="s">
        <v>11697</v>
      </c>
      <c r="G3795" t="s">
        <v>1960</v>
      </c>
    </row>
    <row r="3796" spans="1:7" hidden="1" x14ac:dyDescent="0.25">
      <c r="A3796" t="s">
        <v>4</v>
      </c>
      <c r="B3796" t="s">
        <v>8</v>
      </c>
      <c r="F3796" t="s">
        <v>11700</v>
      </c>
      <c r="G3796" t="s">
        <v>1960</v>
      </c>
    </row>
    <row r="3797" spans="1:7" hidden="1" x14ac:dyDescent="0.25">
      <c r="A3797" t="s">
        <v>159</v>
      </c>
      <c r="B3797" t="s">
        <v>11808</v>
      </c>
      <c r="F3797" t="s">
        <v>11703</v>
      </c>
      <c r="G3797" t="s">
        <v>1960</v>
      </c>
    </row>
    <row r="3798" spans="1:7" hidden="1" x14ac:dyDescent="0.25">
      <c r="A3798" t="s">
        <v>4</v>
      </c>
      <c r="B3798" t="s">
        <v>8</v>
      </c>
      <c r="F3798" t="s">
        <v>11706</v>
      </c>
      <c r="G3798" t="s">
        <v>1960</v>
      </c>
    </row>
    <row r="3799" spans="1:7" hidden="1" x14ac:dyDescent="0.25">
      <c r="A3799" t="s">
        <v>6092</v>
      </c>
      <c r="B3799" t="s">
        <v>4134</v>
      </c>
      <c r="F3799" t="s">
        <v>11709</v>
      </c>
      <c r="G3799" t="s">
        <v>1960</v>
      </c>
    </row>
    <row r="3800" spans="1:7" hidden="1" x14ac:dyDescent="0.25">
      <c r="A3800" t="s">
        <v>11807</v>
      </c>
      <c r="B3800" t="s">
        <v>4134</v>
      </c>
      <c r="F3800" t="s">
        <v>11712</v>
      </c>
      <c r="G3800" t="s">
        <v>1960</v>
      </c>
    </row>
    <row r="3801" spans="1:7" hidden="1" x14ac:dyDescent="0.25">
      <c r="A3801" t="s">
        <v>4</v>
      </c>
      <c r="B3801" t="s">
        <v>8</v>
      </c>
      <c r="F3801" t="s">
        <v>11715</v>
      </c>
      <c r="G3801" t="s">
        <v>1960</v>
      </c>
    </row>
    <row r="3802" spans="1:7" hidden="1" x14ac:dyDescent="0.25">
      <c r="A3802" t="s">
        <v>623</v>
      </c>
      <c r="B3802" t="s">
        <v>86</v>
      </c>
      <c r="F3802" t="s">
        <v>11718</v>
      </c>
      <c r="G3802" t="s">
        <v>1960</v>
      </c>
    </row>
    <row r="3803" spans="1:7" hidden="1" x14ac:dyDescent="0.25">
      <c r="A3803" t="s">
        <v>623</v>
      </c>
      <c r="B3803" t="s">
        <v>86</v>
      </c>
      <c r="E3803" t="s">
        <v>2891</v>
      </c>
      <c r="F3803" t="s">
        <v>11720</v>
      </c>
      <c r="G3803" t="s">
        <v>1960</v>
      </c>
    </row>
    <row r="3804" spans="1:7" hidden="1" x14ac:dyDescent="0.25">
      <c r="A3804" t="s">
        <v>11814</v>
      </c>
      <c r="B3804" t="s">
        <v>86</v>
      </c>
      <c r="F3804" t="s">
        <v>11723</v>
      </c>
      <c r="G3804" t="s">
        <v>1960</v>
      </c>
    </row>
    <row r="3805" spans="1:7" hidden="1" x14ac:dyDescent="0.25">
      <c r="A3805" t="s">
        <v>262</v>
      </c>
      <c r="B3805" t="s">
        <v>11863</v>
      </c>
      <c r="C3805" t="s">
        <v>1585</v>
      </c>
      <c r="D3805">
        <v>2</v>
      </c>
      <c r="F3805" t="s">
        <v>11827</v>
      </c>
      <c r="G3805" t="s">
        <v>1076</v>
      </c>
    </row>
    <row r="3806" spans="1:7" hidden="1" x14ac:dyDescent="0.25">
      <c r="A3806" t="s">
        <v>11867</v>
      </c>
      <c r="B3806" t="s">
        <v>11864</v>
      </c>
      <c r="F3806" t="s">
        <v>11830</v>
      </c>
      <c r="G3806" t="s">
        <v>1076</v>
      </c>
    </row>
    <row r="3807" spans="1:7" hidden="1" x14ac:dyDescent="0.25">
      <c r="A3807" t="s">
        <v>11865</v>
      </c>
      <c r="B3807" t="s">
        <v>11864</v>
      </c>
      <c r="F3807" t="s">
        <v>11833</v>
      </c>
      <c r="G3807" t="s">
        <v>1076</v>
      </c>
    </row>
    <row r="3808" spans="1:7" hidden="1" x14ac:dyDescent="0.25">
      <c r="A3808" t="s">
        <v>4</v>
      </c>
      <c r="B3808" t="s">
        <v>11866</v>
      </c>
      <c r="F3808" t="s">
        <v>11836</v>
      </c>
      <c r="G3808" t="s">
        <v>1076</v>
      </c>
    </row>
    <row r="3809" spans="1:7" hidden="1" x14ac:dyDescent="0.25">
      <c r="A3809" t="s">
        <v>11867</v>
      </c>
      <c r="B3809" t="s">
        <v>11864</v>
      </c>
      <c r="F3809" t="s">
        <v>11839</v>
      </c>
      <c r="G3809" t="s">
        <v>1076</v>
      </c>
    </row>
    <row r="3810" spans="1:7" hidden="1" x14ac:dyDescent="0.25">
      <c r="A3810" t="s">
        <v>62</v>
      </c>
      <c r="B3810" t="s">
        <v>11864</v>
      </c>
      <c r="F3810" t="s">
        <v>11842</v>
      </c>
      <c r="G3810" t="s">
        <v>1076</v>
      </c>
    </row>
    <row r="3811" spans="1:7" hidden="1" x14ac:dyDescent="0.25">
      <c r="A3811" t="s">
        <v>623</v>
      </c>
      <c r="B3811" t="s">
        <v>86</v>
      </c>
      <c r="F3811" t="s">
        <v>11845</v>
      </c>
      <c r="G3811" t="s">
        <v>1077</v>
      </c>
    </row>
    <row r="3812" spans="1:7" hidden="1" x14ac:dyDescent="0.25">
      <c r="A3812" t="s">
        <v>11807</v>
      </c>
      <c r="B3812" t="s">
        <v>11864</v>
      </c>
      <c r="F3812" t="s">
        <v>11848</v>
      </c>
      <c r="G3812" t="s">
        <v>1077</v>
      </c>
    </row>
    <row r="3813" spans="1:7" hidden="1" x14ac:dyDescent="0.25">
      <c r="A3813" t="s">
        <v>201</v>
      </c>
      <c r="B3813" t="s">
        <v>11864</v>
      </c>
      <c r="F3813" t="s">
        <v>11851</v>
      </c>
      <c r="G3813" t="s">
        <v>1077</v>
      </c>
    </row>
    <row r="3814" spans="1:7" hidden="1" x14ac:dyDescent="0.25">
      <c r="A3814" t="s">
        <v>4</v>
      </c>
      <c r="B3814" t="s">
        <v>7947</v>
      </c>
      <c r="F3814" t="s">
        <v>11854</v>
      </c>
      <c r="G3814" t="s">
        <v>1078</v>
      </c>
    </row>
    <row r="3815" spans="1:7" hidden="1" x14ac:dyDescent="0.25">
      <c r="A3815" t="s">
        <v>4</v>
      </c>
      <c r="B3815" t="s">
        <v>8</v>
      </c>
      <c r="F3815" t="s">
        <v>11857</v>
      </c>
      <c r="G3815" t="s">
        <v>1078</v>
      </c>
    </row>
    <row r="3816" spans="1:7" hidden="1" x14ac:dyDescent="0.25">
      <c r="A3816" t="s">
        <v>4</v>
      </c>
      <c r="B3816" t="s">
        <v>7947</v>
      </c>
      <c r="F3816" t="s">
        <v>11860</v>
      </c>
      <c r="G3816" t="s">
        <v>1078</v>
      </c>
    </row>
    <row r="3817" spans="1:7" hidden="1" x14ac:dyDescent="0.25">
      <c r="A3817" t="s">
        <v>4</v>
      </c>
      <c r="B3817" t="s">
        <v>4189</v>
      </c>
      <c r="F3817" t="s">
        <v>11868</v>
      </c>
      <c r="G3817" t="s">
        <v>1079</v>
      </c>
    </row>
    <row r="3818" spans="1:7" hidden="1" x14ac:dyDescent="0.25">
      <c r="A3818" t="s">
        <v>4</v>
      </c>
      <c r="B3818" t="s">
        <v>4189</v>
      </c>
      <c r="E3818" t="s">
        <v>2891</v>
      </c>
      <c r="F3818" t="s">
        <v>11871</v>
      </c>
      <c r="G3818" t="s">
        <v>1079</v>
      </c>
    </row>
    <row r="3819" spans="1:7" hidden="1" x14ac:dyDescent="0.25">
      <c r="A3819" t="s">
        <v>1967</v>
      </c>
      <c r="B3819" t="s">
        <v>8</v>
      </c>
      <c r="F3819" t="s">
        <v>11874</v>
      </c>
      <c r="G3819" t="s">
        <v>1079</v>
      </c>
    </row>
    <row r="3820" spans="1:7" hidden="1" x14ac:dyDescent="0.25">
      <c r="A3820" t="s">
        <v>4</v>
      </c>
      <c r="B3820" t="s">
        <v>11877</v>
      </c>
      <c r="F3820" t="s">
        <v>11815</v>
      </c>
      <c r="G3820" t="s">
        <v>1897</v>
      </c>
    </row>
    <row r="3821" spans="1:7" hidden="1" x14ac:dyDescent="0.25">
      <c r="A3821" t="s">
        <v>1967</v>
      </c>
      <c r="B3821" t="s">
        <v>8</v>
      </c>
      <c r="F3821" t="s">
        <v>11818</v>
      </c>
      <c r="G3821" t="s">
        <v>1897</v>
      </c>
    </row>
    <row r="3822" spans="1:7" hidden="1" x14ac:dyDescent="0.25">
      <c r="A3822" t="s">
        <v>623</v>
      </c>
      <c r="B3822" t="s">
        <v>86</v>
      </c>
      <c r="F3822" t="s">
        <v>11821</v>
      </c>
      <c r="G3822" t="s">
        <v>1960</v>
      </c>
    </row>
    <row r="3823" spans="1:7" hidden="1" x14ac:dyDescent="0.25">
      <c r="A3823" t="s">
        <v>1967</v>
      </c>
      <c r="B3823" t="s">
        <v>8</v>
      </c>
      <c r="F3823" t="s">
        <v>11824</v>
      </c>
      <c r="G3823" t="s">
        <v>1960</v>
      </c>
    </row>
    <row r="3824" spans="1:7" hidden="1" x14ac:dyDescent="0.25">
      <c r="A3824" t="s">
        <v>1967</v>
      </c>
      <c r="B3824" t="s">
        <v>8</v>
      </c>
      <c r="F3824" t="s">
        <v>11878</v>
      </c>
      <c r="G3824" t="s">
        <v>1077</v>
      </c>
    </row>
    <row r="3825" spans="1:7" hidden="1" x14ac:dyDescent="0.25">
      <c r="A3825" t="s">
        <v>1967</v>
      </c>
      <c r="B3825" t="s">
        <v>8</v>
      </c>
      <c r="F3825" t="s">
        <v>11887</v>
      </c>
      <c r="G3825" t="s">
        <v>1076</v>
      </c>
    </row>
    <row r="3826" spans="1:7" hidden="1" x14ac:dyDescent="0.25">
      <c r="A3826" t="s">
        <v>4</v>
      </c>
      <c r="B3826" t="s">
        <v>10508</v>
      </c>
      <c r="F3826" t="s">
        <v>11890</v>
      </c>
      <c r="G3826" t="s">
        <v>1077</v>
      </c>
    </row>
    <row r="3827" spans="1:7" hidden="1" x14ac:dyDescent="0.25">
      <c r="A3827" t="s">
        <v>4</v>
      </c>
      <c r="B3827" t="s">
        <v>7947</v>
      </c>
      <c r="F3827" t="s">
        <v>11881</v>
      </c>
      <c r="G3827" t="s">
        <v>1078</v>
      </c>
    </row>
    <row r="3828" spans="1:7" hidden="1" x14ac:dyDescent="0.25">
      <c r="A3828" t="s">
        <v>4</v>
      </c>
      <c r="B3828" t="s">
        <v>8</v>
      </c>
      <c r="E3828" t="s">
        <v>2891</v>
      </c>
      <c r="F3828" t="s">
        <v>11884</v>
      </c>
      <c r="G3828" t="s">
        <v>1078</v>
      </c>
    </row>
    <row r="3829" spans="1:7" hidden="1" x14ac:dyDescent="0.25">
      <c r="A3829" t="s">
        <v>1967</v>
      </c>
      <c r="B3829" t="s">
        <v>8</v>
      </c>
      <c r="F3829" t="s">
        <v>11908</v>
      </c>
      <c r="G3829" t="s">
        <v>1079</v>
      </c>
    </row>
    <row r="3830" spans="1:7" hidden="1" x14ac:dyDescent="0.25">
      <c r="A3830" t="s">
        <v>4</v>
      </c>
      <c r="B3830" t="s">
        <v>10508</v>
      </c>
      <c r="F3830" t="s">
        <v>11893</v>
      </c>
      <c r="G3830" t="s">
        <v>1897</v>
      </c>
    </row>
    <row r="3831" spans="1:7" hidden="1" x14ac:dyDescent="0.25">
      <c r="A3831" t="s">
        <v>4</v>
      </c>
      <c r="B3831" t="s">
        <v>11911</v>
      </c>
      <c r="E3831" t="s">
        <v>2891</v>
      </c>
      <c r="F3831" t="s">
        <v>11896</v>
      </c>
      <c r="G3831" t="s">
        <v>1897</v>
      </c>
    </row>
    <row r="3832" spans="1:7" hidden="1" x14ac:dyDescent="0.25">
      <c r="A3832" t="s">
        <v>12</v>
      </c>
      <c r="F3832" t="s">
        <v>11899</v>
      </c>
      <c r="G3832" t="s">
        <v>1897</v>
      </c>
    </row>
    <row r="3833" spans="1:7" hidden="1" x14ac:dyDescent="0.25">
      <c r="A3833" t="s">
        <v>4</v>
      </c>
      <c r="B3833" t="s">
        <v>8</v>
      </c>
      <c r="E3833" t="s">
        <v>2891</v>
      </c>
      <c r="F3833" t="s">
        <v>11902</v>
      </c>
      <c r="G3833" t="s">
        <v>1897</v>
      </c>
    </row>
    <row r="3834" spans="1:7" hidden="1" x14ac:dyDescent="0.25">
      <c r="A3834" t="s">
        <v>1967</v>
      </c>
      <c r="B3834" t="s">
        <v>8</v>
      </c>
      <c r="F3834" t="s">
        <v>11905</v>
      </c>
      <c r="G3834" t="s">
        <v>1960</v>
      </c>
    </row>
    <row r="3835" spans="1:7" hidden="1" x14ac:dyDescent="0.25">
      <c r="A3835" t="s">
        <v>12024</v>
      </c>
      <c r="B3835" t="s">
        <v>12025</v>
      </c>
      <c r="D3835" s="8"/>
      <c r="F3835" t="s">
        <v>11943</v>
      </c>
      <c r="G3835" t="s">
        <v>12023</v>
      </c>
    </row>
    <row r="3836" spans="1:7" hidden="1" x14ac:dyDescent="0.25">
      <c r="A3836" t="s">
        <v>12024</v>
      </c>
      <c r="B3836" t="s">
        <v>12026</v>
      </c>
      <c r="D3836" s="8"/>
      <c r="F3836" t="s">
        <v>11945</v>
      </c>
      <c r="G3836" t="s">
        <v>12023</v>
      </c>
    </row>
    <row r="3837" spans="1:7" hidden="1" x14ac:dyDescent="0.25">
      <c r="A3837" t="s">
        <v>12027</v>
      </c>
      <c r="B3837" t="s">
        <v>12028</v>
      </c>
      <c r="D3837" s="8"/>
      <c r="F3837" t="s">
        <v>11947</v>
      </c>
      <c r="G3837" t="s">
        <v>12023</v>
      </c>
    </row>
    <row r="3838" spans="1:7" hidden="1" x14ac:dyDescent="0.25">
      <c r="A3838" t="s">
        <v>12027</v>
      </c>
      <c r="B3838" t="s">
        <v>12028</v>
      </c>
      <c r="D3838" s="8"/>
      <c r="F3838" t="s">
        <v>11949</v>
      </c>
      <c r="G3838" t="s">
        <v>12023</v>
      </c>
    </row>
    <row r="3839" spans="1:7" hidden="1" x14ac:dyDescent="0.25">
      <c r="A3839" t="s">
        <v>12029</v>
      </c>
      <c r="B3839" t="s">
        <v>12025</v>
      </c>
      <c r="D3839" s="8"/>
      <c r="F3839" t="s">
        <v>11951</v>
      </c>
      <c r="G3839" t="s">
        <v>12023</v>
      </c>
    </row>
    <row r="3840" spans="1:7" hidden="1" x14ac:dyDescent="0.25">
      <c r="A3840" t="s">
        <v>12029</v>
      </c>
      <c r="B3840" t="s">
        <v>12026</v>
      </c>
      <c r="D3840" s="8"/>
      <c r="F3840" t="s">
        <v>11951</v>
      </c>
      <c r="G3840" t="s">
        <v>12023</v>
      </c>
    </row>
    <row r="3841" spans="1:7" hidden="1" x14ac:dyDescent="0.25">
      <c r="A3841" t="s">
        <v>12024</v>
      </c>
      <c r="B3841" t="s">
        <v>12025</v>
      </c>
      <c r="D3841" s="8"/>
      <c r="F3841" t="s">
        <v>11953</v>
      </c>
      <c r="G3841" t="s">
        <v>12023</v>
      </c>
    </row>
    <row r="3842" spans="1:7" hidden="1" x14ac:dyDescent="0.25">
      <c r="A3842" t="s">
        <v>12027</v>
      </c>
      <c r="B3842" t="s">
        <v>12025</v>
      </c>
      <c r="D3842" s="8"/>
      <c r="F3842" t="s">
        <v>11955</v>
      </c>
      <c r="G3842" t="s">
        <v>12023</v>
      </c>
    </row>
    <row r="3843" spans="1:7" hidden="1" x14ac:dyDescent="0.25">
      <c r="A3843" t="s">
        <v>12024</v>
      </c>
      <c r="B3843" t="s">
        <v>12026</v>
      </c>
      <c r="D3843" s="8"/>
      <c r="F3843" t="s">
        <v>11957</v>
      </c>
      <c r="G3843" t="s">
        <v>12023</v>
      </c>
    </row>
    <row r="3844" spans="1:7" hidden="1" x14ac:dyDescent="0.25">
      <c r="A3844" t="s">
        <v>12027</v>
      </c>
      <c r="B3844" t="s">
        <v>12028</v>
      </c>
      <c r="D3844" s="8"/>
      <c r="F3844" t="s">
        <v>11959</v>
      </c>
      <c r="G3844" t="s">
        <v>12023</v>
      </c>
    </row>
    <row r="3845" spans="1:7" hidden="1" x14ac:dyDescent="0.25">
      <c r="A3845" t="s">
        <v>12029</v>
      </c>
      <c r="B3845" t="s">
        <v>12026</v>
      </c>
      <c r="D3845" s="8"/>
      <c r="F3845" t="s">
        <v>11961</v>
      </c>
      <c r="G3845" t="s">
        <v>12023</v>
      </c>
    </row>
    <row r="3846" spans="1:7" hidden="1" x14ac:dyDescent="0.25">
      <c r="A3846" t="s">
        <v>12024</v>
      </c>
      <c r="B3846" t="s">
        <v>12026</v>
      </c>
      <c r="D3846" s="8"/>
      <c r="F3846" t="s">
        <v>11963</v>
      </c>
      <c r="G3846" t="s">
        <v>12023</v>
      </c>
    </row>
    <row r="3847" spans="1:7" hidden="1" x14ac:dyDescent="0.25">
      <c r="A3847" t="s">
        <v>12027</v>
      </c>
      <c r="B3847" t="s">
        <v>12028</v>
      </c>
      <c r="D3847" s="8"/>
      <c r="F3847" t="s">
        <v>11965</v>
      </c>
      <c r="G3847" t="s">
        <v>12023</v>
      </c>
    </row>
    <row r="3848" spans="1:7" hidden="1" x14ac:dyDescent="0.25">
      <c r="A3848" t="s">
        <v>12029</v>
      </c>
      <c r="B3848" t="s">
        <v>12026</v>
      </c>
      <c r="D3848" s="8"/>
      <c r="F3848" t="s">
        <v>11967</v>
      </c>
      <c r="G3848" t="s">
        <v>12023</v>
      </c>
    </row>
    <row r="3849" spans="1:7" hidden="1" x14ac:dyDescent="0.25">
      <c r="A3849" t="s">
        <v>12024</v>
      </c>
      <c r="B3849" t="s">
        <v>12026</v>
      </c>
      <c r="D3849" s="8"/>
      <c r="F3849" t="s">
        <v>11969</v>
      </c>
      <c r="G3849" t="s">
        <v>12023</v>
      </c>
    </row>
    <row r="3850" spans="1:7" hidden="1" x14ac:dyDescent="0.25">
      <c r="A3850" t="s">
        <v>12027</v>
      </c>
      <c r="B3850" t="s">
        <v>12028</v>
      </c>
      <c r="D3850" s="8"/>
      <c r="F3850" t="s">
        <v>11971</v>
      </c>
      <c r="G3850" t="s">
        <v>12023</v>
      </c>
    </row>
    <row r="3851" spans="1:7" hidden="1" x14ac:dyDescent="0.25">
      <c r="A3851" t="s">
        <v>12029</v>
      </c>
      <c r="B3851" t="s">
        <v>12026</v>
      </c>
      <c r="D3851" s="8"/>
      <c r="F3851" t="s">
        <v>11973</v>
      </c>
      <c r="G3851" t="s">
        <v>12023</v>
      </c>
    </row>
    <row r="3852" spans="1:7" hidden="1" x14ac:dyDescent="0.25">
      <c r="A3852" t="s">
        <v>12029</v>
      </c>
      <c r="B3852" t="s">
        <v>12025</v>
      </c>
      <c r="D3852" s="8"/>
      <c r="E3852" t="s">
        <v>12031</v>
      </c>
      <c r="F3852" t="s">
        <v>11922</v>
      </c>
      <c r="G3852" t="s">
        <v>12023</v>
      </c>
    </row>
    <row r="3853" spans="1:7" hidden="1" x14ac:dyDescent="0.25">
      <c r="A3853" t="s">
        <v>12024</v>
      </c>
      <c r="B3853" t="s">
        <v>12028</v>
      </c>
      <c r="D3853" s="8"/>
      <c r="F3853" t="s">
        <v>11975</v>
      </c>
      <c r="G3853" t="s">
        <v>12023</v>
      </c>
    </row>
    <row r="3854" spans="1:7" hidden="1" x14ac:dyDescent="0.25">
      <c r="A3854" t="s">
        <v>12027</v>
      </c>
      <c r="B3854" t="s">
        <v>12028</v>
      </c>
      <c r="D3854" s="8"/>
      <c r="F3854" t="s">
        <v>11977</v>
      </c>
      <c r="G3854" t="s">
        <v>12023</v>
      </c>
    </row>
    <row r="3855" spans="1:7" hidden="1" x14ac:dyDescent="0.25">
      <c r="A3855" t="s">
        <v>12029</v>
      </c>
      <c r="B3855" t="s">
        <v>12026</v>
      </c>
      <c r="D3855" s="8"/>
      <c r="F3855" t="s">
        <v>11979</v>
      </c>
      <c r="G3855" t="s">
        <v>12023</v>
      </c>
    </row>
    <row r="3856" spans="1:7" hidden="1" x14ac:dyDescent="0.25">
      <c r="A3856" t="s">
        <v>12024</v>
      </c>
      <c r="B3856" t="s">
        <v>12026</v>
      </c>
      <c r="D3856" s="8"/>
      <c r="E3856" t="s">
        <v>12030</v>
      </c>
      <c r="F3856" t="s">
        <v>11981</v>
      </c>
      <c r="G3856" t="s">
        <v>12023</v>
      </c>
    </row>
    <row r="3857" spans="1:7" hidden="1" x14ac:dyDescent="0.25">
      <c r="A3857" t="s">
        <v>12027</v>
      </c>
      <c r="B3857" t="s">
        <v>12028</v>
      </c>
      <c r="D3857" s="8"/>
      <c r="F3857" t="s">
        <v>11983</v>
      </c>
      <c r="G3857" t="s">
        <v>12023</v>
      </c>
    </row>
    <row r="3858" spans="1:7" hidden="1" x14ac:dyDescent="0.25">
      <c r="A3858" t="s">
        <v>12029</v>
      </c>
      <c r="B3858" t="s">
        <v>12026</v>
      </c>
      <c r="D3858" s="8"/>
      <c r="F3858" t="s">
        <v>11985</v>
      </c>
      <c r="G3858" t="s">
        <v>12023</v>
      </c>
    </row>
    <row r="3859" spans="1:7" hidden="1" x14ac:dyDescent="0.25">
      <c r="A3859" t="s">
        <v>12027</v>
      </c>
      <c r="B3859" t="s">
        <v>12025</v>
      </c>
      <c r="D3859" s="8"/>
      <c r="F3859" t="s">
        <v>11987</v>
      </c>
      <c r="G3859" t="s">
        <v>12023</v>
      </c>
    </row>
    <row r="3860" spans="1:7" hidden="1" x14ac:dyDescent="0.25">
      <c r="A3860" t="s">
        <v>12029</v>
      </c>
      <c r="B3860" t="s">
        <v>12025</v>
      </c>
      <c r="D3860" s="8"/>
      <c r="F3860" t="s">
        <v>11989</v>
      </c>
      <c r="G3860" t="s">
        <v>12023</v>
      </c>
    </row>
    <row r="3861" spans="1:7" hidden="1" x14ac:dyDescent="0.25">
      <c r="A3861" t="s">
        <v>12024</v>
      </c>
      <c r="B3861" t="s">
        <v>12025</v>
      </c>
      <c r="D3861" s="8"/>
      <c r="F3861" t="s">
        <v>11991</v>
      </c>
      <c r="G3861" t="s">
        <v>12023</v>
      </c>
    </row>
    <row r="3862" spans="1:7" hidden="1" x14ac:dyDescent="0.25">
      <c r="A3862" t="s">
        <v>12027</v>
      </c>
      <c r="B3862" t="s">
        <v>12025</v>
      </c>
      <c r="D3862" s="8"/>
      <c r="F3862" t="s">
        <v>11993</v>
      </c>
      <c r="G3862" t="s">
        <v>12023</v>
      </c>
    </row>
    <row r="3863" spans="1:7" hidden="1" x14ac:dyDescent="0.25">
      <c r="A3863" t="s">
        <v>12029</v>
      </c>
      <c r="B3863" t="s">
        <v>12025</v>
      </c>
      <c r="D3863" s="8"/>
      <c r="F3863" t="s">
        <v>11996</v>
      </c>
      <c r="G3863" t="s">
        <v>12023</v>
      </c>
    </row>
    <row r="3864" spans="1:7" hidden="1" x14ac:dyDescent="0.25">
      <c r="A3864" t="s">
        <v>12024</v>
      </c>
      <c r="B3864" t="s">
        <v>12025</v>
      </c>
      <c r="D3864" s="8"/>
      <c r="F3864" t="s">
        <v>11999</v>
      </c>
      <c r="G3864" t="s">
        <v>12023</v>
      </c>
    </row>
    <row r="3865" spans="1:7" hidden="1" x14ac:dyDescent="0.25">
      <c r="A3865" t="s">
        <v>12027</v>
      </c>
      <c r="B3865" t="s">
        <v>12025</v>
      </c>
      <c r="D3865" s="8"/>
      <c r="F3865" t="s">
        <v>12002</v>
      </c>
      <c r="G3865" t="s">
        <v>12023</v>
      </c>
    </row>
    <row r="3866" spans="1:7" hidden="1" x14ac:dyDescent="0.25">
      <c r="A3866" t="s">
        <v>12032</v>
      </c>
      <c r="B3866" t="s">
        <v>12025</v>
      </c>
      <c r="D3866" s="8"/>
      <c r="F3866" t="s">
        <v>12005</v>
      </c>
      <c r="G3866" t="s">
        <v>12023</v>
      </c>
    </row>
    <row r="3867" spans="1:7" hidden="1" x14ac:dyDescent="0.25">
      <c r="A3867" t="s">
        <v>12</v>
      </c>
      <c r="B3867" t="s">
        <v>12025</v>
      </c>
      <c r="D3867" s="8"/>
      <c r="F3867" t="s">
        <v>12008</v>
      </c>
      <c r="G3867" t="s">
        <v>12023</v>
      </c>
    </row>
    <row r="3868" spans="1:7" hidden="1" x14ac:dyDescent="0.25">
      <c r="A3868" t="s">
        <v>12033</v>
      </c>
      <c r="B3868" t="s">
        <v>12025</v>
      </c>
      <c r="D3868" s="8"/>
      <c r="F3868" t="s">
        <v>12011</v>
      </c>
      <c r="G3868" t="s">
        <v>12023</v>
      </c>
    </row>
    <row r="3869" spans="1:7" hidden="1" x14ac:dyDescent="0.25">
      <c r="A3869" t="s">
        <v>12029</v>
      </c>
      <c r="B3869" t="s">
        <v>12025</v>
      </c>
      <c r="D3869" s="8"/>
      <c r="F3869" t="s">
        <v>12014</v>
      </c>
      <c r="G3869" t="s">
        <v>12023</v>
      </c>
    </row>
    <row r="3870" spans="1:7" hidden="1" x14ac:dyDescent="0.25">
      <c r="A3870" t="s">
        <v>12024</v>
      </c>
      <c r="B3870" t="s">
        <v>12025</v>
      </c>
      <c r="D3870" s="8"/>
      <c r="F3870" t="s">
        <v>12016</v>
      </c>
      <c r="G3870" t="s">
        <v>12023</v>
      </c>
    </row>
    <row r="3871" spans="1:7" hidden="1" x14ac:dyDescent="0.25">
      <c r="A3871" t="s">
        <v>12033</v>
      </c>
      <c r="B3871" t="s">
        <v>12025</v>
      </c>
      <c r="D3871" s="8"/>
      <c r="F3871" t="s">
        <v>12019</v>
      </c>
      <c r="G3871" t="s">
        <v>12023</v>
      </c>
    </row>
    <row r="3872" spans="1:7" hidden="1" x14ac:dyDescent="0.25">
      <c r="A3872" t="s">
        <v>12029</v>
      </c>
      <c r="B3872" t="s">
        <v>12025</v>
      </c>
      <c r="D3872" s="8"/>
      <c r="F3872" t="s">
        <v>12021</v>
      </c>
      <c r="G3872" t="s">
        <v>12023</v>
      </c>
    </row>
    <row r="3873" spans="1:7" hidden="1" x14ac:dyDescent="0.25">
      <c r="A3873" t="s">
        <v>1967</v>
      </c>
      <c r="B3873" t="s">
        <v>8</v>
      </c>
      <c r="F3873" t="s">
        <v>12107</v>
      </c>
      <c r="G3873" t="s">
        <v>1076</v>
      </c>
    </row>
    <row r="3874" spans="1:7" hidden="1" x14ac:dyDescent="0.25">
      <c r="A3874" t="s">
        <v>12220</v>
      </c>
      <c r="B3874" t="s">
        <v>86</v>
      </c>
      <c r="F3874" t="s">
        <v>12110</v>
      </c>
      <c r="G3874" t="s">
        <v>1076</v>
      </c>
    </row>
    <row r="3875" spans="1:7" hidden="1" x14ac:dyDescent="0.25">
      <c r="A3875" t="s">
        <v>12220</v>
      </c>
      <c r="B3875" t="s">
        <v>86</v>
      </c>
      <c r="F3875" t="s">
        <v>12113</v>
      </c>
      <c r="G3875" t="s">
        <v>1076</v>
      </c>
    </row>
    <row r="3876" spans="1:7" hidden="1" x14ac:dyDescent="0.25">
      <c r="A3876" t="s">
        <v>12220</v>
      </c>
      <c r="B3876" t="s">
        <v>86</v>
      </c>
      <c r="F3876" t="s">
        <v>12116</v>
      </c>
      <c r="G3876" t="s">
        <v>1076</v>
      </c>
    </row>
    <row r="3877" spans="1:7" hidden="1" x14ac:dyDescent="0.25">
      <c r="A3877" t="s">
        <v>4</v>
      </c>
      <c r="B3877" t="s">
        <v>12221</v>
      </c>
      <c r="F3877" t="s">
        <v>12119</v>
      </c>
      <c r="G3877" t="s">
        <v>1076</v>
      </c>
    </row>
    <row r="3878" spans="1:7" hidden="1" x14ac:dyDescent="0.25">
      <c r="A3878" t="s">
        <v>12220</v>
      </c>
      <c r="B3878" t="s">
        <v>503</v>
      </c>
      <c r="F3878" t="s">
        <v>12122</v>
      </c>
      <c r="G3878" t="s">
        <v>1076</v>
      </c>
    </row>
    <row r="3879" spans="1:7" hidden="1" x14ac:dyDescent="0.25">
      <c r="A3879" t="s">
        <v>4</v>
      </c>
      <c r="B3879" t="s">
        <v>12221</v>
      </c>
      <c r="F3879" t="s">
        <v>12125</v>
      </c>
      <c r="G3879" t="s">
        <v>1076</v>
      </c>
    </row>
    <row r="3880" spans="1:7" hidden="1" x14ac:dyDescent="0.25">
      <c r="A3880" t="s">
        <v>11811</v>
      </c>
      <c r="F3880" t="s">
        <v>12128</v>
      </c>
      <c r="G3880" t="s">
        <v>1076</v>
      </c>
    </row>
    <row r="3881" spans="1:7" hidden="1" x14ac:dyDescent="0.25">
      <c r="A3881" t="s">
        <v>11867</v>
      </c>
      <c r="B3881" t="s">
        <v>4134</v>
      </c>
      <c r="F3881" t="s">
        <v>12223</v>
      </c>
      <c r="G3881" t="s">
        <v>1076</v>
      </c>
    </row>
    <row r="3882" spans="1:7" hidden="1" x14ac:dyDescent="0.25">
      <c r="A3882" t="s">
        <v>623</v>
      </c>
      <c r="B3882" t="s">
        <v>86</v>
      </c>
      <c r="F3882" t="s">
        <v>12131</v>
      </c>
      <c r="G3882" t="s">
        <v>1076</v>
      </c>
    </row>
    <row r="3883" spans="1:7" hidden="1" x14ac:dyDescent="0.25">
      <c r="A3883" t="s">
        <v>1569</v>
      </c>
      <c r="B3883" t="s">
        <v>12222</v>
      </c>
      <c r="F3883" t="s">
        <v>12134</v>
      </c>
      <c r="G3883" t="s">
        <v>1076</v>
      </c>
    </row>
    <row r="3884" spans="1:7" hidden="1" x14ac:dyDescent="0.25">
      <c r="A3884" t="s">
        <v>62</v>
      </c>
      <c r="B3884" t="s">
        <v>4134</v>
      </c>
      <c r="F3884" t="s">
        <v>12137</v>
      </c>
      <c r="G3884" t="s">
        <v>1076</v>
      </c>
    </row>
    <row r="3885" spans="1:7" hidden="1" x14ac:dyDescent="0.25">
      <c r="A3885" t="s">
        <v>11867</v>
      </c>
      <c r="B3885" t="s">
        <v>12222</v>
      </c>
      <c r="F3885" t="s">
        <v>12140</v>
      </c>
      <c r="G3885" t="s">
        <v>1076</v>
      </c>
    </row>
    <row r="3886" spans="1:7" hidden="1" x14ac:dyDescent="0.25">
      <c r="A3886" t="s">
        <v>62</v>
      </c>
      <c r="B3886" t="s">
        <v>12222</v>
      </c>
      <c r="F3886" t="s">
        <v>12143</v>
      </c>
      <c r="G3886" t="s">
        <v>1076</v>
      </c>
    </row>
    <row r="3887" spans="1:7" hidden="1" x14ac:dyDescent="0.25">
      <c r="A3887" t="s">
        <v>623</v>
      </c>
      <c r="B3887" t="s">
        <v>86</v>
      </c>
      <c r="F3887" t="s">
        <v>12146</v>
      </c>
      <c r="G3887" t="s">
        <v>1076</v>
      </c>
    </row>
    <row r="3888" spans="1:7" hidden="1" x14ac:dyDescent="0.25">
      <c r="A3888" t="s">
        <v>623</v>
      </c>
      <c r="B3888" t="s">
        <v>86</v>
      </c>
      <c r="F3888" t="s">
        <v>12040</v>
      </c>
      <c r="G3888" t="s">
        <v>1077</v>
      </c>
    </row>
    <row r="3889" spans="1:7" hidden="1" x14ac:dyDescent="0.25">
      <c r="A3889" t="s">
        <v>12226</v>
      </c>
      <c r="B3889" t="s">
        <v>86</v>
      </c>
      <c r="F3889" t="s">
        <v>12043</v>
      </c>
      <c r="G3889" t="s">
        <v>1077</v>
      </c>
    </row>
    <row r="3890" spans="1:7" hidden="1" x14ac:dyDescent="0.25">
      <c r="A3890" t="s">
        <v>11811</v>
      </c>
      <c r="F3890" t="s">
        <v>12046</v>
      </c>
      <c r="G3890" t="s">
        <v>1077</v>
      </c>
    </row>
    <row r="3891" spans="1:7" hidden="1" x14ac:dyDescent="0.25">
      <c r="A3891" t="s">
        <v>11807</v>
      </c>
      <c r="B3891" t="s">
        <v>12227</v>
      </c>
      <c r="F3891" t="s">
        <v>12049</v>
      </c>
      <c r="G3891" t="s">
        <v>1077</v>
      </c>
    </row>
    <row r="3892" spans="1:7" hidden="1" x14ac:dyDescent="0.25">
      <c r="A3892" t="s">
        <v>62</v>
      </c>
      <c r="B3892" t="s">
        <v>12227</v>
      </c>
      <c r="C3892" t="s">
        <v>12228</v>
      </c>
      <c r="E3892" t="s">
        <v>12229</v>
      </c>
      <c r="F3892" t="s">
        <v>12052</v>
      </c>
      <c r="G3892" t="s">
        <v>1077</v>
      </c>
    </row>
    <row r="3893" spans="1:7" hidden="1" x14ac:dyDescent="0.25">
      <c r="A3893" t="s">
        <v>159</v>
      </c>
      <c r="B3893" t="s">
        <v>4134</v>
      </c>
      <c r="F3893" t="s">
        <v>12055</v>
      </c>
      <c r="G3893" t="s">
        <v>1077</v>
      </c>
    </row>
    <row r="3894" spans="1:7" hidden="1" x14ac:dyDescent="0.25">
      <c r="A3894" t="s">
        <v>12230</v>
      </c>
      <c r="B3894" t="s">
        <v>86</v>
      </c>
      <c r="F3894" t="s">
        <v>12058</v>
      </c>
      <c r="G3894" t="s">
        <v>1077</v>
      </c>
    </row>
    <row r="3895" spans="1:7" hidden="1" x14ac:dyDescent="0.25">
      <c r="A3895" t="s">
        <v>12231</v>
      </c>
      <c r="F3895" t="s">
        <v>12182</v>
      </c>
      <c r="G3895" t="s">
        <v>1078</v>
      </c>
    </row>
    <row r="3896" spans="1:7" hidden="1" x14ac:dyDescent="0.25">
      <c r="A3896" t="s">
        <v>12231</v>
      </c>
      <c r="F3896" t="s">
        <v>12185</v>
      </c>
      <c r="G3896" t="s">
        <v>1078</v>
      </c>
    </row>
    <row r="3897" spans="1:7" hidden="1" x14ac:dyDescent="0.25">
      <c r="A3897" t="s">
        <v>12231</v>
      </c>
      <c r="F3897" t="s">
        <v>12188</v>
      </c>
      <c r="G3897" t="s">
        <v>1078</v>
      </c>
    </row>
    <row r="3898" spans="1:7" hidden="1" x14ac:dyDescent="0.25">
      <c r="A3898" t="s">
        <v>12231</v>
      </c>
      <c r="F3898" t="s">
        <v>12191</v>
      </c>
      <c r="G3898" t="s">
        <v>1078</v>
      </c>
    </row>
    <row r="3899" spans="1:7" hidden="1" x14ac:dyDescent="0.25">
      <c r="A3899" t="s">
        <v>12231</v>
      </c>
      <c r="F3899" t="s">
        <v>12194</v>
      </c>
      <c r="G3899" t="s">
        <v>1078</v>
      </c>
    </row>
    <row r="3900" spans="1:7" hidden="1" x14ac:dyDescent="0.25">
      <c r="A3900" t="s">
        <v>12231</v>
      </c>
      <c r="F3900" t="s">
        <v>12197</v>
      </c>
      <c r="G3900" t="s">
        <v>1078</v>
      </c>
    </row>
    <row r="3901" spans="1:7" hidden="1" x14ac:dyDescent="0.25">
      <c r="A3901" t="s">
        <v>4</v>
      </c>
      <c r="B3901" t="s">
        <v>8</v>
      </c>
      <c r="F3901" t="s">
        <v>12200</v>
      </c>
      <c r="G3901" t="s">
        <v>1078</v>
      </c>
    </row>
    <row r="3902" spans="1:7" hidden="1" x14ac:dyDescent="0.25">
      <c r="A3902" t="s">
        <v>1967</v>
      </c>
      <c r="B3902" t="s">
        <v>8</v>
      </c>
      <c r="F3902" t="s">
        <v>12203</v>
      </c>
      <c r="G3902" t="s">
        <v>1078</v>
      </c>
    </row>
    <row r="3903" spans="1:7" hidden="1" x14ac:dyDescent="0.25">
      <c r="A3903" t="s">
        <v>1967</v>
      </c>
      <c r="B3903" t="s">
        <v>8</v>
      </c>
      <c r="F3903" t="s">
        <v>12206</v>
      </c>
      <c r="G3903" t="s">
        <v>1078</v>
      </c>
    </row>
    <row r="3904" spans="1:7" hidden="1" x14ac:dyDescent="0.25">
      <c r="A3904" t="s">
        <v>4</v>
      </c>
      <c r="B3904" t="s">
        <v>12232</v>
      </c>
      <c r="F3904" t="s">
        <v>12061</v>
      </c>
      <c r="G3904" t="s">
        <v>1079</v>
      </c>
    </row>
    <row r="3905" spans="1:7" hidden="1" x14ac:dyDescent="0.25">
      <c r="A3905" t="s">
        <v>9754</v>
      </c>
      <c r="F3905" t="s">
        <v>12063</v>
      </c>
      <c r="G3905" t="s">
        <v>1079</v>
      </c>
    </row>
    <row r="3906" spans="1:7" hidden="1" x14ac:dyDescent="0.25">
      <c r="A3906" t="s">
        <v>9754</v>
      </c>
      <c r="F3906" t="s">
        <v>12065</v>
      </c>
      <c r="G3906" t="s">
        <v>1079</v>
      </c>
    </row>
    <row r="3907" spans="1:7" hidden="1" x14ac:dyDescent="0.25">
      <c r="A3907" t="s">
        <v>9754</v>
      </c>
      <c r="F3907" t="s">
        <v>12067</v>
      </c>
      <c r="G3907" t="s">
        <v>1079</v>
      </c>
    </row>
    <row r="3908" spans="1:7" hidden="1" x14ac:dyDescent="0.25">
      <c r="A3908" t="s">
        <v>9754</v>
      </c>
      <c r="F3908" t="s">
        <v>12069</v>
      </c>
      <c r="G3908" t="s">
        <v>1079</v>
      </c>
    </row>
    <row r="3909" spans="1:7" hidden="1" x14ac:dyDescent="0.25">
      <c r="A3909" t="s">
        <v>9754</v>
      </c>
      <c r="F3909" t="s">
        <v>12071</v>
      </c>
      <c r="G3909" t="s">
        <v>1079</v>
      </c>
    </row>
    <row r="3910" spans="1:7" hidden="1" x14ac:dyDescent="0.25">
      <c r="A3910" t="s">
        <v>9754</v>
      </c>
      <c r="F3910" t="s">
        <v>12073</v>
      </c>
      <c r="G3910" t="s">
        <v>1079</v>
      </c>
    </row>
    <row r="3911" spans="1:7" hidden="1" x14ac:dyDescent="0.25">
      <c r="A3911" t="s">
        <v>9754</v>
      </c>
      <c r="F3911" t="s">
        <v>12075</v>
      </c>
      <c r="G3911" t="s">
        <v>1079</v>
      </c>
    </row>
    <row r="3912" spans="1:7" hidden="1" x14ac:dyDescent="0.25">
      <c r="A3912" t="s">
        <v>9754</v>
      </c>
      <c r="F3912" t="s">
        <v>12077</v>
      </c>
      <c r="G3912" t="s">
        <v>1079</v>
      </c>
    </row>
    <row r="3913" spans="1:7" hidden="1" x14ac:dyDescent="0.25">
      <c r="A3913" t="s">
        <v>159</v>
      </c>
      <c r="B3913" t="s">
        <v>12222</v>
      </c>
      <c r="F3913" t="s">
        <v>12079</v>
      </c>
      <c r="G3913" t="s">
        <v>1079</v>
      </c>
    </row>
    <row r="3914" spans="1:7" hidden="1" x14ac:dyDescent="0.25">
      <c r="A3914" t="s">
        <v>4</v>
      </c>
      <c r="B3914" t="s">
        <v>8</v>
      </c>
      <c r="F3914" t="s">
        <v>12081</v>
      </c>
      <c r="G3914" t="s">
        <v>1079</v>
      </c>
    </row>
    <row r="3915" spans="1:7" hidden="1" x14ac:dyDescent="0.25">
      <c r="A3915" t="s">
        <v>12</v>
      </c>
      <c r="B3915" t="s">
        <v>1570</v>
      </c>
      <c r="F3915" t="s">
        <v>12083</v>
      </c>
      <c r="G3915" t="s">
        <v>1897</v>
      </c>
    </row>
    <row r="3916" spans="1:7" hidden="1" x14ac:dyDescent="0.25">
      <c r="A3916" t="s">
        <v>9097</v>
      </c>
      <c r="B3916" t="s">
        <v>86</v>
      </c>
      <c r="F3916" t="s">
        <v>12086</v>
      </c>
      <c r="G3916" t="s">
        <v>1897</v>
      </c>
    </row>
    <row r="3917" spans="1:7" hidden="1" x14ac:dyDescent="0.25">
      <c r="A3917" t="s">
        <v>12</v>
      </c>
      <c r="B3917" t="s">
        <v>1570</v>
      </c>
      <c r="F3917" t="s">
        <v>12089</v>
      </c>
      <c r="G3917" t="s">
        <v>1897</v>
      </c>
    </row>
    <row r="3918" spans="1:7" hidden="1" x14ac:dyDescent="0.25">
      <c r="A3918" t="s">
        <v>7</v>
      </c>
      <c r="F3918" t="s">
        <v>12092</v>
      </c>
      <c r="G3918" t="s">
        <v>1897</v>
      </c>
    </row>
    <row r="3919" spans="1:7" hidden="1" x14ac:dyDescent="0.25">
      <c r="A3919" t="s">
        <v>12231</v>
      </c>
      <c r="B3919" t="s">
        <v>1570</v>
      </c>
      <c r="F3919" t="s">
        <v>12095</v>
      </c>
      <c r="G3919" t="s">
        <v>1897</v>
      </c>
    </row>
    <row r="3920" spans="1:7" hidden="1" x14ac:dyDescent="0.25">
      <c r="A3920" t="s">
        <v>4</v>
      </c>
      <c r="B3920" t="s">
        <v>8</v>
      </c>
      <c r="F3920" t="s">
        <v>12098</v>
      </c>
      <c r="G3920" t="s">
        <v>1897</v>
      </c>
    </row>
    <row r="3921" spans="1:7" hidden="1" x14ac:dyDescent="0.25">
      <c r="A3921" t="s">
        <v>9097</v>
      </c>
      <c r="B3921" t="s">
        <v>86</v>
      </c>
      <c r="F3921" t="s">
        <v>12101</v>
      </c>
      <c r="G3921" t="s">
        <v>1897</v>
      </c>
    </row>
    <row r="3922" spans="1:7" hidden="1" x14ac:dyDescent="0.25">
      <c r="A3922" t="s">
        <v>4</v>
      </c>
      <c r="B3922" t="s">
        <v>8</v>
      </c>
      <c r="F3922" t="s">
        <v>12104</v>
      </c>
      <c r="G3922" t="s">
        <v>1897</v>
      </c>
    </row>
    <row r="3923" spans="1:7" hidden="1" x14ac:dyDescent="0.25">
      <c r="A3923" t="s">
        <v>4</v>
      </c>
      <c r="B3923" t="s">
        <v>12232</v>
      </c>
      <c r="F3923" t="s">
        <v>12149</v>
      </c>
      <c r="G3923" t="s">
        <v>1960</v>
      </c>
    </row>
    <row r="3924" spans="1:7" hidden="1" x14ac:dyDescent="0.25">
      <c r="A3924" t="s">
        <v>623</v>
      </c>
      <c r="B3924" t="s">
        <v>86</v>
      </c>
      <c r="F3924" t="s">
        <v>12152</v>
      </c>
      <c r="G3924" t="s">
        <v>1960</v>
      </c>
    </row>
    <row r="3925" spans="1:7" hidden="1" x14ac:dyDescent="0.25">
      <c r="A3925" t="s">
        <v>623</v>
      </c>
      <c r="B3925" t="s">
        <v>86</v>
      </c>
      <c r="F3925" t="s">
        <v>12155</v>
      </c>
      <c r="G3925" t="s">
        <v>1960</v>
      </c>
    </row>
    <row r="3926" spans="1:7" hidden="1" x14ac:dyDescent="0.25">
      <c r="A3926" t="s">
        <v>11811</v>
      </c>
      <c r="F3926" t="s">
        <v>12158</v>
      </c>
      <c r="G3926" t="s">
        <v>1960</v>
      </c>
    </row>
    <row r="3927" spans="1:7" hidden="1" x14ac:dyDescent="0.25">
      <c r="A3927" t="s">
        <v>1899</v>
      </c>
      <c r="B3927" t="s">
        <v>503</v>
      </c>
      <c r="F3927" t="s">
        <v>12161</v>
      </c>
      <c r="G3927" t="s">
        <v>1960</v>
      </c>
    </row>
    <row r="3928" spans="1:7" hidden="1" x14ac:dyDescent="0.25">
      <c r="A3928" t="s">
        <v>1899</v>
      </c>
      <c r="B3928" t="s">
        <v>503</v>
      </c>
      <c r="F3928" t="s">
        <v>12164</v>
      </c>
      <c r="G3928" t="s">
        <v>1960</v>
      </c>
    </row>
    <row r="3929" spans="1:7" hidden="1" x14ac:dyDescent="0.25">
      <c r="A3929" t="s">
        <v>623</v>
      </c>
      <c r="B3929" t="s">
        <v>86</v>
      </c>
      <c r="F3929" t="s">
        <v>12167</v>
      </c>
      <c r="G3929" t="s">
        <v>1960</v>
      </c>
    </row>
    <row r="3930" spans="1:7" hidden="1" x14ac:dyDescent="0.25">
      <c r="A3930" t="s">
        <v>623</v>
      </c>
      <c r="B3930" t="s">
        <v>86</v>
      </c>
      <c r="F3930" t="s">
        <v>12170</v>
      </c>
      <c r="G3930" t="s">
        <v>1960</v>
      </c>
    </row>
    <row r="3931" spans="1:7" hidden="1" x14ac:dyDescent="0.25">
      <c r="A3931" t="s">
        <v>1899</v>
      </c>
      <c r="B3931" t="s">
        <v>503</v>
      </c>
      <c r="F3931" t="s">
        <v>12173</v>
      </c>
      <c r="G3931" t="s">
        <v>1960</v>
      </c>
    </row>
    <row r="3932" spans="1:7" hidden="1" x14ac:dyDescent="0.25">
      <c r="A3932" t="s">
        <v>1899</v>
      </c>
      <c r="B3932" t="s">
        <v>503</v>
      </c>
      <c r="F3932" t="s">
        <v>12176</v>
      </c>
      <c r="G3932" t="s">
        <v>1960</v>
      </c>
    </row>
    <row r="3933" spans="1:7" hidden="1" x14ac:dyDescent="0.25">
      <c r="A3933" t="s">
        <v>1899</v>
      </c>
      <c r="B3933" t="s">
        <v>503</v>
      </c>
      <c r="F3933" t="s">
        <v>12179</v>
      </c>
      <c r="G3933" t="s">
        <v>1960</v>
      </c>
    </row>
    <row r="3934" spans="1:7" hidden="1" x14ac:dyDescent="0.25">
      <c r="A3934" t="s">
        <v>4</v>
      </c>
      <c r="B3934" t="s">
        <v>8</v>
      </c>
      <c r="F3934" t="s">
        <v>12034</v>
      </c>
      <c r="G3934" t="s">
        <v>12233</v>
      </c>
    </row>
    <row r="3935" spans="1:7" hidden="1" x14ac:dyDescent="0.25">
      <c r="A3935" t="s">
        <v>12234</v>
      </c>
      <c r="B3935" t="s">
        <v>12222</v>
      </c>
      <c r="F3935" t="s">
        <v>12037</v>
      </c>
      <c r="G3935" t="s">
        <v>12233</v>
      </c>
    </row>
    <row r="3936" spans="1:7" hidden="1" x14ac:dyDescent="0.25">
      <c r="A3936" t="s">
        <v>623</v>
      </c>
      <c r="B3936" t="s">
        <v>86</v>
      </c>
      <c r="F3936" t="s">
        <v>12293</v>
      </c>
      <c r="G3936" t="s">
        <v>1076</v>
      </c>
    </row>
    <row r="3937" spans="1:7" hidden="1" x14ac:dyDescent="0.25">
      <c r="A3937" t="s">
        <v>11867</v>
      </c>
      <c r="B3937" t="s">
        <v>4134</v>
      </c>
      <c r="F3937" t="s">
        <v>12296</v>
      </c>
      <c r="G3937" t="s">
        <v>1076</v>
      </c>
    </row>
    <row r="3938" spans="1:7" hidden="1" x14ac:dyDescent="0.25">
      <c r="A3938" t="s">
        <v>11867</v>
      </c>
      <c r="B3938" t="s">
        <v>12341</v>
      </c>
      <c r="E3938" t="s">
        <v>12342</v>
      </c>
      <c r="F3938" t="s">
        <v>12299</v>
      </c>
      <c r="G3938" t="s">
        <v>1076</v>
      </c>
    </row>
    <row r="3939" spans="1:7" hidden="1" x14ac:dyDescent="0.25">
      <c r="A3939" t="s">
        <v>62</v>
      </c>
      <c r="B3939" t="s">
        <v>4134</v>
      </c>
      <c r="F3939" t="s">
        <v>12302</v>
      </c>
      <c r="G3939" t="s">
        <v>1076</v>
      </c>
    </row>
    <row r="3940" spans="1:7" hidden="1" x14ac:dyDescent="0.25">
      <c r="A3940" t="s">
        <v>11867</v>
      </c>
      <c r="B3940" t="s">
        <v>12343</v>
      </c>
      <c r="F3940" t="s">
        <v>12305</v>
      </c>
      <c r="G3940" t="s">
        <v>1076</v>
      </c>
    </row>
    <row r="3941" spans="1:7" hidden="1" x14ac:dyDescent="0.25">
      <c r="A3941" t="s">
        <v>62</v>
      </c>
      <c r="B3941" t="s">
        <v>12343</v>
      </c>
      <c r="C3941" t="s">
        <v>12447</v>
      </c>
      <c r="F3941" t="s">
        <v>12308</v>
      </c>
      <c r="G3941" t="s">
        <v>1076</v>
      </c>
    </row>
    <row r="3942" spans="1:7" hidden="1" x14ac:dyDescent="0.25">
      <c r="A3942" t="s">
        <v>623</v>
      </c>
      <c r="B3942" t="s">
        <v>86</v>
      </c>
      <c r="F3942" t="s">
        <v>12278</v>
      </c>
      <c r="G3942" t="s">
        <v>1077</v>
      </c>
    </row>
    <row r="3943" spans="1:7" hidden="1" x14ac:dyDescent="0.25">
      <c r="A3943" t="s">
        <v>159</v>
      </c>
      <c r="B3943" t="s">
        <v>4134</v>
      </c>
      <c r="F3943" t="s">
        <v>12281</v>
      </c>
      <c r="G3943" t="s">
        <v>1077</v>
      </c>
    </row>
    <row r="3944" spans="1:7" hidden="1" x14ac:dyDescent="0.25">
      <c r="A3944" t="s">
        <v>6092</v>
      </c>
      <c r="B3944" t="s">
        <v>4134</v>
      </c>
      <c r="F3944" t="s">
        <v>12284</v>
      </c>
      <c r="G3944" t="s">
        <v>1077</v>
      </c>
    </row>
    <row r="3945" spans="1:7" hidden="1" x14ac:dyDescent="0.25">
      <c r="A3945" t="s">
        <v>159</v>
      </c>
      <c r="B3945" t="s">
        <v>12343</v>
      </c>
      <c r="F3945" t="s">
        <v>12287</v>
      </c>
      <c r="G3945" t="s">
        <v>1077</v>
      </c>
    </row>
    <row r="3946" spans="1:7" hidden="1" x14ac:dyDescent="0.25">
      <c r="A3946" t="s">
        <v>62</v>
      </c>
      <c r="B3946" t="s">
        <v>12341</v>
      </c>
      <c r="E3946" t="s">
        <v>12342</v>
      </c>
      <c r="F3946" t="s">
        <v>12290</v>
      </c>
      <c r="G3946" t="s">
        <v>1077</v>
      </c>
    </row>
    <row r="3947" spans="1:7" hidden="1" x14ac:dyDescent="0.25">
      <c r="A3947" t="s">
        <v>7</v>
      </c>
      <c r="F3947" t="s">
        <v>12311</v>
      </c>
      <c r="G3947" t="s">
        <v>1078</v>
      </c>
    </row>
    <row r="3948" spans="1:7" hidden="1" x14ac:dyDescent="0.25">
      <c r="A3948" t="s">
        <v>9097</v>
      </c>
      <c r="B3948" t="s">
        <v>86</v>
      </c>
      <c r="E3948" t="s">
        <v>12344</v>
      </c>
      <c r="F3948" t="s">
        <v>12314</v>
      </c>
      <c r="G3948" t="s">
        <v>1078</v>
      </c>
    </row>
    <row r="3949" spans="1:7" hidden="1" x14ac:dyDescent="0.25">
      <c r="A3949" t="s">
        <v>9097</v>
      </c>
      <c r="B3949" t="s">
        <v>86</v>
      </c>
      <c r="E3949" t="s">
        <v>2891</v>
      </c>
      <c r="F3949" t="s">
        <v>12317</v>
      </c>
      <c r="G3949" t="s">
        <v>1078</v>
      </c>
    </row>
    <row r="3950" spans="1:7" hidden="1" x14ac:dyDescent="0.25">
      <c r="A3950" t="s">
        <v>11811</v>
      </c>
      <c r="F3950" t="s">
        <v>12320</v>
      </c>
      <c r="G3950" t="s">
        <v>1078</v>
      </c>
    </row>
    <row r="3951" spans="1:7" hidden="1" x14ac:dyDescent="0.25">
      <c r="A3951" t="s">
        <v>11</v>
      </c>
      <c r="E3951" t="s">
        <v>2891</v>
      </c>
      <c r="F3951" t="s">
        <v>12323</v>
      </c>
      <c r="G3951" t="s">
        <v>1078</v>
      </c>
    </row>
    <row r="3952" spans="1:7" hidden="1" x14ac:dyDescent="0.25">
      <c r="A3952" t="s">
        <v>11</v>
      </c>
      <c r="E3952" t="s">
        <v>2891</v>
      </c>
      <c r="F3952" t="s">
        <v>12326</v>
      </c>
      <c r="G3952" t="s">
        <v>1078</v>
      </c>
    </row>
    <row r="3953" spans="1:7" hidden="1" x14ac:dyDescent="0.25">
      <c r="A3953" t="s">
        <v>11</v>
      </c>
      <c r="F3953" t="s">
        <v>12329</v>
      </c>
      <c r="G3953" t="s">
        <v>1078</v>
      </c>
    </row>
    <row r="3954" spans="1:7" hidden="1" x14ac:dyDescent="0.25">
      <c r="A3954" t="s">
        <v>11811</v>
      </c>
      <c r="F3954" t="s">
        <v>12332</v>
      </c>
      <c r="G3954" t="s">
        <v>1078</v>
      </c>
    </row>
    <row r="3955" spans="1:7" hidden="1" x14ac:dyDescent="0.25">
      <c r="A3955" t="s">
        <v>12231</v>
      </c>
      <c r="F3955" t="s">
        <v>12335</v>
      </c>
      <c r="G3955" t="s">
        <v>1078</v>
      </c>
    </row>
    <row r="3956" spans="1:7" hidden="1" x14ac:dyDescent="0.25">
      <c r="A3956" t="s">
        <v>12231</v>
      </c>
      <c r="F3956" t="s">
        <v>12338</v>
      </c>
      <c r="G3956" t="s">
        <v>1078</v>
      </c>
    </row>
    <row r="3957" spans="1:7" hidden="1" x14ac:dyDescent="0.25">
      <c r="A3957" t="s">
        <v>12231</v>
      </c>
      <c r="F3957" t="s">
        <v>12235</v>
      </c>
      <c r="G3957" t="s">
        <v>1897</v>
      </c>
    </row>
    <row r="3958" spans="1:7" hidden="1" x14ac:dyDescent="0.25">
      <c r="A3958" t="s">
        <v>9097</v>
      </c>
      <c r="B3958" t="s">
        <v>86</v>
      </c>
      <c r="F3958" t="s">
        <v>12238</v>
      </c>
      <c r="G3958" t="s">
        <v>1897</v>
      </c>
    </row>
    <row r="3959" spans="1:7" hidden="1" x14ac:dyDescent="0.25">
      <c r="A3959" t="s">
        <v>12231</v>
      </c>
      <c r="F3959" t="s">
        <v>12241</v>
      </c>
      <c r="G3959" t="s">
        <v>1897</v>
      </c>
    </row>
    <row r="3960" spans="1:7" hidden="1" x14ac:dyDescent="0.25">
      <c r="A3960" t="s">
        <v>12231</v>
      </c>
      <c r="F3960" t="s">
        <v>12244</v>
      </c>
      <c r="G3960" t="s">
        <v>1897</v>
      </c>
    </row>
    <row r="3961" spans="1:7" hidden="1" x14ac:dyDescent="0.25">
      <c r="A3961" t="s">
        <v>12231</v>
      </c>
      <c r="F3961" t="s">
        <v>12247</v>
      </c>
      <c r="G3961" t="s">
        <v>1897</v>
      </c>
    </row>
    <row r="3962" spans="1:7" hidden="1" x14ac:dyDescent="0.25">
      <c r="A3962" t="s">
        <v>12231</v>
      </c>
      <c r="F3962" t="s">
        <v>12250</v>
      </c>
      <c r="G3962" t="s">
        <v>1897</v>
      </c>
    </row>
    <row r="3963" spans="1:7" hidden="1" x14ac:dyDescent="0.25">
      <c r="A3963" t="s">
        <v>12231</v>
      </c>
      <c r="F3963" t="s">
        <v>12253</v>
      </c>
      <c r="G3963" t="s">
        <v>1897</v>
      </c>
    </row>
    <row r="3964" spans="1:7" hidden="1" x14ac:dyDescent="0.25">
      <c r="A3964" t="s">
        <v>623</v>
      </c>
      <c r="B3964" t="s">
        <v>86</v>
      </c>
      <c r="F3964" t="s">
        <v>12256</v>
      </c>
      <c r="G3964" t="s">
        <v>1960</v>
      </c>
    </row>
    <row r="3965" spans="1:7" hidden="1" x14ac:dyDescent="0.25">
      <c r="A3965" t="s">
        <v>623</v>
      </c>
      <c r="B3965" t="s">
        <v>86</v>
      </c>
      <c r="F3965" t="s">
        <v>12259</v>
      </c>
      <c r="G3965" t="s">
        <v>1960</v>
      </c>
    </row>
    <row r="3966" spans="1:7" hidden="1" x14ac:dyDescent="0.25">
      <c r="A3966" t="s">
        <v>12345</v>
      </c>
      <c r="B3966" t="s">
        <v>4134</v>
      </c>
      <c r="F3966" t="s">
        <v>12262</v>
      </c>
      <c r="G3966" t="s">
        <v>1960</v>
      </c>
    </row>
    <row r="3967" spans="1:7" hidden="1" x14ac:dyDescent="0.25">
      <c r="A3967" t="s">
        <v>6092</v>
      </c>
      <c r="B3967" t="s">
        <v>4134</v>
      </c>
      <c r="F3967" t="s">
        <v>12265</v>
      </c>
      <c r="G3967" t="s">
        <v>1960</v>
      </c>
    </row>
    <row r="3968" spans="1:7" hidden="1" x14ac:dyDescent="0.25">
      <c r="A3968" t="s">
        <v>261</v>
      </c>
      <c r="B3968" t="s">
        <v>12343</v>
      </c>
      <c r="C3968" t="s">
        <v>12453</v>
      </c>
      <c r="E3968" t="s">
        <v>12346</v>
      </c>
      <c r="F3968" t="s">
        <v>12268</v>
      </c>
      <c r="G3968" t="s">
        <v>1960</v>
      </c>
    </row>
    <row r="3969" spans="1:7" hidden="1" x14ac:dyDescent="0.25">
      <c r="A3969" t="s">
        <v>261</v>
      </c>
      <c r="B3969" t="s">
        <v>12343</v>
      </c>
      <c r="C3969" t="s">
        <v>12453</v>
      </c>
      <c r="E3969" t="s">
        <v>2891</v>
      </c>
      <c r="F3969" t="s">
        <v>12271</v>
      </c>
      <c r="G3969" t="s">
        <v>1960</v>
      </c>
    </row>
    <row r="3970" spans="1:7" hidden="1" x14ac:dyDescent="0.25">
      <c r="A3970" t="s">
        <v>261</v>
      </c>
      <c r="B3970" t="s">
        <v>12343</v>
      </c>
      <c r="C3970" t="s">
        <v>12454</v>
      </c>
      <c r="E3970" t="s">
        <v>12347</v>
      </c>
      <c r="F3970" t="s">
        <v>12274</v>
      </c>
      <c r="G3970" t="s">
        <v>1960</v>
      </c>
    </row>
    <row r="3971" spans="1:7" hidden="1" x14ac:dyDescent="0.25">
      <c r="A3971" t="s">
        <v>4</v>
      </c>
      <c r="B3971" t="s">
        <v>8</v>
      </c>
      <c r="F3971" t="s">
        <v>12348</v>
      </c>
      <c r="G3971" t="s">
        <v>12233</v>
      </c>
    </row>
    <row r="3972" spans="1:7" hidden="1" x14ac:dyDescent="0.25">
      <c r="A3972" t="s">
        <v>11811</v>
      </c>
      <c r="F3972" t="s">
        <v>12351</v>
      </c>
      <c r="G3972" t="s">
        <v>12233</v>
      </c>
    </row>
    <row r="3973" spans="1:7" hidden="1" x14ac:dyDescent="0.25">
      <c r="A3973" t="s">
        <v>11867</v>
      </c>
      <c r="B3973" t="s">
        <v>12343</v>
      </c>
      <c r="F3973" t="s">
        <v>12354</v>
      </c>
      <c r="G3973" t="s">
        <v>1076</v>
      </c>
    </row>
    <row r="3974" spans="1:7" hidden="1" x14ac:dyDescent="0.25">
      <c r="A3974" t="s">
        <v>12448</v>
      </c>
      <c r="B3974" t="s">
        <v>12343</v>
      </c>
      <c r="F3974" t="s">
        <v>12357</v>
      </c>
      <c r="G3974" t="s">
        <v>1076</v>
      </c>
    </row>
    <row r="3975" spans="1:7" hidden="1" x14ac:dyDescent="0.25">
      <c r="A3975" t="s">
        <v>6092</v>
      </c>
      <c r="B3975" t="s">
        <v>12343</v>
      </c>
      <c r="F3975" t="s">
        <v>12360</v>
      </c>
      <c r="G3975" t="s">
        <v>1076</v>
      </c>
    </row>
    <row r="3976" spans="1:7" hidden="1" x14ac:dyDescent="0.25">
      <c r="A3976" t="s">
        <v>12449</v>
      </c>
      <c r="B3976" t="s">
        <v>12343</v>
      </c>
      <c r="F3976" t="s">
        <v>12375</v>
      </c>
      <c r="G3976" t="s">
        <v>1077</v>
      </c>
    </row>
    <row r="3977" spans="1:7" hidden="1" x14ac:dyDescent="0.25">
      <c r="A3977" t="s">
        <v>4</v>
      </c>
      <c r="B3977" t="s">
        <v>8</v>
      </c>
      <c r="F3977" t="s">
        <v>12378</v>
      </c>
      <c r="G3977" t="s">
        <v>1077</v>
      </c>
    </row>
    <row r="3978" spans="1:7" hidden="1" x14ac:dyDescent="0.25">
      <c r="A3978" t="s">
        <v>623</v>
      </c>
      <c r="B3978" t="s">
        <v>86</v>
      </c>
      <c r="F3978" t="s">
        <v>12381</v>
      </c>
      <c r="G3978" t="s">
        <v>1078</v>
      </c>
    </row>
    <row r="3979" spans="1:7" hidden="1" x14ac:dyDescent="0.25">
      <c r="A3979" t="s">
        <v>9097</v>
      </c>
      <c r="B3979" t="s">
        <v>86</v>
      </c>
      <c r="F3979" t="s">
        <v>12384</v>
      </c>
      <c r="G3979" t="s">
        <v>1078</v>
      </c>
    </row>
    <row r="3980" spans="1:7" hidden="1" x14ac:dyDescent="0.25">
      <c r="A3980" t="s">
        <v>7</v>
      </c>
      <c r="F3980" t="s">
        <v>12387</v>
      </c>
      <c r="G3980" t="s">
        <v>1078</v>
      </c>
    </row>
    <row r="3981" spans="1:7" hidden="1" x14ac:dyDescent="0.25">
      <c r="A3981" t="s">
        <v>4</v>
      </c>
      <c r="B3981" t="s">
        <v>8</v>
      </c>
      <c r="F3981" t="s">
        <v>12390</v>
      </c>
      <c r="G3981" t="s">
        <v>1078</v>
      </c>
    </row>
    <row r="3982" spans="1:7" hidden="1" x14ac:dyDescent="0.25">
      <c r="A3982" t="s">
        <v>4</v>
      </c>
      <c r="B3982" t="s">
        <v>8</v>
      </c>
      <c r="F3982" t="s">
        <v>12363</v>
      </c>
      <c r="G3982" t="s">
        <v>1079</v>
      </c>
    </row>
    <row r="3983" spans="1:7" hidden="1" x14ac:dyDescent="0.25">
      <c r="A3983" t="s">
        <v>9754</v>
      </c>
      <c r="F3983" t="s">
        <v>12366</v>
      </c>
      <c r="G3983" t="s">
        <v>1079</v>
      </c>
    </row>
    <row r="3984" spans="1:7" hidden="1" x14ac:dyDescent="0.25">
      <c r="A3984" t="s">
        <v>12450</v>
      </c>
      <c r="B3984" t="s">
        <v>12343</v>
      </c>
      <c r="E3984" t="s">
        <v>12451</v>
      </c>
      <c r="F3984" t="s">
        <v>12369</v>
      </c>
      <c r="G3984" t="s">
        <v>1079</v>
      </c>
    </row>
    <row r="3985" spans="1:7" hidden="1" x14ac:dyDescent="0.25">
      <c r="A3985" t="s">
        <v>4</v>
      </c>
      <c r="B3985" t="s">
        <v>8</v>
      </c>
      <c r="F3985" t="s">
        <v>12372</v>
      </c>
      <c r="G3985" t="s">
        <v>1079</v>
      </c>
    </row>
    <row r="3986" spans="1:7" hidden="1" x14ac:dyDescent="0.25">
      <c r="A3986" t="s">
        <v>12231</v>
      </c>
      <c r="F3986" t="s">
        <v>12393</v>
      </c>
      <c r="G3986" t="s">
        <v>1897</v>
      </c>
    </row>
    <row r="3987" spans="1:7" hidden="1" x14ac:dyDescent="0.25">
      <c r="A3987" t="s">
        <v>12231</v>
      </c>
      <c r="F3987" t="s">
        <v>12396</v>
      </c>
      <c r="G3987" t="s">
        <v>1897</v>
      </c>
    </row>
    <row r="3988" spans="1:7" hidden="1" x14ac:dyDescent="0.25">
      <c r="A3988" t="s">
        <v>12231</v>
      </c>
      <c r="F3988" t="s">
        <v>12399</v>
      </c>
      <c r="G3988" t="s">
        <v>1897</v>
      </c>
    </row>
    <row r="3989" spans="1:7" hidden="1" x14ac:dyDescent="0.25">
      <c r="A3989" t="s">
        <v>12231</v>
      </c>
      <c r="F3989" t="s">
        <v>12402</v>
      </c>
      <c r="G3989" t="s">
        <v>1897</v>
      </c>
    </row>
    <row r="3990" spans="1:7" hidden="1" x14ac:dyDescent="0.25">
      <c r="A3990" t="s">
        <v>12231</v>
      </c>
      <c r="F3990" t="s">
        <v>12405</v>
      </c>
      <c r="G3990" t="s">
        <v>1897</v>
      </c>
    </row>
    <row r="3991" spans="1:7" hidden="1" x14ac:dyDescent="0.25">
      <c r="A3991" t="s">
        <v>12231</v>
      </c>
      <c r="F3991" t="s">
        <v>12408</v>
      </c>
      <c r="G3991" t="s">
        <v>1897</v>
      </c>
    </row>
    <row r="3992" spans="1:7" hidden="1" x14ac:dyDescent="0.25">
      <c r="A3992" t="s">
        <v>4</v>
      </c>
      <c r="B3992" t="s">
        <v>8</v>
      </c>
      <c r="F3992" t="s">
        <v>12411</v>
      </c>
      <c r="G3992" t="s">
        <v>1897</v>
      </c>
    </row>
    <row r="3993" spans="1:7" hidden="1" x14ac:dyDescent="0.25">
      <c r="A3993" t="s">
        <v>1899</v>
      </c>
      <c r="B3993" t="s">
        <v>1570</v>
      </c>
      <c r="F3993" t="s">
        <v>12414</v>
      </c>
      <c r="G3993" t="s">
        <v>1960</v>
      </c>
    </row>
    <row r="3994" spans="1:7" hidden="1" x14ac:dyDescent="0.25">
      <c r="A3994" t="s">
        <v>623</v>
      </c>
      <c r="B3994" t="s">
        <v>86</v>
      </c>
      <c r="F3994" t="s">
        <v>12417</v>
      </c>
      <c r="G3994" t="s">
        <v>1960</v>
      </c>
    </row>
    <row r="3995" spans="1:7" hidden="1" x14ac:dyDescent="0.25">
      <c r="A3995" t="s">
        <v>623</v>
      </c>
      <c r="B3995" t="s">
        <v>86</v>
      </c>
      <c r="F3995" t="s">
        <v>12420</v>
      </c>
      <c r="G3995" t="s">
        <v>1960</v>
      </c>
    </row>
    <row r="3996" spans="1:7" hidden="1" x14ac:dyDescent="0.25">
      <c r="A3996" t="s">
        <v>12452</v>
      </c>
      <c r="B3996" t="s">
        <v>86</v>
      </c>
      <c r="F3996" t="s">
        <v>12423</v>
      </c>
      <c r="G3996" t="s">
        <v>12233</v>
      </c>
    </row>
    <row r="3997" spans="1:7" hidden="1" x14ac:dyDescent="0.25">
      <c r="A3997" t="s">
        <v>7</v>
      </c>
      <c r="F3997" t="s">
        <v>12426</v>
      </c>
      <c r="G3997" t="s">
        <v>12233</v>
      </c>
    </row>
    <row r="3998" spans="1:7" hidden="1" x14ac:dyDescent="0.25">
      <c r="A3998" t="s">
        <v>4</v>
      </c>
      <c r="B3998" t="s">
        <v>8</v>
      </c>
      <c r="F3998" t="s">
        <v>12429</v>
      </c>
      <c r="G3998" t="s">
        <v>12233</v>
      </c>
    </row>
    <row r="3999" spans="1:7" hidden="1" x14ac:dyDescent="0.25">
      <c r="A3999" t="s">
        <v>4</v>
      </c>
      <c r="B3999" t="s">
        <v>8</v>
      </c>
      <c r="E3999" t="s">
        <v>2891</v>
      </c>
      <c r="F3999" t="s">
        <v>12432</v>
      </c>
      <c r="G3999" t="s">
        <v>12233</v>
      </c>
    </row>
    <row r="4000" spans="1:7" hidden="1" x14ac:dyDescent="0.25">
      <c r="A4000" t="s">
        <v>4</v>
      </c>
      <c r="B4000" t="s">
        <v>8</v>
      </c>
      <c r="E4000" t="s">
        <v>2891</v>
      </c>
      <c r="F4000" t="s">
        <v>12435</v>
      </c>
      <c r="G4000" t="s">
        <v>12233</v>
      </c>
    </row>
    <row r="4001" spans="1:7" hidden="1" x14ac:dyDescent="0.25">
      <c r="A4001" t="s">
        <v>12231</v>
      </c>
      <c r="F4001" t="s">
        <v>12438</v>
      </c>
      <c r="G4001" t="s">
        <v>12233</v>
      </c>
    </row>
    <row r="4002" spans="1:7" hidden="1" x14ac:dyDescent="0.25">
      <c r="A4002" t="s">
        <v>12231</v>
      </c>
      <c r="F4002" t="s">
        <v>12441</v>
      </c>
      <c r="G4002" t="s">
        <v>12233</v>
      </c>
    </row>
    <row r="4003" spans="1:7" hidden="1" x14ac:dyDescent="0.25">
      <c r="A4003" t="s">
        <v>4</v>
      </c>
      <c r="B4003" t="s">
        <v>8</v>
      </c>
      <c r="F4003" t="s">
        <v>12444</v>
      </c>
      <c r="G4003" t="s">
        <v>12233</v>
      </c>
    </row>
    <row r="4004" spans="1:7" hidden="1" x14ac:dyDescent="0.25">
      <c r="A4004" t="s">
        <v>1569</v>
      </c>
      <c r="B4004" t="s">
        <v>12626</v>
      </c>
      <c r="F4004" t="s">
        <v>12455</v>
      </c>
      <c r="G4004" t="s">
        <v>1076</v>
      </c>
    </row>
    <row r="4005" spans="1:7" hidden="1" x14ac:dyDescent="0.25">
      <c r="A4005" t="s">
        <v>6092</v>
      </c>
      <c r="B4005" t="s">
        <v>12626</v>
      </c>
      <c r="F4005" t="s">
        <v>12458</v>
      </c>
      <c r="G4005" t="s">
        <v>1076</v>
      </c>
    </row>
    <row r="4006" spans="1:7" hidden="1" x14ac:dyDescent="0.25">
      <c r="A4006" t="s">
        <v>62</v>
      </c>
      <c r="B4006" t="s">
        <v>12626</v>
      </c>
      <c r="F4006" t="s">
        <v>12461</v>
      </c>
      <c r="G4006" t="s">
        <v>1076</v>
      </c>
    </row>
    <row r="4007" spans="1:7" hidden="1" x14ac:dyDescent="0.25">
      <c r="A4007" t="s">
        <v>1569</v>
      </c>
      <c r="B4007" t="s">
        <v>12341</v>
      </c>
      <c r="F4007" t="s">
        <v>12464</v>
      </c>
      <c r="G4007" t="s">
        <v>1076</v>
      </c>
    </row>
    <row r="4008" spans="1:7" hidden="1" x14ac:dyDescent="0.25">
      <c r="A4008" t="s">
        <v>62</v>
      </c>
      <c r="B4008" t="s">
        <v>12341</v>
      </c>
      <c r="F4008" t="s">
        <v>12467</v>
      </c>
      <c r="G4008" t="s">
        <v>1076</v>
      </c>
    </row>
    <row r="4009" spans="1:7" hidden="1" x14ac:dyDescent="0.25">
      <c r="A4009" t="s">
        <v>11807</v>
      </c>
      <c r="B4009" t="s">
        <v>12627</v>
      </c>
      <c r="F4009" t="s">
        <v>12470</v>
      </c>
      <c r="G4009" t="s">
        <v>1076</v>
      </c>
    </row>
    <row r="4010" spans="1:7" hidden="1" x14ac:dyDescent="0.25">
      <c r="A4010" t="s">
        <v>62</v>
      </c>
      <c r="B4010" t="s">
        <v>12627</v>
      </c>
      <c r="F4010" t="s">
        <v>12473</v>
      </c>
      <c r="G4010" t="s">
        <v>1076</v>
      </c>
    </row>
    <row r="4011" spans="1:7" hidden="1" x14ac:dyDescent="0.25">
      <c r="A4011" t="s">
        <v>4</v>
      </c>
      <c r="B4011" t="s">
        <v>8</v>
      </c>
      <c r="F4011" t="s">
        <v>12476</v>
      </c>
      <c r="G4011" t="s">
        <v>1076</v>
      </c>
    </row>
    <row r="4012" spans="1:7" hidden="1" x14ac:dyDescent="0.25">
      <c r="A4012" t="s">
        <v>1967</v>
      </c>
      <c r="B4012" t="s">
        <v>8</v>
      </c>
      <c r="F4012" t="s">
        <v>12479</v>
      </c>
      <c r="G4012" t="s">
        <v>1076</v>
      </c>
    </row>
    <row r="4013" spans="1:7" hidden="1" x14ac:dyDescent="0.25">
      <c r="A4013" t="s">
        <v>6092</v>
      </c>
      <c r="B4013" t="s">
        <v>12627</v>
      </c>
      <c r="F4013" t="s">
        <v>12566</v>
      </c>
      <c r="G4013" t="s">
        <v>1077</v>
      </c>
    </row>
    <row r="4014" spans="1:7" hidden="1" x14ac:dyDescent="0.25">
      <c r="A4014" t="s">
        <v>4</v>
      </c>
      <c r="B4014" t="s">
        <v>8</v>
      </c>
      <c r="F4014" t="s">
        <v>12569</v>
      </c>
      <c r="G4014" t="s">
        <v>1077</v>
      </c>
    </row>
    <row r="4015" spans="1:7" hidden="1" x14ac:dyDescent="0.25">
      <c r="A4015" t="s">
        <v>1967</v>
      </c>
      <c r="B4015" t="s">
        <v>8</v>
      </c>
      <c r="F4015" t="s">
        <v>12572</v>
      </c>
      <c r="G4015" t="s">
        <v>1077</v>
      </c>
    </row>
    <row r="4016" spans="1:7" hidden="1" x14ac:dyDescent="0.25">
      <c r="A4016" t="s">
        <v>12231</v>
      </c>
      <c r="F4016" t="s">
        <v>12575</v>
      </c>
      <c r="G4016" t="s">
        <v>1078</v>
      </c>
    </row>
    <row r="4017" spans="1:7" hidden="1" x14ac:dyDescent="0.25">
      <c r="A4017" t="s">
        <v>12231</v>
      </c>
      <c r="F4017" t="s">
        <v>12578</v>
      </c>
      <c r="G4017" t="s">
        <v>1078</v>
      </c>
    </row>
    <row r="4018" spans="1:7" hidden="1" x14ac:dyDescent="0.25">
      <c r="A4018" t="s">
        <v>12231</v>
      </c>
      <c r="F4018" t="s">
        <v>12581</v>
      </c>
      <c r="G4018" t="s">
        <v>1078</v>
      </c>
    </row>
    <row r="4019" spans="1:7" hidden="1" x14ac:dyDescent="0.25">
      <c r="A4019" t="s">
        <v>12231</v>
      </c>
      <c r="F4019" t="s">
        <v>12584</v>
      </c>
      <c r="G4019" t="s">
        <v>1078</v>
      </c>
    </row>
    <row r="4020" spans="1:7" hidden="1" x14ac:dyDescent="0.25">
      <c r="A4020" t="s">
        <v>4</v>
      </c>
      <c r="B4020" t="s">
        <v>8</v>
      </c>
      <c r="F4020" t="s">
        <v>12587</v>
      </c>
      <c r="G4020" t="s">
        <v>1078</v>
      </c>
    </row>
    <row r="4021" spans="1:7" hidden="1" x14ac:dyDescent="0.25">
      <c r="A4021" t="s">
        <v>12231</v>
      </c>
      <c r="F4021" t="s">
        <v>12590</v>
      </c>
      <c r="G4021" t="s">
        <v>1078</v>
      </c>
    </row>
    <row r="4022" spans="1:7" hidden="1" x14ac:dyDescent="0.25">
      <c r="A4022" t="s">
        <v>12231</v>
      </c>
      <c r="F4022" t="s">
        <v>12593</v>
      </c>
      <c r="G4022" t="s">
        <v>1078</v>
      </c>
    </row>
    <row r="4023" spans="1:7" hidden="1" x14ac:dyDescent="0.25">
      <c r="A4023" t="s">
        <v>12231</v>
      </c>
      <c r="F4023" t="s">
        <v>12596</v>
      </c>
      <c r="G4023" t="s">
        <v>1078</v>
      </c>
    </row>
    <row r="4024" spans="1:7" hidden="1" x14ac:dyDescent="0.25">
      <c r="A4024" t="s">
        <v>4</v>
      </c>
      <c r="B4024" t="s">
        <v>8</v>
      </c>
      <c r="F4024" t="s">
        <v>12599</v>
      </c>
      <c r="G4024" t="s">
        <v>1078</v>
      </c>
    </row>
    <row r="4025" spans="1:7" hidden="1" x14ac:dyDescent="0.25">
      <c r="A4025" t="s">
        <v>12231</v>
      </c>
      <c r="F4025" t="s">
        <v>12602</v>
      </c>
      <c r="G4025" t="s">
        <v>1079</v>
      </c>
    </row>
    <row r="4026" spans="1:7" hidden="1" x14ac:dyDescent="0.25">
      <c r="A4026" t="s">
        <v>12231</v>
      </c>
      <c r="F4026" t="s">
        <v>12605</v>
      </c>
      <c r="G4026" t="s">
        <v>1079</v>
      </c>
    </row>
    <row r="4027" spans="1:7" hidden="1" x14ac:dyDescent="0.25">
      <c r="A4027" t="s">
        <v>12231</v>
      </c>
      <c r="F4027" t="s">
        <v>12608</v>
      </c>
      <c r="G4027" t="s">
        <v>1079</v>
      </c>
    </row>
    <row r="4028" spans="1:7" hidden="1" x14ac:dyDescent="0.25">
      <c r="A4028" t="s">
        <v>12231</v>
      </c>
      <c r="F4028" t="s">
        <v>12611</v>
      </c>
      <c r="G4028" t="s">
        <v>1079</v>
      </c>
    </row>
    <row r="4029" spans="1:7" hidden="1" x14ac:dyDescent="0.25">
      <c r="A4029" t="s">
        <v>4</v>
      </c>
      <c r="B4029" t="s">
        <v>8</v>
      </c>
      <c r="F4029" t="s">
        <v>12614</v>
      </c>
      <c r="G4029" t="s">
        <v>1079</v>
      </c>
    </row>
    <row r="4030" spans="1:7" hidden="1" x14ac:dyDescent="0.25">
      <c r="A4030" t="s">
        <v>12231</v>
      </c>
      <c r="F4030" t="s">
        <v>12617</v>
      </c>
      <c r="G4030" t="s">
        <v>1079</v>
      </c>
    </row>
    <row r="4031" spans="1:7" hidden="1" x14ac:dyDescent="0.25">
      <c r="A4031" t="s">
        <v>12231</v>
      </c>
      <c r="F4031" t="s">
        <v>12620</v>
      </c>
      <c r="G4031" t="s">
        <v>1079</v>
      </c>
    </row>
    <row r="4032" spans="1:7" hidden="1" x14ac:dyDescent="0.25">
      <c r="A4032" t="s">
        <v>4</v>
      </c>
      <c r="B4032" t="s">
        <v>8</v>
      </c>
      <c r="F4032" t="s">
        <v>12623</v>
      </c>
      <c r="G4032" t="s">
        <v>1079</v>
      </c>
    </row>
    <row r="4033" spans="1:7" hidden="1" x14ac:dyDescent="0.25">
      <c r="A4033" t="s">
        <v>12231</v>
      </c>
      <c r="F4033" t="s">
        <v>12482</v>
      </c>
      <c r="G4033" t="s">
        <v>1897</v>
      </c>
    </row>
    <row r="4034" spans="1:7" hidden="1" x14ac:dyDescent="0.25">
      <c r="A4034" t="s">
        <v>12231</v>
      </c>
      <c r="F4034" t="s">
        <v>12485</v>
      </c>
      <c r="G4034" t="s">
        <v>1897</v>
      </c>
    </row>
    <row r="4035" spans="1:7" hidden="1" x14ac:dyDescent="0.25">
      <c r="A4035" t="s">
        <v>12231</v>
      </c>
      <c r="F4035" t="s">
        <v>12488</v>
      </c>
      <c r="G4035" t="s">
        <v>1897</v>
      </c>
    </row>
    <row r="4036" spans="1:7" hidden="1" x14ac:dyDescent="0.25">
      <c r="A4036" t="s">
        <v>12231</v>
      </c>
      <c r="F4036" t="s">
        <v>12491</v>
      </c>
      <c r="G4036" t="s">
        <v>1897</v>
      </c>
    </row>
    <row r="4037" spans="1:7" hidden="1" x14ac:dyDescent="0.25">
      <c r="A4037" t="s">
        <v>12231</v>
      </c>
      <c r="F4037" t="s">
        <v>12494</v>
      </c>
      <c r="G4037" t="s">
        <v>1897</v>
      </c>
    </row>
    <row r="4038" spans="1:7" hidden="1" x14ac:dyDescent="0.25">
      <c r="A4038" t="s">
        <v>12231</v>
      </c>
      <c r="F4038" t="s">
        <v>12497</v>
      </c>
      <c r="G4038" t="s">
        <v>1897</v>
      </c>
    </row>
    <row r="4039" spans="1:7" hidden="1" x14ac:dyDescent="0.25">
      <c r="A4039" t="s">
        <v>4</v>
      </c>
      <c r="B4039" t="s">
        <v>8</v>
      </c>
      <c r="F4039" t="s">
        <v>12500</v>
      </c>
      <c r="G4039" t="s">
        <v>1897</v>
      </c>
    </row>
    <row r="4040" spans="1:7" hidden="1" x14ac:dyDescent="0.25">
      <c r="A4040" t="s">
        <v>12231</v>
      </c>
      <c r="F4040" t="s">
        <v>12503</v>
      </c>
      <c r="G4040" t="s">
        <v>1897</v>
      </c>
    </row>
    <row r="4041" spans="1:7" hidden="1" x14ac:dyDescent="0.25">
      <c r="A4041" t="s">
        <v>12231</v>
      </c>
      <c r="F4041" t="s">
        <v>12506</v>
      </c>
      <c r="G4041" t="s">
        <v>1897</v>
      </c>
    </row>
    <row r="4042" spans="1:7" hidden="1" x14ac:dyDescent="0.25">
      <c r="A4042" t="s">
        <v>4</v>
      </c>
      <c r="B4042" t="s">
        <v>8</v>
      </c>
      <c r="F4042" t="s">
        <v>12509</v>
      </c>
      <c r="G4042" t="s">
        <v>1897</v>
      </c>
    </row>
    <row r="4043" spans="1:7" hidden="1" x14ac:dyDescent="0.25">
      <c r="A4043" t="s">
        <v>4</v>
      </c>
      <c r="B4043" t="s">
        <v>8</v>
      </c>
      <c r="F4043" t="s">
        <v>12512</v>
      </c>
      <c r="G4043" t="s">
        <v>1960</v>
      </c>
    </row>
    <row r="4044" spans="1:7" hidden="1" x14ac:dyDescent="0.25">
      <c r="A4044" t="s">
        <v>1967</v>
      </c>
      <c r="B4044" t="s">
        <v>8</v>
      </c>
      <c r="F4044" t="s">
        <v>12515</v>
      </c>
      <c r="G4044" t="s">
        <v>1960</v>
      </c>
    </row>
    <row r="4045" spans="1:7" hidden="1" x14ac:dyDescent="0.25">
      <c r="A4045" t="s">
        <v>1967</v>
      </c>
      <c r="B4045" t="s">
        <v>8</v>
      </c>
      <c r="F4045" t="s">
        <v>12518</v>
      </c>
      <c r="G4045" t="s">
        <v>1960</v>
      </c>
    </row>
    <row r="4046" spans="1:7" hidden="1" x14ac:dyDescent="0.25">
      <c r="A4046" t="s">
        <v>12231</v>
      </c>
      <c r="F4046" t="s">
        <v>12521</v>
      </c>
      <c r="G4046" t="s">
        <v>12233</v>
      </c>
    </row>
    <row r="4047" spans="1:7" hidden="1" x14ac:dyDescent="0.25">
      <c r="A4047" t="s">
        <v>12231</v>
      </c>
      <c r="F4047" t="s">
        <v>12524</v>
      </c>
      <c r="G4047" t="s">
        <v>12233</v>
      </c>
    </row>
    <row r="4048" spans="1:7" hidden="1" x14ac:dyDescent="0.25">
      <c r="A4048" t="s">
        <v>12231</v>
      </c>
      <c r="F4048" t="s">
        <v>12527</v>
      </c>
      <c r="G4048" t="s">
        <v>12233</v>
      </c>
    </row>
    <row r="4049" spans="1:7" hidden="1" x14ac:dyDescent="0.25">
      <c r="A4049" t="s">
        <v>12231</v>
      </c>
      <c r="F4049" t="s">
        <v>12530</v>
      </c>
      <c r="G4049" t="s">
        <v>12233</v>
      </c>
    </row>
    <row r="4050" spans="1:7" hidden="1" x14ac:dyDescent="0.25">
      <c r="A4050" t="s">
        <v>12231</v>
      </c>
      <c r="F4050" t="s">
        <v>12533</v>
      </c>
      <c r="G4050" t="s">
        <v>12233</v>
      </c>
    </row>
    <row r="4051" spans="1:7" hidden="1" x14ac:dyDescent="0.25">
      <c r="A4051" t="s">
        <v>12231</v>
      </c>
      <c r="F4051" t="s">
        <v>12536</v>
      </c>
      <c r="G4051" t="s">
        <v>12233</v>
      </c>
    </row>
    <row r="4052" spans="1:7" hidden="1" x14ac:dyDescent="0.25">
      <c r="A4052" t="s">
        <v>12231</v>
      </c>
      <c r="F4052" t="s">
        <v>12539</v>
      </c>
      <c r="G4052" t="s">
        <v>12233</v>
      </c>
    </row>
    <row r="4053" spans="1:7" hidden="1" x14ac:dyDescent="0.25">
      <c r="A4053" t="s">
        <v>12231</v>
      </c>
      <c r="F4053" t="s">
        <v>12542</v>
      </c>
      <c r="G4053" t="s">
        <v>12233</v>
      </c>
    </row>
    <row r="4054" spans="1:7" hidden="1" x14ac:dyDescent="0.25">
      <c r="A4054" t="s">
        <v>4</v>
      </c>
      <c r="B4054" t="s">
        <v>8</v>
      </c>
      <c r="F4054" t="s">
        <v>12545</v>
      </c>
      <c r="G4054" t="s">
        <v>12233</v>
      </c>
    </row>
    <row r="4055" spans="1:7" hidden="1" x14ac:dyDescent="0.25">
      <c r="A4055" t="s">
        <v>12231</v>
      </c>
      <c r="F4055" t="s">
        <v>12548</v>
      </c>
      <c r="G4055" t="s">
        <v>12233</v>
      </c>
    </row>
    <row r="4056" spans="1:7" hidden="1" x14ac:dyDescent="0.25">
      <c r="A4056" t="s">
        <v>12231</v>
      </c>
      <c r="F4056" t="s">
        <v>12551</v>
      </c>
      <c r="G4056" t="s">
        <v>12233</v>
      </c>
    </row>
    <row r="4057" spans="1:7" hidden="1" x14ac:dyDescent="0.25">
      <c r="A4057" t="s">
        <v>12231</v>
      </c>
      <c r="F4057" t="s">
        <v>12554</v>
      </c>
      <c r="G4057" t="s">
        <v>12233</v>
      </c>
    </row>
    <row r="4058" spans="1:7" hidden="1" x14ac:dyDescent="0.25">
      <c r="A4058" t="s">
        <v>12231</v>
      </c>
      <c r="F4058" t="s">
        <v>12557</v>
      </c>
      <c r="G4058" t="s">
        <v>12233</v>
      </c>
    </row>
    <row r="4059" spans="1:7" hidden="1" x14ac:dyDescent="0.25">
      <c r="A4059" t="s">
        <v>12231</v>
      </c>
      <c r="F4059" t="s">
        <v>12560</v>
      </c>
      <c r="G4059" t="s">
        <v>12233</v>
      </c>
    </row>
    <row r="4060" spans="1:7" hidden="1" x14ac:dyDescent="0.25">
      <c r="A4060" t="s">
        <v>4</v>
      </c>
      <c r="B4060" t="s">
        <v>8</v>
      </c>
      <c r="F4060" t="s">
        <v>12563</v>
      </c>
      <c r="G4060" t="s">
        <v>12233</v>
      </c>
    </row>
    <row r="4061" spans="1:7" hidden="1" x14ac:dyDescent="0.25">
      <c r="A4061" t="s">
        <v>1569</v>
      </c>
      <c r="B4061" t="s">
        <v>4132</v>
      </c>
      <c r="F4061" t="s">
        <v>12628</v>
      </c>
      <c r="G4061" t="s">
        <v>1076</v>
      </c>
    </row>
    <row r="4062" spans="1:7" hidden="1" x14ac:dyDescent="0.25">
      <c r="A4062" t="s">
        <v>11807</v>
      </c>
      <c r="B4062" t="s">
        <v>12776</v>
      </c>
      <c r="C4062" t="s">
        <v>51</v>
      </c>
      <c r="F4062" t="s">
        <v>12631</v>
      </c>
      <c r="G4062" t="s">
        <v>1076</v>
      </c>
    </row>
    <row r="4063" spans="1:7" hidden="1" x14ac:dyDescent="0.25">
      <c r="A4063" t="s">
        <v>11807</v>
      </c>
      <c r="B4063" t="s">
        <v>12777</v>
      </c>
      <c r="C4063" t="s">
        <v>51</v>
      </c>
      <c r="F4063" t="s">
        <v>12634</v>
      </c>
      <c r="G4063" t="s">
        <v>1076</v>
      </c>
    </row>
    <row r="4064" spans="1:7" hidden="1" x14ac:dyDescent="0.25">
      <c r="A4064" t="s">
        <v>62</v>
      </c>
      <c r="B4064" t="s">
        <v>4132</v>
      </c>
      <c r="F4064" t="s">
        <v>12637</v>
      </c>
      <c r="G4064" t="s">
        <v>1076</v>
      </c>
    </row>
    <row r="4065" spans="1:7" hidden="1" x14ac:dyDescent="0.25">
      <c r="A4065" t="s">
        <v>62</v>
      </c>
      <c r="B4065" t="s">
        <v>12777</v>
      </c>
      <c r="C4065" t="s">
        <v>621</v>
      </c>
      <c r="F4065" t="s">
        <v>12640</v>
      </c>
      <c r="G4065" t="s">
        <v>1076</v>
      </c>
    </row>
    <row r="4066" spans="1:7" hidden="1" x14ac:dyDescent="0.25">
      <c r="A4066" t="s">
        <v>62</v>
      </c>
      <c r="B4066" t="s">
        <v>12776</v>
      </c>
      <c r="C4066" t="s">
        <v>621</v>
      </c>
      <c r="F4066" t="s">
        <v>12643</v>
      </c>
      <c r="G4066" t="s">
        <v>1076</v>
      </c>
    </row>
    <row r="4067" spans="1:7" hidden="1" x14ac:dyDescent="0.25">
      <c r="A4067" t="s">
        <v>261</v>
      </c>
      <c r="B4067" t="s">
        <v>12776</v>
      </c>
      <c r="C4067" t="s">
        <v>621</v>
      </c>
      <c r="F4067" t="s">
        <v>12647</v>
      </c>
      <c r="G4067" t="s">
        <v>1077</v>
      </c>
    </row>
    <row r="4068" spans="1:7" hidden="1" x14ac:dyDescent="0.25">
      <c r="A4068" t="s">
        <v>261</v>
      </c>
      <c r="B4068" t="s">
        <v>12776</v>
      </c>
      <c r="C4068" t="s">
        <v>621</v>
      </c>
      <c r="E4068" t="s">
        <v>2891</v>
      </c>
      <c r="F4068" t="s">
        <v>12650</v>
      </c>
      <c r="G4068" t="s">
        <v>1077</v>
      </c>
    </row>
    <row r="4069" spans="1:7" hidden="1" x14ac:dyDescent="0.25">
      <c r="A4069" t="s">
        <v>261</v>
      </c>
      <c r="B4069" t="s">
        <v>12776</v>
      </c>
      <c r="C4069" t="s">
        <v>621</v>
      </c>
      <c r="E4069" t="s">
        <v>2891</v>
      </c>
      <c r="F4069" t="s">
        <v>12653</v>
      </c>
      <c r="G4069" t="s">
        <v>1077</v>
      </c>
    </row>
    <row r="4070" spans="1:7" hidden="1" x14ac:dyDescent="0.25">
      <c r="A4070" t="s">
        <v>12778</v>
      </c>
      <c r="B4070" t="s">
        <v>12776</v>
      </c>
      <c r="C4070" t="s">
        <v>621</v>
      </c>
      <c r="F4070" t="s">
        <v>12656</v>
      </c>
      <c r="G4070" t="s">
        <v>1077</v>
      </c>
    </row>
    <row r="4071" spans="1:7" hidden="1" x14ac:dyDescent="0.25">
      <c r="A4071" t="s">
        <v>12779</v>
      </c>
      <c r="B4071" t="s">
        <v>12777</v>
      </c>
      <c r="C4071" t="s">
        <v>51</v>
      </c>
      <c r="F4071" t="s">
        <v>12659</v>
      </c>
      <c r="G4071" t="s">
        <v>1077</v>
      </c>
    </row>
    <row r="4072" spans="1:7" hidden="1" x14ac:dyDescent="0.25">
      <c r="A4072" t="s">
        <v>4</v>
      </c>
      <c r="B4072" t="s">
        <v>12780</v>
      </c>
      <c r="F4072" t="s">
        <v>12662</v>
      </c>
      <c r="G4072" t="s">
        <v>1077</v>
      </c>
    </row>
    <row r="4073" spans="1:7" hidden="1" x14ac:dyDescent="0.25">
      <c r="A4073" t="s">
        <v>12781</v>
      </c>
      <c r="B4073" t="s">
        <v>12777</v>
      </c>
      <c r="C4073" t="s">
        <v>621</v>
      </c>
      <c r="F4073" t="s">
        <v>12665</v>
      </c>
      <c r="G4073" t="s">
        <v>1077</v>
      </c>
    </row>
    <row r="4074" spans="1:7" hidden="1" x14ac:dyDescent="0.25">
      <c r="A4074" t="s">
        <v>12781</v>
      </c>
      <c r="B4074" t="s">
        <v>12776</v>
      </c>
      <c r="C4074" t="s">
        <v>621</v>
      </c>
      <c r="F4074" t="s">
        <v>12668</v>
      </c>
      <c r="G4074" t="s">
        <v>1077</v>
      </c>
    </row>
    <row r="4075" spans="1:7" hidden="1" x14ac:dyDescent="0.25">
      <c r="A4075" t="s">
        <v>12782</v>
      </c>
      <c r="F4075" t="s">
        <v>12671</v>
      </c>
      <c r="G4075" t="s">
        <v>1078</v>
      </c>
    </row>
    <row r="4076" spans="1:7" hidden="1" x14ac:dyDescent="0.25">
      <c r="A4076" t="s">
        <v>1569</v>
      </c>
      <c r="B4076" t="s">
        <v>12776</v>
      </c>
      <c r="C4076" t="s">
        <v>621</v>
      </c>
      <c r="F4076" t="s">
        <v>12674</v>
      </c>
      <c r="G4076" t="s">
        <v>1078</v>
      </c>
    </row>
    <row r="4077" spans="1:7" hidden="1" x14ac:dyDescent="0.25">
      <c r="A4077" t="s">
        <v>261</v>
      </c>
      <c r="B4077" t="s">
        <v>12776</v>
      </c>
      <c r="C4077" t="s">
        <v>621</v>
      </c>
      <c r="F4077" t="s">
        <v>12677</v>
      </c>
      <c r="G4077" t="s">
        <v>1078</v>
      </c>
    </row>
    <row r="4078" spans="1:7" hidden="1" x14ac:dyDescent="0.25">
      <c r="A4078" t="s">
        <v>261</v>
      </c>
      <c r="B4078" t="s">
        <v>12776</v>
      </c>
      <c r="C4078" t="s">
        <v>621</v>
      </c>
      <c r="E4078" t="s">
        <v>2891</v>
      </c>
      <c r="F4078" t="s">
        <v>12680</v>
      </c>
      <c r="G4078" t="s">
        <v>1078</v>
      </c>
    </row>
    <row r="4079" spans="1:7" hidden="1" x14ac:dyDescent="0.25">
      <c r="A4079" t="s">
        <v>12783</v>
      </c>
      <c r="B4079" t="s">
        <v>12776</v>
      </c>
      <c r="F4079" t="s">
        <v>12683</v>
      </c>
      <c r="G4079" t="s">
        <v>1078</v>
      </c>
    </row>
    <row r="4080" spans="1:7" hidden="1" x14ac:dyDescent="0.25">
      <c r="A4080" t="s">
        <v>261</v>
      </c>
      <c r="B4080" t="s">
        <v>12777</v>
      </c>
      <c r="C4080" t="s">
        <v>621</v>
      </c>
      <c r="F4080" t="s">
        <v>12686</v>
      </c>
      <c r="G4080" t="s">
        <v>1078</v>
      </c>
    </row>
    <row r="4081" spans="1:7" hidden="1" x14ac:dyDescent="0.25">
      <c r="A4081" t="s">
        <v>261</v>
      </c>
      <c r="B4081" t="s">
        <v>12777</v>
      </c>
      <c r="C4081" t="s">
        <v>621</v>
      </c>
      <c r="E4081" t="s">
        <v>2891</v>
      </c>
      <c r="F4081" t="s">
        <v>12689</v>
      </c>
      <c r="G4081" t="s">
        <v>1078</v>
      </c>
    </row>
    <row r="4082" spans="1:7" hidden="1" x14ac:dyDescent="0.25">
      <c r="A4082" t="s">
        <v>261</v>
      </c>
      <c r="B4082" t="s">
        <v>12777</v>
      </c>
      <c r="C4082" t="s">
        <v>621</v>
      </c>
      <c r="E4082" t="s">
        <v>2891</v>
      </c>
      <c r="F4082" t="s">
        <v>12692</v>
      </c>
      <c r="G4082" t="s">
        <v>1078</v>
      </c>
    </row>
    <row r="4083" spans="1:7" hidden="1" x14ac:dyDescent="0.25">
      <c r="A4083" t="s">
        <v>261</v>
      </c>
      <c r="B4083" t="s">
        <v>12776</v>
      </c>
      <c r="C4083" t="s">
        <v>621</v>
      </c>
      <c r="E4083" t="s">
        <v>2891</v>
      </c>
      <c r="F4083" t="s">
        <v>12695</v>
      </c>
      <c r="G4083" t="s">
        <v>1078</v>
      </c>
    </row>
    <row r="4084" spans="1:7" hidden="1" x14ac:dyDescent="0.25">
      <c r="A4084" t="s">
        <v>261</v>
      </c>
      <c r="B4084" t="s">
        <v>12776</v>
      </c>
      <c r="C4084" t="s">
        <v>621</v>
      </c>
      <c r="E4084" t="s">
        <v>2891</v>
      </c>
      <c r="F4084" t="s">
        <v>12698</v>
      </c>
      <c r="G4084" t="s">
        <v>1078</v>
      </c>
    </row>
    <row r="4085" spans="1:7" hidden="1" x14ac:dyDescent="0.25">
      <c r="A4085" t="s">
        <v>261</v>
      </c>
      <c r="B4085" t="s">
        <v>12776</v>
      </c>
      <c r="C4085" t="s">
        <v>621</v>
      </c>
      <c r="E4085" t="s">
        <v>2891</v>
      </c>
      <c r="F4085" t="s">
        <v>12701</v>
      </c>
      <c r="G4085" t="s">
        <v>1078</v>
      </c>
    </row>
    <row r="4086" spans="1:7" hidden="1" x14ac:dyDescent="0.25">
      <c r="A4086" t="s">
        <v>261</v>
      </c>
      <c r="B4086" t="s">
        <v>12776</v>
      </c>
      <c r="C4086" t="s">
        <v>621</v>
      </c>
      <c r="E4086" t="s">
        <v>2891</v>
      </c>
      <c r="F4086" t="s">
        <v>12704</v>
      </c>
      <c r="G4086" t="s">
        <v>1078</v>
      </c>
    </row>
    <row r="4087" spans="1:7" hidden="1" x14ac:dyDescent="0.25">
      <c r="A4087" t="s">
        <v>261</v>
      </c>
      <c r="B4087" t="s">
        <v>12776</v>
      </c>
      <c r="C4087" t="s">
        <v>621</v>
      </c>
      <c r="E4087" t="s">
        <v>2891</v>
      </c>
      <c r="F4087" t="s">
        <v>12707</v>
      </c>
      <c r="G4087" t="s">
        <v>1078</v>
      </c>
    </row>
    <row r="4088" spans="1:7" hidden="1" x14ac:dyDescent="0.25">
      <c r="A4088" t="s">
        <v>261</v>
      </c>
      <c r="B4088" t="s">
        <v>12777</v>
      </c>
      <c r="C4088" t="s">
        <v>621</v>
      </c>
      <c r="E4088" t="s">
        <v>2891</v>
      </c>
      <c r="F4088" t="s">
        <v>12710</v>
      </c>
      <c r="G4088" t="s">
        <v>1078</v>
      </c>
    </row>
    <row r="4089" spans="1:7" hidden="1" x14ac:dyDescent="0.25">
      <c r="A4089" t="s">
        <v>261</v>
      </c>
      <c r="B4089" t="s">
        <v>12777</v>
      </c>
      <c r="C4089" t="s">
        <v>621</v>
      </c>
      <c r="E4089" t="s">
        <v>2891</v>
      </c>
      <c r="F4089" t="s">
        <v>12713</v>
      </c>
      <c r="G4089" t="s">
        <v>1078</v>
      </c>
    </row>
    <row r="4090" spans="1:7" hidden="1" x14ac:dyDescent="0.25">
      <c r="A4090" t="s">
        <v>261</v>
      </c>
      <c r="B4090" t="s">
        <v>12777</v>
      </c>
      <c r="C4090" t="s">
        <v>621</v>
      </c>
      <c r="E4090" t="s">
        <v>2891</v>
      </c>
      <c r="F4090" t="s">
        <v>12716</v>
      </c>
      <c r="G4090" t="s">
        <v>1078</v>
      </c>
    </row>
    <row r="4091" spans="1:7" hidden="1" x14ac:dyDescent="0.25">
      <c r="A4091" t="s">
        <v>261</v>
      </c>
      <c r="B4091" t="s">
        <v>12777</v>
      </c>
      <c r="C4091" t="s">
        <v>621</v>
      </c>
      <c r="E4091" t="s">
        <v>2891</v>
      </c>
      <c r="F4091" t="s">
        <v>12719</v>
      </c>
      <c r="G4091" t="s">
        <v>1078</v>
      </c>
    </row>
    <row r="4092" spans="1:7" hidden="1" x14ac:dyDescent="0.25">
      <c r="A4092" t="s">
        <v>261</v>
      </c>
      <c r="B4092" t="s">
        <v>12777</v>
      </c>
      <c r="C4092" t="s">
        <v>621</v>
      </c>
      <c r="E4092" t="s">
        <v>2891</v>
      </c>
      <c r="F4092" t="s">
        <v>12722</v>
      </c>
      <c r="G4092" t="s">
        <v>1078</v>
      </c>
    </row>
    <row r="4093" spans="1:7" hidden="1" x14ac:dyDescent="0.25">
      <c r="A4093" t="s">
        <v>261</v>
      </c>
      <c r="B4093" t="s">
        <v>12777</v>
      </c>
      <c r="C4093" t="s">
        <v>621</v>
      </c>
      <c r="E4093" t="s">
        <v>2891</v>
      </c>
      <c r="F4093" t="s">
        <v>12725</v>
      </c>
      <c r="G4093" t="s">
        <v>1078</v>
      </c>
    </row>
    <row r="4094" spans="1:7" hidden="1" x14ac:dyDescent="0.25">
      <c r="A4094" t="s">
        <v>261</v>
      </c>
      <c r="B4094" t="s">
        <v>12777</v>
      </c>
      <c r="C4094" t="s">
        <v>621</v>
      </c>
      <c r="E4094" t="s">
        <v>2891</v>
      </c>
      <c r="F4094" t="s">
        <v>12728</v>
      </c>
      <c r="G4094" t="s">
        <v>1078</v>
      </c>
    </row>
    <row r="4095" spans="1:7" hidden="1" x14ac:dyDescent="0.25">
      <c r="A4095" t="s">
        <v>4173</v>
      </c>
      <c r="F4095" t="s">
        <v>12731</v>
      </c>
      <c r="G4095" t="s">
        <v>1078</v>
      </c>
    </row>
    <row r="4096" spans="1:7" hidden="1" x14ac:dyDescent="0.25">
      <c r="A4096" t="s">
        <v>622</v>
      </c>
      <c r="B4096" t="s">
        <v>12777</v>
      </c>
      <c r="C4096" t="s">
        <v>621</v>
      </c>
      <c r="F4096" t="s">
        <v>12734</v>
      </c>
      <c r="G4096" t="s">
        <v>1078</v>
      </c>
    </row>
    <row r="4097" spans="1:7" hidden="1" x14ac:dyDescent="0.25">
      <c r="A4097" t="s">
        <v>622</v>
      </c>
      <c r="B4097" t="s">
        <v>12776</v>
      </c>
      <c r="C4097" t="s">
        <v>621</v>
      </c>
      <c r="F4097" t="s">
        <v>12737</v>
      </c>
      <c r="G4097" t="s">
        <v>1078</v>
      </c>
    </row>
    <row r="4098" spans="1:7" hidden="1" x14ac:dyDescent="0.25">
      <c r="A4098" t="s">
        <v>7</v>
      </c>
      <c r="F4098" t="s">
        <v>12740</v>
      </c>
      <c r="G4098" t="s">
        <v>1078</v>
      </c>
    </row>
    <row r="4099" spans="1:7" hidden="1" x14ac:dyDescent="0.25">
      <c r="A4099" t="s">
        <v>1899</v>
      </c>
      <c r="F4099" t="s">
        <v>12743</v>
      </c>
      <c r="G4099" t="s">
        <v>1078</v>
      </c>
    </row>
    <row r="4100" spans="1:7" hidden="1" x14ac:dyDescent="0.25">
      <c r="A4100" t="s">
        <v>4</v>
      </c>
      <c r="B4100" t="s">
        <v>8</v>
      </c>
      <c r="F4100" t="s">
        <v>12746</v>
      </c>
      <c r="G4100" t="s">
        <v>1078</v>
      </c>
    </row>
    <row r="4101" spans="1:7" hidden="1" x14ac:dyDescent="0.25">
      <c r="A4101" t="s">
        <v>12231</v>
      </c>
      <c r="F4101" t="s">
        <v>12749</v>
      </c>
      <c r="G4101" t="s">
        <v>1079</v>
      </c>
    </row>
    <row r="4102" spans="1:7" hidden="1" x14ac:dyDescent="0.25">
      <c r="A4102" t="s">
        <v>7</v>
      </c>
      <c r="F4102" t="s">
        <v>12752</v>
      </c>
      <c r="G4102" t="s">
        <v>1079</v>
      </c>
    </row>
    <row r="4103" spans="1:7" hidden="1" x14ac:dyDescent="0.25">
      <c r="A4103" t="s">
        <v>4</v>
      </c>
      <c r="B4103" t="s">
        <v>8</v>
      </c>
      <c r="F4103" t="s">
        <v>12755</v>
      </c>
      <c r="G4103" t="s">
        <v>1079</v>
      </c>
    </row>
    <row r="4104" spans="1:7" hidden="1" x14ac:dyDescent="0.25">
      <c r="A4104" t="s">
        <v>12</v>
      </c>
      <c r="F4104" t="s">
        <v>12758</v>
      </c>
      <c r="G4104" t="s">
        <v>1897</v>
      </c>
    </row>
    <row r="4105" spans="1:7" hidden="1" x14ac:dyDescent="0.25">
      <c r="A4105" t="s">
        <v>4</v>
      </c>
      <c r="B4105" t="s">
        <v>8</v>
      </c>
      <c r="F4105" t="s">
        <v>12761</v>
      </c>
      <c r="G4105" t="s">
        <v>1897</v>
      </c>
    </row>
    <row r="4106" spans="1:7" hidden="1" x14ac:dyDescent="0.25">
      <c r="A4106" t="s">
        <v>1967</v>
      </c>
      <c r="B4106" t="s">
        <v>8</v>
      </c>
      <c r="F4106" t="s">
        <v>12764</v>
      </c>
      <c r="G4106" t="s">
        <v>1960</v>
      </c>
    </row>
    <row r="4107" spans="1:7" hidden="1" x14ac:dyDescent="0.25">
      <c r="A4107" t="s">
        <v>12231</v>
      </c>
      <c r="F4107" t="s">
        <v>12767</v>
      </c>
      <c r="G4107" t="s">
        <v>12233</v>
      </c>
    </row>
    <row r="4108" spans="1:7" hidden="1" x14ac:dyDescent="0.25">
      <c r="A4108" t="s">
        <v>12231</v>
      </c>
      <c r="F4108" t="s">
        <v>12770</v>
      </c>
      <c r="G4108" t="s">
        <v>12233</v>
      </c>
    </row>
    <row r="4109" spans="1:7" hidden="1" x14ac:dyDescent="0.25">
      <c r="A4109" t="s">
        <v>4</v>
      </c>
      <c r="B4109" t="s">
        <v>8</v>
      </c>
      <c r="F4109" t="s">
        <v>12773</v>
      </c>
      <c r="G4109" t="s">
        <v>12233</v>
      </c>
    </row>
    <row r="4110" spans="1:7" hidden="1" x14ac:dyDescent="0.25">
      <c r="A4110" t="s">
        <v>91</v>
      </c>
      <c r="B4110" t="s">
        <v>13421</v>
      </c>
      <c r="F4110" s="9" t="s">
        <v>12806</v>
      </c>
      <c r="G4110" t="s">
        <v>1074</v>
      </c>
    </row>
    <row r="4111" spans="1:7" hidden="1" x14ac:dyDescent="0.25">
      <c r="A4111" t="s">
        <v>91</v>
      </c>
      <c r="B4111" t="s">
        <v>13420</v>
      </c>
      <c r="C4111" t="s">
        <v>5010</v>
      </c>
      <c r="E4111" t="s">
        <v>13423</v>
      </c>
      <c r="F4111" s="9" t="s">
        <v>12809</v>
      </c>
      <c r="G4111" t="s">
        <v>1074</v>
      </c>
    </row>
    <row r="4112" spans="1:7" hidden="1" x14ac:dyDescent="0.25">
      <c r="A4112" t="s">
        <v>62</v>
      </c>
      <c r="B4112" t="s">
        <v>13421</v>
      </c>
      <c r="C4112" t="s">
        <v>200</v>
      </c>
      <c r="F4112" s="9" t="s">
        <v>12812</v>
      </c>
      <c r="G4112" t="s">
        <v>1074</v>
      </c>
    </row>
    <row r="4113" spans="1:7" hidden="1" x14ac:dyDescent="0.25">
      <c r="A4113" t="s">
        <v>91</v>
      </c>
      <c r="B4113" t="s">
        <v>13422</v>
      </c>
      <c r="C4113" t="s">
        <v>60</v>
      </c>
      <c r="F4113" s="9" t="s">
        <v>12815</v>
      </c>
      <c r="G4113" t="s">
        <v>1074</v>
      </c>
    </row>
    <row r="4114" spans="1:7" hidden="1" x14ac:dyDescent="0.25">
      <c r="A4114" t="s">
        <v>91</v>
      </c>
      <c r="B4114" t="s">
        <v>13420</v>
      </c>
      <c r="C4114" t="s">
        <v>5010</v>
      </c>
      <c r="F4114" s="9" t="s">
        <v>12818</v>
      </c>
      <c r="G4114" t="s">
        <v>1074</v>
      </c>
    </row>
    <row r="4115" spans="1:7" hidden="1" x14ac:dyDescent="0.25">
      <c r="A4115" t="s">
        <v>62</v>
      </c>
      <c r="B4115" t="s">
        <v>13422</v>
      </c>
      <c r="C4115" t="s">
        <v>51</v>
      </c>
      <c r="F4115" s="9" t="s">
        <v>12821</v>
      </c>
      <c r="G4115" t="s">
        <v>1074</v>
      </c>
    </row>
    <row r="4116" spans="1:7" hidden="1" x14ac:dyDescent="0.25">
      <c r="A4116" t="s">
        <v>62</v>
      </c>
      <c r="B4116" t="s">
        <v>13420</v>
      </c>
      <c r="C4116" t="s">
        <v>5010</v>
      </c>
      <c r="F4116" s="9" t="s">
        <v>12824</v>
      </c>
      <c r="G4116" t="s">
        <v>1074</v>
      </c>
    </row>
    <row r="4117" spans="1:7" hidden="1" x14ac:dyDescent="0.25">
      <c r="A4117" t="s">
        <v>62</v>
      </c>
      <c r="B4117" t="s">
        <v>13424</v>
      </c>
      <c r="C4117" t="s">
        <v>58</v>
      </c>
      <c r="D4117">
        <v>3</v>
      </c>
      <c r="E4117" t="s">
        <v>9221</v>
      </c>
      <c r="F4117" s="9" t="s">
        <v>12827</v>
      </c>
      <c r="G4117" t="s">
        <v>1074</v>
      </c>
    </row>
    <row r="4118" spans="1:7" hidden="1" x14ac:dyDescent="0.25">
      <c r="A4118" t="s">
        <v>1967</v>
      </c>
      <c r="B4118" t="s">
        <v>8</v>
      </c>
      <c r="F4118" t="s">
        <v>12834</v>
      </c>
      <c r="G4118" t="s">
        <v>1075</v>
      </c>
    </row>
    <row r="4119" spans="1:7" hidden="1" x14ac:dyDescent="0.25">
      <c r="A4119" t="s">
        <v>1967</v>
      </c>
      <c r="B4119" t="s">
        <v>8</v>
      </c>
      <c r="F4119" t="s">
        <v>12837</v>
      </c>
      <c r="G4119" t="s">
        <v>1075</v>
      </c>
    </row>
    <row r="4120" spans="1:7" x14ac:dyDescent="0.25">
      <c r="A4120" t="s">
        <v>4</v>
      </c>
      <c r="B4120" t="s">
        <v>8691</v>
      </c>
      <c r="F4120" s="9" t="s">
        <v>12830</v>
      </c>
      <c r="G4120" t="s">
        <v>13425</v>
      </c>
    </row>
    <row r="4121" spans="1:7" x14ac:dyDescent="0.25">
      <c r="A4121" t="s">
        <v>4</v>
      </c>
      <c r="B4121" t="s">
        <v>8691</v>
      </c>
      <c r="F4121" s="9" t="s">
        <v>12832</v>
      </c>
      <c r="G4121" t="s">
        <v>13425</v>
      </c>
    </row>
  </sheetData>
  <phoneticPr fontId="2" type="noConversion"/>
  <conditionalFormatting sqref="C2:C11 C14 C16:C18 C23:C24">
    <cfRule type="notContainsText" dxfId="947" priority="612" operator="notContains" text="порожний">
      <formula>ISERROR(SEARCH("порожний",C2))</formula>
    </cfRule>
  </conditionalFormatting>
  <conditionalFormatting sqref="B11 A695 A697:A701 A825 B932 A3437:B3437 B3588:B3600">
    <cfRule type="containsText" dxfId="946" priority="611" operator="containsText" text="Выезд с территории">
      <formula>NOT(ISERROR(SEARCH("Выезд с территории",A11)))</formula>
    </cfRule>
  </conditionalFormatting>
  <conditionalFormatting sqref="C12:C13">
    <cfRule type="notContainsText" dxfId="945" priority="610" operator="notContains" text="порожний">
      <formula>ISERROR(SEARCH("порожний",C12))</formula>
    </cfRule>
  </conditionalFormatting>
  <conditionalFormatting sqref="B12:B14">
    <cfRule type="containsText" dxfId="944" priority="609" operator="containsText" text="Выезд с территории">
      <formula>NOT(ISERROR(SEARCH("Выезд с территории",B12)))</formula>
    </cfRule>
  </conditionalFormatting>
  <conditionalFormatting sqref="C15">
    <cfRule type="notContainsText" dxfId="943" priority="608" operator="notContains" text="порожний">
      <formula>ISERROR(SEARCH("порожний",C15))</formula>
    </cfRule>
  </conditionalFormatting>
  <conditionalFormatting sqref="C19:C22">
    <cfRule type="notContainsText" dxfId="942" priority="607" operator="notContains" text="порожний">
      <formula>ISERROR(SEARCH("порожний",C19))</formula>
    </cfRule>
  </conditionalFormatting>
  <conditionalFormatting sqref="C25">
    <cfRule type="notContainsText" dxfId="941" priority="606" operator="notContains" text="порожний">
      <formula>ISERROR(SEARCH("порожний",C25))</formula>
    </cfRule>
  </conditionalFormatting>
  <conditionalFormatting sqref="C26:C27">
    <cfRule type="notContainsText" dxfId="940" priority="605" operator="notContains" text="порожний">
      <formula>ISERROR(SEARCH("порожний",C26))</formula>
    </cfRule>
  </conditionalFormatting>
  <conditionalFormatting sqref="C29">
    <cfRule type="notContainsText" dxfId="939" priority="604" operator="notContains" text="порожний">
      <formula>ISERROR(SEARCH("порожний",C29))</formula>
    </cfRule>
  </conditionalFormatting>
  <conditionalFormatting sqref="C39">
    <cfRule type="notContainsText" dxfId="938" priority="599" operator="notContains" text="порожний">
      <formula>ISERROR(SEARCH("порожний",C39))</formula>
    </cfRule>
  </conditionalFormatting>
  <conditionalFormatting sqref="C32">
    <cfRule type="notContainsText" dxfId="937" priority="603" operator="notContains" text="порожний">
      <formula>ISERROR(SEARCH("порожний",C32))</formula>
    </cfRule>
  </conditionalFormatting>
  <conditionalFormatting sqref="C34">
    <cfRule type="notContainsText" dxfId="936" priority="602" operator="notContains" text="порожний">
      <formula>ISERROR(SEARCH("порожний",C34))</formula>
    </cfRule>
  </conditionalFormatting>
  <conditionalFormatting sqref="C36">
    <cfRule type="notContainsText" dxfId="935" priority="601" operator="notContains" text="порожний">
      <formula>ISERROR(SEARCH("порожний",C36))</formula>
    </cfRule>
  </conditionalFormatting>
  <conditionalFormatting sqref="C38">
    <cfRule type="notContainsText" dxfId="934" priority="600" operator="notContains" text="порожний">
      <formula>ISERROR(SEARCH("порожний",C38))</formula>
    </cfRule>
  </conditionalFormatting>
  <conditionalFormatting sqref="E147">
    <cfRule type="containsText" dxfId="933" priority="598" operator="containsText" text="Выезд с территории">
      <formula>NOT(ISERROR(SEARCH("Выезд с территории",E147)))</formula>
    </cfRule>
  </conditionalFormatting>
  <conditionalFormatting sqref="C581:C582">
    <cfRule type="notContainsText" dxfId="932" priority="597" operator="notContains" text="порожний">
      <formula>ISERROR(SEARCH("порожний",C581))</formula>
    </cfRule>
  </conditionalFormatting>
  <conditionalFormatting sqref="C586">
    <cfRule type="notContainsText" dxfId="931" priority="596" operator="notContains" text="порожний">
      <formula>ISERROR(SEARCH("порожний",C586))</formula>
    </cfRule>
  </conditionalFormatting>
  <conditionalFormatting sqref="B609">
    <cfRule type="containsText" dxfId="930" priority="595" operator="containsText" text="Выезд с территории">
      <formula>NOT(ISERROR(SEARCH("Выезд с территории",B609)))</formula>
    </cfRule>
  </conditionalFormatting>
  <conditionalFormatting sqref="B609 B932 B3437 B3588:B3600">
    <cfRule type="containsText" dxfId="929" priority="593" operator="containsText" text="Газель базы">
      <formula>NOT(ISERROR(SEARCH("Газель базы",B609)))</formula>
    </cfRule>
    <cfRule type="containsText" dxfId="928" priority="594" operator="containsText" text="Погрузчик базы">
      <formula>NOT(ISERROR(SEARCH("Погрузчик базы",B609)))</formula>
    </cfRule>
  </conditionalFormatting>
  <conditionalFormatting sqref="B609 B932 B3437 B3588:B3600">
    <cfRule type="containsText" dxfId="927" priority="592" operator="containsText" text="Трактор базы">
      <formula>NOT(ISERROR(SEARCH("Трактор базы",B609)))</formula>
    </cfRule>
  </conditionalFormatting>
  <conditionalFormatting sqref="B614">
    <cfRule type="containsText" dxfId="926" priority="588" operator="containsText" text="Трактор базы">
      <formula>NOT(ISERROR(SEARCH("Трактор базы",B614)))</formula>
    </cfRule>
  </conditionalFormatting>
  <conditionalFormatting sqref="B614">
    <cfRule type="containsText" dxfId="925" priority="591" operator="containsText" text="Выезд с территории">
      <formula>NOT(ISERROR(SEARCH("Выезд с территории",B614)))</formula>
    </cfRule>
  </conditionalFormatting>
  <conditionalFormatting sqref="B614">
    <cfRule type="containsText" dxfId="924" priority="589" operator="containsText" text="Газель базы">
      <formula>NOT(ISERROR(SEARCH("Газель базы",B614)))</formula>
    </cfRule>
    <cfRule type="containsText" dxfId="923" priority="590" operator="containsText" text="Погрузчик базы">
      <formula>NOT(ISERROR(SEARCH("Погрузчик базы",B614)))</formula>
    </cfRule>
  </conditionalFormatting>
  <conditionalFormatting sqref="C649">
    <cfRule type="notContainsText" dxfId="922" priority="587" operator="notContains" text="порожний">
      <formula>ISERROR(SEARCH("порожний",C649))</formula>
    </cfRule>
  </conditionalFormatting>
  <conditionalFormatting sqref="C655">
    <cfRule type="notContainsText" dxfId="921" priority="584" operator="notContains" text="порожний">
      <formula>ISERROR(SEARCH("порожний",C655))</formula>
    </cfRule>
  </conditionalFormatting>
  <conditionalFormatting sqref="C650">
    <cfRule type="notContainsText" dxfId="920" priority="586" operator="notContains" text="порожний">
      <formula>ISERROR(SEARCH("порожний",C650))</formula>
    </cfRule>
  </conditionalFormatting>
  <conditionalFormatting sqref="C654">
    <cfRule type="notContainsText" dxfId="919" priority="585" operator="notContains" text="порожний">
      <formula>ISERROR(SEARCH("порожний",C654))</formula>
    </cfRule>
  </conditionalFormatting>
  <conditionalFormatting sqref="A663:A666 A668:A670 A695 A697:A701 A825 A3437">
    <cfRule type="containsText" dxfId="918" priority="581" operator="containsText" text="Выезд со второстепенной дороги">
      <formula>NOT(ISERROR(SEARCH("Выезд со второстепенной дороги",A663)))</formula>
    </cfRule>
  </conditionalFormatting>
  <conditionalFormatting sqref="A663:A666 A668:A670">
    <cfRule type="containsText" dxfId="917" priority="583" operator="containsText" text="Выезд с территории">
      <formula>NOT(ISERROR(SEARCH("Выезд с территории",A663)))</formula>
    </cfRule>
  </conditionalFormatting>
  <conditionalFormatting sqref="A663:A666 A668:A670 A695 A697:A701 A825 A3437">
    <cfRule type="containsText" dxfId="916" priority="582" operator="containsText" text="Въезд на второстепенную дорогу">
      <formula>NOT(ISERROR(SEARCH("Въезд на второстепенную дорогу",A663)))</formula>
    </cfRule>
  </conditionalFormatting>
  <conditionalFormatting sqref="A671 A679:A680">
    <cfRule type="containsText" dxfId="915" priority="578" operator="containsText" text="Выезд со второстепенной дороги">
      <formula>NOT(ISERROR(SEARCH("Выезд со второстепенной дороги",A671)))</formula>
    </cfRule>
  </conditionalFormatting>
  <conditionalFormatting sqref="A671 A679:A680">
    <cfRule type="containsText" dxfId="914" priority="580" operator="containsText" text="Выезд с территории">
      <formula>NOT(ISERROR(SEARCH("Выезд с территории",A671)))</formula>
    </cfRule>
  </conditionalFormatting>
  <conditionalFormatting sqref="A671 A679:A680">
    <cfRule type="containsText" dxfId="913" priority="579" operator="containsText" text="Въезд на второстепенную дорогу">
      <formula>NOT(ISERROR(SEARCH("Въезд на второстепенную дорогу",A671)))</formula>
    </cfRule>
  </conditionalFormatting>
  <conditionalFormatting sqref="A684:A687">
    <cfRule type="containsText" dxfId="912" priority="568" operator="containsText" text="Выезд со второстепенной дороги">
      <formula>NOT(ISERROR(SEARCH("Выезд со второстепенной дороги",A684)))</formula>
    </cfRule>
  </conditionalFormatting>
  <conditionalFormatting sqref="A681">
    <cfRule type="containsText" dxfId="911" priority="577" operator="containsText" text="Выезд с территории">
      <formula>NOT(ISERROR(SEARCH("Выезд с территории",A681)))</formula>
    </cfRule>
  </conditionalFormatting>
  <conditionalFormatting sqref="A681">
    <cfRule type="containsText" dxfId="910" priority="576" operator="containsText" text="Въезд на второстепенную дорогу">
      <formula>NOT(ISERROR(SEARCH("Въезд на второстепенную дорогу",A681)))</formula>
    </cfRule>
  </conditionalFormatting>
  <conditionalFormatting sqref="A681">
    <cfRule type="containsText" dxfId="909" priority="575" operator="containsText" text="Выезд со второстепенной дороги">
      <formula>NOT(ISERROR(SEARCH("Выезд со второстепенной дороги",A681)))</formula>
    </cfRule>
  </conditionalFormatting>
  <conditionalFormatting sqref="B682">
    <cfRule type="containsText" dxfId="908" priority="571" operator="containsText" text="Трактор базы">
      <formula>NOT(ISERROR(SEARCH("Трактор базы",B682)))</formula>
    </cfRule>
  </conditionalFormatting>
  <conditionalFormatting sqref="B682">
    <cfRule type="containsText" dxfId="907" priority="574" operator="containsText" text="Выезд с территории">
      <formula>NOT(ISERROR(SEARCH("Выезд с территории",B682)))</formula>
    </cfRule>
  </conditionalFormatting>
  <conditionalFormatting sqref="B682">
    <cfRule type="containsText" dxfId="906" priority="572" operator="containsText" text="Газель базы">
      <formula>NOT(ISERROR(SEARCH("Газель базы",B682)))</formula>
    </cfRule>
    <cfRule type="containsText" dxfId="905" priority="573" operator="containsText" text="Погрузчик базы">
      <formula>NOT(ISERROR(SEARCH("Погрузчик базы",B682)))</formula>
    </cfRule>
  </conditionalFormatting>
  <conditionalFormatting sqref="A684:A687">
    <cfRule type="containsText" dxfId="904" priority="570" operator="containsText" text="Выезд с территории">
      <formula>NOT(ISERROR(SEARCH("Выезд с территории",A684)))</formula>
    </cfRule>
  </conditionalFormatting>
  <conditionalFormatting sqref="A684:A687">
    <cfRule type="containsText" dxfId="903" priority="569" operator="containsText" text="Въезд на второстепенную дорогу">
      <formula>NOT(ISERROR(SEARCH("Въезд на второстепенную дорогу",A684)))</formula>
    </cfRule>
  </conditionalFormatting>
  <conditionalFormatting sqref="A726:A727">
    <cfRule type="containsText" dxfId="902" priority="559" operator="containsText" text="Выезд со второстепенной дороги">
      <formula>NOT(ISERROR(SEARCH("Выезд со второстепенной дороги",A726)))</formula>
    </cfRule>
  </conditionalFormatting>
  <conditionalFormatting sqref="A726:A727">
    <cfRule type="containsText" dxfId="901" priority="561" operator="containsText" text="Выезд с территории">
      <formula>NOT(ISERROR(SEARCH("Выезд с территории",A726)))</formula>
    </cfRule>
  </conditionalFormatting>
  <conditionalFormatting sqref="A726:A727">
    <cfRule type="containsText" dxfId="900" priority="560" operator="containsText" text="Въезд на второстепенную дорогу">
      <formula>NOT(ISERROR(SEARCH("Въезд на второстепенную дорогу",A726)))</formula>
    </cfRule>
  </conditionalFormatting>
  <conditionalFormatting sqref="A824">
    <cfRule type="containsText" dxfId="899" priority="556" operator="containsText" text="Выезд со второстепенной дороги">
      <formula>NOT(ISERROR(SEARCH("Выезд со второстепенной дороги",A824)))</formula>
    </cfRule>
  </conditionalFormatting>
  <conditionalFormatting sqref="A824">
    <cfRule type="containsText" dxfId="898" priority="558" operator="containsText" text="Выезд с территории">
      <formula>NOT(ISERROR(SEARCH("Выезд с территории",A824)))</formula>
    </cfRule>
  </conditionalFormatting>
  <conditionalFormatting sqref="A824">
    <cfRule type="containsText" dxfId="897" priority="557" operator="containsText" text="Въезд на второстепенную дорогу">
      <formula>NOT(ISERROR(SEARCH("Въезд на второстепенную дорогу",A824)))</formula>
    </cfRule>
  </conditionalFormatting>
  <conditionalFormatting sqref="B846:B850">
    <cfRule type="containsText" dxfId="896" priority="552" operator="containsText" text="Выезд с территории">
      <formula>NOT(ISERROR(SEARCH("Выезд с территории",B846)))</formula>
    </cfRule>
  </conditionalFormatting>
  <conditionalFormatting sqref="B846:B850">
    <cfRule type="containsText" dxfId="895" priority="550" operator="containsText" text="Газель базы">
      <formula>NOT(ISERROR(SEARCH("Газель базы",B846)))</formula>
    </cfRule>
    <cfRule type="containsText" dxfId="894" priority="551" operator="containsText" text="Погрузчик базы">
      <formula>NOT(ISERROR(SEARCH("Погрузчик базы",B846)))</formula>
    </cfRule>
  </conditionalFormatting>
  <conditionalFormatting sqref="B846:B850">
    <cfRule type="containsText" dxfId="893" priority="549" operator="containsText" text="Трактор базы">
      <formula>NOT(ISERROR(SEARCH("Трактор базы",B846)))</formula>
    </cfRule>
  </conditionalFormatting>
  <conditionalFormatting sqref="A916:A917">
    <cfRule type="containsText" dxfId="892" priority="543" operator="containsText" text="Выезд со второстепенной дороги">
      <formula>NOT(ISERROR(SEARCH("Выезд со второстепенной дороги",A916)))</formula>
    </cfRule>
  </conditionalFormatting>
  <conditionalFormatting sqref="A916:B917">
    <cfRule type="containsText" dxfId="891" priority="548" operator="containsText" text="Выезд с территории">
      <formula>NOT(ISERROR(SEARCH("Выезд с территории",A916)))</formula>
    </cfRule>
  </conditionalFormatting>
  <conditionalFormatting sqref="B916:B917">
    <cfRule type="containsText" dxfId="890" priority="546" operator="containsText" text="Газель базы">
      <formula>NOT(ISERROR(SEARCH("Газель базы",B916)))</formula>
    </cfRule>
    <cfRule type="containsText" dxfId="889" priority="547" operator="containsText" text="Погрузчик базы">
      <formula>NOT(ISERROR(SEARCH("Погрузчик базы",B916)))</formula>
    </cfRule>
  </conditionalFormatting>
  <conditionalFormatting sqref="B916:B917">
    <cfRule type="containsText" dxfId="888" priority="545" operator="containsText" text="Трактор базы">
      <formula>NOT(ISERROR(SEARCH("Трактор базы",B916)))</formula>
    </cfRule>
  </conditionalFormatting>
  <conditionalFormatting sqref="A916:A917">
    <cfRule type="containsText" dxfId="887" priority="544" operator="containsText" text="Въезд на второстепенную дорогу">
      <formula>NOT(ISERROR(SEARCH("Въезд на второстепенную дорогу",A916)))</formula>
    </cfRule>
  </conditionalFormatting>
  <conditionalFormatting sqref="E916">
    <cfRule type="containsText" dxfId="886" priority="542" operator="containsText" text="Выезд с территории">
      <formula>NOT(ISERROR(SEARCH("Выезд с территории",E916)))</formula>
    </cfRule>
  </conditionalFormatting>
  <conditionalFormatting sqref="A932">
    <cfRule type="containsText" dxfId="885" priority="519" operator="containsText" text="Выезд со второстепенной дороги">
      <formula>NOT(ISERROR(SEARCH("Выезд со второстепенной дороги",A932)))</formula>
    </cfRule>
  </conditionalFormatting>
  <conditionalFormatting sqref="A918:B918 B919:B924">
    <cfRule type="containsText" dxfId="884" priority="541" operator="containsText" text="Выезд с территории">
      <formula>NOT(ISERROR(SEARCH("Выезд с территории",A918)))</formula>
    </cfRule>
  </conditionalFormatting>
  <conditionalFormatting sqref="B918:B924">
    <cfRule type="containsText" dxfId="883" priority="539" operator="containsText" text="Газель базы">
      <formula>NOT(ISERROR(SEARCH("Газель базы",B918)))</formula>
    </cfRule>
    <cfRule type="containsText" dxfId="882" priority="540" operator="containsText" text="Погрузчик базы">
      <formula>NOT(ISERROR(SEARCH("Погрузчик базы",B918)))</formula>
    </cfRule>
  </conditionalFormatting>
  <conditionalFormatting sqref="B918:B924">
    <cfRule type="containsText" dxfId="881" priority="538" operator="containsText" text="Трактор базы">
      <formula>NOT(ISERROR(SEARCH("Трактор базы",B918)))</formula>
    </cfRule>
  </conditionalFormatting>
  <conditionalFormatting sqref="A918">
    <cfRule type="containsText" dxfId="880" priority="537" operator="containsText" text="Въезд на второстепенную дорогу">
      <formula>NOT(ISERROR(SEARCH("Въезд на второстепенную дорогу",A918)))</formula>
    </cfRule>
  </conditionalFormatting>
  <conditionalFormatting sqref="A918">
    <cfRule type="containsText" dxfId="879" priority="536" operator="containsText" text="Выезд со второстепенной дороги">
      <formula>NOT(ISERROR(SEARCH("Выезд со второстепенной дороги",A918)))</formula>
    </cfRule>
  </conditionalFormatting>
  <conditionalFormatting sqref="A926:A928">
    <cfRule type="containsText" dxfId="878" priority="530" operator="containsText" text="Выезд со второстепенной дороги">
      <formula>NOT(ISERROR(SEARCH("Выезд со второстепенной дороги",A926)))</formula>
    </cfRule>
  </conditionalFormatting>
  <conditionalFormatting sqref="A926:B928">
    <cfRule type="containsText" dxfId="877" priority="535" operator="containsText" text="Выезд с территории">
      <formula>NOT(ISERROR(SEARCH("Выезд с территории",A926)))</formula>
    </cfRule>
  </conditionalFormatting>
  <conditionalFormatting sqref="B926:B928">
    <cfRule type="containsText" dxfId="876" priority="533" operator="containsText" text="Газель базы">
      <formula>NOT(ISERROR(SEARCH("Газель базы",B926)))</formula>
    </cfRule>
    <cfRule type="containsText" dxfId="875" priority="534" operator="containsText" text="Погрузчик базы">
      <formula>NOT(ISERROR(SEARCH("Погрузчик базы",B926)))</formula>
    </cfRule>
  </conditionalFormatting>
  <conditionalFormatting sqref="B926:B928">
    <cfRule type="containsText" dxfId="874" priority="532" operator="containsText" text="Трактор базы">
      <formula>NOT(ISERROR(SEARCH("Трактор базы",B926)))</formula>
    </cfRule>
  </conditionalFormatting>
  <conditionalFormatting sqref="A926:A928">
    <cfRule type="containsText" dxfId="873" priority="531" operator="containsText" text="Въезд на второстепенную дорогу">
      <formula>NOT(ISERROR(SEARCH("Въезд на второстепенную дорогу",A926)))</formula>
    </cfRule>
  </conditionalFormatting>
  <conditionalFormatting sqref="E926:E928">
    <cfRule type="containsText" dxfId="872" priority="529" operator="containsText" text="Выезд с территории">
      <formula>NOT(ISERROR(SEARCH("Выезд с территории",E926)))</formula>
    </cfRule>
  </conditionalFormatting>
  <conditionalFormatting sqref="A930">
    <cfRule type="containsText" dxfId="871" priority="523" operator="containsText" text="Выезд со второстепенной дороги">
      <formula>NOT(ISERROR(SEARCH("Выезд со второстепенной дороги",A930)))</formula>
    </cfRule>
  </conditionalFormatting>
  <conditionalFormatting sqref="A930:B930">
    <cfRule type="containsText" dxfId="870" priority="528" operator="containsText" text="Выезд с территории">
      <formula>NOT(ISERROR(SEARCH("Выезд с территории",A930)))</formula>
    </cfRule>
  </conditionalFormatting>
  <conditionalFormatting sqref="B930">
    <cfRule type="containsText" dxfId="869" priority="526" operator="containsText" text="Газель базы">
      <formula>NOT(ISERROR(SEARCH("Газель базы",B930)))</formula>
    </cfRule>
    <cfRule type="containsText" dxfId="868" priority="527" operator="containsText" text="Погрузчик базы">
      <formula>NOT(ISERROR(SEARCH("Погрузчик базы",B930)))</formula>
    </cfRule>
  </conditionalFormatting>
  <conditionalFormatting sqref="B930">
    <cfRule type="containsText" dxfId="867" priority="525" operator="containsText" text="Трактор базы">
      <formula>NOT(ISERROR(SEARCH("Трактор базы",B930)))</formula>
    </cfRule>
  </conditionalFormatting>
  <conditionalFormatting sqref="A930">
    <cfRule type="containsText" dxfId="866" priority="524" operator="containsText" text="Въезд на второстепенную дорогу">
      <formula>NOT(ISERROR(SEARCH("Въезд на второстепенную дорогу",A930)))</formula>
    </cfRule>
  </conditionalFormatting>
  <conditionalFormatting sqref="E930">
    <cfRule type="containsText" dxfId="865" priority="522" operator="containsText" text="Выезд с территории">
      <formula>NOT(ISERROR(SEARCH("Выезд с территории",E930)))</formula>
    </cfRule>
  </conditionalFormatting>
  <conditionalFormatting sqref="A932">
    <cfRule type="containsText" dxfId="864" priority="521" operator="containsText" text="Выезд с территории">
      <formula>NOT(ISERROR(SEARCH("Выезд с территории",A932)))</formula>
    </cfRule>
  </conditionalFormatting>
  <conditionalFormatting sqref="A932">
    <cfRule type="containsText" dxfId="863" priority="520" operator="containsText" text="Въезд на второстепенную дорогу">
      <formula>NOT(ISERROR(SEARCH("Въезд на второстепенную дорогу",A932)))</formula>
    </cfRule>
  </conditionalFormatting>
  <conditionalFormatting sqref="A937:A938">
    <cfRule type="containsText" dxfId="862" priority="516" operator="containsText" text="Выезд со второстепенной дороги">
      <formula>NOT(ISERROR(SEARCH("Выезд со второстепенной дороги",A937)))</formula>
    </cfRule>
  </conditionalFormatting>
  <conditionalFormatting sqref="A937:A938">
    <cfRule type="containsText" dxfId="861" priority="518" operator="containsText" text="Выезд с территории">
      <formula>NOT(ISERROR(SEARCH("Выезд с территории",A937)))</formula>
    </cfRule>
  </conditionalFormatting>
  <conditionalFormatting sqref="A937:A938">
    <cfRule type="containsText" dxfId="860" priority="517" operator="containsText" text="Въезд на второстепенную дорогу">
      <formula>NOT(ISERROR(SEARCH("Въезд на второстепенную дорогу",A937)))</formula>
    </cfRule>
  </conditionalFormatting>
  <conditionalFormatting sqref="A954:B956">
    <cfRule type="containsText" dxfId="859" priority="515" operator="containsText" text="Выезд с территории">
      <formula>NOT(ISERROR(SEARCH("Выезд с территории",A954)))</formula>
    </cfRule>
  </conditionalFormatting>
  <conditionalFormatting sqref="C954:C956">
    <cfRule type="notContainsText" dxfId="858" priority="514" operator="notContains" text="порожний">
      <formula>ISERROR(SEARCH("порожний",C954))</formula>
    </cfRule>
  </conditionalFormatting>
  <conditionalFormatting sqref="B954:B956">
    <cfRule type="containsText" dxfId="857" priority="512" operator="containsText" text="Газель базы">
      <formula>NOT(ISERROR(SEARCH("Газель базы",B954)))</formula>
    </cfRule>
    <cfRule type="containsText" dxfId="856" priority="513" operator="containsText" text="Погрузчик базы">
      <formula>NOT(ISERROR(SEARCH("Погрузчик базы",B954)))</formula>
    </cfRule>
  </conditionalFormatting>
  <conditionalFormatting sqref="B954:B956">
    <cfRule type="containsText" dxfId="855" priority="511" operator="containsText" text="Трактор базы">
      <formula>NOT(ISERROR(SEARCH("Трактор базы",B954)))</formula>
    </cfRule>
  </conditionalFormatting>
  <conditionalFormatting sqref="A954:A956">
    <cfRule type="containsText" dxfId="854" priority="510" operator="containsText" text="Въезд на второстепенную дорогу">
      <formula>NOT(ISERROR(SEARCH("Въезд на второстепенную дорогу",A954)))</formula>
    </cfRule>
  </conditionalFormatting>
  <conditionalFormatting sqref="A954:A956">
    <cfRule type="containsText" dxfId="853" priority="509" operator="containsText" text="Выезд со второстепенной дороги">
      <formula>NOT(ISERROR(SEARCH("Выезд со второстепенной дороги",A954)))</formula>
    </cfRule>
  </conditionalFormatting>
  <conditionalFormatting sqref="C995:C996">
    <cfRule type="notContainsText" dxfId="852" priority="507" operator="notContains" text="порожний">
      <formula>ISERROR(SEARCH("порожний",C995))</formula>
    </cfRule>
  </conditionalFormatting>
  <conditionalFormatting sqref="C987">
    <cfRule type="notContainsText" dxfId="851" priority="508" operator="notContains" text="порожний">
      <formula>ISERROR(SEARCH("порожний",C987))</formula>
    </cfRule>
  </conditionalFormatting>
  <conditionalFormatting sqref="B999">
    <cfRule type="containsText" dxfId="850" priority="506" operator="containsText" text="Выезд с территории">
      <formula>NOT(ISERROR(SEARCH("Выезд с территории",B999)))</formula>
    </cfRule>
  </conditionalFormatting>
  <conditionalFormatting sqref="B999">
    <cfRule type="containsText" dxfId="849" priority="504" operator="containsText" text="Газель базы">
      <formula>NOT(ISERROR(SEARCH("Газель базы",B999)))</formula>
    </cfRule>
    <cfRule type="containsText" dxfId="848" priority="505" operator="containsText" text="Погрузчик базы">
      <formula>NOT(ISERROR(SEARCH("Погрузчик базы",B999)))</formula>
    </cfRule>
  </conditionalFormatting>
  <conditionalFormatting sqref="B999">
    <cfRule type="containsText" dxfId="847" priority="503" operator="containsText" text="Трактор базы">
      <formula>NOT(ISERROR(SEARCH("Трактор базы",B999)))</formula>
    </cfRule>
  </conditionalFormatting>
  <conditionalFormatting sqref="B1019:B1022">
    <cfRule type="containsText" dxfId="846" priority="499" operator="containsText" text="Трактор базы">
      <formula>NOT(ISERROR(SEARCH("Трактор базы",B1019)))</formula>
    </cfRule>
  </conditionalFormatting>
  <conditionalFormatting sqref="B1019:B1022">
    <cfRule type="containsText" dxfId="845" priority="502" operator="containsText" text="Выезд с территории">
      <formula>NOT(ISERROR(SEARCH("Выезд с территории",B1019)))</formula>
    </cfRule>
  </conditionalFormatting>
  <conditionalFormatting sqref="B1019:B1022">
    <cfRule type="containsText" dxfId="844" priority="500" operator="containsText" text="Газель базы">
      <formula>NOT(ISERROR(SEARCH("Газель базы",B1019)))</formula>
    </cfRule>
    <cfRule type="containsText" dxfId="843" priority="501" operator="containsText" text="Погрузчик базы">
      <formula>NOT(ISERROR(SEARCH("Погрузчик базы",B1019)))</formula>
    </cfRule>
  </conditionalFormatting>
  <conditionalFormatting sqref="C966">
    <cfRule type="notContainsText" dxfId="842" priority="498" operator="notContains" text="порожний">
      <formula>ISERROR(SEARCH("порожний",C966))</formula>
    </cfRule>
  </conditionalFormatting>
  <conditionalFormatting sqref="A1029">
    <cfRule type="containsText" dxfId="841" priority="495" operator="containsText" text="Выезд со второстепенной дороги">
      <formula>NOT(ISERROR(SEARCH("Выезд со второстепенной дороги",A1029)))</formula>
    </cfRule>
  </conditionalFormatting>
  <conditionalFormatting sqref="A1029">
    <cfRule type="containsText" dxfId="840" priority="497" operator="containsText" text="Выезд с территории">
      <formula>NOT(ISERROR(SEARCH("Выезд с территории",A1029)))</formula>
    </cfRule>
  </conditionalFormatting>
  <conditionalFormatting sqref="A1029">
    <cfRule type="containsText" dxfId="839" priority="496" operator="containsText" text="Въезд на второстепенную дорогу">
      <formula>NOT(ISERROR(SEARCH("Въезд на второстепенную дорогу",A1029)))</formula>
    </cfRule>
  </conditionalFormatting>
  <conditionalFormatting sqref="B1030">
    <cfRule type="containsText" dxfId="838" priority="494" operator="containsText" text="Выезд с территории">
      <formula>NOT(ISERROR(SEARCH("Выезд с территории",B1030)))</formula>
    </cfRule>
  </conditionalFormatting>
  <conditionalFormatting sqref="B1030">
    <cfRule type="containsText" dxfId="837" priority="492" operator="containsText" text="Газель базы">
      <formula>NOT(ISERROR(SEARCH("Газель базы",B1030)))</formula>
    </cfRule>
    <cfRule type="containsText" dxfId="836" priority="493" operator="containsText" text="Погрузчик базы">
      <formula>NOT(ISERROR(SEARCH("Погрузчик базы",B1030)))</formula>
    </cfRule>
  </conditionalFormatting>
  <conditionalFormatting sqref="B1030">
    <cfRule type="containsText" dxfId="835" priority="491" operator="containsText" text="Трактор базы">
      <formula>NOT(ISERROR(SEARCH("Трактор базы",B1030)))</formula>
    </cfRule>
  </conditionalFormatting>
  <conditionalFormatting sqref="A1035">
    <cfRule type="containsText" dxfId="834" priority="485" operator="containsText" text="Выезд со второстепенной дороги">
      <formula>NOT(ISERROR(SEARCH("Выезд со второстепенной дороги",A1035)))</formula>
    </cfRule>
  </conditionalFormatting>
  <conditionalFormatting sqref="A1033">
    <cfRule type="containsText" dxfId="833" priority="488" operator="containsText" text="Выезд со второстепенной дороги">
      <formula>NOT(ISERROR(SEARCH("Выезд со второстепенной дороги",A1033)))</formula>
    </cfRule>
  </conditionalFormatting>
  <conditionalFormatting sqref="A1033">
    <cfRule type="containsText" dxfId="832" priority="490" operator="containsText" text="Выезд с территории">
      <formula>NOT(ISERROR(SEARCH("Выезд с территории",A1033)))</formula>
    </cfRule>
  </conditionalFormatting>
  <conditionalFormatting sqref="A1033">
    <cfRule type="containsText" dxfId="831" priority="489" operator="containsText" text="Въезд на второстепенную дорогу">
      <formula>NOT(ISERROR(SEARCH("Въезд на второстепенную дорогу",A1033)))</formula>
    </cfRule>
  </conditionalFormatting>
  <conditionalFormatting sqref="A1035">
    <cfRule type="containsText" dxfId="830" priority="487" operator="containsText" text="Выезд с территории">
      <formula>NOT(ISERROR(SEARCH("Выезд с территории",A1035)))</formula>
    </cfRule>
  </conditionalFormatting>
  <conditionalFormatting sqref="A1035">
    <cfRule type="containsText" dxfId="829" priority="486" operator="containsText" text="Въезд на второстепенную дорогу">
      <formula>NOT(ISERROR(SEARCH("Въезд на второстепенную дорогу",A1035)))</formula>
    </cfRule>
  </conditionalFormatting>
  <conditionalFormatting sqref="B1138:B1161">
    <cfRule type="containsText" dxfId="828" priority="484" operator="containsText" text="Выезд с территории">
      <formula>NOT(ISERROR(SEARCH("Выезд с территории",B1138)))</formula>
    </cfRule>
  </conditionalFormatting>
  <conditionalFormatting sqref="B1138:B1161">
    <cfRule type="containsText" dxfId="827" priority="482" operator="containsText" text="Газель базы">
      <formula>NOT(ISERROR(SEARCH("Газель базы",B1138)))</formula>
    </cfRule>
    <cfRule type="containsText" dxfId="826" priority="483" operator="containsText" text="Погрузчик базы">
      <formula>NOT(ISERROR(SEARCH("Погрузчик базы",B1138)))</formula>
    </cfRule>
  </conditionalFormatting>
  <conditionalFormatting sqref="B1138:B1161">
    <cfRule type="containsText" dxfId="825" priority="481" operator="containsText" text="Трактор базы">
      <formula>NOT(ISERROR(SEARCH("Трактор базы",B1138)))</formula>
    </cfRule>
  </conditionalFormatting>
  <conditionalFormatting sqref="B1258:B1262">
    <cfRule type="containsText" dxfId="824" priority="465" operator="containsText" text="Трактор базы">
      <formula>NOT(ISERROR(SEARCH("Трактор базы",B1258)))</formula>
    </cfRule>
  </conditionalFormatting>
  <conditionalFormatting sqref="B1244:B1252">
    <cfRule type="containsText" dxfId="823" priority="480" operator="containsText" text="Выезд с территории">
      <formula>NOT(ISERROR(SEARCH("Выезд с территории",B1244)))</formula>
    </cfRule>
  </conditionalFormatting>
  <conditionalFormatting sqref="B1244:B1252">
    <cfRule type="containsText" dxfId="822" priority="478" operator="containsText" text="Газель базы">
      <formula>NOT(ISERROR(SEARCH("Газель базы",B1244)))</formula>
    </cfRule>
    <cfRule type="containsText" dxfId="821" priority="479" operator="containsText" text="Погрузчик базы">
      <formula>NOT(ISERROR(SEARCH("Погрузчик базы",B1244)))</formula>
    </cfRule>
  </conditionalFormatting>
  <conditionalFormatting sqref="B1244:B1252">
    <cfRule type="containsText" dxfId="820" priority="477" operator="containsText" text="Трактор базы">
      <formula>NOT(ISERROR(SEARCH("Трактор базы",B1244)))</formula>
    </cfRule>
  </conditionalFormatting>
  <conditionalFormatting sqref="B1253:B1256">
    <cfRule type="containsText" dxfId="819" priority="476" operator="containsText" text="Выезд с территории">
      <formula>NOT(ISERROR(SEARCH("Выезд с территории",B1253)))</formula>
    </cfRule>
  </conditionalFormatting>
  <conditionalFormatting sqref="B1253:B1256">
    <cfRule type="containsText" dxfId="818" priority="474" operator="containsText" text="Газель базы">
      <formula>NOT(ISERROR(SEARCH("Газель базы",B1253)))</formula>
    </cfRule>
    <cfRule type="containsText" dxfId="817" priority="475" operator="containsText" text="Погрузчик базы">
      <formula>NOT(ISERROR(SEARCH("Погрузчик базы",B1253)))</formula>
    </cfRule>
  </conditionalFormatting>
  <conditionalFormatting sqref="B1253:B1256">
    <cfRule type="containsText" dxfId="816" priority="473" operator="containsText" text="Трактор базы">
      <formula>NOT(ISERROR(SEARCH("Трактор базы",B1253)))</formula>
    </cfRule>
  </conditionalFormatting>
  <conditionalFormatting sqref="B1257">
    <cfRule type="containsText" dxfId="815" priority="472" operator="containsText" text="Выезд с территории">
      <formula>NOT(ISERROR(SEARCH("Выезд с территории",B1257)))</formula>
    </cfRule>
  </conditionalFormatting>
  <conditionalFormatting sqref="B1257">
    <cfRule type="containsText" dxfId="814" priority="470" operator="containsText" text="Газель базы">
      <formula>NOT(ISERROR(SEARCH("Газель базы",B1257)))</formula>
    </cfRule>
    <cfRule type="containsText" dxfId="813" priority="471" operator="containsText" text="Погрузчик базы">
      <formula>NOT(ISERROR(SEARCH("Погрузчик базы",B1257)))</formula>
    </cfRule>
  </conditionalFormatting>
  <conditionalFormatting sqref="B1257">
    <cfRule type="containsText" dxfId="812" priority="469" operator="containsText" text="Трактор базы">
      <formula>NOT(ISERROR(SEARCH("Трактор базы",B1257)))</formula>
    </cfRule>
  </conditionalFormatting>
  <conditionalFormatting sqref="B1258:B1262">
    <cfRule type="containsText" dxfId="811" priority="468" operator="containsText" text="Выезд с территории">
      <formula>NOT(ISERROR(SEARCH("Выезд с территории",B1258)))</formula>
    </cfRule>
  </conditionalFormatting>
  <conditionalFormatting sqref="B1258:B1262">
    <cfRule type="containsText" dxfId="810" priority="466" operator="containsText" text="Газель базы">
      <formula>NOT(ISERROR(SEARCH("Газель базы",B1258)))</formula>
    </cfRule>
    <cfRule type="containsText" dxfId="809" priority="467" operator="containsText" text="Погрузчик базы">
      <formula>NOT(ISERROR(SEARCH("Погрузчик базы",B1258)))</formula>
    </cfRule>
  </conditionalFormatting>
  <conditionalFormatting sqref="B1281:B1287">
    <cfRule type="containsText" dxfId="808" priority="464" operator="containsText" text="Выезд с территории">
      <formula>NOT(ISERROR(SEARCH("Выезд с территории",B1281)))</formula>
    </cfRule>
  </conditionalFormatting>
  <conditionalFormatting sqref="B1281:B1287">
    <cfRule type="containsText" dxfId="807" priority="462" operator="containsText" text="Газель базы">
      <formula>NOT(ISERROR(SEARCH("Газель базы",B1281)))</formula>
    </cfRule>
    <cfRule type="containsText" dxfId="806" priority="463" operator="containsText" text="Погрузчик базы">
      <formula>NOT(ISERROR(SEARCH("Погрузчик базы",B1281)))</formula>
    </cfRule>
  </conditionalFormatting>
  <conditionalFormatting sqref="B1281:B1287">
    <cfRule type="containsText" dxfId="805" priority="461" operator="containsText" text="Трактор базы">
      <formula>NOT(ISERROR(SEARCH("Трактор базы",B1281)))</formula>
    </cfRule>
  </conditionalFormatting>
  <conditionalFormatting sqref="B1296">
    <cfRule type="containsText" dxfId="804" priority="457" operator="containsText" text="Трактор базы">
      <formula>NOT(ISERROR(SEARCH("Трактор базы",B1296)))</formula>
    </cfRule>
  </conditionalFormatting>
  <conditionalFormatting sqref="B1296">
    <cfRule type="containsText" dxfId="803" priority="460" operator="containsText" text="Выезд с территории">
      <formula>NOT(ISERROR(SEARCH("Выезд с территории",B1296)))</formula>
    </cfRule>
  </conditionalFormatting>
  <conditionalFormatting sqref="B1296">
    <cfRule type="containsText" dxfId="802" priority="458" operator="containsText" text="Газель базы">
      <formula>NOT(ISERROR(SEARCH("Газель базы",B1296)))</formula>
    </cfRule>
    <cfRule type="containsText" dxfId="801" priority="459" operator="containsText" text="Погрузчик базы">
      <formula>NOT(ISERROR(SEARCH("Погрузчик базы",B1296)))</formula>
    </cfRule>
  </conditionalFormatting>
  <conditionalFormatting sqref="C1320:C1321">
    <cfRule type="notContainsText" dxfId="800" priority="455" operator="notContains" text="порожний">
      <formula>ISERROR(SEARCH("порожний",C1320))</formula>
    </cfRule>
  </conditionalFormatting>
  <conditionalFormatting sqref="A1323">
    <cfRule type="containsText" dxfId="799" priority="449" operator="containsText" text="Выезд со второстепенной дороги">
      <formula>NOT(ISERROR(SEARCH("Выезд со второстепенной дороги",A1323)))</formula>
    </cfRule>
  </conditionalFormatting>
  <conditionalFormatting sqref="A1322">
    <cfRule type="containsText" dxfId="798" priority="452" operator="containsText" text="Выезд со второстепенной дороги">
      <formula>NOT(ISERROR(SEARCH("Выезд со второстепенной дороги",A1322)))</formula>
    </cfRule>
  </conditionalFormatting>
  <conditionalFormatting sqref="A1322">
    <cfRule type="containsText" dxfId="797" priority="454" operator="containsText" text="Выезд с территории">
      <formula>NOT(ISERROR(SEARCH("Выезд с территории",A1322)))</formula>
    </cfRule>
  </conditionalFormatting>
  <conditionalFormatting sqref="A1322">
    <cfRule type="containsText" dxfId="796" priority="453" operator="containsText" text="Въезд на второстепенную дорогу">
      <formula>NOT(ISERROR(SEARCH("Въезд на второстепенную дорогу",A1322)))</formula>
    </cfRule>
  </conditionalFormatting>
  <conditionalFormatting sqref="A1323">
    <cfRule type="containsText" dxfId="795" priority="451" operator="containsText" text="Выезд с территории">
      <formula>NOT(ISERROR(SEARCH("Выезд с территории",A1323)))</formula>
    </cfRule>
  </conditionalFormatting>
  <conditionalFormatting sqref="A1323">
    <cfRule type="containsText" dxfId="794" priority="450" operator="containsText" text="Въезд на второстепенную дорогу">
      <formula>NOT(ISERROR(SEARCH("Въезд на второстепенную дорогу",A1323)))</formula>
    </cfRule>
  </conditionalFormatting>
  <conditionalFormatting sqref="C1336">
    <cfRule type="notContainsText" dxfId="793" priority="448" operator="notContains" text="порожний">
      <formula>ISERROR(SEARCH("порожний",C1336))</formula>
    </cfRule>
  </conditionalFormatting>
  <conditionalFormatting sqref="C1346">
    <cfRule type="notContainsText" dxfId="792" priority="447" operator="notContains" text="порожний">
      <formula>ISERROR(SEARCH("порожний",C1346))</formula>
    </cfRule>
  </conditionalFormatting>
  <conditionalFormatting sqref="A1391">
    <cfRule type="containsText" dxfId="791" priority="441" operator="containsText" text="Выезд со второстепенной дороги">
      <formula>NOT(ISERROR(SEARCH("Выезд со второстепенной дороги",A1391)))</formula>
    </cfRule>
  </conditionalFormatting>
  <conditionalFormatting sqref="A1391">
    <cfRule type="containsText" dxfId="790" priority="443" operator="containsText" text="Выезд с территории">
      <formula>NOT(ISERROR(SEARCH("Выезд с территории",A1391)))</formula>
    </cfRule>
  </conditionalFormatting>
  <conditionalFormatting sqref="A1391">
    <cfRule type="containsText" dxfId="789" priority="442" operator="containsText" text="Въезд на второстепенную дорогу">
      <formula>NOT(ISERROR(SEARCH("Въезд на второстепенную дорогу",A1391)))</formula>
    </cfRule>
  </conditionalFormatting>
  <conditionalFormatting sqref="A1398">
    <cfRule type="containsText" dxfId="788" priority="438" operator="containsText" text="Выезд со второстепенной дороги">
      <formula>NOT(ISERROR(SEARCH("Выезд со второстепенной дороги",A1398)))</formula>
    </cfRule>
  </conditionalFormatting>
  <conditionalFormatting sqref="A1398">
    <cfRule type="containsText" dxfId="787" priority="440" operator="containsText" text="Выезд с территории">
      <formula>NOT(ISERROR(SEARCH("Выезд с территории",A1398)))</formula>
    </cfRule>
  </conditionalFormatting>
  <conditionalFormatting sqref="A1398">
    <cfRule type="containsText" dxfId="786" priority="439" operator="containsText" text="Въезд на второстепенную дорогу">
      <formula>NOT(ISERROR(SEARCH("Въезд на второстепенную дорогу",A1398)))</formula>
    </cfRule>
  </conditionalFormatting>
  <conditionalFormatting sqref="C1606">
    <cfRule type="notContainsText" dxfId="785" priority="437" operator="notContains" text="порожний">
      <formula>ISERROR(SEARCH("порожний",C1606))</formula>
    </cfRule>
  </conditionalFormatting>
  <conditionalFormatting sqref="B1633:B1636">
    <cfRule type="containsText" dxfId="784" priority="436" operator="containsText" text="Выезд с территории">
      <formula>NOT(ISERROR(SEARCH("Выезд с территории",B1633)))</formula>
    </cfRule>
  </conditionalFormatting>
  <conditionalFormatting sqref="B1633:B1636">
    <cfRule type="containsText" dxfId="783" priority="434" operator="containsText" text="Газель базы">
      <formula>NOT(ISERROR(SEARCH("Газель базы",B1633)))</formula>
    </cfRule>
    <cfRule type="containsText" dxfId="782" priority="435" operator="containsText" text="Погрузчик базы">
      <formula>NOT(ISERROR(SEARCH("Погрузчик базы",B1633)))</formula>
    </cfRule>
  </conditionalFormatting>
  <conditionalFormatting sqref="B1633:B1636">
    <cfRule type="containsText" dxfId="781" priority="433" operator="containsText" text="Трактор базы">
      <formula>NOT(ISERROR(SEARCH("Трактор базы",B1633)))</formula>
    </cfRule>
  </conditionalFormatting>
  <conditionalFormatting sqref="B1637:B1642">
    <cfRule type="containsText" dxfId="780" priority="432" operator="containsText" text="Выезд с территории">
      <formula>NOT(ISERROR(SEARCH("Выезд с территории",B1637)))</formula>
    </cfRule>
  </conditionalFormatting>
  <conditionalFormatting sqref="B1637:B1642">
    <cfRule type="containsText" dxfId="779" priority="430" operator="containsText" text="Газель базы">
      <formula>NOT(ISERROR(SEARCH("Газель базы",B1637)))</formula>
    </cfRule>
    <cfRule type="containsText" dxfId="778" priority="431" operator="containsText" text="Погрузчик базы">
      <formula>NOT(ISERROR(SEARCH("Погрузчик базы",B1637)))</formula>
    </cfRule>
  </conditionalFormatting>
  <conditionalFormatting sqref="B1637:B1642">
    <cfRule type="containsText" dxfId="777" priority="429" operator="containsText" text="Трактор базы">
      <formula>NOT(ISERROR(SEARCH("Трактор базы",B1637)))</formula>
    </cfRule>
  </conditionalFormatting>
  <conditionalFormatting sqref="B1671:B1672">
    <cfRule type="containsText" dxfId="776" priority="425" operator="containsText" text="Трактор базы">
      <formula>NOT(ISERROR(SEARCH("Трактор базы",B1671)))</formula>
    </cfRule>
  </conditionalFormatting>
  <conditionalFormatting sqref="B1671:B1672">
    <cfRule type="containsText" dxfId="775" priority="428" operator="containsText" text="Выезд с территории">
      <formula>NOT(ISERROR(SEARCH("Выезд с территории",B1671)))</formula>
    </cfRule>
  </conditionalFormatting>
  <conditionalFormatting sqref="B1671:B1672">
    <cfRule type="containsText" dxfId="774" priority="426" operator="containsText" text="Газель базы">
      <formula>NOT(ISERROR(SEARCH("Газель базы",B1671)))</formula>
    </cfRule>
    <cfRule type="containsText" dxfId="773" priority="427" operator="containsText" text="Погрузчик базы">
      <formula>NOT(ISERROR(SEARCH("Погрузчик базы",B1671)))</formula>
    </cfRule>
  </conditionalFormatting>
  <conditionalFormatting sqref="B1675">
    <cfRule type="containsText" dxfId="772" priority="421" operator="containsText" text="Трактор базы">
      <formula>NOT(ISERROR(SEARCH("Трактор базы",B1675)))</formula>
    </cfRule>
  </conditionalFormatting>
  <conditionalFormatting sqref="B1675">
    <cfRule type="containsText" dxfId="771" priority="424" operator="containsText" text="Выезд с территории">
      <formula>NOT(ISERROR(SEARCH("Выезд с территории",B1675)))</formula>
    </cfRule>
  </conditionalFormatting>
  <conditionalFormatting sqref="B1675">
    <cfRule type="containsText" dxfId="770" priority="422" operator="containsText" text="Газель базы">
      <formula>NOT(ISERROR(SEARCH("Газель базы",B1675)))</formula>
    </cfRule>
    <cfRule type="containsText" dxfId="769" priority="423" operator="containsText" text="Погрузчик базы">
      <formula>NOT(ISERROR(SEARCH("Погрузчик базы",B1675)))</formula>
    </cfRule>
  </conditionalFormatting>
  <conditionalFormatting sqref="A1678">
    <cfRule type="containsText" dxfId="768" priority="418" operator="containsText" text="Выезд со второстепенной дороги">
      <formula>NOT(ISERROR(SEARCH("Выезд со второстепенной дороги",A1678)))</formula>
    </cfRule>
  </conditionalFormatting>
  <conditionalFormatting sqref="A1678">
    <cfRule type="containsText" dxfId="767" priority="420" operator="containsText" text="Выезд с территории">
      <formula>NOT(ISERROR(SEARCH("Выезд с территории",A1678)))</formula>
    </cfRule>
  </conditionalFormatting>
  <conditionalFormatting sqref="A1678">
    <cfRule type="containsText" dxfId="766" priority="419" operator="containsText" text="Въезд на второстепенную дорогу">
      <formula>NOT(ISERROR(SEARCH("Въезд на второстепенную дорогу",A1678)))</formula>
    </cfRule>
  </conditionalFormatting>
  <conditionalFormatting sqref="C1723">
    <cfRule type="notContainsText" dxfId="765" priority="417" operator="notContains" text="порожний">
      <formula>ISERROR(SEARCH("порожний",C1723))</formula>
    </cfRule>
  </conditionalFormatting>
  <conditionalFormatting sqref="C1725:C1726">
    <cfRule type="notContainsText" dxfId="764" priority="416" operator="notContains" text="порожний">
      <formula>ISERROR(SEARCH("порожний",C1725))</formula>
    </cfRule>
  </conditionalFormatting>
  <conditionalFormatting sqref="C1727">
    <cfRule type="notContainsText" dxfId="763" priority="415" operator="notContains" text="порожний">
      <formula>ISERROR(SEARCH("порожний",C1727))</formula>
    </cfRule>
  </conditionalFormatting>
  <conditionalFormatting sqref="C1728">
    <cfRule type="notContainsText" dxfId="762" priority="414" operator="notContains" text="порожний">
      <formula>ISERROR(SEARCH("порожний",C1728))</formula>
    </cfRule>
  </conditionalFormatting>
  <conditionalFormatting sqref="B1732:B1733">
    <cfRule type="containsText" dxfId="761" priority="413" operator="containsText" text="Выезд с территории">
      <formula>NOT(ISERROR(SEARCH("Выезд с территории",B1732)))</formula>
    </cfRule>
  </conditionalFormatting>
  <conditionalFormatting sqref="B1732:B1733">
    <cfRule type="containsText" dxfId="760" priority="411" operator="containsText" text="Газель базы">
      <formula>NOT(ISERROR(SEARCH("Газель базы",B1732)))</formula>
    </cfRule>
    <cfRule type="containsText" dxfId="759" priority="412" operator="containsText" text="Погрузчик базы">
      <formula>NOT(ISERROR(SEARCH("Погрузчик базы",B1732)))</formula>
    </cfRule>
  </conditionalFormatting>
  <conditionalFormatting sqref="B1732:B1733">
    <cfRule type="containsText" dxfId="758" priority="410" operator="containsText" text="Трактор базы">
      <formula>NOT(ISERROR(SEARCH("Трактор базы",B1732)))</formula>
    </cfRule>
  </conditionalFormatting>
  <conditionalFormatting sqref="B1734:B1735">
    <cfRule type="containsText" dxfId="757" priority="409" operator="containsText" text="Выезд с территории">
      <formula>NOT(ISERROR(SEARCH("Выезд с территории",B1734)))</formula>
    </cfRule>
  </conditionalFormatting>
  <conditionalFormatting sqref="B1734:B1735">
    <cfRule type="containsText" dxfId="756" priority="407" operator="containsText" text="Газель базы">
      <formula>NOT(ISERROR(SEARCH("Газель базы",B1734)))</formula>
    </cfRule>
    <cfRule type="containsText" dxfId="755" priority="408" operator="containsText" text="Погрузчик базы">
      <formula>NOT(ISERROR(SEARCH("Погрузчик базы",B1734)))</formula>
    </cfRule>
  </conditionalFormatting>
  <conditionalFormatting sqref="B1734:B1735">
    <cfRule type="containsText" dxfId="754" priority="406" operator="containsText" text="Трактор базы">
      <formula>NOT(ISERROR(SEARCH("Трактор базы",B1734)))</formula>
    </cfRule>
  </conditionalFormatting>
  <conditionalFormatting sqref="B1762:B1764">
    <cfRule type="containsText" dxfId="753" priority="392" operator="containsText" text="Трактор базы">
      <formula>NOT(ISERROR(SEARCH("Трактор базы",B1762)))</formula>
    </cfRule>
  </conditionalFormatting>
  <conditionalFormatting sqref="B1740:B1741">
    <cfRule type="containsText" dxfId="752" priority="405" operator="containsText" text="Выезд с территории">
      <formula>NOT(ISERROR(SEARCH("Выезд с территории",B1740)))</formula>
    </cfRule>
  </conditionalFormatting>
  <conditionalFormatting sqref="B1740:B1741">
    <cfRule type="containsText" dxfId="751" priority="403" operator="containsText" text="Газель базы">
      <formula>NOT(ISERROR(SEARCH("Газель базы",B1740)))</formula>
    </cfRule>
    <cfRule type="containsText" dxfId="750" priority="404" operator="containsText" text="Погрузчик базы">
      <formula>NOT(ISERROR(SEARCH("Погрузчик базы",B1740)))</formula>
    </cfRule>
  </conditionalFormatting>
  <conditionalFormatting sqref="B1740:B1741">
    <cfRule type="containsText" dxfId="749" priority="402" operator="containsText" text="Трактор базы">
      <formula>NOT(ISERROR(SEARCH("Трактор базы",B1740)))</formula>
    </cfRule>
  </conditionalFormatting>
  <conditionalFormatting sqref="A1755">
    <cfRule type="containsText" dxfId="748" priority="399" operator="containsText" text="Выезд со второстепенной дороги">
      <formula>NOT(ISERROR(SEARCH("Выезд со второстепенной дороги",A1755)))</formula>
    </cfRule>
  </conditionalFormatting>
  <conditionalFormatting sqref="A1755">
    <cfRule type="containsText" dxfId="747" priority="401" operator="containsText" text="Выезд с территории">
      <formula>NOT(ISERROR(SEARCH("Выезд с территории",A1755)))</formula>
    </cfRule>
  </conditionalFormatting>
  <conditionalFormatting sqref="A1755">
    <cfRule type="containsText" dxfId="746" priority="400" operator="containsText" text="Въезд на второстепенную дорогу">
      <formula>NOT(ISERROR(SEARCH("Въезд на второстепенную дорогу",A1755)))</formula>
    </cfRule>
  </conditionalFormatting>
  <conditionalFormatting sqref="A1757:A1758">
    <cfRule type="containsText" dxfId="745" priority="396" operator="containsText" text="Выезд со второстепенной дороги">
      <formula>NOT(ISERROR(SEARCH("Выезд со второстепенной дороги",A1757)))</formula>
    </cfRule>
  </conditionalFormatting>
  <conditionalFormatting sqref="A1757:A1758">
    <cfRule type="containsText" dxfId="744" priority="398" operator="containsText" text="Выезд с территории">
      <formula>NOT(ISERROR(SEARCH("Выезд с территории",A1757)))</formula>
    </cfRule>
  </conditionalFormatting>
  <conditionalFormatting sqref="A1757:A1758">
    <cfRule type="containsText" dxfId="743" priority="397" operator="containsText" text="Въезд на второстепенную дорогу">
      <formula>NOT(ISERROR(SEARCH("Въезд на второстепенную дорогу",A1757)))</formula>
    </cfRule>
  </conditionalFormatting>
  <conditionalFormatting sqref="B1773">
    <cfRule type="containsText" dxfId="742" priority="383" operator="containsText" text="Трактор базы">
      <formula>NOT(ISERROR(SEARCH("Трактор базы",B1773)))</formula>
    </cfRule>
  </conditionalFormatting>
  <conditionalFormatting sqref="B1762:B1764">
    <cfRule type="containsText" dxfId="741" priority="395" operator="containsText" text="Выезд с территории">
      <formula>NOT(ISERROR(SEARCH("Выезд с территории",B1762)))</formula>
    </cfRule>
  </conditionalFormatting>
  <conditionalFormatting sqref="B1762:B1764">
    <cfRule type="containsText" dxfId="740" priority="393" operator="containsText" text="Газель базы">
      <formula>NOT(ISERROR(SEARCH("Газель базы",B1762)))</formula>
    </cfRule>
    <cfRule type="containsText" dxfId="739" priority="394" operator="containsText" text="Погрузчик базы">
      <formula>NOT(ISERROR(SEARCH("Погрузчик базы",B1762)))</formula>
    </cfRule>
  </conditionalFormatting>
  <conditionalFormatting sqref="B1776:B1777">
    <cfRule type="containsText" dxfId="738" priority="374" operator="containsText" text="Трактор базы">
      <formula>NOT(ISERROR(SEARCH("Трактор базы",B1776)))</formula>
    </cfRule>
  </conditionalFormatting>
  <conditionalFormatting sqref="B1770:B1771">
    <cfRule type="containsText" dxfId="737" priority="391" operator="containsText" text="Выезд с территории">
      <formula>NOT(ISERROR(SEARCH("Выезд с территории",B1770)))</formula>
    </cfRule>
  </conditionalFormatting>
  <conditionalFormatting sqref="B1770:B1771">
    <cfRule type="containsText" dxfId="736" priority="389" operator="containsText" text="Газель базы">
      <formula>NOT(ISERROR(SEARCH("Газель базы",B1770)))</formula>
    </cfRule>
    <cfRule type="containsText" dxfId="735" priority="390" operator="containsText" text="Погрузчик базы">
      <formula>NOT(ISERROR(SEARCH("Погрузчик базы",B1770)))</formula>
    </cfRule>
  </conditionalFormatting>
  <conditionalFormatting sqref="B1770:B1771">
    <cfRule type="containsText" dxfId="734" priority="388" operator="containsText" text="Трактор базы">
      <formula>NOT(ISERROR(SEARCH("Трактор базы",B1770)))</formula>
    </cfRule>
  </conditionalFormatting>
  <conditionalFormatting sqref="B1773">
    <cfRule type="containsText" dxfId="733" priority="387" operator="containsText" text="Выезд с территории">
      <formula>NOT(ISERROR(SEARCH("Выезд с территории",B1773)))</formula>
    </cfRule>
  </conditionalFormatting>
  <conditionalFormatting sqref="C1773">
    <cfRule type="notContainsText" dxfId="732" priority="386" operator="notContains" text="порожний">
      <formula>ISERROR(SEARCH("порожний",C1773))</formula>
    </cfRule>
  </conditionalFormatting>
  <conditionalFormatting sqref="B1773">
    <cfRule type="containsText" dxfId="731" priority="384" operator="containsText" text="Газель базы">
      <formula>NOT(ISERROR(SEARCH("Газель базы",B1773)))</formula>
    </cfRule>
    <cfRule type="containsText" dxfId="730" priority="385" operator="containsText" text="Погрузчик базы">
      <formula>NOT(ISERROR(SEARCH("Погрузчик базы",B1773)))</formula>
    </cfRule>
  </conditionalFormatting>
  <conditionalFormatting sqref="B1775">
    <cfRule type="containsText" dxfId="729" priority="378" operator="containsText" text="Трактор базы">
      <formula>NOT(ISERROR(SEARCH("Трактор базы",B1775)))</formula>
    </cfRule>
  </conditionalFormatting>
  <conditionalFormatting sqref="B1775">
    <cfRule type="containsText" dxfId="728" priority="382" operator="containsText" text="Выезд с территории">
      <formula>NOT(ISERROR(SEARCH("Выезд с территории",B1775)))</formula>
    </cfRule>
  </conditionalFormatting>
  <conditionalFormatting sqref="C1775">
    <cfRule type="notContainsText" dxfId="727" priority="381" operator="notContains" text="порожний">
      <formula>ISERROR(SEARCH("порожний",C1775))</formula>
    </cfRule>
  </conditionalFormatting>
  <conditionalFormatting sqref="B1775">
    <cfRule type="containsText" dxfId="726" priority="379" operator="containsText" text="Газель базы">
      <formula>NOT(ISERROR(SEARCH("Газель базы",B1775)))</formula>
    </cfRule>
    <cfRule type="containsText" dxfId="725" priority="380" operator="containsText" text="Погрузчик базы">
      <formula>NOT(ISERROR(SEARCH("Погрузчик базы",B1775)))</formula>
    </cfRule>
  </conditionalFormatting>
  <conditionalFormatting sqref="B1776:B1777">
    <cfRule type="containsText" dxfId="724" priority="377" operator="containsText" text="Выезд с территории">
      <formula>NOT(ISERROR(SEARCH("Выезд с территории",B1776)))</formula>
    </cfRule>
  </conditionalFormatting>
  <conditionalFormatting sqref="B1776:B1777">
    <cfRule type="containsText" dxfId="723" priority="375" operator="containsText" text="Газель базы">
      <formula>NOT(ISERROR(SEARCH("Газель базы",B1776)))</formula>
    </cfRule>
    <cfRule type="containsText" dxfId="722" priority="376" operator="containsText" text="Погрузчик базы">
      <formula>NOT(ISERROR(SEARCH("Погрузчик базы",B1776)))</formula>
    </cfRule>
  </conditionalFormatting>
  <conditionalFormatting sqref="B1891">
    <cfRule type="containsText" dxfId="721" priority="366" operator="containsText" text="Трактор базы">
      <formula>NOT(ISERROR(SEARCH("Трактор базы",B1891)))</formula>
    </cfRule>
  </conditionalFormatting>
  <conditionalFormatting sqref="B1889">
    <cfRule type="containsText" dxfId="720" priority="373" operator="containsText" text="Выезд с территории">
      <formula>NOT(ISERROR(SEARCH("Выезд с территории",B1889)))</formula>
    </cfRule>
  </conditionalFormatting>
  <conditionalFormatting sqref="B1889">
    <cfRule type="containsText" dxfId="719" priority="371" operator="containsText" text="Газель базы">
      <formula>NOT(ISERROR(SEARCH("Газель базы",B1889)))</formula>
    </cfRule>
    <cfRule type="containsText" dxfId="718" priority="372" operator="containsText" text="Погрузчик базы">
      <formula>NOT(ISERROR(SEARCH("Погрузчик базы",B1889)))</formula>
    </cfRule>
  </conditionalFormatting>
  <conditionalFormatting sqref="B1889">
    <cfRule type="containsText" dxfId="717" priority="370" operator="containsText" text="Трактор базы">
      <formula>NOT(ISERROR(SEARCH("Трактор базы",B1889)))</formula>
    </cfRule>
  </conditionalFormatting>
  <conditionalFormatting sqref="B1891">
    <cfRule type="containsText" dxfId="716" priority="369" operator="containsText" text="Выезд с территории">
      <formula>NOT(ISERROR(SEARCH("Выезд с территории",B1891)))</formula>
    </cfRule>
  </conditionalFormatting>
  <conditionalFormatting sqref="B1891">
    <cfRule type="containsText" dxfId="715" priority="367" operator="containsText" text="Газель базы">
      <formula>NOT(ISERROR(SEARCH("Газель базы",B1891)))</formula>
    </cfRule>
    <cfRule type="containsText" dxfId="714" priority="368" operator="containsText" text="Погрузчик базы">
      <formula>NOT(ISERROR(SEARCH("Погрузчик базы",B1891)))</formula>
    </cfRule>
  </conditionalFormatting>
  <conditionalFormatting sqref="B1920">
    <cfRule type="containsText" dxfId="713" priority="354" operator="containsText" text="Трактор базы">
      <formula>NOT(ISERROR(SEARCH("Трактор базы",B1920)))</formula>
    </cfRule>
  </conditionalFormatting>
  <conditionalFormatting sqref="B1904:B1914">
    <cfRule type="containsText" dxfId="712" priority="365" operator="containsText" text="Выезд с территории">
      <formula>NOT(ISERROR(SEARCH("Выезд с территории",B1904)))</formula>
    </cfRule>
  </conditionalFormatting>
  <conditionalFormatting sqref="B1904:B1914">
    <cfRule type="containsText" dxfId="711" priority="363" operator="containsText" text="Газель базы">
      <formula>NOT(ISERROR(SEARCH("Газель базы",B1904)))</formula>
    </cfRule>
    <cfRule type="containsText" dxfId="710" priority="364" operator="containsText" text="Погрузчик базы">
      <formula>NOT(ISERROR(SEARCH("Погрузчик базы",B1904)))</formula>
    </cfRule>
  </conditionalFormatting>
  <conditionalFormatting sqref="B1904:B1914">
    <cfRule type="containsText" dxfId="709" priority="362" operator="containsText" text="Трактор базы">
      <formula>NOT(ISERROR(SEARCH("Трактор базы",B1904)))</formula>
    </cfRule>
  </conditionalFormatting>
  <conditionalFormatting sqref="B1915:B1919">
    <cfRule type="containsText" dxfId="708" priority="361" operator="containsText" text="Выезд с территории">
      <formula>NOT(ISERROR(SEARCH("Выезд с территории",B1915)))</formula>
    </cfRule>
  </conditionalFormatting>
  <conditionalFormatting sqref="B1915:B1919">
    <cfRule type="containsText" dxfId="707" priority="359" operator="containsText" text="Газель базы">
      <formula>NOT(ISERROR(SEARCH("Газель базы",B1915)))</formula>
    </cfRule>
    <cfRule type="containsText" dxfId="706" priority="360" operator="containsText" text="Погрузчик базы">
      <formula>NOT(ISERROR(SEARCH("Погрузчик базы",B1915)))</formula>
    </cfRule>
  </conditionalFormatting>
  <conditionalFormatting sqref="B1915:B1919">
    <cfRule type="containsText" dxfId="705" priority="358" operator="containsText" text="Трактор базы">
      <formula>NOT(ISERROR(SEARCH("Трактор базы",B1915)))</formula>
    </cfRule>
  </conditionalFormatting>
  <conditionalFormatting sqref="B1920">
    <cfRule type="containsText" dxfId="704" priority="357" operator="containsText" text="Выезд с территории">
      <formula>NOT(ISERROR(SEARCH("Выезд с территории",B1920)))</formula>
    </cfRule>
  </conditionalFormatting>
  <conditionalFormatting sqref="B1920">
    <cfRule type="containsText" dxfId="703" priority="355" operator="containsText" text="Газель базы">
      <formula>NOT(ISERROR(SEARCH("Газель базы",B1920)))</formula>
    </cfRule>
    <cfRule type="containsText" dxfId="702" priority="356" operator="containsText" text="Погрузчик базы">
      <formula>NOT(ISERROR(SEARCH("Погрузчик базы",B1920)))</formula>
    </cfRule>
  </conditionalFormatting>
  <conditionalFormatting sqref="B1939">
    <cfRule type="containsText" dxfId="701" priority="350" operator="containsText" text="Трактор базы">
      <formula>NOT(ISERROR(SEARCH("Трактор базы",B1939)))</formula>
    </cfRule>
  </conditionalFormatting>
  <conditionalFormatting sqref="B1939">
    <cfRule type="containsText" dxfId="700" priority="353" operator="containsText" text="Выезд с территории">
      <formula>NOT(ISERROR(SEARCH("Выезд с территории",B1939)))</formula>
    </cfRule>
  </conditionalFormatting>
  <conditionalFormatting sqref="B1939">
    <cfRule type="containsText" dxfId="699" priority="351" operator="containsText" text="Газель базы">
      <formula>NOT(ISERROR(SEARCH("Газель базы",B1939)))</formula>
    </cfRule>
    <cfRule type="containsText" dxfId="698" priority="352" operator="containsText" text="Погрузчик базы">
      <formula>NOT(ISERROR(SEARCH("Погрузчик базы",B1939)))</formula>
    </cfRule>
  </conditionalFormatting>
  <conditionalFormatting sqref="A1943">
    <cfRule type="containsText" dxfId="697" priority="347" operator="containsText" text="Выезд со второстепенной дороги">
      <formula>NOT(ISERROR(SEARCH("Выезд со второстепенной дороги",A1943)))</formula>
    </cfRule>
  </conditionalFormatting>
  <conditionalFormatting sqref="A1943">
    <cfRule type="containsText" dxfId="696" priority="349" operator="containsText" text="Выезд с территории">
      <formula>NOT(ISERROR(SEARCH("Выезд с территории",A1943)))</formula>
    </cfRule>
  </conditionalFormatting>
  <conditionalFormatting sqref="A1943">
    <cfRule type="containsText" dxfId="695" priority="348" operator="containsText" text="Въезд на второстепенную дорогу">
      <formula>NOT(ISERROR(SEARCH("Въезд на второстепенную дорогу",A1943)))</formula>
    </cfRule>
  </conditionalFormatting>
  <conditionalFormatting sqref="B1977">
    <cfRule type="containsText" dxfId="694" priority="331" operator="containsText" text="Трактор базы">
      <formula>NOT(ISERROR(SEARCH("Трактор базы",B1977)))</formula>
    </cfRule>
  </conditionalFormatting>
  <conditionalFormatting sqref="B1974">
    <cfRule type="containsText" dxfId="693" priority="346" operator="containsText" text="Выезд с территории">
      <formula>NOT(ISERROR(SEARCH("Выезд с территории",B1974)))</formula>
    </cfRule>
  </conditionalFormatting>
  <conditionalFormatting sqref="B1974">
    <cfRule type="containsText" dxfId="692" priority="344" operator="containsText" text="Газель базы">
      <formula>NOT(ISERROR(SEARCH("Газель базы",B1974)))</formula>
    </cfRule>
    <cfRule type="containsText" dxfId="691" priority="345" operator="containsText" text="Погрузчик базы">
      <formula>NOT(ISERROR(SEARCH("Погрузчик базы",B1974)))</formula>
    </cfRule>
  </conditionalFormatting>
  <conditionalFormatting sqref="B1974">
    <cfRule type="containsText" dxfId="690" priority="343" operator="containsText" text="Трактор базы">
      <formula>NOT(ISERROR(SEARCH("Трактор базы",B1974)))</formula>
    </cfRule>
  </conditionalFormatting>
  <conditionalFormatting sqref="B1975">
    <cfRule type="containsText" dxfId="689" priority="342" operator="containsText" text="Выезд с территории">
      <formula>NOT(ISERROR(SEARCH("Выезд с территории",B1975)))</formula>
    </cfRule>
  </conditionalFormatting>
  <conditionalFormatting sqref="B1975">
    <cfRule type="containsText" dxfId="688" priority="340" operator="containsText" text="Газель базы">
      <formula>NOT(ISERROR(SEARCH("Газель базы",B1975)))</formula>
    </cfRule>
    <cfRule type="containsText" dxfId="687" priority="341" operator="containsText" text="Погрузчик базы">
      <formula>NOT(ISERROR(SEARCH("Погрузчик базы",B1975)))</formula>
    </cfRule>
  </conditionalFormatting>
  <conditionalFormatting sqref="B1975">
    <cfRule type="containsText" dxfId="686" priority="339" operator="containsText" text="Трактор базы">
      <formula>NOT(ISERROR(SEARCH("Трактор базы",B1975)))</formula>
    </cfRule>
  </conditionalFormatting>
  <conditionalFormatting sqref="B1976">
    <cfRule type="containsText" dxfId="685" priority="338" operator="containsText" text="Выезд с территории">
      <formula>NOT(ISERROR(SEARCH("Выезд с территории",B1976)))</formula>
    </cfRule>
  </conditionalFormatting>
  <conditionalFormatting sqref="B1976">
    <cfRule type="containsText" dxfId="684" priority="336" operator="containsText" text="Газель базы">
      <formula>NOT(ISERROR(SEARCH("Газель базы",B1976)))</formula>
    </cfRule>
    <cfRule type="containsText" dxfId="683" priority="337" operator="containsText" text="Погрузчик базы">
      <formula>NOT(ISERROR(SEARCH("Погрузчик базы",B1976)))</formula>
    </cfRule>
  </conditionalFormatting>
  <conditionalFormatting sqref="B1976">
    <cfRule type="containsText" dxfId="682" priority="335" operator="containsText" text="Трактор базы">
      <formula>NOT(ISERROR(SEARCH("Трактор базы",B1976)))</formula>
    </cfRule>
  </conditionalFormatting>
  <conditionalFormatting sqref="B1977">
    <cfRule type="containsText" dxfId="681" priority="334" operator="containsText" text="Выезд с территории">
      <formula>NOT(ISERROR(SEARCH("Выезд с территории",B1977)))</formula>
    </cfRule>
  </conditionalFormatting>
  <conditionalFormatting sqref="B1977">
    <cfRule type="containsText" dxfId="680" priority="332" operator="containsText" text="Газель базы">
      <formula>NOT(ISERROR(SEARCH("Газель базы",B1977)))</formula>
    </cfRule>
    <cfRule type="containsText" dxfId="679" priority="333" operator="containsText" text="Погрузчик базы">
      <formula>NOT(ISERROR(SEARCH("Погрузчик базы",B1977)))</formula>
    </cfRule>
  </conditionalFormatting>
  <conditionalFormatting sqref="C1965">
    <cfRule type="notContainsText" dxfId="678" priority="330" operator="notContains" text="порожний">
      <formula>ISERROR(SEARCH("порожний",C1965))</formula>
    </cfRule>
  </conditionalFormatting>
  <conditionalFormatting sqref="B2042">
    <cfRule type="containsText" dxfId="677" priority="326" operator="containsText" text="Трактор базы">
      <formula>NOT(ISERROR(SEARCH("Трактор базы",B2042)))</formula>
    </cfRule>
  </conditionalFormatting>
  <conditionalFormatting sqref="B2042">
    <cfRule type="containsText" dxfId="676" priority="329" operator="containsText" text="Выезд с территории">
      <formula>NOT(ISERROR(SEARCH("Выезд с территории",B2042)))</formula>
    </cfRule>
  </conditionalFormatting>
  <conditionalFormatting sqref="B2042">
    <cfRule type="containsText" dxfId="675" priority="327" operator="containsText" text="Газель базы">
      <formula>NOT(ISERROR(SEARCH("Газель базы",B2042)))</formula>
    </cfRule>
    <cfRule type="containsText" dxfId="674" priority="328" operator="containsText" text="Погрузчик базы">
      <formula>NOT(ISERROR(SEARCH("Погрузчик базы",B2042)))</formula>
    </cfRule>
  </conditionalFormatting>
  <conditionalFormatting sqref="C2050">
    <cfRule type="notContainsText" dxfId="673" priority="325" operator="notContains" text="порожний">
      <formula>ISERROR(SEARCH("порожний",C2050))</formula>
    </cfRule>
  </conditionalFormatting>
  <conditionalFormatting sqref="B2054">
    <cfRule type="containsText" dxfId="672" priority="324" operator="containsText" text="Выезд с территории">
      <formula>NOT(ISERROR(SEARCH("Выезд с территории",B2054)))</formula>
    </cfRule>
  </conditionalFormatting>
  <conditionalFormatting sqref="B2054">
    <cfRule type="containsText" dxfId="671" priority="322" operator="containsText" text="Газель базы">
      <formula>NOT(ISERROR(SEARCH("Газель базы",B2054)))</formula>
    </cfRule>
    <cfRule type="containsText" dxfId="670" priority="323" operator="containsText" text="Погрузчик базы">
      <formula>NOT(ISERROR(SEARCH("Погрузчик базы",B2054)))</formula>
    </cfRule>
  </conditionalFormatting>
  <conditionalFormatting sqref="B2054">
    <cfRule type="containsText" dxfId="669" priority="321" operator="containsText" text="Трактор базы">
      <formula>NOT(ISERROR(SEARCH("Трактор базы",B2054)))</formula>
    </cfRule>
  </conditionalFormatting>
  <conditionalFormatting sqref="B2055">
    <cfRule type="containsText" dxfId="668" priority="317" operator="containsText" text="Трактор базы">
      <formula>NOT(ISERROR(SEARCH("Трактор базы",B2055)))</formula>
    </cfRule>
  </conditionalFormatting>
  <conditionalFormatting sqref="B2055">
    <cfRule type="containsText" dxfId="667" priority="320" operator="containsText" text="Выезд с территории">
      <formula>NOT(ISERROR(SEARCH("Выезд с территории",B2055)))</formula>
    </cfRule>
  </conditionalFormatting>
  <conditionalFormatting sqref="B2055">
    <cfRule type="containsText" dxfId="666" priority="318" operator="containsText" text="Газель базы">
      <formula>NOT(ISERROR(SEARCH("Газель базы",B2055)))</formula>
    </cfRule>
    <cfRule type="containsText" dxfId="665" priority="319" operator="containsText" text="Погрузчик базы">
      <formula>NOT(ISERROR(SEARCH("Погрузчик базы",B2055)))</formula>
    </cfRule>
  </conditionalFormatting>
  <conditionalFormatting sqref="A2087:A2089">
    <cfRule type="containsText" dxfId="664" priority="310" operator="containsText" text="Выезд со второстепенной дороги">
      <formula>NOT(ISERROR(SEARCH("Выезд со второстепенной дороги",A2087)))</formula>
    </cfRule>
  </conditionalFormatting>
  <conditionalFormatting sqref="A2087:B2089">
    <cfRule type="containsText" dxfId="663" priority="316" operator="containsText" text="Выезд с территории">
      <formula>NOT(ISERROR(SEARCH("Выезд с территории",A2087)))</formula>
    </cfRule>
  </conditionalFormatting>
  <conditionalFormatting sqref="C2087:C2089">
    <cfRule type="notContainsText" dxfId="662" priority="315" operator="notContains" text="порожний">
      <formula>ISERROR(SEARCH("порожний",C2087))</formula>
    </cfRule>
  </conditionalFormatting>
  <conditionalFormatting sqref="B2087:B2089">
    <cfRule type="containsText" dxfId="661" priority="313" operator="containsText" text="Газель базы">
      <formula>NOT(ISERROR(SEARCH("Газель базы",B2087)))</formula>
    </cfRule>
    <cfRule type="containsText" dxfId="660" priority="314" operator="containsText" text="Погрузчик базы">
      <formula>NOT(ISERROR(SEARCH("Погрузчик базы",B2087)))</formula>
    </cfRule>
  </conditionalFormatting>
  <conditionalFormatting sqref="B2087:B2089">
    <cfRule type="containsText" dxfId="659" priority="312" operator="containsText" text="Трактор базы">
      <formula>NOT(ISERROR(SEARCH("Трактор базы",B2087)))</formula>
    </cfRule>
  </conditionalFormatting>
  <conditionalFormatting sqref="A2087:A2089">
    <cfRule type="containsText" dxfId="658" priority="311" operator="containsText" text="Въезд на второстепенную дорогу">
      <formula>NOT(ISERROR(SEARCH("Въезд на второстепенную дорогу",A2087)))</formula>
    </cfRule>
  </conditionalFormatting>
  <conditionalFormatting sqref="B2101">
    <cfRule type="containsText" dxfId="657" priority="309" operator="containsText" text="Выезд с территории">
      <formula>NOT(ISERROR(SEARCH("Выезд с территории",B2101)))</formula>
    </cfRule>
  </conditionalFormatting>
  <conditionalFormatting sqref="B2101">
    <cfRule type="containsText" dxfId="656" priority="307" operator="containsText" text="Газель базы">
      <formula>NOT(ISERROR(SEARCH("Газель базы",B2101)))</formula>
    </cfRule>
    <cfRule type="containsText" dxfId="655" priority="308" operator="containsText" text="Погрузчик базы">
      <formula>NOT(ISERROR(SEARCH("Погрузчик базы",B2101)))</formula>
    </cfRule>
  </conditionalFormatting>
  <conditionalFormatting sqref="B2101">
    <cfRule type="containsText" dxfId="654" priority="306" operator="containsText" text="Трактор базы">
      <formula>NOT(ISERROR(SEARCH("Трактор базы",B2101)))</formula>
    </cfRule>
  </conditionalFormatting>
  <conditionalFormatting sqref="B2102">
    <cfRule type="containsText" dxfId="653" priority="305" operator="containsText" text="Выезд с территории">
      <formula>NOT(ISERROR(SEARCH("Выезд с территории",B2102)))</formula>
    </cfRule>
  </conditionalFormatting>
  <conditionalFormatting sqref="B2102">
    <cfRule type="containsText" dxfId="652" priority="303" operator="containsText" text="Газель базы">
      <formula>NOT(ISERROR(SEARCH("Газель базы",B2102)))</formula>
    </cfRule>
    <cfRule type="containsText" dxfId="651" priority="304" operator="containsText" text="Погрузчик базы">
      <formula>NOT(ISERROR(SEARCH("Погрузчик базы",B2102)))</formula>
    </cfRule>
  </conditionalFormatting>
  <conditionalFormatting sqref="B2102">
    <cfRule type="containsText" dxfId="650" priority="302" operator="containsText" text="Трактор базы">
      <formula>NOT(ISERROR(SEARCH("Трактор базы",B2102)))</formula>
    </cfRule>
  </conditionalFormatting>
  <conditionalFormatting sqref="B2103">
    <cfRule type="containsText" dxfId="649" priority="298" operator="containsText" text="Трактор базы">
      <formula>NOT(ISERROR(SEARCH("Трактор базы",B2103)))</formula>
    </cfRule>
  </conditionalFormatting>
  <conditionalFormatting sqref="B2103">
    <cfRule type="containsText" dxfId="648" priority="301" operator="containsText" text="Выезд с территории">
      <formula>NOT(ISERROR(SEARCH("Выезд с территории",B2103)))</formula>
    </cfRule>
  </conditionalFormatting>
  <conditionalFormatting sqref="B2103">
    <cfRule type="containsText" dxfId="647" priority="299" operator="containsText" text="Газель базы">
      <formula>NOT(ISERROR(SEARCH("Газель базы",B2103)))</formula>
    </cfRule>
    <cfRule type="containsText" dxfId="646" priority="300" operator="containsText" text="Погрузчик базы">
      <formula>NOT(ISERROR(SEARCH("Погрузчик базы",B2103)))</formula>
    </cfRule>
  </conditionalFormatting>
  <conditionalFormatting sqref="A2104:A2105 A2170:A2171 A2259">
    <cfRule type="containsText" dxfId="645" priority="295" operator="containsText" text="Выезд со второстепенной дороги">
      <formula>NOT(ISERROR(SEARCH("Выезд со второстепенной дороги",A2104)))</formula>
    </cfRule>
  </conditionalFormatting>
  <conditionalFormatting sqref="A2104:A2105 A2170:A2171 A2259">
    <cfRule type="containsText" dxfId="644" priority="297" operator="containsText" text="Выезд с территории">
      <formula>NOT(ISERROR(SEARCH("Выезд с территории",A2104)))</formula>
    </cfRule>
  </conditionalFormatting>
  <conditionalFormatting sqref="A2104:A2105 A2170:A2171 A2259">
    <cfRule type="containsText" dxfId="643" priority="296" operator="containsText" text="Въезд на второстепенную дорогу">
      <formula>NOT(ISERROR(SEARCH("Въезд на второстепенную дорогу",A2104)))</formula>
    </cfRule>
  </conditionalFormatting>
  <conditionalFormatting sqref="B2276">
    <cfRule type="containsText" dxfId="642" priority="294" operator="containsText" text="Выезд с территории">
      <formula>NOT(ISERROR(SEARCH("Выезд с территории",B2276)))</formula>
    </cfRule>
  </conditionalFormatting>
  <conditionalFormatting sqref="B2276">
    <cfRule type="containsText" dxfId="641" priority="292" operator="containsText" text="Газель базы">
      <formula>NOT(ISERROR(SEARCH("Газель базы",B2276)))</formula>
    </cfRule>
    <cfRule type="containsText" dxfId="640" priority="293" operator="containsText" text="Погрузчик базы">
      <formula>NOT(ISERROR(SEARCH("Погрузчик базы",B2276)))</formula>
    </cfRule>
  </conditionalFormatting>
  <conditionalFormatting sqref="B2276">
    <cfRule type="containsText" dxfId="639" priority="291" operator="containsText" text="Трактор базы">
      <formula>NOT(ISERROR(SEARCH("Трактор базы",B2276)))</formula>
    </cfRule>
  </conditionalFormatting>
  <conditionalFormatting sqref="B2277">
    <cfRule type="containsText" dxfId="638" priority="287" operator="containsText" text="Трактор базы">
      <formula>NOT(ISERROR(SEARCH("Трактор базы",B2277)))</formula>
    </cfRule>
  </conditionalFormatting>
  <conditionalFormatting sqref="B2277">
    <cfRule type="containsText" dxfId="637" priority="290" operator="containsText" text="Выезд с территории">
      <formula>NOT(ISERROR(SEARCH("Выезд с территории",B2277)))</formula>
    </cfRule>
  </conditionalFormatting>
  <conditionalFormatting sqref="B2277">
    <cfRule type="containsText" dxfId="636" priority="288" operator="containsText" text="Газель базы">
      <formula>NOT(ISERROR(SEARCH("Газель базы",B2277)))</formula>
    </cfRule>
    <cfRule type="containsText" dxfId="635" priority="289" operator="containsText" text="Погрузчик базы">
      <formula>NOT(ISERROR(SEARCH("Погрузчик базы",B2277)))</formula>
    </cfRule>
  </conditionalFormatting>
  <conditionalFormatting sqref="A2279">
    <cfRule type="containsText" dxfId="634" priority="284" operator="containsText" text="Выезд со второстепенной дороги">
      <formula>NOT(ISERROR(SEARCH("Выезд со второстепенной дороги",A2279)))</formula>
    </cfRule>
  </conditionalFormatting>
  <conditionalFormatting sqref="A2279">
    <cfRule type="containsText" dxfId="633" priority="286" operator="containsText" text="Выезд с территории">
      <formula>NOT(ISERROR(SEARCH("Выезд с территории",A2279)))</formula>
    </cfRule>
  </conditionalFormatting>
  <conditionalFormatting sqref="A2279">
    <cfRule type="containsText" dxfId="632" priority="285" operator="containsText" text="Въезд на второстепенную дорогу">
      <formula>NOT(ISERROR(SEARCH("Въезд на второстепенную дорогу",A2279)))</formula>
    </cfRule>
  </conditionalFormatting>
  <conditionalFormatting sqref="A2347">
    <cfRule type="containsText" dxfId="631" priority="281" operator="containsText" text="Выезд со второстепенной дороги">
      <formula>NOT(ISERROR(SEARCH("Выезд со второстепенной дороги",A2347)))</formula>
    </cfRule>
  </conditionalFormatting>
  <conditionalFormatting sqref="A2347">
    <cfRule type="containsText" dxfId="630" priority="283" operator="containsText" text="Выезд с территории">
      <formula>NOT(ISERROR(SEARCH("Выезд с территории",A2347)))</formula>
    </cfRule>
  </conditionalFormatting>
  <conditionalFormatting sqref="A2347">
    <cfRule type="containsText" dxfId="629" priority="282" operator="containsText" text="Въезд на второстепенную дорогу">
      <formula>NOT(ISERROR(SEARCH("Въезд на второстепенную дорогу",A2347)))</formula>
    </cfRule>
  </conditionalFormatting>
  <conditionalFormatting sqref="B2382">
    <cfRule type="containsText" dxfId="628" priority="262" operator="containsText" text="Трактор базы">
      <formula>NOT(ISERROR(SEARCH("Трактор базы",B2382)))</formula>
    </cfRule>
  </conditionalFormatting>
  <conditionalFormatting sqref="B2348:B2349">
    <cfRule type="containsText" dxfId="627" priority="280" operator="containsText" text="Выезд с территории">
      <formula>NOT(ISERROR(SEARCH("Выезд с территории",B2348)))</formula>
    </cfRule>
  </conditionalFormatting>
  <conditionalFormatting sqref="B2348:B2349">
    <cfRule type="containsText" dxfId="626" priority="278" operator="containsText" text="Газель базы">
      <formula>NOT(ISERROR(SEARCH("Газель базы",B2348)))</formula>
    </cfRule>
    <cfRule type="containsText" dxfId="625" priority="279" operator="containsText" text="Погрузчик базы">
      <formula>NOT(ISERROR(SEARCH("Погрузчик базы",B2348)))</formula>
    </cfRule>
  </conditionalFormatting>
  <conditionalFormatting sqref="B2348:B2349">
    <cfRule type="containsText" dxfId="624" priority="277" operator="containsText" text="Трактор базы">
      <formula>NOT(ISERROR(SEARCH("Трактор базы",B2348)))</formula>
    </cfRule>
  </conditionalFormatting>
  <conditionalFormatting sqref="A2350">
    <cfRule type="containsText" dxfId="623" priority="274" operator="containsText" text="Выезд со второстепенной дороги">
      <formula>NOT(ISERROR(SEARCH("Выезд со второстепенной дороги",A2350)))</formula>
    </cfRule>
  </conditionalFormatting>
  <conditionalFormatting sqref="A2350">
    <cfRule type="containsText" dxfId="622" priority="276" operator="containsText" text="Выезд с территории">
      <formula>NOT(ISERROR(SEARCH("Выезд с территории",A2350)))</formula>
    </cfRule>
  </conditionalFormatting>
  <conditionalFormatting sqref="A2350">
    <cfRule type="containsText" dxfId="621" priority="275" operator="containsText" text="Въезд на второстепенную дорогу">
      <formula>NOT(ISERROR(SEARCH("Въезд на второстепенную дорогу",A2350)))</formula>
    </cfRule>
  </conditionalFormatting>
  <conditionalFormatting sqref="B2352:B2354">
    <cfRule type="containsText" dxfId="620" priority="273" operator="containsText" text="Выезд с территории">
      <formula>NOT(ISERROR(SEARCH("Выезд с территории",B2352)))</formula>
    </cfRule>
  </conditionalFormatting>
  <conditionalFormatting sqref="B2352:B2354">
    <cfRule type="containsText" dxfId="619" priority="271" operator="containsText" text="Газель базы">
      <formula>NOT(ISERROR(SEARCH("Газель базы",B2352)))</formula>
    </cfRule>
    <cfRule type="containsText" dxfId="618" priority="272" operator="containsText" text="Погрузчик базы">
      <formula>NOT(ISERROR(SEARCH("Погрузчик базы",B2352)))</formula>
    </cfRule>
  </conditionalFormatting>
  <conditionalFormatting sqref="B2352:B2354">
    <cfRule type="containsText" dxfId="617" priority="270" operator="containsText" text="Трактор базы">
      <formula>NOT(ISERROR(SEARCH("Трактор базы",B2352)))</formula>
    </cfRule>
  </conditionalFormatting>
  <conditionalFormatting sqref="B2358">
    <cfRule type="containsText" dxfId="616" priority="269" operator="containsText" text="Выезд с территории">
      <formula>NOT(ISERROR(SEARCH("Выезд с территории",B2358)))</formula>
    </cfRule>
  </conditionalFormatting>
  <conditionalFormatting sqref="B2358">
    <cfRule type="containsText" dxfId="615" priority="267" operator="containsText" text="Газель базы">
      <formula>NOT(ISERROR(SEARCH("Газель базы",B2358)))</formula>
    </cfRule>
    <cfRule type="containsText" dxfId="614" priority="268" operator="containsText" text="Погрузчик базы">
      <formula>NOT(ISERROR(SEARCH("Погрузчик базы",B2358)))</formula>
    </cfRule>
  </conditionalFormatting>
  <conditionalFormatting sqref="B2358">
    <cfRule type="containsText" dxfId="613" priority="266" operator="containsText" text="Трактор базы">
      <formula>NOT(ISERROR(SEARCH("Трактор базы",B2358)))</formula>
    </cfRule>
  </conditionalFormatting>
  <conditionalFormatting sqref="B2382">
    <cfRule type="containsText" dxfId="612" priority="265" operator="containsText" text="Выезд с территории">
      <formula>NOT(ISERROR(SEARCH("Выезд с территории",B2382)))</formula>
    </cfRule>
  </conditionalFormatting>
  <conditionalFormatting sqref="B2382">
    <cfRule type="containsText" dxfId="611" priority="263" operator="containsText" text="Газель базы">
      <formula>NOT(ISERROR(SEARCH("Газель базы",B2382)))</formula>
    </cfRule>
    <cfRule type="containsText" dxfId="610" priority="264" operator="containsText" text="Погрузчик базы">
      <formula>NOT(ISERROR(SEARCH("Погрузчик базы",B2382)))</formula>
    </cfRule>
  </conditionalFormatting>
  <conditionalFormatting sqref="B2423:B2424">
    <cfRule type="containsText" dxfId="609" priority="261" operator="containsText" text="Выезд с территории">
      <formula>NOT(ISERROR(SEARCH("Выезд с территории",B2423)))</formula>
    </cfRule>
  </conditionalFormatting>
  <conditionalFormatting sqref="B2423:B2424">
    <cfRule type="containsText" dxfId="608" priority="259" operator="containsText" text="Газель базы">
      <formula>NOT(ISERROR(SEARCH("Газель базы",B2423)))</formula>
    </cfRule>
    <cfRule type="containsText" dxfId="607" priority="260" operator="containsText" text="Погрузчик базы">
      <formula>NOT(ISERROR(SEARCH("Погрузчик базы",B2423)))</formula>
    </cfRule>
  </conditionalFormatting>
  <conditionalFormatting sqref="B2423:B2424">
    <cfRule type="containsText" dxfId="606" priority="258" operator="containsText" text="Трактор базы">
      <formula>NOT(ISERROR(SEARCH("Трактор базы",B2423)))</formula>
    </cfRule>
  </conditionalFormatting>
  <conditionalFormatting sqref="B2431">
    <cfRule type="containsText" dxfId="605" priority="257" operator="containsText" text="Выезд с территории">
      <formula>NOT(ISERROR(SEARCH("Выезд с территории",B2431)))</formula>
    </cfRule>
  </conditionalFormatting>
  <conditionalFormatting sqref="B2431">
    <cfRule type="containsText" dxfId="604" priority="255" operator="containsText" text="Газель базы">
      <formula>NOT(ISERROR(SEARCH("Газель базы",B2431)))</formula>
    </cfRule>
    <cfRule type="containsText" dxfId="603" priority="256" operator="containsText" text="Погрузчик базы">
      <formula>NOT(ISERROR(SEARCH("Погрузчик базы",B2431)))</formula>
    </cfRule>
  </conditionalFormatting>
  <conditionalFormatting sqref="B2431">
    <cfRule type="containsText" dxfId="602" priority="254" operator="containsText" text="Трактор базы">
      <formula>NOT(ISERROR(SEARCH("Трактор базы",B2431)))</formula>
    </cfRule>
  </conditionalFormatting>
  <conditionalFormatting sqref="B2478">
    <cfRule type="containsText" dxfId="601" priority="242" operator="containsText" text="Трактор базы">
      <formula>NOT(ISERROR(SEARCH("Трактор базы",B2478)))</formula>
    </cfRule>
  </conditionalFormatting>
  <conditionalFormatting sqref="B2462:B2463">
    <cfRule type="containsText" dxfId="600" priority="253" operator="containsText" text="Выезд с территории">
      <formula>NOT(ISERROR(SEARCH("Выезд с территории",B2462)))</formula>
    </cfRule>
  </conditionalFormatting>
  <conditionalFormatting sqref="B2462:B2463">
    <cfRule type="containsText" dxfId="599" priority="251" operator="containsText" text="Газель базы">
      <formula>NOT(ISERROR(SEARCH("Газель базы",B2462)))</formula>
    </cfRule>
    <cfRule type="containsText" dxfId="598" priority="252" operator="containsText" text="Погрузчик базы">
      <formula>NOT(ISERROR(SEARCH("Погрузчик базы",B2462)))</formula>
    </cfRule>
  </conditionalFormatting>
  <conditionalFormatting sqref="B2462:B2463">
    <cfRule type="containsText" dxfId="597" priority="250" operator="containsText" text="Трактор базы">
      <formula>NOT(ISERROR(SEARCH("Трактор базы",B2462)))</formula>
    </cfRule>
  </conditionalFormatting>
  <conditionalFormatting sqref="B2467">
    <cfRule type="containsText" dxfId="596" priority="249" operator="containsText" text="Выезд с территории">
      <formula>NOT(ISERROR(SEARCH("Выезд с территории",B2467)))</formula>
    </cfRule>
  </conditionalFormatting>
  <conditionalFormatting sqref="B2467">
    <cfRule type="containsText" dxfId="595" priority="247" operator="containsText" text="Газель базы">
      <formula>NOT(ISERROR(SEARCH("Газель базы",B2467)))</formula>
    </cfRule>
    <cfRule type="containsText" dxfId="594" priority="248" operator="containsText" text="Погрузчик базы">
      <formula>NOT(ISERROR(SEARCH("Погрузчик базы",B2467)))</formula>
    </cfRule>
  </conditionalFormatting>
  <conditionalFormatting sqref="B2467">
    <cfRule type="containsText" dxfId="593" priority="246" operator="containsText" text="Трактор базы">
      <formula>NOT(ISERROR(SEARCH("Трактор базы",B2467)))</formula>
    </cfRule>
  </conditionalFormatting>
  <conditionalFormatting sqref="B2478">
    <cfRule type="containsText" dxfId="592" priority="245" operator="containsText" text="Выезд с территории">
      <formula>NOT(ISERROR(SEARCH("Выезд с территории",B2478)))</formula>
    </cfRule>
  </conditionalFormatting>
  <conditionalFormatting sqref="B2478">
    <cfRule type="containsText" dxfId="591" priority="243" operator="containsText" text="Газель базы">
      <formula>NOT(ISERROR(SEARCH("Газель базы",B2478)))</formula>
    </cfRule>
    <cfRule type="containsText" dxfId="590" priority="244" operator="containsText" text="Погрузчик базы">
      <formula>NOT(ISERROR(SEARCH("Погрузчик базы",B2478)))</formula>
    </cfRule>
  </conditionalFormatting>
  <conditionalFormatting sqref="B2499">
    <cfRule type="containsText" dxfId="589" priority="230" operator="containsText" text="Трактор базы">
      <formula>NOT(ISERROR(SEARCH("Трактор базы",B2499)))</formula>
    </cfRule>
  </conditionalFormatting>
  <conditionalFormatting sqref="B2497">
    <cfRule type="containsText" dxfId="588" priority="241" operator="containsText" text="Выезд с территории">
      <formula>NOT(ISERROR(SEARCH("Выезд с территории",B2497)))</formula>
    </cfRule>
  </conditionalFormatting>
  <conditionalFormatting sqref="B2497">
    <cfRule type="containsText" dxfId="587" priority="239" operator="containsText" text="Газель базы">
      <formula>NOT(ISERROR(SEARCH("Газель базы",B2497)))</formula>
    </cfRule>
    <cfRule type="containsText" dxfId="586" priority="240" operator="containsText" text="Погрузчик базы">
      <formula>NOT(ISERROR(SEARCH("Погрузчик базы",B2497)))</formula>
    </cfRule>
  </conditionalFormatting>
  <conditionalFormatting sqref="B2497">
    <cfRule type="containsText" dxfId="585" priority="238" operator="containsText" text="Трактор базы">
      <formula>NOT(ISERROR(SEARCH("Трактор базы",B2497)))</formula>
    </cfRule>
  </conditionalFormatting>
  <conditionalFormatting sqref="B2498">
    <cfRule type="containsText" dxfId="584" priority="237" operator="containsText" text="Выезд с территории">
      <formula>NOT(ISERROR(SEARCH("Выезд с территории",B2498)))</formula>
    </cfRule>
  </conditionalFormatting>
  <conditionalFormatting sqref="B2498">
    <cfRule type="containsText" dxfId="583" priority="235" operator="containsText" text="Газель базы">
      <formula>NOT(ISERROR(SEARCH("Газель базы",B2498)))</formula>
    </cfRule>
    <cfRule type="containsText" dxfId="582" priority="236" operator="containsText" text="Погрузчик базы">
      <formula>NOT(ISERROR(SEARCH("Погрузчик базы",B2498)))</formula>
    </cfRule>
  </conditionalFormatting>
  <conditionalFormatting sqref="B2498">
    <cfRule type="containsText" dxfId="581" priority="234" operator="containsText" text="Трактор базы">
      <formula>NOT(ISERROR(SEARCH("Трактор базы",B2498)))</formula>
    </cfRule>
  </conditionalFormatting>
  <conditionalFormatting sqref="B2499">
    <cfRule type="containsText" dxfId="580" priority="233" operator="containsText" text="Выезд с территории">
      <formula>NOT(ISERROR(SEARCH("Выезд с территории",B2499)))</formula>
    </cfRule>
  </conditionalFormatting>
  <conditionalFormatting sqref="B2499">
    <cfRule type="containsText" dxfId="579" priority="231" operator="containsText" text="Газель базы">
      <formula>NOT(ISERROR(SEARCH("Газель базы",B2499)))</formula>
    </cfRule>
    <cfRule type="containsText" dxfId="578" priority="232" operator="containsText" text="Погрузчик базы">
      <formula>NOT(ISERROR(SEARCH("Погрузчик базы",B2499)))</formula>
    </cfRule>
  </conditionalFormatting>
  <conditionalFormatting sqref="B2512:B2513">
    <cfRule type="containsText" dxfId="577" priority="204" operator="containsText" text="Трактор базы">
      <formula>NOT(ISERROR(SEARCH("Трактор базы",B2512)))</formula>
    </cfRule>
  </conditionalFormatting>
  <conditionalFormatting sqref="B2500">
    <cfRule type="containsText" dxfId="576" priority="229" operator="containsText" text="Выезд с территории">
      <formula>NOT(ISERROR(SEARCH("Выезд с территории",B2500)))</formula>
    </cfRule>
  </conditionalFormatting>
  <conditionalFormatting sqref="B2500">
    <cfRule type="containsText" dxfId="575" priority="227" operator="containsText" text="Газель базы">
      <formula>NOT(ISERROR(SEARCH("Газель базы",B2500)))</formula>
    </cfRule>
    <cfRule type="containsText" dxfId="574" priority="228" operator="containsText" text="Погрузчик базы">
      <formula>NOT(ISERROR(SEARCH("Погрузчик базы",B2500)))</formula>
    </cfRule>
  </conditionalFormatting>
  <conditionalFormatting sqref="B2500">
    <cfRule type="containsText" dxfId="573" priority="226" operator="containsText" text="Трактор базы">
      <formula>NOT(ISERROR(SEARCH("Трактор базы",B2500)))</formula>
    </cfRule>
  </conditionalFormatting>
  <conditionalFormatting sqref="B2501">
    <cfRule type="containsText" dxfId="572" priority="225" operator="containsText" text="Выезд с территории">
      <formula>NOT(ISERROR(SEARCH("Выезд с территории",B2501)))</formula>
    </cfRule>
  </conditionalFormatting>
  <conditionalFormatting sqref="B2501">
    <cfRule type="containsText" dxfId="571" priority="223" operator="containsText" text="Газель базы">
      <formula>NOT(ISERROR(SEARCH("Газель базы",B2501)))</formula>
    </cfRule>
    <cfRule type="containsText" dxfId="570" priority="224" operator="containsText" text="Погрузчик базы">
      <formula>NOT(ISERROR(SEARCH("Погрузчик базы",B2501)))</formula>
    </cfRule>
  </conditionalFormatting>
  <conditionalFormatting sqref="B2501">
    <cfRule type="containsText" dxfId="569" priority="222" operator="containsText" text="Трактор базы">
      <formula>NOT(ISERROR(SEARCH("Трактор базы",B2501)))</formula>
    </cfRule>
  </conditionalFormatting>
  <conditionalFormatting sqref="B2502">
    <cfRule type="containsText" dxfId="568" priority="218" operator="containsText" text="Трактор базы">
      <formula>NOT(ISERROR(SEARCH("Трактор базы",B2502)))</formula>
    </cfRule>
  </conditionalFormatting>
  <conditionalFormatting sqref="B2502">
    <cfRule type="containsText" dxfId="567" priority="221" operator="containsText" text="Выезд с территории">
      <formula>NOT(ISERROR(SEARCH("Выезд с территории",B2502)))</formula>
    </cfRule>
  </conditionalFormatting>
  <conditionalFormatting sqref="B2502">
    <cfRule type="containsText" dxfId="566" priority="219" operator="containsText" text="Газель базы">
      <formula>NOT(ISERROR(SEARCH("Газель базы",B2502)))</formula>
    </cfRule>
    <cfRule type="containsText" dxfId="565" priority="220" operator="containsText" text="Погрузчик базы">
      <formula>NOT(ISERROR(SEARCH("Погрузчик базы",B2502)))</formula>
    </cfRule>
  </conditionalFormatting>
  <conditionalFormatting sqref="A2503:A2504">
    <cfRule type="containsText" dxfId="564" priority="215" operator="containsText" text="Выезд со второстепенной дороги">
      <formula>NOT(ISERROR(SEARCH("Выезд со второстепенной дороги",A2503)))</formula>
    </cfRule>
  </conditionalFormatting>
  <conditionalFormatting sqref="A2503:A2504">
    <cfRule type="containsText" dxfId="563" priority="217" operator="containsText" text="Выезд с территории">
      <formula>NOT(ISERROR(SEARCH("Выезд с территории",A2503)))</formula>
    </cfRule>
  </conditionalFormatting>
  <conditionalFormatting sqref="A2503:A2504">
    <cfRule type="containsText" dxfId="562" priority="216" operator="containsText" text="Въезд на второстепенную дорогу">
      <formula>NOT(ISERROR(SEARCH("Въезд на второстепенную дорогу",A2503)))</formula>
    </cfRule>
  </conditionalFormatting>
  <conditionalFormatting sqref="A2506 A2554:A2557 A2647:A2649 A2704">
    <cfRule type="containsText" dxfId="561" priority="212" operator="containsText" text="Выезд со второстепенной дороги">
      <formula>NOT(ISERROR(SEARCH("Выезд со второстепенной дороги",A2506)))</formula>
    </cfRule>
  </conditionalFormatting>
  <conditionalFormatting sqref="A2506 A2554:A2557 A2647:A2649 A2704">
    <cfRule type="containsText" dxfId="560" priority="214" operator="containsText" text="Выезд с территории">
      <formula>NOT(ISERROR(SEARCH("Выезд с территории",A2506)))</formula>
    </cfRule>
  </conditionalFormatting>
  <conditionalFormatting sqref="A2506 A2554:A2557 A2647:A2649 A2704">
    <cfRule type="containsText" dxfId="559" priority="213" operator="containsText" text="Въезд на второстепенную дорогу">
      <formula>NOT(ISERROR(SEARCH("Въезд на второстепенную дорогу",A2506)))</formula>
    </cfRule>
  </conditionalFormatting>
  <conditionalFormatting sqref="B2509">
    <cfRule type="containsText" dxfId="558" priority="211" operator="containsText" text="Выезд с территории">
      <formula>NOT(ISERROR(SEARCH("Выезд с территории",B2509)))</formula>
    </cfRule>
  </conditionalFormatting>
  <conditionalFormatting sqref="B2509">
    <cfRule type="containsText" dxfId="557" priority="209" operator="containsText" text="Газель базы">
      <formula>NOT(ISERROR(SEARCH("Газель базы",B2509)))</formula>
    </cfRule>
    <cfRule type="containsText" dxfId="556" priority="210" operator="containsText" text="Погрузчик базы">
      <formula>NOT(ISERROR(SEARCH("Погрузчик базы",B2509)))</formula>
    </cfRule>
  </conditionalFormatting>
  <conditionalFormatting sqref="B2509">
    <cfRule type="containsText" dxfId="555" priority="208" operator="containsText" text="Трактор базы">
      <formula>NOT(ISERROR(SEARCH("Трактор базы",B2509)))</formula>
    </cfRule>
  </conditionalFormatting>
  <conditionalFormatting sqref="B2512:B2513">
    <cfRule type="containsText" dxfId="554" priority="207" operator="containsText" text="Выезд с территории">
      <formula>NOT(ISERROR(SEARCH("Выезд с территории",B2512)))</formula>
    </cfRule>
  </conditionalFormatting>
  <conditionalFormatting sqref="B2512:B2513">
    <cfRule type="containsText" dxfId="553" priority="205" operator="containsText" text="Газель базы">
      <formula>NOT(ISERROR(SEARCH("Газель базы",B2512)))</formula>
    </cfRule>
    <cfRule type="containsText" dxfId="552" priority="206" operator="containsText" text="Погрузчик базы">
      <formula>NOT(ISERROR(SEARCH("Погрузчик базы",B2512)))</formula>
    </cfRule>
  </conditionalFormatting>
  <conditionalFormatting sqref="E2586">
    <cfRule type="containsText" dxfId="551" priority="203" operator="containsText" text="Выезд с территории">
      <formula>NOT(ISERROR(SEARCH("Выезд с территории",E2586)))</formula>
    </cfRule>
  </conditionalFormatting>
  <conditionalFormatting sqref="A2710">
    <cfRule type="containsText" dxfId="550" priority="200" operator="containsText" text="Выезд со второстепенной дороги">
      <formula>NOT(ISERROR(SEARCH("Выезд со второстепенной дороги",A2710)))</formula>
    </cfRule>
  </conditionalFormatting>
  <conditionalFormatting sqref="A2710">
    <cfRule type="containsText" dxfId="549" priority="202" operator="containsText" text="Выезд с территории">
      <formula>NOT(ISERROR(SEARCH("Выезд с территории",A2710)))</formula>
    </cfRule>
  </conditionalFormatting>
  <conditionalFormatting sqref="A2710">
    <cfRule type="containsText" dxfId="548" priority="201" operator="containsText" text="Въезд на второстепенную дорогу">
      <formula>NOT(ISERROR(SEARCH("Въезд на второстепенную дорогу",A2710)))</formula>
    </cfRule>
  </conditionalFormatting>
  <conditionalFormatting sqref="B2810:B2811">
    <cfRule type="containsText" dxfId="547" priority="199" operator="containsText" text="Выезд с территории">
      <formula>NOT(ISERROR(SEARCH("Выезд с территории",B2810)))</formula>
    </cfRule>
  </conditionalFormatting>
  <conditionalFormatting sqref="B2810:B2811">
    <cfRule type="containsText" dxfId="546" priority="197" operator="containsText" text="Газель базы">
      <formula>NOT(ISERROR(SEARCH("Газель базы",B2810)))</formula>
    </cfRule>
    <cfRule type="containsText" dxfId="545" priority="198" operator="containsText" text="Погрузчик базы">
      <formula>NOT(ISERROR(SEARCH("Погрузчик базы",B2810)))</formula>
    </cfRule>
  </conditionalFormatting>
  <conditionalFormatting sqref="B2810:B2811">
    <cfRule type="containsText" dxfId="544" priority="196" operator="containsText" text="Трактор базы">
      <formula>NOT(ISERROR(SEARCH("Трактор базы",B2810)))</formula>
    </cfRule>
  </conditionalFormatting>
  <conditionalFormatting sqref="B2923:B2927">
    <cfRule type="containsText" dxfId="543" priority="192" operator="containsText" text="Трактор базы">
      <formula>NOT(ISERROR(SEARCH("Трактор базы",B2923)))</formula>
    </cfRule>
  </conditionalFormatting>
  <conditionalFormatting sqref="B2923:B2927">
    <cfRule type="containsText" dxfId="542" priority="195" operator="containsText" text="Выезд с территории">
      <formula>NOT(ISERROR(SEARCH("Выезд с территории",B2923)))</formula>
    </cfRule>
  </conditionalFormatting>
  <conditionalFormatting sqref="B2923:B2927">
    <cfRule type="containsText" dxfId="541" priority="193" operator="containsText" text="Газель базы">
      <formula>NOT(ISERROR(SEARCH("Газель базы",B2923)))</formula>
    </cfRule>
    <cfRule type="containsText" dxfId="540" priority="194" operator="containsText" text="Погрузчик базы">
      <formula>NOT(ISERROR(SEARCH("Погрузчик базы",B2923)))</formula>
    </cfRule>
  </conditionalFormatting>
  <conditionalFormatting sqref="A2991">
    <cfRule type="containsText" dxfId="539" priority="191" operator="containsText" text="Выезд с территории">
      <formula>NOT(ISERROR(SEARCH("Выезд с территории",A2991)))</formula>
    </cfRule>
  </conditionalFormatting>
  <conditionalFormatting sqref="A2991">
    <cfRule type="containsText" dxfId="538" priority="190" operator="containsText" text="Въезд на второстепенную дорогу">
      <formula>NOT(ISERROR(SEARCH("Въезд на второстепенную дорогу",A2991)))</formula>
    </cfRule>
  </conditionalFormatting>
  <conditionalFormatting sqref="A2991">
    <cfRule type="containsText" dxfId="537" priority="189" operator="containsText" text="Выезд со второстепенной дороги">
      <formula>NOT(ISERROR(SEARCH("Выезд со второстепенной дороги",A2991)))</formula>
    </cfRule>
  </conditionalFormatting>
  <conditionalFormatting sqref="B2993">
    <cfRule type="containsText" dxfId="536" priority="188" operator="containsText" text="Выезд с территории">
      <formula>NOT(ISERROR(SEARCH("Выезд с территории",B2993)))</formula>
    </cfRule>
  </conditionalFormatting>
  <conditionalFormatting sqref="B2993">
    <cfRule type="containsText" dxfId="535" priority="186" operator="containsText" text="Газель базы">
      <formula>NOT(ISERROR(SEARCH("Газель базы",B2993)))</formula>
    </cfRule>
    <cfRule type="containsText" dxfId="534" priority="187" operator="containsText" text="Погрузчик базы">
      <formula>NOT(ISERROR(SEARCH("Погрузчик базы",B2993)))</formula>
    </cfRule>
  </conditionalFormatting>
  <conditionalFormatting sqref="B2993">
    <cfRule type="containsText" dxfId="533" priority="185" operator="containsText" text="Трактор базы">
      <formula>NOT(ISERROR(SEARCH("Трактор базы",B2993)))</formula>
    </cfRule>
  </conditionalFormatting>
  <conditionalFormatting sqref="B2995">
    <cfRule type="containsText" dxfId="532" priority="181" operator="containsText" text="Трактор базы">
      <formula>NOT(ISERROR(SEARCH("Трактор базы",B2995)))</formula>
    </cfRule>
  </conditionalFormatting>
  <conditionalFormatting sqref="B2995">
    <cfRule type="containsText" dxfId="531" priority="184" operator="containsText" text="Выезд с территории">
      <formula>NOT(ISERROR(SEARCH("Выезд с территории",B2995)))</formula>
    </cfRule>
  </conditionalFormatting>
  <conditionalFormatting sqref="B2995">
    <cfRule type="containsText" dxfId="530" priority="182" operator="containsText" text="Газель базы">
      <formula>NOT(ISERROR(SEARCH("Газель базы",B2995)))</formula>
    </cfRule>
    <cfRule type="containsText" dxfId="529" priority="183" operator="containsText" text="Погрузчик базы">
      <formula>NOT(ISERROR(SEARCH("Погрузчик базы",B2995)))</formula>
    </cfRule>
  </conditionalFormatting>
  <conditionalFormatting sqref="A3008">
    <cfRule type="containsText" dxfId="528" priority="178" operator="containsText" text="Выезд со второстепенной дороги">
      <formula>NOT(ISERROR(SEARCH("Выезд со второстепенной дороги",A3008)))</formula>
    </cfRule>
  </conditionalFormatting>
  <conditionalFormatting sqref="A3008">
    <cfRule type="containsText" dxfId="527" priority="180" operator="containsText" text="Выезд с территории">
      <formula>NOT(ISERROR(SEARCH("Выезд с территории",A3008)))</formula>
    </cfRule>
  </conditionalFormatting>
  <conditionalFormatting sqref="A3008">
    <cfRule type="containsText" dxfId="526" priority="179" operator="containsText" text="Въезд на второстепенную дорогу">
      <formula>NOT(ISERROR(SEARCH("Въезд на второстепенную дорогу",A3008)))</formula>
    </cfRule>
  </conditionalFormatting>
  <conditionalFormatting sqref="A3045">
    <cfRule type="containsText" dxfId="525" priority="175" operator="containsText" text="Выезд со второстепенной дороги">
      <formula>NOT(ISERROR(SEARCH("Выезд со второстепенной дороги",A3045)))</formula>
    </cfRule>
  </conditionalFormatting>
  <conditionalFormatting sqref="A3045">
    <cfRule type="containsText" dxfId="524" priority="177" operator="containsText" text="Выезд с территории">
      <formula>NOT(ISERROR(SEARCH("Выезд с территории",A3045)))</formula>
    </cfRule>
  </conditionalFormatting>
  <conditionalFormatting sqref="A3045">
    <cfRule type="containsText" dxfId="523" priority="176" operator="containsText" text="Въезд на второстепенную дорогу">
      <formula>NOT(ISERROR(SEARCH("Въезд на второстепенную дорогу",A3045)))</formula>
    </cfRule>
  </conditionalFormatting>
  <conditionalFormatting sqref="A3063:A3064 A3133">
    <cfRule type="containsText" dxfId="522" priority="172" operator="containsText" text="Выезд со второстепенной дороги">
      <formula>NOT(ISERROR(SEARCH("Выезд со второстепенной дороги",A3063)))</formula>
    </cfRule>
  </conditionalFormatting>
  <conditionalFormatting sqref="A3063:A3064 A3133">
    <cfRule type="containsText" dxfId="521" priority="174" operator="containsText" text="Выезд с территории">
      <formula>NOT(ISERROR(SEARCH("Выезд с территории",A3063)))</formula>
    </cfRule>
  </conditionalFormatting>
  <conditionalFormatting sqref="A3063:A3064 A3133">
    <cfRule type="containsText" dxfId="520" priority="173" operator="containsText" text="Въезд на второстепенную дорогу">
      <formula>NOT(ISERROR(SEARCH("Въезд на второстепенную дорогу",A3063)))</formula>
    </cfRule>
  </conditionalFormatting>
  <conditionalFormatting sqref="B3150:B3151">
    <cfRule type="containsText" dxfId="519" priority="168" operator="containsText" text="Трактор базы">
      <formula>NOT(ISERROR(SEARCH("Трактор базы",B3150)))</formula>
    </cfRule>
  </conditionalFormatting>
  <conditionalFormatting sqref="B3203">
    <cfRule type="containsText" dxfId="518" priority="160" operator="containsText" text="Трактор базы">
      <formula>NOT(ISERROR(SEARCH("Трактор базы",B3203)))</formula>
    </cfRule>
  </conditionalFormatting>
  <conditionalFormatting sqref="B3150:B3151">
    <cfRule type="containsText" dxfId="517" priority="171" operator="containsText" text="Выезд с территории">
      <formula>NOT(ISERROR(SEARCH("Выезд с территории",B3150)))</formula>
    </cfRule>
  </conditionalFormatting>
  <conditionalFormatting sqref="B3150:B3151">
    <cfRule type="containsText" dxfId="516" priority="169" operator="containsText" text="Газель базы">
      <formula>NOT(ISERROR(SEARCH("Газель базы",B3150)))</formula>
    </cfRule>
    <cfRule type="containsText" dxfId="515" priority="170" operator="containsText" text="Погрузчик базы">
      <formula>NOT(ISERROR(SEARCH("Погрузчик базы",B3150)))</formula>
    </cfRule>
  </conditionalFormatting>
  <conditionalFormatting sqref="B3201">
    <cfRule type="containsText" dxfId="514" priority="164" operator="containsText" text="Трактор базы">
      <formula>NOT(ISERROR(SEARCH("Трактор базы",B3201)))</formula>
    </cfRule>
  </conditionalFormatting>
  <conditionalFormatting sqref="B3201">
    <cfRule type="containsText" dxfId="513" priority="167" operator="containsText" text="Выезд с территории">
      <formula>NOT(ISERROR(SEARCH("Выезд с территории",B3201)))</formula>
    </cfRule>
  </conditionalFormatting>
  <conditionalFormatting sqref="B3201">
    <cfRule type="containsText" dxfId="512" priority="165" operator="containsText" text="Газель базы">
      <formula>NOT(ISERROR(SEARCH("Газель базы",B3201)))</formula>
    </cfRule>
    <cfRule type="containsText" dxfId="511" priority="166" operator="containsText" text="Погрузчик базы">
      <formula>NOT(ISERROR(SEARCH("Погрузчик базы",B3201)))</formula>
    </cfRule>
  </conditionalFormatting>
  <conditionalFormatting sqref="B3203">
    <cfRule type="containsText" dxfId="510" priority="163" operator="containsText" text="Выезд с территории">
      <formula>NOT(ISERROR(SEARCH("Выезд с территории",B3203)))</formula>
    </cfRule>
  </conditionalFormatting>
  <conditionalFormatting sqref="B3203">
    <cfRule type="containsText" dxfId="509" priority="161" operator="containsText" text="Газель базы">
      <formula>NOT(ISERROR(SEARCH("Газель базы",B3203)))</formula>
    </cfRule>
    <cfRule type="containsText" dxfId="508" priority="162" operator="containsText" text="Погрузчик базы">
      <formula>NOT(ISERROR(SEARCH("Погрузчик базы",B3203)))</formula>
    </cfRule>
  </conditionalFormatting>
  <conditionalFormatting sqref="B3227:B3229">
    <cfRule type="containsText" dxfId="507" priority="159" operator="containsText" text="Выезд с территории">
      <formula>NOT(ISERROR(SEARCH("Выезд с территории",B3227)))</formula>
    </cfRule>
  </conditionalFormatting>
  <conditionalFormatting sqref="B3227:B3229">
    <cfRule type="containsText" dxfId="506" priority="157" operator="containsText" text="Газель базы">
      <formula>NOT(ISERROR(SEARCH("Газель базы",B3227)))</formula>
    </cfRule>
    <cfRule type="containsText" dxfId="505" priority="158" operator="containsText" text="Погрузчик базы">
      <formula>NOT(ISERROR(SEARCH("Погрузчик базы",B3227)))</formula>
    </cfRule>
  </conditionalFormatting>
  <conditionalFormatting sqref="B3227:B3229">
    <cfRule type="containsText" dxfId="504" priority="156" operator="containsText" text="Трактор базы">
      <formula>NOT(ISERROR(SEARCH("Трактор базы",B3227)))</formula>
    </cfRule>
  </conditionalFormatting>
  <conditionalFormatting sqref="B3259:B3261">
    <cfRule type="containsText" dxfId="503" priority="155" operator="containsText" text="Выезд с территории">
      <formula>NOT(ISERROR(SEARCH("Выезд с территории",B3259)))</formula>
    </cfRule>
  </conditionalFormatting>
  <conditionalFormatting sqref="B3259:B3261">
    <cfRule type="containsText" dxfId="502" priority="153" operator="containsText" text="Газель базы">
      <formula>NOT(ISERROR(SEARCH("Газель базы",B3259)))</formula>
    </cfRule>
    <cfRule type="containsText" dxfId="501" priority="154" operator="containsText" text="Погрузчик базы">
      <formula>NOT(ISERROR(SEARCH("Погрузчик базы",B3259)))</formula>
    </cfRule>
  </conditionalFormatting>
  <conditionalFormatting sqref="B3259:B3261">
    <cfRule type="containsText" dxfId="500" priority="152" operator="containsText" text="Трактор базы">
      <formula>NOT(ISERROR(SEARCH("Трактор базы",B3259)))</formula>
    </cfRule>
  </conditionalFormatting>
  <conditionalFormatting sqref="A3335:A3336 A3373:A3374">
    <cfRule type="containsText" dxfId="499" priority="146" operator="containsText" text="Выезд со второстепенной дороги">
      <formula>NOT(ISERROR(SEARCH("Выезд со второстепенной дороги",A3335)))</formula>
    </cfRule>
  </conditionalFormatting>
  <conditionalFormatting sqref="A3335:A3336 A3373:A3374">
    <cfRule type="containsText" dxfId="498" priority="148" operator="containsText" text="Выезд с территории">
      <formula>NOT(ISERROR(SEARCH("Выезд с территории",A3335)))</formula>
    </cfRule>
  </conditionalFormatting>
  <conditionalFormatting sqref="A3335:A3336 A3373:A3374">
    <cfRule type="containsText" dxfId="497" priority="147" operator="containsText" text="Въезд на второстепенную дорогу">
      <formula>NOT(ISERROR(SEARCH("Въезд на второстепенную дорогу",A3335)))</formula>
    </cfRule>
  </conditionalFormatting>
  <conditionalFormatting sqref="A3341:A3342">
    <cfRule type="containsText" dxfId="496" priority="143" operator="containsText" text="Выезд со второстепенной дороги">
      <formula>NOT(ISERROR(SEARCH("Выезд со второстепенной дороги",A3341)))</formula>
    </cfRule>
  </conditionalFormatting>
  <conditionalFormatting sqref="A3341:A3342">
    <cfRule type="containsText" dxfId="495" priority="145" operator="containsText" text="Выезд с территории">
      <formula>NOT(ISERROR(SEARCH("Выезд с территории",A3341)))</formula>
    </cfRule>
  </conditionalFormatting>
  <conditionalFormatting sqref="A3341:A3342">
    <cfRule type="containsText" dxfId="494" priority="144" operator="containsText" text="Въезд на второстепенную дорогу">
      <formula>NOT(ISERROR(SEARCH("Въезд на второстепенную дорогу",A3341)))</formula>
    </cfRule>
  </conditionalFormatting>
  <conditionalFormatting sqref="A3364:B3364 B3365">
    <cfRule type="containsText" dxfId="493" priority="142" operator="containsText" text="Выезд с территории">
      <formula>NOT(ISERROR(SEARCH("Выезд с территории",A3364)))</formula>
    </cfRule>
  </conditionalFormatting>
  <conditionalFormatting sqref="B3364:B3365">
    <cfRule type="containsText" dxfId="492" priority="140" operator="containsText" text="Газель базы">
      <formula>NOT(ISERROR(SEARCH("Газель базы",B3364)))</formula>
    </cfRule>
    <cfRule type="containsText" dxfId="491" priority="141" operator="containsText" text="Погрузчик базы">
      <formula>NOT(ISERROR(SEARCH("Погрузчик базы",B3364)))</formula>
    </cfRule>
  </conditionalFormatting>
  <conditionalFormatting sqref="B3364:B3365">
    <cfRule type="containsText" dxfId="490" priority="139" operator="containsText" text="Трактор базы">
      <formula>NOT(ISERROR(SEARCH("Трактор базы",B3364)))</formula>
    </cfRule>
  </conditionalFormatting>
  <conditionalFormatting sqref="A3364">
    <cfRule type="containsText" dxfId="489" priority="138" operator="containsText" text="Въезд на второстепенную дорогу">
      <formula>NOT(ISERROR(SEARCH("Въезд на второстепенную дорогу",A3364)))</formula>
    </cfRule>
  </conditionalFormatting>
  <conditionalFormatting sqref="A3364">
    <cfRule type="containsText" dxfId="488" priority="137" operator="containsText" text="Выезд со второстепенной дороги">
      <formula>NOT(ISERROR(SEARCH("Выезд со второстепенной дороги",A3364)))</formula>
    </cfRule>
  </conditionalFormatting>
  <conditionalFormatting sqref="A3366:B3366">
    <cfRule type="containsText" dxfId="487" priority="136" operator="containsText" text="Выезд с территории">
      <formula>NOT(ISERROR(SEARCH("Выезд с территории",A3366)))</formula>
    </cfRule>
  </conditionalFormatting>
  <conditionalFormatting sqref="B3366">
    <cfRule type="containsText" dxfId="486" priority="134" operator="containsText" text="Газель базы">
      <formula>NOT(ISERROR(SEARCH("Газель базы",B3366)))</formula>
    </cfRule>
    <cfRule type="containsText" dxfId="485" priority="135" operator="containsText" text="Погрузчик базы">
      <formula>NOT(ISERROR(SEARCH("Погрузчик базы",B3366)))</formula>
    </cfRule>
  </conditionalFormatting>
  <conditionalFormatting sqref="B3366">
    <cfRule type="containsText" dxfId="484" priority="133" operator="containsText" text="Трактор базы">
      <formula>NOT(ISERROR(SEARCH("Трактор базы",B3366)))</formula>
    </cfRule>
  </conditionalFormatting>
  <conditionalFormatting sqref="A3366">
    <cfRule type="containsText" dxfId="483" priority="132" operator="containsText" text="Въезд на второстепенную дорогу">
      <formula>NOT(ISERROR(SEARCH("Въезд на второстепенную дорогу",A3366)))</formula>
    </cfRule>
  </conditionalFormatting>
  <conditionalFormatting sqref="A3366">
    <cfRule type="containsText" dxfId="482" priority="131" operator="containsText" text="Выезд со второстепенной дороги">
      <formula>NOT(ISERROR(SEARCH("Выезд со второстепенной дороги",A3366)))</formula>
    </cfRule>
  </conditionalFormatting>
  <conditionalFormatting sqref="B3367">
    <cfRule type="containsText" dxfId="481" priority="130" operator="containsText" text="Выезд с территории">
      <formula>NOT(ISERROR(SEARCH("Выезд с территории",B3367)))</formula>
    </cfRule>
  </conditionalFormatting>
  <conditionalFormatting sqref="B3367">
    <cfRule type="containsText" dxfId="480" priority="128" operator="containsText" text="Газель базы">
      <formula>NOT(ISERROR(SEARCH("Газель базы",B3367)))</formula>
    </cfRule>
    <cfRule type="containsText" dxfId="479" priority="129" operator="containsText" text="Погрузчик базы">
      <formula>NOT(ISERROR(SEARCH("Погрузчик базы",B3367)))</formula>
    </cfRule>
  </conditionalFormatting>
  <conditionalFormatting sqref="B3367">
    <cfRule type="containsText" dxfId="478" priority="127" operator="containsText" text="Трактор базы">
      <formula>NOT(ISERROR(SEARCH("Трактор базы",B3367)))</formula>
    </cfRule>
  </conditionalFormatting>
  <conditionalFormatting sqref="A3430:B3430">
    <cfRule type="containsText" dxfId="477" priority="126" operator="containsText" text="Выезд с территории">
      <formula>NOT(ISERROR(SEARCH("Выезд с территории",A3430)))</formula>
    </cfRule>
  </conditionalFormatting>
  <conditionalFormatting sqref="B3430">
    <cfRule type="containsText" dxfId="476" priority="124" operator="containsText" text="Газель базы">
      <formula>NOT(ISERROR(SEARCH("Газель базы",B3430)))</formula>
    </cfRule>
    <cfRule type="containsText" dxfId="475" priority="125" operator="containsText" text="Погрузчик базы">
      <formula>NOT(ISERROR(SEARCH("Погрузчик базы",B3430)))</formula>
    </cfRule>
  </conditionalFormatting>
  <conditionalFormatting sqref="B3430">
    <cfRule type="containsText" dxfId="474" priority="123" operator="containsText" text="Трактор базы">
      <formula>NOT(ISERROR(SEARCH("Трактор базы",B3430)))</formula>
    </cfRule>
  </conditionalFormatting>
  <conditionalFormatting sqref="A3430">
    <cfRule type="containsText" dxfId="473" priority="122" operator="containsText" text="Въезд на второстепенную дорогу">
      <formula>NOT(ISERROR(SEARCH("Въезд на второстепенную дорогу",A3430)))</formula>
    </cfRule>
  </conditionalFormatting>
  <conditionalFormatting sqref="A3430">
    <cfRule type="containsText" dxfId="472" priority="121" operator="containsText" text="Выезд со второстепенной дороги">
      <formula>NOT(ISERROR(SEARCH("Выезд со второстепенной дороги",A3430)))</formula>
    </cfRule>
  </conditionalFormatting>
  <conditionalFormatting sqref="A3452:A3453 A3494:A3495 A3534">
    <cfRule type="containsText" dxfId="471" priority="112" operator="containsText" text="Выезд со второстепенной дороги">
      <formula>NOT(ISERROR(SEARCH("Выезд со второстепенной дороги",A3452)))</formula>
    </cfRule>
  </conditionalFormatting>
  <conditionalFormatting sqref="A3452:A3453 A3494:A3495 A3534">
    <cfRule type="containsText" dxfId="470" priority="114" operator="containsText" text="Выезд с территории">
      <formula>NOT(ISERROR(SEARCH("Выезд с территории",A3452)))</formula>
    </cfRule>
  </conditionalFormatting>
  <conditionalFormatting sqref="A3452:A3453 A3494:A3495 A3534">
    <cfRule type="containsText" dxfId="469" priority="113" operator="containsText" text="Въезд на второстепенную дорогу">
      <formula>NOT(ISERROR(SEARCH("Въезд на второстепенную дорогу",A3452)))</formula>
    </cfRule>
  </conditionalFormatting>
  <conditionalFormatting sqref="A3480:B3480">
    <cfRule type="containsText" dxfId="468" priority="111" operator="containsText" text="Выезд с территории">
      <formula>NOT(ISERROR(SEARCH("Выезд с территории",A3480)))</formula>
    </cfRule>
  </conditionalFormatting>
  <conditionalFormatting sqref="B3480">
    <cfRule type="containsText" dxfId="467" priority="109" operator="containsText" text="Газель базы">
      <formula>NOT(ISERROR(SEARCH("Газель базы",B3480)))</formula>
    </cfRule>
    <cfRule type="containsText" dxfId="466" priority="110" operator="containsText" text="Погрузчик базы">
      <formula>NOT(ISERROR(SEARCH("Погрузчик базы",B3480)))</formula>
    </cfRule>
  </conditionalFormatting>
  <conditionalFormatting sqref="B3480">
    <cfRule type="containsText" dxfId="465" priority="108" operator="containsText" text="Трактор базы">
      <formula>NOT(ISERROR(SEARCH("Трактор базы",B3480)))</formula>
    </cfRule>
  </conditionalFormatting>
  <conditionalFormatting sqref="A3480">
    <cfRule type="containsText" dxfId="464" priority="106" operator="containsText" text="Выезд со второстепенной дороги">
      <formula>NOT(ISERROR(SEARCH("Выезд со второстепенной дороги",A3480)))</formula>
    </cfRule>
  </conditionalFormatting>
  <conditionalFormatting sqref="A3480">
    <cfRule type="containsText" dxfId="463" priority="107" operator="containsText" text="Въезд на второстепенную дорогу">
      <formula>NOT(ISERROR(SEARCH("Въезд на второстепенную дорогу",A3480)))</formula>
    </cfRule>
  </conditionalFormatting>
  <conditionalFormatting sqref="A3506">
    <cfRule type="containsText" dxfId="462" priority="103" operator="containsText" text="Выезд со второстепенной дороги">
      <formula>NOT(ISERROR(SEARCH("Выезд со второстепенной дороги",A3506)))</formula>
    </cfRule>
  </conditionalFormatting>
  <conditionalFormatting sqref="A3506">
    <cfRule type="containsText" dxfId="461" priority="105" operator="containsText" text="Выезд с территории">
      <formula>NOT(ISERROR(SEARCH("Выезд с территории",A3506)))</formula>
    </cfRule>
  </conditionalFormatting>
  <conditionalFormatting sqref="A3506">
    <cfRule type="containsText" dxfId="460" priority="104" operator="containsText" text="Въезд на второстепенную дорогу">
      <formula>NOT(ISERROR(SEARCH("Въезд на второстепенную дорогу",A3506)))</formula>
    </cfRule>
  </conditionalFormatting>
  <conditionalFormatting sqref="A3587">
    <cfRule type="containsText" dxfId="459" priority="100" operator="containsText" text="Выезд со второстепенной дороги">
      <formula>NOT(ISERROR(SEARCH("Выезд со второстепенной дороги",A3587)))</formula>
    </cfRule>
  </conditionalFormatting>
  <conditionalFormatting sqref="A3587">
    <cfRule type="containsText" dxfId="458" priority="102" operator="containsText" text="Выезд с территории">
      <formula>NOT(ISERROR(SEARCH("Выезд с территории",A3587)))</formula>
    </cfRule>
  </conditionalFormatting>
  <conditionalFormatting sqref="A3587">
    <cfRule type="containsText" dxfId="457" priority="101" operator="containsText" text="Въезд на второстепенную дорогу">
      <formula>NOT(ISERROR(SEARCH("Въезд на второстепенную дорогу",A3587)))</formula>
    </cfRule>
  </conditionalFormatting>
  <conditionalFormatting sqref="B3601:B3612">
    <cfRule type="containsText" dxfId="456" priority="92" operator="containsText" text="Трактор базы">
      <formula>NOT(ISERROR(SEARCH("Трактор базы",B3601)))</formula>
    </cfRule>
  </conditionalFormatting>
  <conditionalFormatting sqref="B3601:B3612">
    <cfRule type="containsText" dxfId="455" priority="95" operator="containsText" text="Выезд с территории">
      <formula>NOT(ISERROR(SEARCH("Выезд с территории",B3601)))</formula>
    </cfRule>
  </conditionalFormatting>
  <conditionalFormatting sqref="B3601:B3612">
    <cfRule type="containsText" dxfId="454" priority="93" operator="containsText" text="Газель базы">
      <formula>NOT(ISERROR(SEARCH("Газель базы",B3601)))</formula>
    </cfRule>
    <cfRule type="containsText" dxfId="453" priority="94" operator="containsText" text="Погрузчик базы">
      <formula>NOT(ISERROR(SEARCH("Погрузчик базы",B3601)))</formula>
    </cfRule>
  </conditionalFormatting>
  <conditionalFormatting sqref="A3696">
    <cfRule type="containsText" dxfId="452" priority="89" operator="containsText" text="Выезд со второстепенной дороги">
      <formula>NOT(ISERROR(SEARCH("Выезд со второстепенной дороги",A3696)))</formula>
    </cfRule>
  </conditionalFormatting>
  <conditionalFormatting sqref="A3696">
    <cfRule type="containsText" dxfId="451" priority="91" operator="containsText" text="Выезд с территории">
      <formula>NOT(ISERROR(SEARCH("Выезд с территории",A3696)))</formula>
    </cfRule>
  </conditionalFormatting>
  <conditionalFormatting sqref="A3696">
    <cfRule type="containsText" dxfId="450" priority="90" operator="containsText" text="Въезд на второстепенную дорогу">
      <formula>NOT(ISERROR(SEARCH("Въезд на второстепенную дорогу",A3696)))</formula>
    </cfRule>
  </conditionalFormatting>
  <conditionalFormatting sqref="A3713">
    <cfRule type="containsText" dxfId="449" priority="86" operator="containsText" text="Выезд со второстепенной дороги">
      <formula>NOT(ISERROR(SEARCH("Выезд со второстепенной дороги",A3713)))</formula>
    </cfRule>
  </conditionalFormatting>
  <conditionalFormatting sqref="A3739:A3740">
    <cfRule type="containsText" dxfId="448" priority="83" operator="containsText" text="Выезд со второстепенной дороги">
      <formula>NOT(ISERROR(SEARCH("Выезд со второстепенной дороги",A3739)))</formula>
    </cfRule>
  </conditionalFormatting>
  <conditionalFormatting sqref="A3713">
    <cfRule type="containsText" dxfId="447" priority="88" operator="containsText" text="Выезд с территории">
      <formula>NOT(ISERROR(SEARCH("Выезд с территории",A3713)))</formula>
    </cfRule>
  </conditionalFormatting>
  <conditionalFormatting sqref="A3713">
    <cfRule type="containsText" dxfId="446" priority="87" operator="containsText" text="Въезд на второстепенную дорогу">
      <formula>NOT(ISERROR(SEARCH("Въезд на второстепенную дорогу",A3713)))</formula>
    </cfRule>
  </conditionalFormatting>
  <conditionalFormatting sqref="A3739:A3740">
    <cfRule type="containsText" dxfId="445" priority="85" operator="containsText" text="Выезд с территории">
      <formula>NOT(ISERROR(SEARCH("Выезд с территории",A3739)))</formula>
    </cfRule>
  </conditionalFormatting>
  <conditionalFormatting sqref="A3739:A3740">
    <cfRule type="containsText" dxfId="444" priority="84" operator="containsText" text="Въезд на второстепенную дорогу">
      <formula>NOT(ISERROR(SEARCH("Въезд на второстепенную дорогу",A3739)))</formula>
    </cfRule>
  </conditionalFormatting>
  <conditionalFormatting sqref="B3750:B3751">
    <cfRule type="containsText" dxfId="443" priority="82" operator="containsText" text="Выезд с территории">
      <formula>NOT(ISERROR(SEARCH("Выезд с территории",B3750)))</formula>
    </cfRule>
  </conditionalFormatting>
  <conditionalFormatting sqref="B3750:B3751">
    <cfRule type="containsText" dxfId="442" priority="80" operator="containsText" text="Газель базы">
      <formula>NOT(ISERROR(SEARCH("Газель базы",B3750)))</formula>
    </cfRule>
    <cfRule type="containsText" dxfId="441" priority="81" operator="containsText" text="Погрузчик базы">
      <formula>NOT(ISERROR(SEARCH("Погрузчик базы",B3750)))</formula>
    </cfRule>
  </conditionalFormatting>
  <conditionalFormatting sqref="B3750:B3751">
    <cfRule type="containsText" dxfId="440" priority="79" operator="containsText" text="Трактор базы">
      <formula>NOT(ISERROR(SEARCH("Трактор базы",B3750)))</formula>
    </cfRule>
  </conditionalFormatting>
  <conditionalFormatting sqref="B3761:B3762">
    <cfRule type="containsText" dxfId="439" priority="78" operator="containsText" text="Выезд с территории">
      <formula>NOT(ISERROR(SEARCH("Выезд с территории",B3761)))</formula>
    </cfRule>
  </conditionalFormatting>
  <conditionalFormatting sqref="B3761:B3762">
    <cfRule type="containsText" dxfId="438" priority="76" operator="containsText" text="Газель базы">
      <formula>NOT(ISERROR(SEARCH("Газель базы",B3761)))</formula>
    </cfRule>
    <cfRule type="containsText" dxfId="437" priority="77" operator="containsText" text="Погрузчик базы">
      <formula>NOT(ISERROR(SEARCH("Погрузчик базы",B3761)))</formula>
    </cfRule>
  </conditionalFormatting>
  <conditionalFormatting sqref="B3761:B3762">
    <cfRule type="containsText" dxfId="436" priority="75" operator="containsText" text="Трактор базы">
      <formula>NOT(ISERROR(SEARCH("Трактор базы",B3761)))</formula>
    </cfRule>
  </conditionalFormatting>
  <conditionalFormatting sqref="A3778">
    <cfRule type="containsText" dxfId="435" priority="74" operator="containsText" text="Выезд с территории">
      <formula>NOT(ISERROR(SEARCH("Выезд с территории",A3778)))</formula>
    </cfRule>
  </conditionalFormatting>
  <conditionalFormatting sqref="A3778">
    <cfRule type="containsText" dxfId="434" priority="73" operator="containsText" text="Въезд на второстепенную дорогу">
      <formula>NOT(ISERROR(SEARCH("Въезд на второстепенную дорогу",A3778)))</formula>
    </cfRule>
  </conditionalFormatting>
  <conditionalFormatting sqref="A3778">
    <cfRule type="containsText" dxfId="433" priority="72" operator="containsText" text="Выезд со второстепенной дороги">
      <formula>NOT(ISERROR(SEARCH("Выезд со второстепенной дороги",A3778)))</formula>
    </cfRule>
  </conditionalFormatting>
  <conditionalFormatting sqref="A3790">
    <cfRule type="containsText" dxfId="432" priority="68" operator="containsText" text="Камера не работала">
      <formula>NOT(ISERROR(SEARCH("Камера не работала",A3790)))</formula>
    </cfRule>
  </conditionalFormatting>
  <conditionalFormatting sqref="A3790">
    <cfRule type="containsText" dxfId="431" priority="71" operator="containsText" text="Выезд с территории">
      <formula>NOT(ISERROR(SEARCH("Выезд с территории",A3790)))</formula>
    </cfRule>
  </conditionalFormatting>
  <conditionalFormatting sqref="A3790">
    <cfRule type="containsText" dxfId="430" priority="70" operator="containsText" text="Въезд на второстепенную дорогу">
      <formula>NOT(ISERROR(SEARCH("Въезд на второстепенную дорогу",A3790)))</formula>
    </cfRule>
  </conditionalFormatting>
  <conditionalFormatting sqref="A3790">
    <cfRule type="containsText" dxfId="429" priority="69" operator="containsText" text="Выезд со второстепенной дороги">
      <formula>NOT(ISERROR(SEARCH("Выезд со второстепенной дороги",A3790)))</formula>
    </cfRule>
  </conditionalFormatting>
  <conditionalFormatting sqref="B3797">
    <cfRule type="containsText" dxfId="428" priority="67" operator="containsText" text="Выезд с территории">
      <formula>NOT(ISERROR(SEARCH("Выезд с территории",B3797)))</formula>
    </cfRule>
  </conditionalFormatting>
  <conditionalFormatting sqref="B3797">
    <cfRule type="containsText" dxfId="427" priority="65" operator="containsText" text="Газель базы">
      <formula>NOT(ISERROR(SEARCH("Газель базы",B3797)))</formula>
    </cfRule>
    <cfRule type="containsText" dxfId="426" priority="66" operator="containsText" text="Погрузчик базы">
      <formula>NOT(ISERROR(SEARCH("Погрузчик базы",B3797)))</formula>
    </cfRule>
  </conditionalFormatting>
  <conditionalFormatting sqref="B3797">
    <cfRule type="containsText" dxfId="425" priority="64" operator="containsText" text="Трактор базы">
      <formula>NOT(ISERROR(SEARCH("Трактор базы",B3797)))</formula>
    </cfRule>
  </conditionalFormatting>
  <conditionalFormatting sqref="B3799:B3800">
    <cfRule type="containsText" dxfId="424" priority="63" operator="containsText" text="Выезд с территории">
      <formula>NOT(ISERROR(SEARCH("Выезд с территории",B3799)))</formula>
    </cfRule>
  </conditionalFormatting>
  <conditionalFormatting sqref="B3799:B3800">
    <cfRule type="containsText" dxfId="423" priority="61" operator="containsText" text="Газель базы">
      <formula>NOT(ISERROR(SEARCH("Газель базы",B3799)))</formula>
    </cfRule>
    <cfRule type="containsText" dxfId="422" priority="62" operator="containsText" text="Погрузчик базы">
      <formula>NOT(ISERROR(SEARCH("Погрузчик базы",B3799)))</formula>
    </cfRule>
  </conditionalFormatting>
  <conditionalFormatting sqref="B3799:B3800">
    <cfRule type="containsText" dxfId="421" priority="60" operator="containsText" text="Трактор базы">
      <formula>NOT(ISERROR(SEARCH("Трактор базы",B3799)))</formula>
    </cfRule>
  </conditionalFormatting>
  <conditionalFormatting sqref="B3881">
    <cfRule type="containsText" dxfId="420" priority="59" operator="containsText" text="Выезд с территории">
      <formula>NOT(ISERROR(SEARCH("Выезд с территории",B3881)))</formula>
    </cfRule>
  </conditionalFormatting>
  <conditionalFormatting sqref="B3881">
    <cfRule type="containsText" dxfId="419" priority="57" operator="containsText" text="Газель базы">
      <formula>NOT(ISERROR(SEARCH("Газель базы",B3881)))</formula>
    </cfRule>
    <cfRule type="containsText" dxfId="418" priority="58" operator="containsText" text="Погрузчик базы">
      <formula>NOT(ISERROR(SEARCH("Погрузчик базы",B3881)))</formula>
    </cfRule>
  </conditionalFormatting>
  <conditionalFormatting sqref="B3881">
    <cfRule type="containsText" dxfId="417" priority="56" operator="containsText" text="Трактор базы">
      <formula>NOT(ISERROR(SEARCH("Трактор базы",B3881)))</formula>
    </cfRule>
  </conditionalFormatting>
  <conditionalFormatting sqref="B3884">
    <cfRule type="containsText" dxfId="416" priority="52" operator="containsText" text="Трактор базы">
      <formula>NOT(ISERROR(SEARCH("Трактор базы",B3884)))</formula>
    </cfRule>
  </conditionalFormatting>
  <conditionalFormatting sqref="B3884">
    <cfRule type="containsText" dxfId="415" priority="55" operator="containsText" text="Выезд с территории">
      <formula>NOT(ISERROR(SEARCH("Выезд с территории",B3884)))</formula>
    </cfRule>
  </conditionalFormatting>
  <conditionalFormatting sqref="B3884">
    <cfRule type="containsText" dxfId="414" priority="53" operator="containsText" text="Газель базы">
      <formula>NOT(ISERROR(SEARCH("Газель базы",B3884)))</formula>
    </cfRule>
    <cfRule type="containsText" dxfId="413" priority="54" operator="containsText" text="Погрузчик базы">
      <formula>NOT(ISERROR(SEARCH("Погрузчик базы",B3884)))</formula>
    </cfRule>
  </conditionalFormatting>
  <conditionalFormatting sqref="B3913">
    <cfRule type="containsText" dxfId="412" priority="48" operator="containsText" text="Трактор базы">
      <formula>NOT(ISERROR(SEARCH("Трактор базы",B3913)))</formula>
    </cfRule>
  </conditionalFormatting>
  <conditionalFormatting sqref="B3913">
    <cfRule type="containsText" dxfId="411" priority="51" operator="containsText" text="Выезд с территории">
      <formula>NOT(ISERROR(SEARCH("Выезд с территории",B3913)))</formula>
    </cfRule>
  </conditionalFormatting>
  <conditionalFormatting sqref="B3913">
    <cfRule type="containsText" dxfId="410" priority="49" operator="containsText" text="Газель базы">
      <formula>NOT(ISERROR(SEARCH("Газель базы",B3913)))</formula>
    </cfRule>
    <cfRule type="containsText" dxfId="409" priority="50" operator="containsText" text="Погрузчик базы">
      <formula>NOT(ISERROR(SEARCH("Погрузчик базы",B3913)))</formula>
    </cfRule>
  </conditionalFormatting>
  <conditionalFormatting sqref="A3935">
    <cfRule type="containsText" dxfId="408" priority="42" operator="containsText" text="Выезд со второстепенной дороги">
      <formula>NOT(ISERROR(SEARCH("Выезд со второстепенной дороги",A3935)))</formula>
    </cfRule>
  </conditionalFormatting>
  <conditionalFormatting sqref="A3935:B3935">
    <cfRule type="containsText" dxfId="407" priority="47" operator="containsText" text="Выезд с территории">
      <formula>NOT(ISERROR(SEARCH("Выезд с территории",A3935)))</formula>
    </cfRule>
  </conditionalFormatting>
  <conditionalFormatting sqref="B3935">
    <cfRule type="containsText" dxfId="406" priority="45" operator="containsText" text="Газель базы">
      <formula>NOT(ISERROR(SEARCH("Газель базы",B3935)))</formula>
    </cfRule>
    <cfRule type="containsText" dxfId="405" priority="46" operator="containsText" text="Погрузчик базы">
      <formula>NOT(ISERROR(SEARCH("Погрузчик базы",B3935)))</formula>
    </cfRule>
  </conditionalFormatting>
  <conditionalFormatting sqref="B3935">
    <cfRule type="containsText" dxfId="404" priority="44" operator="containsText" text="Трактор базы">
      <formula>NOT(ISERROR(SEARCH("Трактор базы",B3935)))</formula>
    </cfRule>
  </conditionalFormatting>
  <conditionalFormatting sqref="A3935">
    <cfRule type="containsText" dxfId="403" priority="43" operator="containsText" text="Въезд на второстепенную дорогу">
      <formula>NOT(ISERROR(SEARCH("Въезд на второстепенную дорогу",A3935)))</formula>
    </cfRule>
  </conditionalFormatting>
  <conditionalFormatting sqref="B3937">
    <cfRule type="containsText" dxfId="402" priority="38" operator="containsText" text="Трактор базы">
      <formula>NOT(ISERROR(SEARCH("Трактор базы",B3937)))</formula>
    </cfRule>
  </conditionalFormatting>
  <conditionalFormatting sqref="B3937">
    <cfRule type="containsText" dxfId="401" priority="41" operator="containsText" text="Выезд с территории">
      <formula>NOT(ISERROR(SEARCH("Выезд с территории",B3937)))</formula>
    </cfRule>
  </conditionalFormatting>
  <conditionalFormatting sqref="B3937">
    <cfRule type="containsText" dxfId="400" priority="39" operator="containsText" text="Газель базы">
      <formula>NOT(ISERROR(SEARCH("Газель базы",B3937)))</formula>
    </cfRule>
    <cfRule type="containsText" dxfId="399" priority="40" operator="containsText" text="Погрузчик базы">
      <formula>NOT(ISERROR(SEARCH("Погрузчик базы",B3937)))</formula>
    </cfRule>
  </conditionalFormatting>
  <conditionalFormatting sqref="B3946">
    <cfRule type="containsText" dxfId="398" priority="29" operator="containsText" text="Трактор базы">
      <formula>NOT(ISERROR(SEARCH("Трактор базы",B3946)))</formula>
    </cfRule>
  </conditionalFormatting>
  <conditionalFormatting sqref="B3945">
    <cfRule type="containsText" dxfId="397" priority="37" operator="containsText" text="Выезд с территории">
      <formula>NOT(ISERROR(SEARCH("Выезд с территории",B3945)))</formula>
    </cfRule>
  </conditionalFormatting>
  <conditionalFormatting sqref="B3945">
    <cfRule type="containsText" dxfId="396" priority="35" operator="containsText" text="Газель базы">
      <formula>NOT(ISERROR(SEARCH("Газель базы",B3945)))</formula>
    </cfRule>
    <cfRule type="containsText" dxfId="395" priority="36" operator="containsText" text="Погрузчик базы">
      <formula>NOT(ISERROR(SEARCH("Погрузчик базы",B3945)))</formula>
    </cfRule>
  </conditionalFormatting>
  <conditionalFormatting sqref="B3945">
    <cfRule type="containsText" dxfId="394" priority="34" operator="containsText" text="Трактор базы">
      <formula>NOT(ISERROR(SEARCH("Трактор базы",B3945)))</formula>
    </cfRule>
  </conditionalFormatting>
  <conditionalFormatting sqref="D3946:E3946 B3946">
    <cfRule type="containsText" dxfId="393" priority="33" operator="containsText" text="Выезд с территории">
      <formula>NOT(ISERROR(SEARCH("Выезд с территории",B3946)))</formula>
    </cfRule>
  </conditionalFormatting>
  <conditionalFormatting sqref="C3946">
    <cfRule type="notContainsText" dxfId="392" priority="32" operator="notContains" text="порожний">
      <formula>ISERROR(SEARCH("порожний",C3946))</formula>
    </cfRule>
  </conditionalFormatting>
  <conditionalFormatting sqref="B3946">
    <cfRule type="containsText" dxfId="391" priority="30" operator="containsText" text="Газель базы">
      <formula>NOT(ISERROR(SEARCH("Газель базы",B3946)))</formula>
    </cfRule>
    <cfRule type="containsText" dxfId="390" priority="31" operator="containsText" text="Погрузчик базы">
      <formula>NOT(ISERROR(SEARCH("Погрузчик базы",B3946)))</formula>
    </cfRule>
  </conditionalFormatting>
  <conditionalFormatting sqref="B3966:B3967">
    <cfRule type="containsText" dxfId="389" priority="25" operator="containsText" text="Трактор базы">
      <formula>NOT(ISERROR(SEARCH("Трактор базы",B3966)))</formula>
    </cfRule>
  </conditionalFormatting>
  <conditionalFormatting sqref="B3966:B3967">
    <cfRule type="containsText" dxfId="388" priority="28" operator="containsText" text="Выезд с территории">
      <formula>NOT(ISERROR(SEARCH("Выезд с территории",B3966)))</formula>
    </cfRule>
  </conditionalFormatting>
  <conditionalFormatting sqref="B3966:B3967">
    <cfRule type="containsText" dxfId="387" priority="26" operator="containsText" text="Газель базы">
      <formula>NOT(ISERROR(SEARCH("Газель базы",B3966)))</formula>
    </cfRule>
    <cfRule type="containsText" dxfId="386" priority="27" operator="containsText" text="Погрузчик базы">
      <formula>NOT(ISERROR(SEARCH("Погрузчик базы",B3966)))</formula>
    </cfRule>
  </conditionalFormatting>
  <conditionalFormatting sqref="B3976">
    <cfRule type="containsText" dxfId="385" priority="24" operator="containsText" text="Выезд с территории">
      <formula>NOT(ISERROR(SEARCH("Выезд с территории",B3976)))</formula>
    </cfRule>
  </conditionalFormatting>
  <conditionalFormatting sqref="B3976">
    <cfRule type="containsText" dxfId="384" priority="22" operator="containsText" text="Газель базы">
      <formula>NOT(ISERROR(SEARCH("Газель базы",B3976)))</formula>
    </cfRule>
    <cfRule type="containsText" dxfId="383" priority="23" operator="containsText" text="Погрузчик базы">
      <formula>NOT(ISERROR(SEARCH("Погрузчик базы",B3976)))</formula>
    </cfRule>
  </conditionalFormatting>
  <conditionalFormatting sqref="B3976">
    <cfRule type="containsText" dxfId="382" priority="21" operator="containsText" text="Трактор базы">
      <formula>NOT(ISERROR(SEARCH("Трактор базы",B3976)))</formula>
    </cfRule>
  </conditionalFormatting>
  <conditionalFormatting sqref="B3984">
    <cfRule type="containsText" dxfId="381" priority="20" operator="containsText" text="Выезд с территории">
      <formula>NOT(ISERROR(SEARCH("Выезд с территории",B3984)))</formula>
    </cfRule>
  </conditionalFormatting>
  <conditionalFormatting sqref="B3984">
    <cfRule type="containsText" dxfId="380" priority="18" operator="containsText" text="Газель базы">
      <formula>NOT(ISERROR(SEARCH("Газель базы",B3984)))</formula>
    </cfRule>
    <cfRule type="containsText" dxfId="379" priority="19" operator="containsText" text="Погрузчик базы">
      <formula>NOT(ISERROR(SEARCH("Погрузчик базы",B3984)))</formula>
    </cfRule>
  </conditionalFormatting>
  <conditionalFormatting sqref="B3984">
    <cfRule type="containsText" dxfId="378" priority="17" operator="containsText" text="Трактор базы">
      <formula>NOT(ISERROR(SEARCH("Трактор базы",B3984)))</formula>
    </cfRule>
  </conditionalFormatting>
  <conditionalFormatting sqref="B4007:B4008">
    <cfRule type="containsText" dxfId="377" priority="13" operator="containsText" text="Трактор базы">
      <formula>NOT(ISERROR(SEARCH("Трактор базы",B4007)))</formula>
    </cfRule>
  </conditionalFormatting>
  <conditionalFormatting sqref="B4007:B4008">
    <cfRule type="containsText" dxfId="376" priority="16" operator="containsText" text="Выезд с территории">
      <formula>NOT(ISERROR(SEARCH("Выезд с территории",B4007)))</formula>
    </cfRule>
  </conditionalFormatting>
  <conditionalFormatting sqref="B4007:B4008">
    <cfRule type="containsText" dxfId="375" priority="14" operator="containsText" text="Газель базы">
      <formula>NOT(ISERROR(SEARCH("Газель базы",B4007)))</formula>
    </cfRule>
    <cfRule type="containsText" dxfId="374" priority="15" operator="containsText" text="Погрузчик базы">
      <formula>NOT(ISERROR(SEARCH("Погрузчик базы",B4007)))</formula>
    </cfRule>
  </conditionalFormatting>
  <conditionalFormatting sqref="B4096">
    <cfRule type="containsText" dxfId="373" priority="1" operator="containsText" text="Трактор базы">
      <formula>NOT(ISERROR(SEARCH("Трактор базы",B4096)))</formula>
    </cfRule>
  </conditionalFormatting>
  <conditionalFormatting sqref="B4080:B4082">
    <cfRule type="containsText" dxfId="372" priority="12" operator="containsText" text="Выезд с территории">
      <formula>NOT(ISERROR(SEARCH("Выезд с территории",B4080)))</formula>
    </cfRule>
  </conditionalFormatting>
  <conditionalFormatting sqref="B4080:B4082">
    <cfRule type="containsText" dxfId="371" priority="10" operator="containsText" text="Газель базы">
      <formula>NOT(ISERROR(SEARCH("Газель базы",B4080)))</formula>
    </cfRule>
    <cfRule type="containsText" dxfId="370" priority="11" operator="containsText" text="Погрузчик базы">
      <formula>NOT(ISERROR(SEARCH("Погрузчик базы",B4080)))</formula>
    </cfRule>
  </conditionalFormatting>
  <conditionalFormatting sqref="B4080:B4082">
    <cfRule type="containsText" dxfId="369" priority="9" operator="containsText" text="Трактор базы">
      <formula>NOT(ISERROR(SEARCH("Трактор базы",B4080)))</formula>
    </cfRule>
  </conditionalFormatting>
  <conditionalFormatting sqref="B4088:B4094">
    <cfRule type="containsText" dxfId="368" priority="8" operator="containsText" text="Выезд с территории">
      <formula>NOT(ISERROR(SEARCH("Выезд с территории",B4088)))</formula>
    </cfRule>
  </conditionalFormatting>
  <conditionalFormatting sqref="B4088:B4094">
    <cfRule type="containsText" dxfId="367" priority="6" operator="containsText" text="Газель базы">
      <formula>NOT(ISERROR(SEARCH("Газель базы",B4088)))</formula>
    </cfRule>
    <cfRule type="containsText" dxfId="366" priority="7" operator="containsText" text="Погрузчик базы">
      <formula>NOT(ISERROR(SEARCH("Погрузчик базы",B4088)))</formula>
    </cfRule>
  </conditionalFormatting>
  <conditionalFormatting sqref="B4088:B4094">
    <cfRule type="containsText" dxfId="365" priority="5" operator="containsText" text="Трактор базы">
      <formula>NOT(ISERROR(SEARCH("Трактор базы",B4088)))</formula>
    </cfRule>
  </conditionalFormatting>
  <conditionalFormatting sqref="B4096">
    <cfRule type="containsText" dxfId="364" priority="4" operator="containsText" text="Выезд с территории">
      <formula>NOT(ISERROR(SEARCH("Выезд с территории",B4096)))</formula>
    </cfRule>
  </conditionalFormatting>
  <conditionalFormatting sqref="B4096">
    <cfRule type="containsText" dxfId="363" priority="2" operator="containsText" text="Газель базы">
      <formula>NOT(ISERROR(SEARCH("Газель базы",B4096)))</formula>
    </cfRule>
    <cfRule type="containsText" dxfId="362" priority="3" operator="containsText" text="Погрузчик базы">
      <formula>NOT(ISERROR(SEARCH("Погрузчик базы",B4096)))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8EFF-7993-480A-9A19-8EB3BA04FBF6}">
  <sheetPr>
    <tabColor theme="5" tint="0.59999389629810485"/>
  </sheetPr>
  <dimension ref="A1:M262"/>
  <sheetViews>
    <sheetView zoomScale="90" zoomScaleNormal="90" workbookViewId="0">
      <pane ySplit="1" topLeftCell="A230" activePane="bottomLeft" state="frozen"/>
      <selection pane="bottomLeft" activeCell="E229" sqref="E229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5" bestFit="1" customWidth="1"/>
    <col min="5" max="5" width="60.140625" bestFit="1" customWidth="1"/>
    <col min="6" max="6" width="26.42578125" bestFit="1" customWidth="1"/>
    <col min="7" max="7" width="7.28515625" bestFit="1" customWidth="1"/>
    <col min="8" max="8" width="41.85546875" bestFit="1" customWidth="1"/>
    <col min="9" max="9" width="36.7109375" bestFit="1" customWidth="1"/>
    <col min="10" max="10" width="41.140625" hidden="1" customWidth="1"/>
    <col min="11" max="11" width="53.5703125" hidden="1" customWidth="1"/>
    <col min="12" max="12" width="24.5703125" hidden="1" customWidth="1"/>
    <col min="13" max="13" width="53.57031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0.34798611111111111</v>
      </c>
      <c r="D2" s="9" t="s">
        <v>4</v>
      </c>
      <c r="E2" s="9" t="s">
        <v>8</v>
      </c>
      <c r="F2" s="9"/>
      <c r="H2" s="9" t="s">
        <v>5</v>
      </c>
      <c r="I2" s="9" t="s">
        <v>263</v>
      </c>
      <c r="J2" s="9" t="s">
        <v>2946</v>
      </c>
      <c r="K2" t="s">
        <v>265</v>
      </c>
      <c r="L2" t="s">
        <v>266</v>
      </c>
      <c r="M2" s="3" t="str">
        <f>HYPERLINK(склад2въезд13[[#This Row],[RelativePath]])</f>
        <v>4 Крыльцо офиса\K07156189_21_20251110T082106Z.jpg</v>
      </c>
    </row>
    <row r="3" spans="1:13" x14ac:dyDescent="0.25">
      <c r="A3" s="2" t="s">
        <v>13</v>
      </c>
      <c r="B3" s="4">
        <v>45971</v>
      </c>
      <c r="C3" s="5">
        <v>0.74396990740740743</v>
      </c>
      <c r="D3" s="9" t="s">
        <v>4</v>
      </c>
      <c r="E3" s="9" t="s">
        <v>8</v>
      </c>
      <c r="F3" s="9"/>
      <c r="H3" s="9" t="s">
        <v>6</v>
      </c>
      <c r="I3" s="9" t="s">
        <v>267</v>
      </c>
      <c r="J3" s="9" t="s">
        <v>2946</v>
      </c>
      <c r="K3" t="s">
        <v>268</v>
      </c>
      <c r="L3" t="s">
        <v>269</v>
      </c>
      <c r="M3" s="3" t="str">
        <f>HYPERLINK(склад2въезд13[[#This Row],[RelativePath]])</f>
        <v>4 Крыльцо офиса\K07156189_21_20251110T175119Z.jpg</v>
      </c>
    </row>
    <row r="4" spans="1:13" x14ac:dyDescent="0.25">
      <c r="A4" s="2" t="s">
        <v>14</v>
      </c>
      <c r="B4" s="4">
        <v>45972</v>
      </c>
      <c r="C4" s="5">
        <v>0.34685185185185186</v>
      </c>
      <c r="D4" s="9" t="s">
        <v>4</v>
      </c>
      <c r="E4" s="9" t="s">
        <v>8</v>
      </c>
      <c r="F4" s="9"/>
      <c r="H4" s="9" t="s">
        <v>5</v>
      </c>
      <c r="I4" s="9" t="s">
        <v>270</v>
      </c>
      <c r="J4" s="9" t="s">
        <v>2946</v>
      </c>
      <c r="K4" t="s">
        <v>271</v>
      </c>
      <c r="L4" t="s">
        <v>272</v>
      </c>
      <c r="M4" s="3" t="str">
        <f>HYPERLINK(склад2въезд13[[#This Row],[RelativePath]])</f>
        <v>4 Крыльцо офиса\K07156189_21_20251111T081928Z.jpg</v>
      </c>
    </row>
    <row r="5" spans="1:13" x14ac:dyDescent="0.25">
      <c r="A5" s="2" t="s">
        <v>14</v>
      </c>
      <c r="B5" s="4">
        <v>45972</v>
      </c>
      <c r="C5" s="5">
        <v>0.69240740740740736</v>
      </c>
      <c r="D5" s="9" t="s">
        <v>4</v>
      </c>
      <c r="E5" s="9" t="s">
        <v>8</v>
      </c>
      <c r="F5" s="9"/>
      <c r="H5" s="9" t="s">
        <v>6</v>
      </c>
      <c r="I5" s="9" t="s">
        <v>273</v>
      </c>
      <c r="J5" s="9" t="s">
        <v>2946</v>
      </c>
      <c r="K5" t="s">
        <v>274</v>
      </c>
      <c r="L5" t="s">
        <v>275</v>
      </c>
      <c r="M5" s="3" t="str">
        <f>HYPERLINK(склад2въезд13[[#This Row],[RelativePath]])</f>
        <v>4 Крыльцо офиса\K07156189_21_20251111T163704Z.jpg</v>
      </c>
    </row>
    <row r="6" spans="1:13" x14ac:dyDescent="0.25">
      <c r="A6" s="2" t="s">
        <v>15</v>
      </c>
      <c r="B6" s="4">
        <v>45973</v>
      </c>
      <c r="C6" s="5">
        <v>0.51393518518518522</v>
      </c>
      <c r="D6" s="9" t="s">
        <v>4</v>
      </c>
      <c r="E6" s="9" t="s">
        <v>8</v>
      </c>
      <c r="F6" s="9"/>
      <c r="H6" s="9" t="s">
        <v>303</v>
      </c>
      <c r="I6" s="9" t="s">
        <v>276</v>
      </c>
      <c r="J6" s="9" t="s">
        <v>2946</v>
      </c>
      <c r="K6" t="s">
        <v>277</v>
      </c>
      <c r="L6" t="s">
        <v>278</v>
      </c>
      <c r="M6" s="3" t="str">
        <f>HYPERLINK(склад2въезд13[[#This Row],[RelativePath]])</f>
        <v>4 Крыльцо офиса\K07156189_21_20251112T122004Z.jpg</v>
      </c>
    </row>
    <row r="7" spans="1:13" x14ac:dyDescent="0.25">
      <c r="A7" s="2" t="s">
        <v>15</v>
      </c>
      <c r="B7" s="4">
        <v>45973</v>
      </c>
      <c r="C7" s="5">
        <v>0.55550925925925931</v>
      </c>
      <c r="D7" s="9" t="s">
        <v>4</v>
      </c>
      <c r="E7" s="9" t="s">
        <v>8</v>
      </c>
      <c r="F7" s="9"/>
      <c r="H7" s="9" t="s">
        <v>303</v>
      </c>
      <c r="I7" s="9" t="s">
        <v>279</v>
      </c>
      <c r="J7" s="9" t="s">
        <v>2946</v>
      </c>
      <c r="K7" t="s">
        <v>280</v>
      </c>
      <c r="L7" t="s">
        <v>281</v>
      </c>
      <c r="M7" s="3" t="str">
        <f>HYPERLINK(склад2въезд13[[#This Row],[RelativePath]])</f>
        <v>4 Крыльцо офиса\K07156189_21_20251112T131956Z.jpg</v>
      </c>
    </row>
    <row r="8" spans="1:13" x14ac:dyDescent="0.25">
      <c r="A8" s="2" t="s">
        <v>15</v>
      </c>
      <c r="B8" s="4">
        <v>45973</v>
      </c>
      <c r="C8" s="5">
        <v>0.69413194444444448</v>
      </c>
      <c r="D8" s="9" t="s">
        <v>4</v>
      </c>
      <c r="E8" s="9" t="s">
        <v>8</v>
      </c>
      <c r="F8" s="9"/>
      <c r="H8" s="9" t="s">
        <v>304</v>
      </c>
      <c r="I8" s="9" t="s">
        <v>282</v>
      </c>
      <c r="J8" s="9" t="s">
        <v>2946</v>
      </c>
      <c r="K8" t="s">
        <v>283</v>
      </c>
      <c r="L8" t="s">
        <v>284</v>
      </c>
      <c r="M8" s="3" t="str">
        <f>HYPERLINK(склад2въезд13[[#This Row],[RelativePath]])</f>
        <v>4 Крыльцо офиса\K07156189_21_20251112T163933Z.jpg</v>
      </c>
    </row>
    <row r="9" spans="1:13" x14ac:dyDescent="0.25">
      <c r="A9" s="2" t="s">
        <v>15</v>
      </c>
      <c r="B9" s="4">
        <v>45973</v>
      </c>
      <c r="C9" s="5">
        <v>0.73761574074074077</v>
      </c>
      <c r="D9" s="9" t="s">
        <v>4</v>
      </c>
      <c r="E9" s="9" t="s">
        <v>8</v>
      </c>
      <c r="F9" s="9"/>
      <c r="H9" s="9" t="s">
        <v>6</v>
      </c>
      <c r="I9" s="9" t="s">
        <v>285</v>
      </c>
      <c r="J9" s="9" t="s">
        <v>2946</v>
      </c>
      <c r="K9" t="s">
        <v>286</v>
      </c>
      <c r="L9" t="s">
        <v>287</v>
      </c>
      <c r="M9" s="3" t="str">
        <f>HYPERLINK(склад2въезд13[[#This Row],[RelativePath]])</f>
        <v>4 Крыльцо офиса\K07156189_21_20251112T174210Z.jpg</v>
      </c>
    </row>
    <row r="10" spans="1:13" x14ac:dyDescent="0.25">
      <c r="A10" s="2" t="s">
        <v>16</v>
      </c>
      <c r="B10" s="4">
        <v>45974</v>
      </c>
      <c r="C10" s="5">
        <v>0.34179398148148149</v>
      </c>
      <c r="D10" s="9" t="s">
        <v>4</v>
      </c>
      <c r="E10" s="9" t="s">
        <v>8</v>
      </c>
      <c r="F10" s="9"/>
      <c r="H10" s="9" t="s">
        <v>5</v>
      </c>
      <c r="I10" s="9" t="s">
        <v>288</v>
      </c>
      <c r="J10" s="9" t="s">
        <v>2946</v>
      </c>
      <c r="K10" t="s">
        <v>289</v>
      </c>
      <c r="L10" t="s">
        <v>290</v>
      </c>
      <c r="M10" s="3" t="str">
        <f>HYPERLINK(склад2въезд13[[#This Row],[RelativePath]])</f>
        <v>4 Крыльцо офиса\K07156189_21_20251113T081211Z.jpg</v>
      </c>
    </row>
    <row r="11" spans="1:13" x14ac:dyDescent="0.25">
      <c r="A11" s="2" t="s">
        <v>16</v>
      </c>
      <c r="B11" s="4">
        <v>45974</v>
      </c>
      <c r="C11" s="5">
        <v>0.40744212962962961</v>
      </c>
      <c r="D11" s="9" t="s">
        <v>4</v>
      </c>
      <c r="E11" s="9" t="s">
        <v>8</v>
      </c>
      <c r="F11" s="9"/>
      <c r="H11" s="9" t="s">
        <v>303</v>
      </c>
      <c r="I11" s="9" t="s">
        <v>291</v>
      </c>
      <c r="J11" s="9" t="s">
        <v>2946</v>
      </c>
      <c r="K11" t="s">
        <v>292</v>
      </c>
      <c r="L11" t="s">
        <v>293</v>
      </c>
      <c r="M11" s="3" t="str">
        <f>HYPERLINK(склад2въезд13[[#This Row],[RelativePath]])</f>
        <v>4 Крыльцо офиса\K07156189_21_20251113T094643Z.jpg</v>
      </c>
    </row>
    <row r="12" spans="1:13" x14ac:dyDescent="0.25">
      <c r="A12" s="2" t="s">
        <v>16</v>
      </c>
      <c r="B12" s="4">
        <v>45974</v>
      </c>
      <c r="C12" s="5">
        <v>0.74187499999999995</v>
      </c>
      <c r="D12" s="9" t="s">
        <v>4</v>
      </c>
      <c r="E12" s="9" t="s">
        <v>8</v>
      </c>
      <c r="F12" s="9"/>
      <c r="H12" s="9" t="s">
        <v>6</v>
      </c>
      <c r="I12" s="9" t="s">
        <v>294</v>
      </c>
      <c r="J12" s="9" t="s">
        <v>2946</v>
      </c>
      <c r="K12" t="s">
        <v>295</v>
      </c>
      <c r="L12" t="s">
        <v>296</v>
      </c>
      <c r="M12" s="3" t="str">
        <f>HYPERLINK(склад2въезд13[[#This Row],[RelativePath]])</f>
        <v>4 Крыльцо офиса\K07156189_21_20251113T174818Z.jpg</v>
      </c>
    </row>
    <row r="13" spans="1:13" x14ac:dyDescent="0.25">
      <c r="A13" s="2" t="s">
        <v>17</v>
      </c>
      <c r="B13" s="4">
        <v>45975</v>
      </c>
      <c r="C13" s="5">
        <v>0.3981365740740741</v>
      </c>
      <c r="D13" s="9" t="s">
        <v>4</v>
      </c>
      <c r="E13" s="9" t="s">
        <v>8</v>
      </c>
      <c r="F13" s="9"/>
      <c r="H13" s="9" t="s">
        <v>5</v>
      </c>
      <c r="I13" s="9" t="s">
        <v>297</v>
      </c>
      <c r="J13" s="9" t="s">
        <v>2946</v>
      </c>
      <c r="K13" t="s">
        <v>298</v>
      </c>
      <c r="L13" t="s">
        <v>299</v>
      </c>
      <c r="M13" s="3" t="str">
        <f>HYPERLINK(склад2въезд13[[#This Row],[RelativePath]])</f>
        <v>4 Крыльцо офиса\K07156189_21_20251114T093319Z.jpg</v>
      </c>
    </row>
    <row r="14" spans="1:13" x14ac:dyDescent="0.25">
      <c r="A14" s="2" t="s">
        <v>17</v>
      </c>
      <c r="B14" s="4">
        <v>45975</v>
      </c>
      <c r="C14" s="5">
        <v>0.74071759259259262</v>
      </c>
      <c r="D14" s="9" t="s">
        <v>4</v>
      </c>
      <c r="E14" s="9" t="s">
        <v>8</v>
      </c>
      <c r="F14" s="9"/>
      <c r="H14" s="9" t="s">
        <v>6</v>
      </c>
      <c r="I14" s="9" t="s">
        <v>300</v>
      </c>
      <c r="J14" s="9" t="s">
        <v>2946</v>
      </c>
      <c r="K14" t="s">
        <v>301</v>
      </c>
      <c r="L14" t="s">
        <v>302</v>
      </c>
      <c r="M14" s="3" t="str">
        <f>HYPERLINK(склад2въезд13[[#This Row],[RelativePath]])</f>
        <v>4 Крыльцо офиса\K07156189_21_20251114T174638Z.jpg</v>
      </c>
    </row>
    <row r="15" spans="1:13" x14ac:dyDescent="0.25">
      <c r="A15" s="2" t="s">
        <v>18</v>
      </c>
      <c r="B15" s="4">
        <v>45976</v>
      </c>
      <c r="C15" s="5">
        <v>0.35554398148148147</v>
      </c>
      <c r="D15" s="9" t="s">
        <v>4</v>
      </c>
      <c r="E15" s="9" t="s">
        <v>8</v>
      </c>
      <c r="F15" s="9"/>
      <c r="H15" s="9" t="s">
        <v>1972</v>
      </c>
      <c r="I15" s="9" t="s">
        <v>1201</v>
      </c>
      <c r="J15" s="9" t="s">
        <v>2946</v>
      </c>
      <c r="K15" t="s">
        <v>1202</v>
      </c>
      <c r="L15" t="s">
        <v>1203</v>
      </c>
      <c r="M15" s="3" t="str">
        <f>HYPERLINK(склад2въезд13[[#This Row],[RelativePath]])</f>
        <v>4 Крыльцо офиса\K07156189_21_20251115T083159Z.jpg</v>
      </c>
    </row>
    <row r="16" spans="1:13" x14ac:dyDescent="0.25">
      <c r="A16" s="2" t="s">
        <v>18</v>
      </c>
      <c r="B16" s="4">
        <v>45976</v>
      </c>
      <c r="C16" s="5">
        <v>0.43645833333333334</v>
      </c>
      <c r="D16" s="9" t="s">
        <v>1569</v>
      </c>
      <c r="E16" s="9" t="s">
        <v>56</v>
      </c>
      <c r="F16" s="9" t="s">
        <v>1973</v>
      </c>
      <c r="G16">
        <v>1</v>
      </c>
      <c r="H16" s="9"/>
      <c r="I16" s="9" t="s">
        <v>1204</v>
      </c>
      <c r="J16" s="9" t="s">
        <v>2946</v>
      </c>
      <c r="K16" t="s">
        <v>1205</v>
      </c>
      <c r="L16" t="s">
        <v>1206</v>
      </c>
      <c r="M16" s="3" t="str">
        <f>HYPERLINK(склад2въезд13[[#This Row],[RelativePath]])</f>
        <v>4 Крыльцо офиса\K07156189_21_20251115T102830Z.jpg</v>
      </c>
    </row>
    <row r="17" spans="1:13" x14ac:dyDescent="0.25">
      <c r="A17" s="2" t="s">
        <v>18</v>
      </c>
      <c r="B17" s="4">
        <v>45976</v>
      </c>
      <c r="C17" s="5">
        <v>0.43902777777777779</v>
      </c>
      <c r="D17" s="9" t="s">
        <v>1066</v>
      </c>
      <c r="E17" s="9" t="s">
        <v>70</v>
      </c>
      <c r="F17" s="9" t="s">
        <v>1973</v>
      </c>
      <c r="H17" s="9" t="s">
        <v>1974</v>
      </c>
      <c r="I17" s="9" t="s">
        <v>1207</v>
      </c>
      <c r="J17" s="9" t="s">
        <v>2946</v>
      </c>
      <c r="K17" t="s">
        <v>1208</v>
      </c>
      <c r="L17" t="s">
        <v>1209</v>
      </c>
      <c r="M17" s="3" t="str">
        <f>HYPERLINK(склад2въезд13[[#This Row],[RelativePath]])</f>
        <v>4 Крыльцо офиса\K07156189_21_20251115T103212Z.jpg</v>
      </c>
    </row>
    <row r="18" spans="1:13" x14ac:dyDescent="0.25">
      <c r="A18" s="2" t="s">
        <v>18</v>
      </c>
      <c r="B18" s="4">
        <v>45976</v>
      </c>
      <c r="C18" s="5">
        <v>0.4392361111111111</v>
      </c>
      <c r="D18" s="9" t="s">
        <v>1975</v>
      </c>
      <c r="E18" s="9" t="s">
        <v>70</v>
      </c>
      <c r="F18" s="9" t="s">
        <v>1973</v>
      </c>
      <c r="H18" s="9" t="s">
        <v>1974</v>
      </c>
      <c r="I18" s="9" t="s">
        <v>1210</v>
      </c>
      <c r="J18" s="9" t="s">
        <v>2946</v>
      </c>
      <c r="K18" t="s">
        <v>1211</v>
      </c>
      <c r="L18" t="s">
        <v>1212</v>
      </c>
      <c r="M18" s="3" t="str">
        <f>HYPERLINK(склад2въезд13[[#This Row],[RelativePath]])</f>
        <v>4 Крыльцо офиса\K07156189_21_20251115T103230Z.jpg</v>
      </c>
    </row>
    <row r="19" spans="1:13" x14ac:dyDescent="0.25">
      <c r="A19" s="2" t="s">
        <v>18</v>
      </c>
      <c r="B19" s="4">
        <v>45976</v>
      </c>
      <c r="C19" s="5">
        <v>0.44337962962962962</v>
      </c>
      <c r="D19" s="9" t="s">
        <v>622</v>
      </c>
      <c r="E19" s="9" t="s">
        <v>70</v>
      </c>
      <c r="F19" s="9" t="s">
        <v>1973</v>
      </c>
      <c r="H19" s="9"/>
      <c r="I19" s="9" t="s">
        <v>1213</v>
      </c>
      <c r="J19" s="9" t="s">
        <v>2946</v>
      </c>
      <c r="K19" t="s">
        <v>1214</v>
      </c>
      <c r="L19" t="s">
        <v>1215</v>
      </c>
      <c r="M19" s="3" t="str">
        <f>HYPERLINK(склад2въезд13[[#This Row],[RelativePath]])</f>
        <v>4 Крыльцо офиса\K07156189_21_20251115T103828Z.jpg</v>
      </c>
    </row>
    <row r="20" spans="1:13" x14ac:dyDescent="0.25">
      <c r="A20" s="2" t="s">
        <v>18</v>
      </c>
      <c r="B20" s="4">
        <v>45976</v>
      </c>
      <c r="C20" s="5">
        <v>0.46825231481481483</v>
      </c>
      <c r="D20" s="9" t="s">
        <v>1569</v>
      </c>
      <c r="E20" s="9" t="s">
        <v>1964</v>
      </c>
      <c r="F20" s="9"/>
      <c r="H20" s="9"/>
      <c r="I20" s="9" t="s">
        <v>1216</v>
      </c>
      <c r="J20" s="9" t="s">
        <v>2946</v>
      </c>
      <c r="K20" t="s">
        <v>1217</v>
      </c>
      <c r="L20" t="s">
        <v>1218</v>
      </c>
      <c r="M20" s="3" t="str">
        <f>HYPERLINK(склад2въезд13[[#This Row],[RelativePath]])</f>
        <v>4 Крыльцо офиса\K07156189_21_20251115T111417Z.jpg</v>
      </c>
    </row>
    <row r="21" spans="1:13" x14ac:dyDescent="0.25">
      <c r="A21" s="2" t="s">
        <v>18</v>
      </c>
      <c r="B21" s="4">
        <v>45976</v>
      </c>
      <c r="C21" s="5">
        <v>0.49733796296296295</v>
      </c>
      <c r="D21" s="9" t="s">
        <v>622</v>
      </c>
      <c r="E21" s="9" t="s">
        <v>1964</v>
      </c>
      <c r="F21" s="9"/>
      <c r="H21" s="9"/>
      <c r="I21" s="9" t="s">
        <v>1219</v>
      </c>
      <c r="J21" s="9" t="s">
        <v>2946</v>
      </c>
      <c r="K21" t="s">
        <v>1220</v>
      </c>
      <c r="L21" t="s">
        <v>1221</v>
      </c>
      <c r="M21" s="3" t="str">
        <f>HYPERLINK(склад2въезд13[[#This Row],[RelativePath]])</f>
        <v>4 Крыльцо офиса\K07156189_21_20251115T115610Z.jpg</v>
      </c>
    </row>
    <row r="22" spans="1:13" x14ac:dyDescent="0.25">
      <c r="A22" s="2" t="s">
        <v>18</v>
      </c>
      <c r="B22" s="4">
        <v>45976</v>
      </c>
      <c r="C22" s="5">
        <v>0.62310185185185185</v>
      </c>
      <c r="D22" s="9" t="s">
        <v>1569</v>
      </c>
      <c r="E22" s="9" t="s">
        <v>1965</v>
      </c>
      <c r="F22" s="9"/>
      <c r="H22" s="9"/>
      <c r="I22" s="9" t="s">
        <v>1222</v>
      </c>
      <c r="J22" s="9" t="s">
        <v>2946</v>
      </c>
      <c r="K22" t="s">
        <v>1223</v>
      </c>
      <c r="L22" t="s">
        <v>1224</v>
      </c>
      <c r="M22" s="3" t="str">
        <f>HYPERLINK(склад2въезд13[[#This Row],[RelativePath]])</f>
        <v>4 Крыльцо офиса\K07156189_21_20251115T145716Z.jpg</v>
      </c>
    </row>
    <row r="23" spans="1:13" x14ac:dyDescent="0.25">
      <c r="A23" s="2" t="s">
        <v>18</v>
      </c>
      <c r="B23" s="4">
        <v>45976</v>
      </c>
      <c r="C23" s="5">
        <v>0.63068287037037041</v>
      </c>
      <c r="D23" s="9" t="s">
        <v>1569</v>
      </c>
      <c r="E23" s="9" t="s">
        <v>70</v>
      </c>
      <c r="F23" s="9" t="s">
        <v>1973</v>
      </c>
      <c r="H23" s="9"/>
      <c r="I23" s="9" t="s">
        <v>1225</v>
      </c>
      <c r="J23" s="9" t="s">
        <v>2946</v>
      </c>
      <c r="K23" t="s">
        <v>1226</v>
      </c>
      <c r="L23" t="s">
        <v>1227</v>
      </c>
      <c r="M23" s="3" t="str">
        <f>HYPERLINK(склад2въезд13[[#This Row],[RelativePath]])</f>
        <v>4 Крыльцо офиса\K07156189_21_20251115T150811Z.jpg</v>
      </c>
    </row>
    <row r="24" spans="1:13" x14ac:dyDescent="0.25">
      <c r="A24" s="2" t="s">
        <v>18</v>
      </c>
      <c r="B24" s="4">
        <v>45976</v>
      </c>
      <c r="C24" s="5">
        <v>0.63290509259259264</v>
      </c>
      <c r="D24" s="9" t="s">
        <v>4</v>
      </c>
      <c r="E24" s="9" t="s">
        <v>8</v>
      </c>
      <c r="F24" s="9"/>
      <c r="H24" s="9"/>
      <c r="I24" s="9" t="s">
        <v>1228</v>
      </c>
      <c r="J24" s="9" t="s">
        <v>2946</v>
      </c>
      <c r="K24" t="s">
        <v>1229</v>
      </c>
      <c r="L24" t="s">
        <v>1230</v>
      </c>
      <c r="M24" s="3" t="str">
        <f>HYPERLINK(склад2въезд13[[#This Row],[RelativePath]])</f>
        <v>4 Крыльцо офиса\K07156189_21_20251115T151123Z.jpg</v>
      </c>
    </row>
    <row r="25" spans="1:13" x14ac:dyDescent="0.25">
      <c r="A25" s="2" t="s">
        <v>18</v>
      </c>
      <c r="B25" s="4">
        <v>45976</v>
      </c>
      <c r="C25" s="5">
        <v>0.63534722222222217</v>
      </c>
      <c r="D25" s="9" t="s">
        <v>1976</v>
      </c>
      <c r="E25" s="9" t="s">
        <v>56</v>
      </c>
      <c r="F25" s="9"/>
      <c r="H25" s="9"/>
      <c r="I25" s="9" t="s">
        <v>1231</v>
      </c>
      <c r="J25" s="9" t="s">
        <v>2946</v>
      </c>
      <c r="K25" t="s">
        <v>1232</v>
      </c>
      <c r="L25" t="s">
        <v>1233</v>
      </c>
      <c r="M25" s="3" t="str">
        <f>HYPERLINK(склад2въезд13[[#This Row],[RelativePath]])</f>
        <v>4 Крыльцо офиса\K07156189_21_20251115T151454Z.jpg</v>
      </c>
    </row>
    <row r="26" spans="1:13" x14ac:dyDescent="0.25">
      <c r="A26" s="2" t="s">
        <v>18</v>
      </c>
      <c r="B26" s="4">
        <v>45976</v>
      </c>
      <c r="C26" s="5">
        <v>0.63587962962962963</v>
      </c>
      <c r="D26" s="9" t="s">
        <v>261</v>
      </c>
      <c r="E26" s="9" t="s">
        <v>56</v>
      </c>
      <c r="F26" s="9" t="s">
        <v>200</v>
      </c>
      <c r="H26" s="9"/>
      <c r="I26" s="9" t="s">
        <v>1234</v>
      </c>
      <c r="J26" s="9" t="s">
        <v>2946</v>
      </c>
      <c r="K26" t="s">
        <v>1235</v>
      </c>
      <c r="L26" t="s">
        <v>1236</v>
      </c>
      <c r="M26" s="3" t="str">
        <f>HYPERLINK(склад2въезд13[[#This Row],[RelativePath]])</f>
        <v>4 Крыльцо офиса\K07156189_21_20251115T151540Z.jpg</v>
      </c>
    </row>
    <row r="27" spans="1:13" x14ac:dyDescent="0.25">
      <c r="A27" s="2" t="s">
        <v>18</v>
      </c>
      <c r="B27" s="4">
        <v>45976</v>
      </c>
      <c r="C27" s="5">
        <v>0.63725694444444447</v>
      </c>
      <c r="D27" s="9" t="s">
        <v>622</v>
      </c>
      <c r="E27" s="9" t="s">
        <v>1965</v>
      </c>
      <c r="F27" s="9"/>
      <c r="H27" s="9"/>
      <c r="I27" s="9" t="s">
        <v>1237</v>
      </c>
      <c r="J27" s="9" t="s">
        <v>2946</v>
      </c>
      <c r="K27" t="s">
        <v>1238</v>
      </c>
      <c r="L27" t="s">
        <v>1239</v>
      </c>
      <c r="M27" s="3" t="str">
        <f>HYPERLINK(склад2въезд13[[#This Row],[RelativePath]])</f>
        <v>4 Крыльцо офиса\K07156189_21_20251115T151739Z.jpg</v>
      </c>
    </row>
    <row r="28" spans="1:13" x14ac:dyDescent="0.25">
      <c r="A28" s="2" t="s">
        <v>18</v>
      </c>
      <c r="B28" s="4">
        <v>45976</v>
      </c>
      <c r="C28" s="5">
        <v>0.64355324074074072</v>
      </c>
      <c r="D28" s="9" t="s">
        <v>622</v>
      </c>
      <c r="E28" s="9" t="s">
        <v>56</v>
      </c>
      <c r="F28" s="9" t="s">
        <v>200</v>
      </c>
      <c r="H28" s="9"/>
      <c r="I28" s="9" t="s">
        <v>1240</v>
      </c>
      <c r="J28" s="9" t="s">
        <v>2946</v>
      </c>
      <c r="K28" t="s">
        <v>1241</v>
      </c>
      <c r="L28" t="s">
        <v>1242</v>
      </c>
      <c r="M28" s="3" t="str">
        <f>HYPERLINK(склад2въезд13[[#This Row],[RelativePath]])</f>
        <v>4 Крыльцо офиса\K07156189_21_20251115T152643Z.jpg</v>
      </c>
    </row>
    <row r="29" spans="1:13" x14ac:dyDescent="0.25">
      <c r="A29" s="2" t="s">
        <v>18</v>
      </c>
      <c r="B29" s="4">
        <v>45976</v>
      </c>
      <c r="C29" s="5">
        <v>0.70332175925925922</v>
      </c>
      <c r="D29" s="9" t="s">
        <v>4</v>
      </c>
      <c r="E29" s="9" t="s">
        <v>8</v>
      </c>
      <c r="F29" s="9"/>
      <c r="H29" s="9"/>
      <c r="I29" s="9" t="s">
        <v>1243</v>
      </c>
      <c r="J29" s="9" t="s">
        <v>2946</v>
      </c>
      <c r="K29" t="s">
        <v>1244</v>
      </c>
      <c r="L29" t="s">
        <v>1245</v>
      </c>
      <c r="M29" s="3" t="str">
        <f>HYPERLINK(склад2въезд13[[#This Row],[RelativePath]])</f>
        <v>4 Крыльцо офиса\K07156189_21_20251115T165247Z.jpg</v>
      </c>
    </row>
    <row r="30" spans="1:13" x14ac:dyDescent="0.25">
      <c r="A30" s="2" t="s">
        <v>18</v>
      </c>
      <c r="B30" s="4">
        <v>45976</v>
      </c>
      <c r="C30" s="5">
        <v>0.7377083333333333</v>
      </c>
      <c r="D30" s="9" t="s">
        <v>4</v>
      </c>
      <c r="E30" s="9" t="s">
        <v>8</v>
      </c>
      <c r="F30" s="9"/>
      <c r="H30" s="9" t="s">
        <v>1588</v>
      </c>
      <c r="I30" s="9" t="s">
        <v>1246</v>
      </c>
      <c r="J30" s="9" t="s">
        <v>2946</v>
      </c>
      <c r="K30" t="s">
        <v>1247</v>
      </c>
      <c r="L30" t="s">
        <v>1248</v>
      </c>
      <c r="M30" s="3" t="str">
        <f>HYPERLINK(склад2въезд13[[#This Row],[RelativePath]])</f>
        <v>4 Крыльцо офиса\K07156189_21_20251115T174218Z.jpg</v>
      </c>
    </row>
    <row r="31" spans="1:13" x14ac:dyDescent="0.25">
      <c r="A31" s="2" t="s">
        <v>22</v>
      </c>
      <c r="B31" s="4">
        <v>45977</v>
      </c>
      <c r="C31" s="5">
        <v>0.37039351851851854</v>
      </c>
      <c r="D31" s="9" t="s">
        <v>4</v>
      </c>
      <c r="E31" s="9" t="s">
        <v>8</v>
      </c>
      <c r="F31" s="9"/>
      <c r="H31" s="9" t="s">
        <v>1972</v>
      </c>
      <c r="I31" s="9" t="s">
        <v>1249</v>
      </c>
      <c r="J31" s="9" t="s">
        <v>2946</v>
      </c>
      <c r="K31" t="s">
        <v>1250</v>
      </c>
      <c r="L31" t="s">
        <v>1251</v>
      </c>
      <c r="M31" s="3" t="str">
        <f>HYPERLINK(склад2въезд13[[#This Row],[RelativePath]])</f>
        <v>4 Крыльцо офиса\K07156189_21_20251116T085322Z.jpg</v>
      </c>
    </row>
    <row r="32" spans="1:13" x14ac:dyDescent="0.25">
      <c r="A32" s="2" t="s">
        <v>22</v>
      </c>
      <c r="B32" s="4">
        <v>45977</v>
      </c>
      <c r="C32" s="5">
        <v>0.58667824074074071</v>
      </c>
      <c r="D32" s="9" t="s">
        <v>4</v>
      </c>
      <c r="E32" s="9" t="s">
        <v>8</v>
      </c>
      <c r="F32" s="9"/>
      <c r="H32" s="9" t="s">
        <v>1967</v>
      </c>
      <c r="I32" s="9" t="s">
        <v>1252</v>
      </c>
      <c r="J32" s="9" t="s">
        <v>2946</v>
      </c>
      <c r="K32" t="s">
        <v>1253</v>
      </c>
      <c r="L32" t="s">
        <v>1254</v>
      </c>
      <c r="M32" s="3" t="str">
        <f>HYPERLINK(склад2въезд13[[#This Row],[RelativePath]])</f>
        <v>4 Крыльцо офиса\K07156189_21_20251116T140449Z.jpg</v>
      </c>
    </row>
    <row r="33" spans="1:13" x14ac:dyDescent="0.25">
      <c r="A33" s="2" t="s">
        <v>22</v>
      </c>
      <c r="B33" s="4">
        <v>45977</v>
      </c>
      <c r="C33" s="5">
        <v>0.7207175925925926</v>
      </c>
      <c r="D33" s="9" t="s">
        <v>4</v>
      </c>
      <c r="E33" s="9" t="s">
        <v>8</v>
      </c>
      <c r="F33" s="9"/>
      <c r="H33" s="9" t="s">
        <v>1588</v>
      </c>
      <c r="I33" s="9" t="s">
        <v>1255</v>
      </c>
      <c r="J33" s="9" t="s">
        <v>2946</v>
      </c>
      <c r="K33" t="s">
        <v>1256</v>
      </c>
      <c r="L33" t="s">
        <v>1257</v>
      </c>
      <c r="M33" s="3" t="str">
        <f>HYPERLINK(склад2въезд13[[#This Row],[RelativePath]])</f>
        <v>4 Крыльцо офиса\K07156189_21_20251116T171750Z.jpg</v>
      </c>
    </row>
    <row r="34" spans="1:13" x14ac:dyDescent="0.25">
      <c r="A34" s="2" t="s">
        <v>13</v>
      </c>
      <c r="B34" s="4">
        <v>45978</v>
      </c>
      <c r="C34" s="5">
        <v>0.73387731481481477</v>
      </c>
      <c r="D34" s="9" t="s">
        <v>1967</v>
      </c>
      <c r="E34" s="9"/>
      <c r="F34" s="9"/>
      <c r="H34" s="9"/>
      <c r="I34" s="9" t="s">
        <v>2088</v>
      </c>
      <c r="J34" s="9" t="s">
        <v>2946</v>
      </c>
      <c r="K34" t="s">
        <v>2089</v>
      </c>
      <c r="L34" t="s">
        <v>2090</v>
      </c>
      <c r="M34" s="3" t="str">
        <f>HYPERLINK(склад2въезд13[[#This Row],[RelativePath]])</f>
        <v>4 Крыльцо офиса\K07156189_21_20251117T173647Z.jpg</v>
      </c>
    </row>
    <row r="35" spans="1:13" x14ac:dyDescent="0.25">
      <c r="A35" s="2" t="s">
        <v>14</v>
      </c>
      <c r="B35" s="4">
        <v>45979</v>
      </c>
      <c r="C35" s="5">
        <v>0.59271990740740743</v>
      </c>
      <c r="D35" s="9" t="s">
        <v>4</v>
      </c>
      <c r="E35" s="9" t="s">
        <v>2882</v>
      </c>
      <c r="F35" s="9" t="s">
        <v>58</v>
      </c>
      <c r="H35" s="9"/>
      <c r="I35" s="9" t="s">
        <v>2091</v>
      </c>
      <c r="J35" s="9" t="s">
        <v>2946</v>
      </c>
      <c r="K35" t="s">
        <v>2092</v>
      </c>
      <c r="L35" t="s">
        <v>2093</v>
      </c>
      <c r="M35" s="3" t="str">
        <f>HYPERLINK(склад2въезд13[[#This Row],[RelativePath]])</f>
        <v>4 Крыльцо офиса\K07156189_21_20251118T141331Z.jpg</v>
      </c>
    </row>
    <row r="36" spans="1:13" x14ac:dyDescent="0.25">
      <c r="A36" s="2" t="s">
        <v>16</v>
      </c>
      <c r="B36" s="4">
        <v>45981</v>
      </c>
      <c r="C36" s="5">
        <v>0.41954861111111114</v>
      </c>
      <c r="D36" s="9" t="s">
        <v>4</v>
      </c>
      <c r="E36" s="9" t="s">
        <v>8</v>
      </c>
      <c r="F36" s="9"/>
      <c r="H36" s="9" t="s">
        <v>2886</v>
      </c>
      <c r="I36" s="9" t="s">
        <v>2094</v>
      </c>
      <c r="J36" s="9" t="s">
        <v>2946</v>
      </c>
      <c r="K36" t="s">
        <v>2095</v>
      </c>
      <c r="L36" t="s">
        <v>2096</v>
      </c>
      <c r="M36" s="3" t="str">
        <f>HYPERLINK(склад2въезд13[[#This Row],[RelativePath]])</f>
        <v>4 Крыльцо офиса\K07156189_21_20251120T100409Z.jpg</v>
      </c>
    </row>
    <row r="37" spans="1:13" x14ac:dyDescent="0.25">
      <c r="A37" s="2" t="s">
        <v>16</v>
      </c>
      <c r="B37" s="4">
        <v>45981</v>
      </c>
      <c r="C37" s="5">
        <v>0.72770833333333329</v>
      </c>
      <c r="D37" s="9" t="s">
        <v>1967</v>
      </c>
      <c r="E37" s="9"/>
      <c r="F37" s="9"/>
      <c r="H37" s="9"/>
      <c r="I37" s="9" t="s">
        <v>2097</v>
      </c>
      <c r="J37" s="9" t="s">
        <v>2946</v>
      </c>
      <c r="K37" t="s">
        <v>2098</v>
      </c>
      <c r="L37" t="s">
        <v>2099</v>
      </c>
      <c r="M37" s="3" t="str">
        <f>HYPERLINK(склад2въезд13[[#This Row],[RelativePath]])</f>
        <v>4 Крыльцо офиса\K07156189_21_20251120T172754Z.jpg</v>
      </c>
    </row>
    <row r="38" spans="1:13" x14ac:dyDescent="0.25">
      <c r="A38" s="2" t="s">
        <v>17</v>
      </c>
      <c r="B38" s="4">
        <v>45982</v>
      </c>
      <c r="C38" s="5">
        <v>0.72608796296296296</v>
      </c>
      <c r="D38" s="9" t="s">
        <v>1967</v>
      </c>
      <c r="E38" s="9"/>
      <c r="F38" s="9"/>
      <c r="H38" s="9"/>
      <c r="I38" s="9" t="s">
        <v>2100</v>
      </c>
      <c r="J38" s="9" t="s">
        <v>2946</v>
      </c>
      <c r="K38" t="s">
        <v>2101</v>
      </c>
      <c r="L38" t="s">
        <v>2102</v>
      </c>
      <c r="M38" s="3" t="str">
        <f>HYPERLINK(склад2въезд13[[#This Row],[RelativePath]])</f>
        <v>4 Крыльцо офиса\K07156189_21_20251121T172534Z.jpg</v>
      </c>
    </row>
    <row r="39" spans="1:13" x14ac:dyDescent="0.25">
      <c r="A39" s="2" t="s">
        <v>18</v>
      </c>
      <c r="B39" s="4">
        <v>45983</v>
      </c>
      <c r="C39" s="5">
        <v>0.73127314814814814</v>
      </c>
      <c r="D39" s="9" t="s">
        <v>1967</v>
      </c>
      <c r="E39" s="9"/>
      <c r="F39" s="9"/>
      <c r="H39" s="9"/>
      <c r="I39" s="9" t="s">
        <v>2103</v>
      </c>
      <c r="J39" s="9" t="s">
        <v>2946</v>
      </c>
      <c r="K39" t="s">
        <v>2104</v>
      </c>
      <c r="L39" t="s">
        <v>2105</v>
      </c>
      <c r="M39" s="3" t="str">
        <f>HYPERLINK(склад2въезд13[[#This Row],[RelativePath]])</f>
        <v>4 Крыльцо офиса\K07156189_21_20251122T173302Z.jpg</v>
      </c>
    </row>
    <row r="40" spans="1:13" x14ac:dyDescent="0.25">
      <c r="A40" s="2" t="s">
        <v>22</v>
      </c>
      <c r="B40" s="4">
        <v>45984</v>
      </c>
      <c r="C40" s="5">
        <v>0.71489583333333329</v>
      </c>
      <c r="D40" s="9" t="s">
        <v>1967</v>
      </c>
      <c r="E40" s="9"/>
      <c r="F40" s="9"/>
      <c r="H40" s="9"/>
      <c r="I40" s="9" t="s">
        <v>2106</v>
      </c>
      <c r="J40" s="9" t="s">
        <v>2946</v>
      </c>
      <c r="K40" t="s">
        <v>2107</v>
      </c>
      <c r="L40" t="s">
        <v>2108</v>
      </c>
      <c r="M40" s="3" t="str">
        <f>HYPERLINK(склад2въезд13[[#This Row],[RelativePath]])</f>
        <v>4 Крыльцо офиса\K07156189_21_20251123T170927Z.jpg</v>
      </c>
    </row>
    <row r="41" spans="1:13" x14ac:dyDescent="0.25">
      <c r="A41" s="2" t="s">
        <v>13</v>
      </c>
      <c r="B41" s="4">
        <v>45985</v>
      </c>
      <c r="C41" s="5">
        <v>0.70180555555555557</v>
      </c>
      <c r="D41" s="9" t="s">
        <v>4</v>
      </c>
      <c r="E41" s="9" t="s">
        <v>8</v>
      </c>
      <c r="F41" s="9"/>
      <c r="H41" s="9"/>
      <c r="I41" s="9" t="s">
        <v>3322</v>
      </c>
      <c r="J41" s="9" t="s">
        <v>2946</v>
      </c>
      <c r="K41" t="s">
        <v>3323</v>
      </c>
      <c r="L41" t="s">
        <v>3324</v>
      </c>
      <c r="M41" s="3" t="str">
        <f>HYPERLINK(склад2въезд13[[#This Row],[RelativePath]])</f>
        <v>4 Крыльцо офиса\K07156189_21_20251124T165036Z.jpg</v>
      </c>
    </row>
    <row r="42" spans="1:13" x14ac:dyDescent="0.25">
      <c r="A42" s="2" t="s">
        <v>13</v>
      </c>
      <c r="B42" s="4">
        <v>45985</v>
      </c>
      <c r="C42" s="5">
        <v>0.73797453703703708</v>
      </c>
      <c r="D42" s="9" t="s">
        <v>4</v>
      </c>
      <c r="E42" s="9" t="s">
        <v>70</v>
      </c>
      <c r="F42" s="9" t="s">
        <v>58</v>
      </c>
      <c r="H42" s="9"/>
      <c r="I42" s="9" t="s">
        <v>3325</v>
      </c>
      <c r="J42" s="9" t="s">
        <v>2946</v>
      </c>
      <c r="K42" t="s">
        <v>3326</v>
      </c>
      <c r="L42" t="s">
        <v>3327</v>
      </c>
      <c r="M42" s="3" t="str">
        <f>HYPERLINK(склад2въезд13[[#This Row],[RelativePath]])</f>
        <v>4 Крыльцо офиса\K07156189_21_20251124T174241Z.jpg</v>
      </c>
    </row>
    <row r="43" spans="1:13" x14ac:dyDescent="0.25">
      <c r="A43" s="2" t="s">
        <v>13</v>
      </c>
      <c r="B43" s="4">
        <v>45985</v>
      </c>
      <c r="C43" s="5">
        <v>0.75680555555555551</v>
      </c>
      <c r="D43" s="9" t="s">
        <v>4</v>
      </c>
      <c r="E43" s="9" t="s">
        <v>70</v>
      </c>
      <c r="F43" s="9" t="s">
        <v>51</v>
      </c>
      <c r="H43" s="9"/>
      <c r="I43" s="9" t="s">
        <v>3328</v>
      </c>
      <c r="J43" s="9" t="s">
        <v>2946</v>
      </c>
      <c r="K43" t="s">
        <v>3329</v>
      </c>
      <c r="L43" t="s">
        <v>3330</v>
      </c>
      <c r="M43" s="3" t="str">
        <f>HYPERLINK(склад2въезд13[[#This Row],[RelativePath]])</f>
        <v>4 Крыльцо офиса\K07156189_21_20251124T180948Z.jpg</v>
      </c>
    </row>
    <row r="44" spans="1:13" x14ac:dyDescent="0.25">
      <c r="A44" s="2" t="s">
        <v>14</v>
      </c>
      <c r="B44" s="4">
        <v>45986</v>
      </c>
      <c r="C44" s="5">
        <v>0.7160185185185185</v>
      </c>
      <c r="D44" s="9" t="s">
        <v>4</v>
      </c>
      <c r="E44" s="9" t="s">
        <v>8</v>
      </c>
      <c r="F44" s="9"/>
      <c r="H44" s="9"/>
      <c r="I44" s="9" t="s">
        <v>3331</v>
      </c>
      <c r="J44" s="9" t="s">
        <v>2946</v>
      </c>
      <c r="K44" t="s">
        <v>3332</v>
      </c>
      <c r="L44" t="s">
        <v>3333</v>
      </c>
      <c r="M44" s="3" t="str">
        <f>HYPERLINK(склад2въезд13[[#This Row],[RelativePath]])</f>
        <v>4 Крыльцо офиса\K07156189_21_20251125T171104Z.jpg</v>
      </c>
    </row>
    <row r="45" spans="1:13" x14ac:dyDescent="0.25">
      <c r="A45" s="2" t="s">
        <v>15</v>
      </c>
      <c r="B45" s="4">
        <v>45987</v>
      </c>
      <c r="C45" s="5">
        <v>0.66975694444444445</v>
      </c>
      <c r="D45" s="9" t="s">
        <v>4</v>
      </c>
      <c r="E45" s="9" t="s">
        <v>8</v>
      </c>
      <c r="F45" s="9"/>
      <c r="H45" s="9"/>
      <c r="I45" s="9" t="s">
        <v>3334</v>
      </c>
      <c r="J45" s="9" t="s">
        <v>2946</v>
      </c>
      <c r="K45" t="s">
        <v>3335</v>
      </c>
      <c r="L45" t="s">
        <v>3336</v>
      </c>
      <c r="M45" s="3" t="str">
        <f>HYPERLINK(склад2въезд13[[#This Row],[RelativePath]])</f>
        <v>4 Крыльцо офиса\K07156189_21_20251126T160427Z.jpg</v>
      </c>
    </row>
    <row r="46" spans="1:13" x14ac:dyDescent="0.25">
      <c r="A46" s="2" t="s">
        <v>16</v>
      </c>
      <c r="B46" s="4">
        <v>45988</v>
      </c>
      <c r="C46" s="5">
        <v>0.56732638888888887</v>
      </c>
      <c r="D46" s="9" t="s">
        <v>4</v>
      </c>
      <c r="E46" s="9" t="s">
        <v>8</v>
      </c>
      <c r="F46" s="9"/>
      <c r="H46" s="9"/>
      <c r="I46" s="9" t="s">
        <v>3337</v>
      </c>
      <c r="J46" s="9" t="s">
        <v>2946</v>
      </c>
      <c r="K46" t="s">
        <v>3338</v>
      </c>
      <c r="L46" t="s">
        <v>3339</v>
      </c>
      <c r="M46" s="3" t="str">
        <f>HYPERLINK(склад2въезд13[[#This Row],[RelativePath]])</f>
        <v>4 Крыльцо офиса\K07156189_21_20251127T133657Z.jpg</v>
      </c>
    </row>
    <row r="47" spans="1:13" x14ac:dyDescent="0.25">
      <c r="A47" s="2" t="s">
        <v>17</v>
      </c>
      <c r="B47" s="4">
        <v>45989</v>
      </c>
      <c r="C47" s="5">
        <v>0.7127430555555555</v>
      </c>
      <c r="D47" s="9" t="s">
        <v>4</v>
      </c>
      <c r="E47" s="9" t="s">
        <v>8</v>
      </c>
      <c r="F47" s="9"/>
      <c r="H47" s="9"/>
      <c r="I47" s="9" t="s">
        <v>3340</v>
      </c>
      <c r="J47" s="9" t="s">
        <v>2946</v>
      </c>
      <c r="K47" t="s">
        <v>3341</v>
      </c>
      <c r="L47" t="s">
        <v>3342</v>
      </c>
      <c r="M47" s="3" t="str">
        <f>HYPERLINK(склад2въезд13[[#This Row],[RelativePath]])</f>
        <v>4 Крыльцо офиса\K07156189_21_20251128T170621Z.jpg</v>
      </c>
    </row>
    <row r="48" spans="1:13" x14ac:dyDescent="0.25">
      <c r="A48" s="2" t="s">
        <v>18</v>
      </c>
      <c r="B48" s="4">
        <v>45990</v>
      </c>
      <c r="C48" s="5">
        <v>0.71454861111111112</v>
      </c>
      <c r="D48" s="9" t="s">
        <v>4</v>
      </c>
      <c r="E48" s="9" t="s">
        <v>4135</v>
      </c>
      <c r="F48" s="9" t="s">
        <v>4137</v>
      </c>
      <c r="H48" s="9" t="s">
        <v>4146</v>
      </c>
      <c r="I48" s="9" t="s">
        <v>3343</v>
      </c>
      <c r="J48" s="9" t="s">
        <v>2946</v>
      </c>
      <c r="K48" t="s">
        <v>3344</v>
      </c>
      <c r="L48" t="s">
        <v>3345</v>
      </c>
      <c r="M48" s="3" t="str">
        <f>HYPERLINK(склад2въезд13[[#This Row],[RelativePath]])</f>
        <v>4 Крыльцо офиса\K07156189_21_20251129T170857Z.jpg</v>
      </c>
    </row>
    <row r="49" spans="1:13" x14ac:dyDescent="0.25">
      <c r="A49" s="2" t="s">
        <v>22</v>
      </c>
      <c r="B49" s="4">
        <v>45991</v>
      </c>
      <c r="C49" s="5">
        <v>0.71070601851851856</v>
      </c>
      <c r="D49" s="9" t="s">
        <v>622</v>
      </c>
      <c r="E49" s="9" t="s">
        <v>55</v>
      </c>
      <c r="F49" s="9" t="s">
        <v>51</v>
      </c>
      <c r="H49" s="9"/>
      <c r="I49" s="9" t="s">
        <v>4204</v>
      </c>
      <c r="J49" s="9" t="s">
        <v>2946</v>
      </c>
      <c r="K49" t="s">
        <v>4205</v>
      </c>
      <c r="L49" t="s">
        <v>4206</v>
      </c>
      <c r="M49" s="3" t="str">
        <f>HYPERLINK(склад2въезд13[[#This Row],[RelativePath]])</f>
        <v>4 Крыльцо офиса\K07156189_21_20251130T170325Z.jpg</v>
      </c>
    </row>
    <row r="50" spans="1:13" x14ac:dyDescent="0.25">
      <c r="A50" s="2" t="s">
        <v>22</v>
      </c>
      <c r="B50" s="4">
        <v>45991</v>
      </c>
      <c r="C50" s="5">
        <v>0.75665509259259256</v>
      </c>
      <c r="D50" s="9" t="s">
        <v>1569</v>
      </c>
      <c r="E50" s="9" t="s">
        <v>55</v>
      </c>
      <c r="F50" s="9" t="s">
        <v>51</v>
      </c>
      <c r="H50" s="9"/>
      <c r="I50" s="9" t="s">
        <v>4207</v>
      </c>
      <c r="J50" s="9" t="s">
        <v>2946</v>
      </c>
      <c r="K50" t="s">
        <v>4208</v>
      </c>
      <c r="L50" t="s">
        <v>4209</v>
      </c>
      <c r="M50" s="3" t="str">
        <f>HYPERLINK(склад2въезд13[[#This Row],[RelativePath]])</f>
        <v>4 Крыльцо офиса\K07156189_21_20251130T180935Z.jpg</v>
      </c>
    </row>
    <row r="51" spans="1:13" x14ac:dyDescent="0.25">
      <c r="A51" s="2" t="s">
        <v>13</v>
      </c>
      <c r="B51" s="4">
        <v>45992</v>
      </c>
      <c r="C51" s="5">
        <v>0.86984953703703705</v>
      </c>
      <c r="D51" s="9" t="s">
        <v>262</v>
      </c>
      <c r="E51" s="9" t="s">
        <v>4135</v>
      </c>
      <c r="F51" s="9" t="s">
        <v>5027</v>
      </c>
      <c r="H51" s="9"/>
      <c r="I51" s="9" t="s">
        <v>4390</v>
      </c>
      <c r="J51" s="9" t="s">
        <v>2946</v>
      </c>
      <c r="K51" t="s">
        <v>4391</v>
      </c>
      <c r="L51" t="s">
        <v>4392</v>
      </c>
      <c r="M51" s="3" t="str">
        <f>HYPERLINK(склад2въезд13[[#This Row],[RelativePath]])</f>
        <v>4 Крыльцо офиса\K07156189_21_20251201T205235Z.jpg</v>
      </c>
    </row>
    <row r="52" spans="1:13" x14ac:dyDescent="0.25">
      <c r="A52" s="2" t="s">
        <v>13</v>
      </c>
      <c r="B52" s="4">
        <v>45992</v>
      </c>
      <c r="C52" s="5">
        <v>0.87006944444444445</v>
      </c>
      <c r="D52" s="9" t="s">
        <v>262</v>
      </c>
      <c r="E52" s="9" t="s">
        <v>4135</v>
      </c>
      <c r="F52" s="9" t="s">
        <v>5027</v>
      </c>
      <c r="H52" s="9"/>
      <c r="I52" s="9" t="s">
        <v>4393</v>
      </c>
      <c r="J52" s="9" t="s">
        <v>2946</v>
      </c>
      <c r="K52" t="s">
        <v>4394</v>
      </c>
      <c r="L52" t="s">
        <v>4395</v>
      </c>
      <c r="M52" s="3" t="str">
        <f>HYPERLINK(склад2въезд13[[#This Row],[RelativePath]])</f>
        <v>4 Крыльцо офиса\K07156189_21_20251201T205254Z.jpg</v>
      </c>
    </row>
    <row r="53" spans="1:13" x14ac:dyDescent="0.25">
      <c r="A53" s="2" t="s">
        <v>13</v>
      </c>
      <c r="B53" s="4">
        <v>45992</v>
      </c>
      <c r="C53" s="5">
        <v>0.87283564814814818</v>
      </c>
      <c r="D53" s="9" t="s">
        <v>622</v>
      </c>
      <c r="E53" s="9" t="s">
        <v>4135</v>
      </c>
      <c r="F53" s="9"/>
      <c r="H53" s="9"/>
      <c r="I53" s="9" t="s">
        <v>4396</v>
      </c>
      <c r="J53" s="9" t="s">
        <v>2946</v>
      </c>
      <c r="K53" t="s">
        <v>4397</v>
      </c>
      <c r="L53" t="s">
        <v>4398</v>
      </c>
      <c r="M53" s="3" t="str">
        <f>HYPERLINK(склад2въезд13[[#This Row],[RelativePath]])</f>
        <v>4 Крыльцо офиса\K07156189_21_20251201T205653Z.jpg</v>
      </c>
    </row>
    <row r="54" spans="1:13" x14ac:dyDescent="0.25">
      <c r="A54" s="2" t="s">
        <v>14</v>
      </c>
      <c r="B54" s="4">
        <v>45993</v>
      </c>
      <c r="C54" s="5">
        <v>0.35887731481481483</v>
      </c>
      <c r="D54" s="9" t="s">
        <v>261</v>
      </c>
      <c r="E54" s="9" t="s">
        <v>70</v>
      </c>
      <c r="F54" s="9" t="s">
        <v>5027</v>
      </c>
      <c r="H54" s="9" t="s">
        <v>5028</v>
      </c>
      <c r="I54" s="9" t="s">
        <v>4399</v>
      </c>
      <c r="J54" s="9" t="s">
        <v>2946</v>
      </c>
      <c r="K54" t="s">
        <v>4400</v>
      </c>
      <c r="L54" t="s">
        <v>4401</v>
      </c>
      <c r="M54" s="3" t="str">
        <f>HYPERLINK(склад2въезд13[[#This Row],[RelativePath]])</f>
        <v>4 Крыльцо офиса\K07156189_21_20251202T083647Z.jpg</v>
      </c>
    </row>
    <row r="55" spans="1:13" x14ac:dyDescent="0.25">
      <c r="A55" s="2" t="s">
        <v>14</v>
      </c>
      <c r="B55" s="4">
        <v>45993</v>
      </c>
      <c r="C55" s="5">
        <v>0.39114583333333336</v>
      </c>
      <c r="D55" s="9" t="s">
        <v>262</v>
      </c>
      <c r="E55" s="9" t="s">
        <v>70</v>
      </c>
      <c r="F55" s="9" t="s">
        <v>5027</v>
      </c>
      <c r="H55" s="9" t="s">
        <v>5028</v>
      </c>
      <c r="I55" s="9" t="s">
        <v>5024</v>
      </c>
      <c r="J55" s="9" t="s">
        <v>2946</v>
      </c>
      <c r="K55" t="s">
        <v>5025</v>
      </c>
      <c r="L55" t="s">
        <v>5026</v>
      </c>
      <c r="M55" s="3" t="str">
        <f>HYPERLINK(склад2въезд13[[#This Row],[RelativePath]])</f>
        <v>4 Крыльцо офиса\K07156189_21_20251202T092315Z.jpg</v>
      </c>
    </row>
    <row r="56" spans="1:13" x14ac:dyDescent="0.25">
      <c r="A56" s="2" t="s">
        <v>14</v>
      </c>
      <c r="B56" s="4">
        <v>45993</v>
      </c>
      <c r="C56" s="5">
        <v>0.39131944444444444</v>
      </c>
      <c r="D56" s="9" t="s">
        <v>622</v>
      </c>
      <c r="E56" s="9" t="s">
        <v>70</v>
      </c>
      <c r="F56" s="9"/>
      <c r="H56" s="9"/>
      <c r="I56" s="9" t="s">
        <v>4402</v>
      </c>
      <c r="J56" s="9" t="s">
        <v>2946</v>
      </c>
      <c r="K56" t="s">
        <v>4403</v>
      </c>
      <c r="L56" t="s">
        <v>4404</v>
      </c>
      <c r="M56" s="3" t="str">
        <f>HYPERLINK(склад2въезд13[[#This Row],[RelativePath]])</f>
        <v>4 Крыльцо офиса\K07156189_21_20251202T092330Z.jpg</v>
      </c>
    </row>
    <row r="57" spans="1:13" x14ac:dyDescent="0.25">
      <c r="A57" s="2" t="s">
        <v>15</v>
      </c>
      <c r="B57" s="4">
        <v>45994</v>
      </c>
      <c r="C57" s="5">
        <v>0.7201967592592593</v>
      </c>
      <c r="D57" s="9" t="s">
        <v>1967</v>
      </c>
      <c r="E57" s="9" t="s">
        <v>8</v>
      </c>
      <c r="F57" s="9"/>
      <c r="H57" s="9"/>
      <c r="I57" s="9" t="s">
        <v>4405</v>
      </c>
      <c r="J57" s="9" t="s">
        <v>2946</v>
      </c>
      <c r="K57" t="s">
        <v>4406</v>
      </c>
      <c r="L57" t="s">
        <v>4407</v>
      </c>
      <c r="M57" s="3" t="str">
        <f>HYPERLINK(склад2въезд13[[#This Row],[RelativePath]])</f>
        <v>4 Крыльцо офиса\K07156189_21_20251203T171705Z.jpg</v>
      </c>
    </row>
    <row r="58" spans="1:13" x14ac:dyDescent="0.25">
      <c r="A58" s="2" t="s">
        <v>16</v>
      </c>
      <c r="B58" s="4">
        <v>45995</v>
      </c>
      <c r="C58" s="5">
        <v>0.38034722222222223</v>
      </c>
      <c r="D58" s="9" t="s">
        <v>261</v>
      </c>
      <c r="E58" s="9" t="s">
        <v>70</v>
      </c>
      <c r="F58" s="9" t="s">
        <v>5027</v>
      </c>
      <c r="H58" s="9" t="s">
        <v>5029</v>
      </c>
      <c r="I58" s="9" t="s">
        <v>4408</v>
      </c>
      <c r="J58" s="9" t="s">
        <v>2946</v>
      </c>
      <c r="K58" t="s">
        <v>4409</v>
      </c>
      <c r="L58" t="s">
        <v>4410</v>
      </c>
      <c r="M58" s="3" t="str">
        <f>HYPERLINK(склад2въезд13[[#This Row],[RelativePath]])</f>
        <v>4 Крыльцо офиса\K07156189_21_20251204T090742Z.jpg</v>
      </c>
    </row>
    <row r="59" spans="1:13" x14ac:dyDescent="0.25">
      <c r="A59" s="2" t="s">
        <v>16</v>
      </c>
      <c r="B59" s="4">
        <v>45995</v>
      </c>
      <c r="C59" s="5">
        <v>0.38046296296296295</v>
      </c>
      <c r="D59" s="9" t="s">
        <v>261</v>
      </c>
      <c r="E59" s="9" t="s">
        <v>70</v>
      </c>
      <c r="F59" s="9" t="s">
        <v>5027</v>
      </c>
      <c r="H59" s="9" t="s">
        <v>2891</v>
      </c>
      <c r="I59" s="9" t="s">
        <v>4411</v>
      </c>
      <c r="J59" s="9" t="s">
        <v>2946</v>
      </c>
      <c r="K59" t="s">
        <v>4412</v>
      </c>
      <c r="L59" t="s">
        <v>4413</v>
      </c>
      <c r="M59" s="3" t="str">
        <f>HYPERLINK(склад2въезд13[[#This Row],[RelativePath]])</f>
        <v>4 Крыльцо офиса\K07156189_21_20251204T090752Z.jpg</v>
      </c>
    </row>
    <row r="60" spans="1:13" x14ac:dyDescent="0.25">
      <c r="A60" s="2" t="s">
        <v>16</v>
      </c>
      <c r="B60" s="4">
        <v>45995</v>
      </c>
      <c r="C60" s="5">
        <v>0.38062499999999999</v>
      </c>
      <c r="D60" s="9" t="s">
        <v>261</v>
      </c>
      <c r="E60" s="9" t="s">
        <v>70</v>
      </c>
      <c r="F60" s="9" t="s">
        <v>5027</v>
      </c>
      <c r="H60" s="9" t="s">
        <v>2891</v>
      </c>
      <c r="I60" s="9" t="s">
        <v>4414</v>
      </c>
      <c r="J60" s="9" t="s">
        <v>2946</v>
      </c>
      <c r="K60" t="s">
        <v>4415</v>
      </c>
      <c r="L60" t="s">
        <v>4416</v>
      </c>
      <c r="M60" s="3" t="str">
        <f>HYPERLINK(склад2въезд13[[#This Row],[RelativePath]])</f>
        <v>4 Крыльцо офиса\K07156189_21_20251204T090806Z.jpg</v>
      </c>
    </row>
    <row r="61" spans="1:13" x14ac:dyDescent="0.25">
      <c r="A61" s="2" t="s">
        <v>16</v>
      </c>
      <c r="B61" s="4">
        <v>45995</v>
      </c>
      <c r="C61" s="5">
        <v>0.38299768518518518</v>
      </c>
      <c r="D61" s="9" t="s">
        <v>261</v>
      </c>
      <c r="E61" s="9" t="s">
        <v>70</v>
      </c>
      <c r="F61" s="9" t="s">
        <v>5027</v>
      </c>
      <c r="H61" s="9" t="s">
        <v>5030</v>
      </c>
      <c r="I61" s="9" t="s">
        <v>4417</v>
      </c>
      <c r="J61" s="9" t="s">
        <v>2946</v>
      </c>
      <c r="K61" t="s">
        <v>4418</v>
      </c>
      <c r="L61" t="s">
        <v>4419</v>
      </c>
      <c r="M61" s="3" t="str">
        <f>HYPERLINK(склад2въезд13[[#This Row],[RelativePath]])</f>
        <v>4 Крыльцо офиса\K07156189_21_20251204T091131Z.jpg</v>
      </c>
    </row>
    <row r="62" spans="1:13" x14ac:dyDescent="0.25">
      <c r="A62" s="2" t="s">
        <v>16</v>
      </c>
      <c r="B62" s="4">
        <v>45995</v>
      </c>
      <c r="C62" s="5">
        <v>0.38307870370370373</v>
      </c>
      <c r="D62" s="9" t="s">
        <v>622</v>
      </c>
      <c r="E62" s="9" t="s">
        <v>70</v>
      </c>
      <c r="F62" s="9"/>
      <c r="H62" s="9"/>
      <c r="I62" s="9" t="s">
        <v>4420</v>
      </c>
      <c r="J62" s="9" t="s">
        <v>2946</v>
      </c>
      <c r="K62" t="s">
        <v>4421</v>
      </c>
      <c r="L62" t="s">
        <v>4422</v>
      </c>
      <c r="M62" s="3" t="str">
        <f>HYPERLINK(склад2въезд13[[#This Row],[RelativePath]])</f>
        <v>4 Крыльцо офиса\K07156189_21_20251204T091138Z.jpg</v>
      </c>
    </row>
    <row r="63" spans="1:13" x14ac:dyDescent="0.25">
      <c r="A63" s="2" t="s">
        <v>17</v>
      </c>
      <c r="B63" s="4">
        <v>45996</v>
      </c>
      <c r="C63" s="5">
        <v>0.71984953703703702</v>
      </c>
      <c r="D63" s="9" t="s">
        <v>4</v>
      </c>
      <c r="E63" s="9" t="s">
        <v>8</v>
      </c>
      <c r="F63" s="9"/>
      <c r="H63" s="9"/>
      <c r="I63" s="9" t="s">
        <v>4423</v>
      </c>
      <c r="J63" s="9" t="s">
        <v>2946</v>
      </c>
      <c r="K63" t="s">
        <v>4424</v>
      </c>
      <c r="L63" t="s">
        <v>4425</v>
      </c>
      <c r="M63" s="3" t="str">
        <f>HYPERLINK(склад2въезд13[[#This Row],[RelativePath]])</f>
        <v>4 Крыльцо офиса\K07156189_21_20251205T171635Z.jpg</v>
      </c>
    </row>
    <row r="64" spans="1:13" x14ac:dyDescent="0.25">
      <c r="A64" s="2" t="s">
        <v>18</v>
      </c>
      <c r="B64" s="4">
        <v>45997</v>
      </c>
      <c r="C64" s="5">
        <v>0.66415509259259264</v>
      </c>
      <c r="D64" s="9" t="s">
        <v>1967</v>
      </c>
      <c r="E64" s="9" t="s">
        <v>8</v>
      </c>
      <c r="F64" s="9"/>
      <c r="H64" s="9"/>
      <c r="I64" s="9" t="s">
        <v>4426</v>
      </c>
      <c r="J64" s="9" t="s">
        <v>2946</v>
      </c>
      <c r="K64" t="s">
        <v>4427</v>
      </c>
      <c r="L64" t="s">
        <v>4428</v>
      </c>
      <c r="M64" s="3" t="str">
        <f>HYPERLINK(склад2въезд13[[#This Row],[RelativePath]])</f>
        <v>4 Крыльцо офиса\K07156189_21_20251206T155623Z.jpg</v>
      </c>
    </row>
    <row r="65" spans="1:13" x14ac:dyDescent="0.25">
      <c r="A65" s="2" t="s">
        <v>22</v>
      </c>
      <c r="B65" s="4">
        <v>45998</v>
      </c>
      <c r="C65" s="5">
        <v>0.63519675925925922</v>
      </c>
      <c r="D65" s="9" t="s">
        <v>4</v>
      </c>
      <c r="E65" s="9" t="s">
        <v>8</v>
      </c>
      <c r="F65" s="9"/>
      <c r="H65" s="9"/>
      <c r="I65" s="9" t="s">
        <v>5159</v>
      </c>
      <c r="J65" s="9" t="s">
        <v>2946</v>
      </c>
      <c r="K65" t="s">
        <v>5160</v>
      </c>
      <c r="L65" t="s">
        <v>5161</v>
      </c>
      <c r="M65" s="3" t="str">
        <f>HYPERLINK(склад2въезд13[[#This Row],[RelativePath]])</f>
        <v>4 Крыльцо офиса\K07156189_21_20251207T151441Z.jpg</v>
      </c>
    </row>
    <row r="66" spans="1:13" x14ac:dyDescent="0.25">
      <c r="A66" s="2" t="s">
        <v>13</v>
      </c>
      <c r="B66" s="4">
        <v>45999</v>
      </c>
      <c r="C66" s="5">
        <v>0.70417824074074076</v>
      </c>
      <c r="D66" s="9" t="s">
        <v>1967</v>
      </c>
      <c r="E66" s="9" t="s">
        <v>8</v>
      </c>
      <c r="F66" s="9"/>
      <c r="H66" s="9"/>
      <c r="I66" s="9" t="s">
        <v>5228</v>
      </c>
      <c r="J66" s="9" t="s">
        <v>2946</v>
      </c>
      <c r="K66" t="s">
        <v>5229</v>
      </c>
      <c r="L66" t="s">
        <v>5230</v>
      </c>
      <c r="M66" s="3" t="str">
        <f>HYPERLINK(склад2въезд13[[#This Row],[RelativePath]])</f>
        <v>4 Крыльцо офиса\K07156189_21_20251208T165401Z.jpg</v>
      </c>
    </row>
    <row r="67" spans="1:13" x14ac:dyDescent="0.25">
      <c r="A67" s="2" t="s">
        <v>14</v>
      </c>
      <c r="B67" s="4">
        <v>46000</v>
      </c>
      <c r="C67" s="5">
        <v>0.51223379629629628</v>
      </c>
      <c r="D67" s="9" t="s">
        <v>262</v>
      </c>
      <c r="E67" s="9" t="s">
        <v>5436</v>
      </c>
      <c r="F67" s="9" t="s">
        <v>6094</v>
      </c>
      <c r="H67" s="9"/>
      <c r="I67" s="9" t="s">
        <v>5623</v>
      </c>
      <c r="J67" s="9" t="s">
        <v>2946</v>
      </c>
      <c r="K67" t="s">
        <v>5624</v>
      </c>
      <c r="L67" t="s">
        <v>5625</v>
      </c>
      <c r="M67" s="3" t="str">
        <f>HYPERLINK(склад2въезд13[[#This Row],[RelativePath]])</f>
        <v>4 Крыльцо офиса\K07156189_21_20251209T121737Z.jpg</v>
      </c>
    </row>
    <row r="68" spans="1:13" x14ac:dyDescent="0.25">
      <c r="A68" s="2" t="s">
        <v>14</v>
      </c>
      <c r="B68" s="4">
        <v>46000</v>
      </c>
      <c r="C68" s="5">
        <v>0.51232638888888893</v>
      </c>
      <c r="D68" s="9" t="s">
        <v>262</v>
      </c>
      <c r="E68" s="9" t="s">
        <v>5436</v>
      </c>
      <c r="F68" s="9" t="s">
        <v>6094</v>
      </c>
      <c r="H68" s="9" t="s">
        <v>2891</v>
      </c>
      <c r="I68" s="9" t="s">
        <v>5626</v>
      </c>
      <c r="J68" s="9" t="s">
        <v>2946</v>
      </c>
      <c r="K68" t="s">
        <v>5627</v>
      </c>
      <c r="L68" t="s">
        <v>5628</v>
      </c>
      <c r="M68" s="3" t="str">
        <f>HYPERLINK(склад2въезд13[[#This Row],[RelativePath]])</f>
        <v>4 Крыльцо офиса\K07156189_21_20251209T121745Z.jpg</v>
      </c>
    </row>
    <row r="69" spans="1:13" x14ac:dyDescent="0.25">
      <c r="A69" s="2" t="s">
        <v>14</v>
      </c>
      <c r="B69" s="4">
        <v>46000</v>
      </c>
      <c r="C69" s="5">
        <v>0.51336805555555554</v>
      </c>
      <c r="D69" s="9" t="s">
        <v>262</v>
      </c>
      <c r="E69" s="9" t="s">
        <v>5436</v>
      </c>
      <c r="F69" s="9" t="s">
        <v>6094</v>
      </c>
      <c r="H69" s="9" t="s">
        <v>2891</v>
      </c>
      <c r="I69" s="9" t="s">
        <v>5629</v>
      </c>
      <c r="J69" s="9" t="s">
        <v>2946</v>
      </c>
      <c r="K69" t="s">
        <v>5630</v>
      </c>
      <c r="L69" t="s">
        <v>5631</v>
      </c>
      <c r="M69" s="3" t="str">
        <f>HYPERLINK(склад2въезд13[[#This Row],[RelativePath]])</f>
        <v>4 Крыльцо офиса\K07156189_21_20251209T121915Z.jpg</v>
      </c>
    </row>
    <row r="70" spans="1:13" x14ac:dyDescent="0.25">
      <c r="A70" s="2" t="s">
        <v>15</v>
      </c>
      <c r="B70" s="4">
        <v>46001</v>
      </c>
      <c r="C70" s="5">
        <v>0.63115740740740744</v>
      </c>
      <c r="D70" s="9" t="s">
        <v>1967</v>
      </c>
      <c r="E70" s="9" t="s">
        <v>8</v>
      </c>
      <c r="F70" s="9"/>
      <c r="H70" s="9"/>
      <c r="I70" s="9" t="s">
        <v>5632</v>
      </c>
      <c r="J70" s="9" t="s">
        <v>2946</v>
      </c>
      <c r="K70" t="s">
        <v>5633</v>
      </c>
      <c r="L70" t="s">
        <v>5634</v>
      </c>
      <c r="M70" s="3" t="str">
        <f>HYPERLINK(склад2въезд13[[#This Row],[RelativePath]])</f>
        <v>4 Крыльцо офиса\K07156189_21_20251210T150852Z.jpg</v>
      </c>
    </row>
    <row r="71" spans="1:13" x14ac:dyDescent="0.25">
      <c r="A71" s="2" t="s">
        <v>16</v>
      </c>
      <c r="B71" s="4">
        <v>46002</v>
      </c>
      <c r="C71" s="5">
        <v>0.48119212962962965</v>
      </c>
      <c r="D71" s="9" t="s">
        <v>4</v>
      </c>
      <c r="E71" s="9" t="s">
        <v>8</v>
      </c>
      <c r="F71" s="9"/>
      <c r="H71" s="9"/>
      <c r="I71" s="9" t="s">
        <v>5755</v>
      </c>
      <c r="J71" s="9" t="s">
        <v>2946</v>
      </c>
      <c r="K71" t="s">
        <v>5756</v>
      </c>
      <c r="L71" t="s">
        <v>5757</v>
      </c>
      <c r="M71" s="3" t="str">
        <f>HYPERLINK(склад2въезд13[[#This Row],[RelativePath]])</f>
        <v>4 Крыльцо офиса\K07156189_21_20251211T113255Z.jpg</v>
      </c>
    </row>
    <row r="72" spans="1:13" x14ac:dyDescent="0.25">
      <c r="A72" s="2" t="s">
        <v>16</v>
      </c>
      <c r="B72" s="4">
        <v>46002</v>
      </c>
      <c r="C72" s="5">
        <v>0.67466435185185181</v>
      </c>
      <c r="D72" s="9" t="s">
        <v>4</v>
      </c>
      <c r="E72" s="9" t="s">
        <v>8</v>
      </c>
      <c r="F72" s="9"/>
      <c r="H72" s="9"/>
      <c r="I72" s="9" t="s">
        <v>5758</v>
      </c>
      <c r="J72" s="9" t="s">
        <v>2946</v>
      </c>
      <c r="K72" t="s">
        <v>5759</v>
      </c>
      <c r="L72" t="s">
        <v>5760</v>
      </c>
      <c r="M72" s="3" t="str">
        <f>HYPERLINK(склад2въезд13[[#This Row],[RelativePath]])</f>
        <v>4 Крыльцо офиса\K07156189_21_20251211T161131Z.jpg</v>
      </c>
    </row>
    <row r="73" spans="1:13" x14ac:dyDescent="0.25">
      <c r="A73" s="2" t="s">
        <v>17</v>
      </c>
      <c r="B73" s="4">
        <v>46003</v>
      </c>
      <c r="C73" s="5">
        <v>0.63393518518518521</v>
      </c>
      <c r="D73" s="9" t="s">
        <v>4</v>
      </c>
      <c r="E73" s="9" t="s">
        <v>8</v>
      </c>
      <c r="F73" s="9"/>
      <c r="H73" s="9"/>
      <c r="I73" s="9" t="s">
        <v>5761</v>
      </c>
      <c r="J73" s="9" t="s">
        <v>2946</v>
      </c>
      <c r="K73" t="s">
        <v>5762</v>
      </c>
      <c r="L73" t="s">
        <v>5763</v>
      </c>
      <c r="M73" s="3" t="str">
        <f>HYPERLINK(склад2въезд13[[#This Row],[RelativePath]])</f>
        <v>4 Крыльцо офиса\K07156189_21_20251212T151252Z.jpg</v>
      </c>
    </row>
    <row r="74" spans="1:13" x14ac:dyDescent="0.25">
      <c r="A74" s="2" t="s">
        <v>17</v>
      </c>
      <c r="B74" s="4">
        <v>46003</v>
      </c>
      <c r="C74" s="5">
        <v>0.73780092592592594</v>
      </c>
      <c r="D74" s="9" t="s">
        <v>1569</v>
      </c>
      <c r="E74" s="9" t="s">
        <v>55</v>
      </c>
      <c r="F74" s="9" t="s">
        <v>51</v>
      </c>
      <c r="H74" s="9"/>
      <c r="I74" s="9" t="s">
        <v>5764</v>
      </c>
      <c r="J74" s="9" t="s">
        <v>2946</v>
      </c>
      <c r="K74" t="s">
        <v>5765</v>
      </c>
      <c r="L74" t="s">
        <v>5766</v>
      </c>
      <c r="M74" s="3" t="str">
        <f>HYPERLINK(склад2въезд13[[#This Row],[RelativePath]])</f>
        <v>4 Крыльцо офиса\K07156189_21_20251212T174226Z.jpg</v>
      </c>
    </row>
    <row r="75" spans="1:13" x14ac:dyDescent="0.25">
      <c r="A75" s="2" t="s">
        <v>18</v>
      </c>
      <c r="B75" s="4">
        <v>46004</v>
      </c>
      <c r="C75" s="5">
        <v>0.40708333333333335</v>
      </c>
      <c r="D75" s="9" t="s">
        <v>4</v>
      </c>
      <c r="E75" s="9" t="s">
        <v>6088</v>
      </c>
      <c r="F75" s="9" t="s">
        <v>58</v>
      </c>
      <c r="H75" s="9"/>
      <c r="I75" s="9" t="s">
        <v>5968</v>
      </c>
      <c r="J75" s="9" t="s">
        <v>2946</v>
      </c>
      <c r="K75" t="s">
        <v>5969</v>
      </c>
      <c r="L75" t="s">
        <v>5970</v>
      </c>
      <c r="M75" s="3" t="str">
        <f>HYPERLINK(склад2въезд13[[#This Row],[RelativePath]])</f>
        <v>4 Крыльцо офиса\K07156189_21_20251213T094612Z.jpg</v>
      </c>
    </row>
    <row r="76" spans="1:13" x14ac:dyDescent="0.25">
      <c r="A76" s="2" t="s">
        <v>18</v>
      </c>
      <c r="B76" s="4">
        <v>46004</v>
      </c>
      <c r="C76" s="5">
        <v>0.40886574074074072</v>
      </c>
      <c r="D76" s="9" t="s">
        <v>4</v>
      </c>
      <c r="E76" s="9" t="s">
        <v>6088</v>
      </c>
      <c r="F76" s="9" t="s">
        <v>58</v>
      </c>
      <c r="H76" s="9" t="s">
        <v>4146</v>
      </c>
      <c r="I76" s="9" t="s">
        <v>5971</v>
      </c>
      <c r="J76" s="9" t="s">
        <v>2946</v>
      </c>
      <c r="K76" t="s">
        <v>5972</v>
      </c>
      <c r="L76" t="s">
        <v>5973</v>
      </c>
      <c r="M76" s="3" t="str">
        <f>HYPERLINK(склад2въезд13[[#This Row],[RelativePath]])</f>
        <v>4 Крыльцо офиса\K07156189_21_20251213T094846Z.jpg</v>
      </c>
    </row>
    <row r="77" spans="1:13" x14ac:dyDescent="0.25">
      <c r="A77" s="2" t="s">
        <v>18</v>
      </c>
      <c r="B77" s="4">
        <v>46004</v>
      </c>
      <c r="C77" s="5">
        <v>0.52965277777777775</v>
      </c>
      <c r="D77" s="9" t="s">
        <v>1569</v>
      </c>
      <c r="E77" s="9" t="s">
        <v>6087</v>
      </c>
      <c r="F77" s="9" t="s">
        <v>51</v>
      </c>
      <c r="H77" s="9"/>
      <c r="I77" s="9" t="s">
        <v>5974</v>
      </c>
      <c r="J77" s="9" t="s">
        <v>2946</v>
      </c>
      <c r="K77" t="s">
        <v>5975</v>
      </c>
      <c r="L77" t="s">
        <v>5976</v>
      </c>
      <c r="M77" s="3" t="str">
        <f>HYPERLINK(склад2въезд13[[#This Row],[RelativePath]])</f>
        <v>4 Крыльцо офиса\K07156189_21_20251213T124242Z.jpg</v>
      </c>
    </row>
    <row r="78" spans="1:13" x14ac:dyDescent="0.25">
      <c r="A78" s="2" t="s">
        <v>18</v>
      </c>
      <c r="B78" s="4">
        <v>46004</v>
      </c>
      <c r="C78" s="5">
        <v>0.52991898148148153</v>
      </c>
      <c r="D78" s="9" t="s">
        <v>1569</v>
      </c>
      <c r="E78" s="9" t="s">
        <v>6086</v>
      </c>
      <c r="F78" s="9" t="s">
        <v>51</v>
      </c>
      <c r="H78" s="9"/>
      <c r="I78" s="9" t="s">
        <v>5977</v>
      </c>
      <c r="J78" s="9" t="s">
        <v>2946</v>
      </c>
      <c r="K78" t="s">
        <v>5978</v>
      </c>
      <c r="L78" t="s">
        <v>5979</v>
      </c>
      <c r="M78" s="3" t="str">
        <f>HYPERLINK(склад2въезд13[[#This Row],[RelativePath]])</f>
        <v>4 Крыльцо офиса\K07156189_21_20251213T124305Z.jpg</v>
      </c>
    </row>
    <row r="79" spans="1:13" x14ac:dyDescent="0.25">
      <c r="A79" s="2" t="s">
        <v>18</v>
      </c>
      <c r="B79" s="4">
        <v>46004</v>
      </c>
      <c r="C79" s="5">
        <v>0.53687499999999999</v>
      </c>
      <c r="D79" s="9" t="s">
        <v>622</v>
      </c>
      <c r="E79" s="9" t="s">
        <v>6087</v>
      </c>
      <c r="F79" s="9" t="s">
        <v>51</v>
      </c>
      <c r="H79" s="9"/>
      <c r="I79" s="9" t="s">
        <v>5980</v>
      </c>
      <c r="J79" s="9" t="s">
        <v>2946</v>
      </c>
      <c r="K79" t="s">
        <v>5981</v>
      </c>
      <c r="L79" t="s">
        <v>5982</v>
      </c>
      <c r="M79" s="3" t="str">
        <f>HYPERLINK(склад2въезд13[[#This Row],[RelativePath]])</f>
        <v>4 Крыльцо офиса\K07156189_21_20251213T125306Z.jpg</v>
      </c>
    </row>
    <row r="80" spans="1:13" x14ac:dyDescent="0.25">
      <c r="A80" s="2" t="s">
        <v>18</v>
      </c>
      <c r="B80" s="4">
        <v>46004</v>
      </c>
      <c r="C80" s="5">
        <v>0.5370949074074074</v>
      </c>
      <c r="D80" s="9" t="s">
        <v>622</v>
      </c>
      <c r="E80" s="9" t="s">
        <v>6086</v>
      </c>
      <c r="F80" s="9" t="s">
        <v>51</v>
      </c>
      <c r="H80" s="9"/>
      <c r="I80" s="9" t="s">
        <v>5983</v>
      </c>
      <c r="J80" s="9" t="s">
        <v>2946</v>
      </c>
      <c r="K80" t="s">
        <v>5984</v>
      </c>
      <c r="L80" t="s">
        <v>5985</v>
      </c>
      <c r="M80" s="3" t="str">
        <f>HYPERLINK(склад2въезд13[[#This Row],[RelativePath]])</f>
        <v>4 Крыльцо офиса\K07156189_21_20251213T125325Z.jpg</v>
      </c>
    </row>
    <row r="81" spans="1:13" x14ac:dyDescent="0.25">
      <c r="A81" s="2" t="s">
        <v>18</v>
      </c>
      <c r="B81" s="4">
        <v>46004</v>
      </c>
      <c r="C81" s="5">
        <v>0.5397453703703704</v>
      </c>
      <c r="D81" s="9" t="s">
        <v>1569</v>
      </c>
      <c r="E81" s="9" t="s">
        <v>6088</v>
      </c>
      <c r="F81" s="9" t="s">
        <v>58</v>
      </c>
      <c r="H81" s="9"/>
      <c r="I81" s="9" t="s">
        <v>5986</v>
      </c>
      <c r="J81" s="9" t="s">
        <v>2946</v>
      </c>
      <c r="K81" t="s">
        <v>5987</v>
      </c>
      <c r="L81" t="s">
        <v>5988</v>
      </c>
      <c r="M81" s="3" t="str">
        <f>HYPERLINK(склад2въезд13[[#This Row],[RelativePath]])</f>
        <v>4 Крыльцо офиса\K07156189_21_20251213T125714Z.jpg</v>
      </c>
    </row>
    <row r="82" spans="1:13" x14ac:dyDescent="0.25">
      <c r="A82" s="2" t="s">
        <v>18</v>
      </c>
      <c r="B82" s="4">
        <v>46004</v>
      </c>
      <c r="C82" s="5">
        <v>0.54593749999999996</v>
      </c>
      <c r="D82" s="9" t="s">
        <v>6095</v>
      </c>
      <c r="E82" s="9" t="s">
        <v>6088</v>
      </c>
      <c r="F82" s="9" t="s">
        <v>58</v>
      </c>
      <c r="H82" s="9"/>
      <c r="I82" s="9" t="s">
        <v>6082</v>
      </c>
      <c r="J82" s="9" t="s">
        <v>2946</v>
      </c>
      <c r="K82" t="s">
        <v>6083</v>
      </c>
      <c r="L82" t="s">
        <v>6084</v>
      </c>
      <c r="M82" s="3" t="str">
        <f>HYPERLINK(склад2въезд13[[#This Row],[RelativePath]])</f>
        <v>4 Крыльцо офиса\K07156189_21_20251213T130609Z.jpg</v>
      </c>
    </row>
    <row r="83" spans="1:13" x14ac:dyDescent="0.25">
      <c r="A83" s="2" t="s">
        <v>22</v>
      </c>
      <c r="B83" s="4">
        <v>46005</v>
      </c>
      <c r="C83" s="5">
        <v>0.69658564814814816</v>
      </c>
      <c r="D83" s="9" t="s">
        <v>1967</v>
      </c>
      <c r="E83" s="9" t="s">
        <v>8</v>
      </c>
      <c r="F83" s="9"/>
      <c r="H83" s="9"/>
      <c r="I83" s="9" t="s">
        <v>6121</v>
      </c>
      <c r="J83" s="9" t="s">
        <v>2946</v>
      </c>
      <c r="K83" t="s">
        <v>6122</v>
      </c>
      <c r="L83" t="s">
        <v>6123</v>
      </c>
      <c r="M83" s="3" t="str">
        <f>HYPERLINK(склад2въезд13[[#This Row],[RelativePath]])</f>
        <v>4 Крыльцо офиса\K07156189_21_20251214T164305Z.jpg</v>
      </c>
    </row>
    <row r="84" spans="1:13" x14ac:dyDescent="0.25">
      <c r="A84" s="2" t="s">
        <v>13</v>
      </c>
      <c r="B84" s="4">
        <v>46006</v>
      </c>
      <c r="C84" s="5">
        <v>0.46166666666666667</v>
      </c>
      <c r="D84" s="9" t="s">
        <v>4</v>
      </c>
      <c r="E84" s="9" t="s">
        <v>8</v>
      </c>
      <c r="F84" s="9"/>
      <c r="H84" s="9"/>
      <c r="I84" s="9" t="s">
        <v>6265</v>
      </c>
      <c r="J84" s="9" t="s">
        <v>2946</v>
      </c>
      <c r="K84" t="s">
        <v>6266</v>
      </c>
      <c r="L84" t="s">
        <v>6267</v>
      </c>
      <c r="M84" s="3" t="str">
        <f>HYPERLINK(склад2въезд13[[#This Row],[RelativePath]])</f>
        <v>4 Крыльцо офиса\K07156189_21_20251215T110448Z.jpg</v>
      </c>
    </row>
    <row r="85" spans="1:13" x14ac:dyDescent="0.25">
      <c r="A85" s="2" t="s">
        <v>13</v>
      </c>
      <c r="B85" s="4">
        <v>46006</v>
      </c>
      <c r="C85" s="5">
        <v>0.51274305555555555</v>
      </c>
      <c r="D85" s="9" t="s">
        <v>261</v>
      </c>
      <c r="E85" s="9" t="s">
        <v>70</v>
      </c>
      <c r="F85" s="9" t="s">
        <v>6261</v>
      </c>
      <c r="H85" s="9"/>
      <c r="I85" s="9" t="s">
        <v>6230</v>
      </c>
      <c r="J85" s="9" t="s">
        <v>2946</v>
      </c>
      <c r="K85" t="s">
        <v>6231</v>
      </c>
      <c r="L85" t="s">
        <v>6232</v>
      </c>
      <c r="M85" s="3" t="str">
        <f>HYPERLINK(склад2въезд13[[#This Row],[RelativePath]])</f>
        <v>4 Крыльцо офиса\K07156189_21_20251215T121821Z.jpg</v>
      </c>
    </row>
    <row r="86" spans="1:13" x14ac:dyDescent="0.25">
      <c r="A86" s="2" t="s">
        <v>14</v>
      </c>
      <c r="B86" s="4">
        <v>46007</v>
      </c>
      <c r="C86" s="5">
        <v>0.448125</v>
      </c>
      <c r="D86" s="9" t="s">
        <v>1569</v>
      </c>
      <c r="E86" s="9" t="s">
        <v>6574</v>
      </c>
      <c r="F86" s="9" t="s">
        <v>51</v>
      </c>
      <c r="H86" s="9"/>
      <c r="I86" s="9" t="s">
        <v>6464</v>
      </c>
      <c r="J86" s="9" t="s">
        <v>2946</v>
      </c>
      <c r="K86" t="s">
        <v>6465</v>
      </c>
      <c r="L86" t="s">
        <v>6466</v>
      </c>
      <c r="M86" s="3" t="str">
        <f>HYPERLINK(склад2въезд13[[#This Row],[RelativePath]])</f>
        <v>4 Крыльцо офиса\K07156189_21_20251216T104518Z.jpg</v>
      </c>
    </row>
    <row r="87" spans="1:13" x14ac:dyDescent="0.25">
      <c r="A87" s="2" t="s">
        <v>14</v>
      </c>
      <c r="B87" s="4">
        <v>46007</v>
      </c>
      <c r="C87" s="5">
        <v>0.45142361111111112</v>
      </c>
      <c r="D87" s="9" t="s">
        <v>261</v>
      </c>
      <c r="E87" s="9" t="s">
        <v>6574</v>
      </c>
      <c r="F87" s="9" t="s">
        <v>6575</v>
      </c>
      <c r="H87" s="9"/>
      <c r="I87" s="9" t="s">
        <v>6467</v>
      </c>
      <c r="J87" s="9" t="s">
        <v>2946</v>
      </c>
      <c r="K87" t="s">
        <v>6468</v>
      </c>
      <c r="L87" t="s">
        <v>6469</v>
      </c>
      <c r="M87" s="3" t="str">
        <f>HYPERLINK(склад2въезд13[[#This Row],[RelativePath]])</f>
        <v>4 Крыльцо офиса\K07156189_21_20251216T105003Z.jpg</v>
      </c>
    </row>
    <row r="88" spans="1:13" x14ac:dyDescent="0.25">
      <c r="A88" s="2" t="s">
        <v>15</v>
      </c>
      <c r="B88" s="4">
        <v>46008</v>
      </c>
      <c r="C88" s="5">
        <v>0.71788194444444442</v>
      </c>
      <c r="D88" s="9" t="s">
        <v>4</v>
      </c>
      <c r="E88" s="9" t="s">
        <v>6783</v>
      </c>
      <c r="F88" s="9"/>
      <c r="H88" s="9"/>
      <c r="I88" s="9" t="s">
        <v>6619</v>
      </c>
      <c r="J88" s="9" t="s">
        <v>2946</v>
      </c>
      <c r="K88" t="s">
        <v>6620</v>
      </c>
      <c r="L88" t="s">
        <v>6621</v>
      </c>
      <c r="M88" s="3" t="str">
        <f>HYPERLINK(склад2въезд13[[#This Row],[RelativePath]])</f>
        <v>4 Крыльцо офиса\K07156189_21_20251217T171345Z.jpg</v>
      </c>
    </row>
    <row r="89" spans="1:13" x14ac:dyDescent="0.25">
      <c r="A89" s="2" t="s">
        <v>16</v>
      </c>
      <c r="B89" s="4">
        <v>46009</v>
      </c>
      <c r="C89" s="5">
        <v>0.36964120370370368</v>
      </c>
      <c r="D89" s="9" t="s">
        <v>622</v>
      </c>
      <c r="E89" s="9" t="s">
        <v>6111</v>
      </c>
      <c r="F89" s="9" t="s">
        <v>51</v>
      </c>
      <c r="H89" s="9"/>
      <c r="I89" s="9" t="s">
        <v>6622</v>
      </c>
      <c r="J89" s="9" t="s">
        <v>2946</v>
      </c>
      <c r="K89" t="s">
        <v>6623</v>
      </c>
      <c r="L89" t="s">
        <v>6624</v>
      </c>
      <c r="M89" s="3" t="str">
        <f>HYPERLINK(склад2въезд13[[#This Row],[RelativePath]])</f>
        <v>4 Крыльцо офиса\K07156189_21_20251218T085217Z.jpg</v>
      </c>
    </row>
    <row r="90" spans="1:13" x14ac:dyDescent="0.25">
      <c r="A90" s="2" t="s">
        <v>16</v>
      </c>
      <c r="B90" s="4">
        <v>46009</v>
      </c>
      <c r="C90" s="5">
        <v>0.5503703703703704</v>
      </c>
      <c r="D90" s="9" t="s">
        <v>1569</v>
      </c>
      <c r="E90" s="9" t="s">
        <v>6111</v>
      </c>
      <c r="F90" s="9" t="s">
        <v>51</v>
      </c>
      <c r="H90" s="9"/>
      <c r="I90" s="9" t="s">
        <v>6625</v>
      </c>
      <c r="J90" s="9" t="s">
        <v>2946</v>
      </c>
      <c r="K90" t="s">
        <v>6626</v>
      </c>
      <c r="L90" t="s">
        <v>6627</v>
      </c>
      <c r="M90" s="3" t="str">
        <f>HYPERLINK(склад2въезд13[[#This Row],[RelativePath]])</f>
        <v>4 Крыльцо офиса\K07156189_21_20251218T131232Z.jpg</v>
      </c>
    </row>
    <row r="91" spans="1:13" x14ac:dyDescent="0.25">
      <c r="A91" s="2" t="s">
        <v>17</v>
      </c>
      <c r="B91" s="4">
        <v>46010</v>
      </c>
      <c r="C91" s="5">
        <v>0.7173842592592593</v>
      </c>
      <c r="D91" s="9" t="s">
        <v>1967</v>
      </c>
      <c r="E91" s="9" t="s">
        <v>8</v>
      </c>
      <c r="F91" s="9"/>
      <c r="H91" s="9"/>
      <c r="I91" s="9" t="s">
        <v>6821</v>
      </c>
      <c r="J91" s="9" t="s">
        <v>2946</v>
      </c>
      <c r="K91" t="s">
        <v>6822</v>
      </c>
      <c r="L91" t="s">
        <v>6823</v>
      </c>
      <c r="M91" s="3" t="str">
        <f>HYPERLINK(склад2въезд13[[#This Row],[RelativePath]])</f>
        <v>4 Крыльцо офиса\K07156189_21_20251219T171302Z.jpg</v>
      </c>
    </row>
    <row r="92" spans="1:13" x14ac:dyDescent="0.25">
      <c r="A92" s="2" t="s">
        <v>18</v>
      </c>
      <c r="B92" s="4">
        <v>46011</v>
      </c>
      <c r="C92" s="5">
        <v>0.5659143518518519</v>
      </c>
      <c r="D92" s="9" t="s">
        <v>1967</v>
      </c>
      <c r="E92" s="9" t="s">
        <v>8</v>
      </c>
      <c r="F92" s="9"/>
      <c r="H92" s="9"/>
      <c r="I92" s="9" t="s">
        <v>6824</v>
      </c>
      <c r="J92" s="9" t="s">
        <v>2946</v>
      </c>
      <c r="K92" t="s">
        <v>6825</v>
      </c>
      <c r="L92" t="s">
        <v>6826</v>
      </c>
      <c r="M92" s="3" t="str">
        <f>HYPERLINK(склад2въезд13[[#This Row],[RelativePath]])</f>
        <v>4 Крыльцо офиса\K07156189_21_20251220T133455Z.jpg</v>
      </c>
    </row>
    <row r="93" spans="1:13" x14ac:dyDescent="0.25">
      <c r="A93" s="2" t="s">
        <v>22</v>
      </c>
      <c r="B93" s="4">
        <v>46012</v>
      </c>
      <c r="C93" s="5">
        <v>0.71121527777777782</v>
      </c>
      <c r="D93" s="9" t="s">
        <v>1967</v>
      </c>
      <c r="E93" s="9" t="s">
        <v>8</v>
      </c>
      <c r="F93" s="9"/>
      <c r="H93" s="9"/>
      <c r="I93" s="9" t="s">
        <v>7097</v>
      </c>
      <c r="J93" s="9" t="s">
        <v>2946</v>
      </c>
      <c r="K93" t="s">
        <v>7098</v>
      </c>
      <c r="L93" t="s">
        <v>7099</v>
      </c>
      <c r="M93" s="3" t="str">
        <f>HYPERLINK(склад2въезд13[[#This Row],[RelativePath]])</f>
        <v>4 Крыльцо офиса\K07156189_21_20251221T170409Z.jpg</v>
      </c>
    </row>
    <row r="94" spans="1:13" x14ac:dyDescent="0.25">
      <c r="A94" s="2" t="s">
        <v>13</v>
      </c>
      <c r="B94" s="4">
        <v>46013</v>
      </c>
      <c r="C94" s="5">
        <v>0.6779398148148148</v>
      </c>
      <c r="D94" s="9" t="s">
        <v>1967</v>
      </c>
      <c r="E94" s="9" t="s">
        <v>8</v>
      </c>
      <c r="F94" s="9"/>
      <c r="H94" s="9"/>
      <c r="I94" s="9" t="s">
        <v>7140</v>
      </c>
      <c r="J94" s="9" t="s">
        <v>2946</v>
      </c>
      <c r="K94" t="s">
        <v>7141</v>
      </c>
      <c r="L94" t="s">
        <v>7142</v>
      </c>
      <c r="M94" s="3" t="str">
        <f>HYPERLINK(склад2въезд13[[#This Row],[RelativePath]])</f>
        <v>4 Крыльцо офиса\K07156189_21_20251222T161614Z.jpg</v>
      </c>
    </row>
    <row r="95" spans="1:13" x14ac:dyDescent="0.25">
      <c r="A95" s="2" t="s">
        <v>14</v>
      </c>
      <c r="B95" s="4">
        <v>46014</v>
      </c>
      <c r="C95" s="5">
        <v>0.7591782407407407</v>
      </c>
      <c r="D95" s="9" t="s">
        <v>1569</v>
      </c>
      <c r="E95" s="9" t="s">
        <v>7320</v>
      </c>
      <c r="F95" s="9" t="s">
        <v>60</v>
      </c>
      <c r="H95" s="9"/>
      <c r="I95" s="9" t="s">
        <v>7143</v>
      </c>
      <c r="J95" s="9" t="s">
        <v>2946</v>
      </c>
      <c r="K95" t="s">
        <v>7144</v>
      </c>
      <c r="L95" t="s">
        <v>7145</v>
      </c>
      <c r="M95" s="3" t="str">
        <f>HYPERLINK(склад2въезд13[[#This Row],[RelativePath]])</f>
        <v>4 Крыльцо офиса\K07156189_21_20251223T181313Z.jpg</v>
      </c>
    </row>
    <row r="96" spans="1:13" x14ac:dyDescent="0.25">
      <c r="A96" s="2" t="s">
        <v>14</v>
      </c>
      <c r="B96" s="4">
        <v>46014</v>
      </c>
      <c r="C96" s="5">
        <v>0.77853009259259254</v>
      </c>
      <c r="D96" s="9" t="s">
        <v>4157</v>
      </c>
      <c r="E96" s="9" t="s">
        <v>7320</v>
      </c>
      <c r="F96" s="9" t="s">
        <v>60</v>
      </c>
      <c r="H96" s="9"/>
      <c r="I96" s="9" t="s">
        <v>7146</v>
      </c>
      <c r="J96" s="9" t="s">
        <v>2946</v>
      </c>
      <c r="K96" t="s">
        <v>7147</v>
      </c>
      <c r="L96" t="s">
        <v>7148</v>
      </c>
      <c r="M96" s="3" t="str">
        <f>HYPERLINK(склад2въезд13[[#This Row],[RelativePath]])</f>
        <v>4 Крыльцо офиса\K07156189_21_20251223T184105Z.jpg</v>
      </c>
    </row>
    <row r="97" spans="1:13" x14ac:dyDescent="0.25">
      <c r="A97" s="2" t="s">
        <v>14</v>
      </c>
      <c r="B97" s="4">
        <v>46014</v>
      </c>
      <c r="C97" s="5">
        <v>0.79300925925925925</v>
      </c>
      <c r="D97" s="9" t="s">
        <v>262</v>
      </c>
      <c r="E97" s="9" t="s">
        <v>7320</v>
      </c>
      <c r="F97" s="9" t="s">
        <v>60</v>
      </c>
      <c r="H97" s="9"/>
      <c r="I97" s="9" t="s">
        <v>7149</v>
      </c>
      <c r="J97" s="9" t="s">
        <v>2946</v>
      </c>
      <c r="K97" t="s">
        <v>7150</v>
      </c>
      <c r="L97" t="s">
        <v>7151</v>
      </c>
      <c r="M97" s="3" t="str">
        <f>HYPERLINK(склад2въезд13[[#This Row],[RelativePath]])</f>
        <v>4 Крыльцо офиса\K07156189_21_20251223T190156Z.jpg</v>
      </c>
    </row>
    <row r="98" spans="1:13" x14ac:dyDescent="0.25">
      <c r="A98" s="2" t="s">
        <v>14</v>
      </c>
      <c r="B98" s="4">
        <v>46014</v>
      </c>
      <c r="C98" s="5">
        <v>0.81364583333333329</v>
      </c>
      <c r="D98" s="9" t="s">
        <v>622</v>
      </c>
      <c r="E98" s="9" t="s">
        <v>7320</v>
      </c>
      <c r="F98" s="9" t="s">
        <v>51</v>
      </c>
      <c r="H98" s="9"/>
      <c r="I98" s="9" t="s">
        <v>7152</v>
      </c>
      <c r="J98" s="9" t="s">
        <v>2946</v>
      </c>
      <c r="K98" t="s">
        <v>7153</v>
      </c>
      <c r="L98" t="s">
        <v>7154</v>
      </c>
      <c r="M98" s="3" t="str">
        <f>HYPERLINK(склад2въезд13[[#This Row],[RelativePath]])</f>
        <v>4 Крыльцо офиса\K07156189_21_20251223T193139Z.jpg</v>
      </c>
    </row>
    <row r="99" spans="1:13" x14ac:dyDescent="0.25">
      <c r="A99" s="2" t="s">
        <v>15</v>
      </c>
      <c r="B99" s="4">
        <v>46015</v>
      </c>
      <c r="C99" s="5">
        <v>0.6859143518518519</v>
      </c>
      <c r="D99" s="9" t="s">
        <v>1967</v>
      </c>
      <c r="E99" s="9" t="s">
        <v>8</v>
      </c>
      <c r="F99" s="9"/>
      <c r="H99" s="9"/>
      <c r="I99" s="9" t="s">
        <v>7474</v>
      </c>
      <c r="J99" s="9" t="s">
        <v>2946</v>
      </c>
      <c r="K99" t="s">
        <v>7475</v>
      </c>
      <c r="L99" t="s">
        <v>7476</v>
      </c>
      <c r="M99" s="3" t="str">
        <f>HYPERLINK(склад2въезд13[[#This Row],[RelativePath]])</f>
        <v>4 Крыльцо офиса\K07156189_21_20251224T162743Z.jpg</v>
      </c>
    </row>
    <row r="100" spans="1:13" x14ac:dyDescent="0.25">
      <c r="A100" s="2" t="s">
        <v>15</v>
      </c>
      <c r="B100" s="4">
        <v>46015</v>
      </c>
      <c r="C100" s="5">
        <v>0.88596064814814812</v>
      </c>
      <c r="D100" s="9" t="s">
        <v>1569</v>
      </c>
      <c r="E100" s="9" t="s">
        <v>7612</v>
      </c>
      <c r="F100" s="9" t="s">
        <v>60</v>
      </c>
      <c r="H100" s="9"/>
      <c r="I100" s="9" t="s">
        <v>7477</v>
      </c>
      <c r="J100" s="9" t="s">
        <v>2946</v>
      </c>
      <c r="K100" t="s">
        <v>7478</v>
      </c>
      <c r="L100" t="s">
        <v>7479</v>
      </c>
      <c r="M100" s="3" t="str">
        <f>HYPERLINK(склад2въезд13[[#This Row],[RelativePath]])</f>
        <v>4 Крыльцо офиса\K07156189_21_20251224T211547Z.jpg</v>
      </c>
    </row>
    <row r="101" spans="1:13" x14ac:dyDescent="0.25">
      <c r="A101" s="2" t="s">
        <v>15</v>
      </c>
      <c r="B101" s="4">
        <v>46015</v>
      </c>
      <c r="C101" s="5">
        <v>0.90452546296296299</v>
      </c>
      <c r="D101" s="9" t="s">
        <v>6092</v>
      </c>
      <c r="E101" s="9" t="s">
        <v>7612</v>
      </c>
      <c r="F101" s="9" t="s">
        <v>60</v>
      </c>
      <c r="H101" s="9"/>
      <c r="I101" s="9" t="s">
        <v>7480</v>
      </c>
      <c r="J101" s="9" t="s">
        <v>2946</v>
      </c>
      <c r="K101" t="s">
        <v>7481</v>
      </c>
      <c r="L101" t="s">
        <v>7482</v>
      </c>
      <c r="M101" s="3" t="str">
        <f>HYPERLINK(склад2въезд13[[#This Row],[RelativePath]])</f>
        <v>4 Крыльцо офиса\K07156189_21_20251224T214231Z.jpg</v>
      </c>
    </row>
    <row r="102" spans="1:13" x14ac:dyDescent="0.25">
      <c r="A102" s="2" t="s">
        <v>16</v>
      </c>
      <c r="B102" s="4">
        <v>46016</v>
      </c>
      <c r="C102" s="5">
        <v>0.49098379629629629</v>
      </c>
      <c r="D102" s="9" t="s">
        <v>622</v>
      </c>
      <c r="E102" s="9" t="s">
        <v>7612</v>
      </c>
      <c r="F102" s="9" t="s">
        <v>51</v>
      </c>
      <c r="H102" s="9"/>
      <c r="I102" s="9" t="s">
        <v>7483</v>
      </c>
      <c r="J102" s="9" t="s">
        <v>2946</v>
      </c>
      <c r="K102" t="s">
        <v>7484</v>
      </c>
      <c r="L102" t="s">
        <v>7485</v>
      </c>
      <c r="M102" s="3" t="str">
        <f>HYPERLINK(склад2въезд13[[#This Row],[RelativePath]])</f>
        <v>4 Крыльцо офиса\K07156189_21_20251225T114701Z.jpg</v>
      </c>
    </row>
    <row r="103" spans="1:13" x14ac:dyDescent="0.25">
      <c r="A103" s="2" t="s">
        <v>16</v>
      </c>
      <c r="B103" s="4">
        <v>46016</v>
      </c>
      <c r="C103" s="5">
        <v>0.70902777777777781</v>
      </c>
      <c r="D103" s="9" t="s">
        <v>1967</v>
      </c>
      <c r="E103" s="9" t="s">
        <v>8</v>
      </c>
      <c r="F103" s="9"/>
      <c r="H103" s="9"/>
      <c r="I103" s="9" t="s">
        <v>7486</v>
      </c>
      <c r="J103" s="9" t="s">
        <v>2946</v>
      </c>
      <c r="K103" t="s">
        <v>7487</v>
      </c>
      <c r="L103" t="s">
        <v>7488</v>
      </c>
      <c r="M103" s="3" t="str">
        <f>HYPERLINK(склад2въезд13[[#This Row],[RelativePath]])</f>
        <v>4 Крыльцо офиса\K07156189_21_20251225T170100Z.jpg</v>
      </c>
    </row>
    <row r="104" spans="1:13" x14ac:dyDescent="0.25">
      <c r="A104" s="2" t="s">
        <v>17</v>
      </c>
      <c r="B104" s="4">
        <v>46017</v>
      </c>
      <c r="C104" s="5">
        <v>0.69949074074074069</v>
      </c>
      <c r="D104" s="9" t="s">
        <v>1967</v>
      </c>
      <c r="E104" s="9" t="s">
        <v>8</v>
      </c>
      <c r="F104" s="9"/>
      <c r="H104" s="9"/>
      <c r="I104" s="9" t="s">
        <v>7734</v>
      </c>
      <c r="J104" s="9" t="s">
        <v>2946</v>
      </c>
      <c r="K104" t="s">
        <v>7735</v>
      </c>
      <c r="L104" t="s">
        <v>7736</v>
      </c>
      <c r="M104" s="3" t="str">
        <f>HYPERLINK(склад2въезд13[[#This Row],[RelativePath]])</f>
        <v>4 Крыльцо офиса\K07156189_21_20251226T164716Z.jpg</v>
      </c>
    </row>
    <row r="105" spans="1:13" x14ac:dyDescent="0.25">
      <c r="A105" s="2" t="s">
        <v>18</v>
      </c>
      <c r="B105" s="4">
        <v>46018</v>
      </c>
      <c r="C105" s="5">
        <v>0.5920023148148148</v>
      </c>
      <c r="D105" s="9" t="s">
        <v>7944</v>
      </c>
      <c r="E105" s="9" t="s">
        <v>6574</v>
      </c>
      <c r="F105" s="9" t="s">
        <v>5010</v>
      </c>
      <c r="H105" s="9"/>
      <c r="I105" s="9" t="s">
        <v>7894</v>
      </c>
      <c r="J105" s="9" t="s">
        <v>2946</v>
      </c>
      <c r="K105" t="s">
        <v>7895</v>
      </c>
      <c r="L105" t="s">
        <v>7896</v>
      </c>
      <c r="M105" s="3" t="str">
        <f>HYPERLINK(склад2въезд13[[#This Row],[RelativePath]])</f>
        <v>4 Крыльцо офиса\K07156189_21_20251227T141229Z.jpg</v>
      </c>
    </row>
    <row r="106" spans="1:13" x14ac:dyDescent="0.25">
      <c r="A106" s="2" t="s">
        <v>18</v>
      </c>
      <c r="B106" s="4">
        <v>46018</v>
      </c>
      <c r="C106" s="5">
        <v>0.60925925925925928</v>
      </c>
      <c r="D106" s="9" t="s">
        <v>4</v>
      </c>
      <c r="E106" s="9" t="s">
        <v>6574</v>
      </c>
      <c r="F106" s="9" t="s">
        <v>5010</v>
      </c>
      <c r="H106" s="9" t="s">
        <v>7945</v>
      </c>
      <c r="I106" s="9" t="s">
        <v>7897</v>
      </c>
      <c r="J106" s="9" t="s">
        <v>2946</v>
      </c>
      <c r="K106" t="s">
        <v>7898</v>
      </c>
      <c r="L106" t="s">
        <v>7899</v>
      </c>
      <c r="M106" s="3" t="str">
        <f>HYPERLINK(склад2въезд13[[#This Row],[RelativePath]])</f>
        <v>4 Крыльцо офиса\K07156189_21_20251227T143720Z.jpg</v>
      </c>
    </row>
    <row r="107" spans="1:13" x14ac:dyDescent="0.25">
      <c r="A107" s="2" t="s">
        <v>22</v>
      </c>
      <c r="B107" s="4">
        <v>46019</v>
      </c>
      <c r="C107" s="5">
        <v>0.50564814814814818</v>
      </c>
      <c r="D107" s="9" t="s">
        <v>4</v>
      </c>
      <c r="E107" s="9" t="s">
        <v>4134</v>
      </c>
      <c r="F107" s="9" t="s">
        <v>5010</v>
      </c>
      <c r="H107" s="9"/>
      <c r="I107" s="9" t="s">
        <v>7900</v>
      </c>
      <c r="J107" s="9" t="s">
        <v>2946</v>
      </c>
      <c r="K107" t="s">
        <v>7901</v>
      </c>
      <c r="L107" t="s">
        <v>7902</v>
      </c>
      <c r="M107" s="3" t="str">
        <f>HYPERLINK(склад2въезд13[[#This Row],[RelativePath]])</f>
        <v>4 Крыльцо офиса\K07156189_21_20251228T120808Z.jpg</v>
      </c>
    </row>
    <row r="108" spans="1:13" x14ac:dyDescent="0.25">
      <c r="A108" s="2" t="s">
        <v>22</v>
      </c>
      <c r="B108" s="4">
        <v>46019</v>
      </c>
      <c r="C108" s="5">
        <v>0.54252314814814817</v>
      </c>
      <c r="D108" s="9" t="s">
        <v>4</v>
      </c>
      <c r="E108" s="9" t="s">
        <v>8</v>
      </c>
      <c r="F108" s="9"/>
      <c r="H108" s="9" t="s">
        <v>7946</v>
      </c>
      <c r="I108" s="9" t="s">
        <v>7903</v>
      </c>
      <c r="J108" s="9" t="s">
        <v>2946</v>
      </c>
      <c r="K108" t="s">
        <v>7904</v>
      </c>
      <c r="L108" t="s">
        <v>7905</v>
      </c>
      <c r="M108" s="3" t="str">
        <f>HYPERLINK(склад2въезд13[[#This Row],[RelativePath]])</f>
        <v>4 Крыльцо офиса\K07156189_21_20251228T130114Z.jpg</v>
      </c>
    </row>
    <row r="109" spans="1:13" x14ac:dyDescent="0.25">
      <c r="A109" s="2" t="s">
        <v>22</v>
      </c>
      <c r="B109" s="4">
        <v>46019</v>
      </c>
      <c r="C109" s="5">
        <v>0.55581018518518521</v>
      </c>
      <c r="D109" s="9" t="s">
        <v>622</v>
      </c>
      <c r="E109" s="9" t="s">
        <v>6111</v>
      </c>
      <c r="F109" s="9" t="s">
        <v>51</v>
      </c>
      <c r="H109" s="9"/>
      <c r="I109" s="9" t="s">
        <v>7906</v>
      </c>
      <c r="J109" s="9" t="s">
        <v>2946</v>
      </c>
      <c r="K109" t="s">
        <v>7907</v>
      </c>
      <c r="L109" t="s">
        <v>7908</v>
      </c>
      <c r="M109" s="3" t="str">
        <f>HYPERLINK(склад2въезд13[[#This Row],[RelativePath]])</f>
        <v>4 Крыльцо офиса\K07156189_21_20251228T132022Z.jpg</v>
      </c>
    </row>
    <row r="110" spans="1:13" x14ac:dyDescent="0.25">
      <c r="A110" s="2" t="s">
        <v>22</v>
      </c>
      <c r="B110" s="4">
        <v>46019</v>
      </c>
      <c r="C110" s="5">
        <v>0.66861111111111116</v>
      </c>
      <c r="D110" s="9" t="s">
        <v>1569</v>
      </c>
      <c r="E110" s="9" t="s">
        <v>7943</v>
      </c>
      <c r="F110" s="9"/>
      <c r="H110" s="9"/>
      <c r="I110" s="9" t="s">
        <v>7909</v>
      </c>
      <c r="J110" s="9" t="s">
        <v>2946</v>
      </c>
      <c r="K110" t="s">
        <v>7910</v>
      </c>
      <c r="L110" t="s">
        <v>7911</v>
      </c>
      <c r="M110" s="3" t="str">
        <f>HYPERLINK(склад2въезд13[[#This Row],[RelativePath]])</f>
        <v>4 Крыльцо офиса\K07156189_21_20251228T160248Z.jpg</v>
      </c>
    </row>
    <row r="111" spans="1:13" x14ac:dyDescent="0.25">
      <c r="A111" s="2" t="s">
        <v>22</v>
      </c>
      <c r="B111" s="4">
        <v>46019</v>
      </c>
      <c r="C111" s="5">
        <v>0.66954861111111108</v>
      </c>
      <c r="D111" s="9" t="s">
        <v>622</v>
      </c>
      <c r="E111" s="9" t="s">
        <v>7943</v>
      </c>
      <c r="F111" s="9"/>
      <c r="H111" s="9"/>
      <c r="I111" s="9" t="s">
        <v>7912</v>
      </c>
      <c r="J111" s="9" t="s">
        <v>2946</v>
      </c>
      <c r="K111" t="s">
        <v>7913</v>
      </c>
      <c r="L111" t="s">
        <v>7914</v>
      </c>
      <c r="M111" s="3" t="str">
        <f>HYPERLINK(склад2въезд13[[#This Row],[RelativePath]])</f>
        <v>4 Крыльцо офиса\K07156189_21_20251228T160409Z.jpg</v>
      </c>
    </row>
    <row r="112" spans="1:13" x14ac:dyDescent="0.25">
      <c r="A112" s="2" t="s">
        <v>22</v>
      </c>
      <c r="B112" s="4">
        <v>46019</v>
      </c>
      <c r="C112" s="5">
        <v>0.8888773148148148</v>
      </c>
      <c r="D112" s="9" t="s">
        <v>1569</v>
      </c>
      <c r="E112" s="9" t="s">
        <v>6111</v>
      </c>
      <c r="F112" s="9"/>
      <c r="H112" s="9"/>
      <c r="I112" s="9" t="s">
        <v>7915</v>
      </c>
      <c r="J112" s="9" t="s">
        <v>2946</v>
      </c>
      <c r="K112" t="s">
        <v>7916</v>
      </c>
      <c r="L112" t="s">
        <v>7917</v>
      </c>
      <c r="M112" s="3" t="str">
        <f>HYPERLINK(склад2въезд13[[#This Row],[RelativePath]])</f>
        <v>4 Крыльцо офиса\K07156189_21_20251228T211959Z.jpg</v>
      </c>
    </row>
    <row r="113" spans="1:13" x14ac:dyDescent="0.25">
      <c r="A113" s="2" t="s">
        <v>13</v>
      </c>
      <c r="B113" s="4">
        <v>46020</v>
      </c>
      <c r="C113" s="5">
        <v>0.61657407407407405</v>
      </c>
      <c r="D113" s="9" t="s">
        <v>4</v>
      </c>
      <c r="E113" s="9" t="s">
        <v>1570</v>
      </c>
      <c r="F113" s="9" t="s">
        <v>8228</v>
      </c>
      <c r="H113" s="9"/>
      <c r="I113" s="9" t="s">
        <v>7992</v>
      </c>
      <c r="J113" s="9" t="s">
        <v>2946</v>
      </c>
      <c r="K113" t="s">
        <v>7993</v>
      </c>
      <c r="L113" t="s">
        <v>7994</v>
      </c>
      <c r="M113" s="3" t="str">
        <f>HYPERLINK(склад2въезд13[[#This Row],[RelativePath]])</f>
        <v>4 Крыльцо офиса\K07156189_21_20251229T144752Z.jpg</v>
      </c>
    </row>
    <row r="114" spans="1:13" x14ac:dyDescent="0.25">
      <c r="A114" s="2" t="s">
        <v>13</v>
      </c>
      <c r="B114" s="4">
        <v>46020</v>
      </c>
      <c r="C114" s="5">
        <v>0.68255787037037041</v>
      </c>
      <c r="D114" s="9" t="s">
        <v>4</v>
      </c>
      <c r="E114" s="9" t="s">
        <v>8</v>
      </c>
      <c r="F114" s="9"/>
      <c r="H114" s="9"/>
      <c r="I114" s="9" t="s">
        <v>7995</v>
      </c>
      <c r="J114" s="9" t="s">
        <v>2946</v>
      </c>
      <c r="K114" t="s">
        <v>7996</v>
      </c>
      <c r="L114" t="s">
        <v>7997</v>
      </c>
      <c r="M114" s="3" t="str">
        <f>HYPERLINK(склад2въезд13[[#This Row],[RelativePath]])</f>
        <v>4 Крыльцо офиса\K07156189_21_20251229T162253Z.jpg</v>
      </c>
    </row>
    <row r="115" spans="1:13" x14ac:dyDescent="0.25">
      <c r="A115" s="2" t="s">
        <v>14</v>
      </c>
      <c r="B115" s="4">
        <v>46021</v>
      </c>
      <c r="C115" s="5">
        <v>0.52613425925925927</v>
      </c>
      <c r="D115" s="9" t="s">
        <v>1967</v>
      </c>
      <c r="E115" s="9" t="s">
        <v>8</v>
      </c>
      <c r="F115" s="9"/>
      <c r="H115" s="9"/>
      <c r="I115" s="9" t="s">
        <v>7998</v>
      </c>
      <c r="J115" s="9" t="s">
        <v>2946</v>
      </c>
      <c r="K115" t="s">
        <v>7999</v>
      </c>
      <c r="L115" t="s">
        <v>8000</v>
      </c>
      <c r="M115" s="3" t="str">
        <f>HYPERLINK(склад2въезд13[[#This Row],[RelativePath]])</f>
        <v>4 Крыльцо офиса\K07156189_21_20251230T123738Z.jpg</v>
      </c>
    </row>
    <row r="116" spans="1:13" x14ac:dyDescent="0.25">
      <c r="A116" s="2" t="s">
        <v>14</v>
      </c>
      <c r="B116" s="4">
        <v>46021</v>
      </c>
      <c r="C116" s="5">
        <v>0.7348958333333333</v>
      </c>
      <c r="D116" s="9" t="s">
        <v>1967</v>
      </c>
      <c r="E116" s="9" t="s">
        <v>8</v>
      </c>
      <c r="F116" s="9"/>
      <c r="H116" s="9"/>
      <c r="I116" s="9" t="s">
        <v>8001</v>
      </c>
      <c r="J116" s="9" t="s">
        <v>2946</v>
      </c>
      <c r="K116" t="s">
        <v>8002</v>
      </c>
      <c r="L116" t="s">
        <v>8003</v>
      </c>
      <c r="M116" s="3" t="str">
        <f>HYPERLINK(склад2въезд13[[#This Row],[RelativePath]])</f>
        <v>4 Крыльцо офиса\K07156189_21_20251230T173815Z.jpg</v>
      </c>
    </row>
    <row r="117" spans="1:13" x14ac:dyDescent="0.25">
      <c r="A117" s="2" t="s">
        <v>15</v>
      </c>
      <c r="B117" s="4">
        <v>46022</v>
      </c>
      <c r="C117" s="5">
        <v>0.71327546296296296</v>
      </c>
      <c r="D117" s="9" t="s">
        <v>1967</v>
      </c>
      <c r="E117" s="9" t="s">
        <v>8</v>
      </c>
      <c r="F117" s="9"/>
      <c r="H117" s="9"/>
      <c r="I117" s="9" t="s">
        <v>8004</v>
      </c>
      <c r="J117" s="9" t="s">
        <v>2946</v>
      </c>
      <c r="K117" t="s">
        <v>8005</v>
      </c>
      <c r="L117" t="s">
        <v>8006</v>
      </c>
      <c r="M117" s="3" t="str">
        <f>HYPERLINK(склад2въезд13[[#This Row],[RelativePath]])</f>
        <v>4 Крыльцо офиса\K07156189_21_20251231T170707Z.jpg</v>
      </c>
    </row>
    <row r="118" spans="1:13" x14ac:dyDescent="0.25">
      <c r="A118" s="2" t="s">
        <v>16</v>
      </c>
      <c r="B118" s="4">
        <v>46023</v>
      </c>
      <c r="C118" s="5">
        <v>0.71423611111111107</v>
      </c>
      <c r="D118" s="9" t="s">
        <v>1967</v>
      </c>
      <c r="E118" s="9" t="s">
        <v>8</v>
      </c>
      <c r="F118" s="9"/>
      <c r="H118" s="9"/>
      <c r="I118" s="9" t="s">
        <v>8007</v>
      </c>
      <c r="J118" s="9" t="s">
        <v>2946</v>
      </c>
      <c r="K118" t="s">
        <v>8008</v>
      </c>
      <c r="L118" t="s">
        <v>8009</v>
      </c>
      <c r="M118" s="3" t="str">
        <f>HYPERLINK(склад2въезд13[[#This Row],[RelativePath]])</f>
        <v>4 Крыльцо офиса\K07156189_21_20260101T170830Z.jpg</v>
      </c>
    </row>
    <row r="119" spans="1:13" x14ac:dyDescent="0.25">
      <c r="A119" s="2" t="s">
        <v>17</v>
      </c>
      <c r="B119" s="4">
        <v>46024</v>
      </c>
      <c r="C119" s="5">
        <v>0.51469907407407411</v>
      </c>
      <c r="D119" s="9" t="s">
        <v>1967</v>
      </c>
      <c r="E119" s="9" t="s">
        <v>8</v>
      </c>
      <c r="F119" s="9"/>
      <c r="H119" s="9"/>
      <c r="I119" s="9" t="s">
        <v>8297</v>
      </c>
      <c r="J119" s="9" t="s">
        <v>2946</v>
      </c>
      <c r="K119" t="s">
        <v>8298</v>
      </c>
      <c r="L119" t="s">
        <v>8299</v>
      </c>
      <c r="M119" s="3" t="str">
        <f>HYPERLINK(склад2въезд13[[#This Row],[RelativePath]])</f>
        <v>4 Крыльцо офиса\K07156189_21_20260102T122110Z.jpg</v>
      </c>
    </row>
    <row r="120" spans="1:13" x14ac:dyDescent="0.25">
      <c r="A120" s="2" t="s">
        <v>18</v>
      </c>
      <c r="B120" s="4">
        <v>46025</v>
      </c>
      <c r="C120" s="5">
        <v>0.67857638888888894</v>
      </c>
      <c r="D120" s="9" t="s">
        <v>1967</v>
      </c>
      <c r="E120" s="9" t="s">
        <v>8</v>
      </c>
      <c r="F120" s="9"/>
      <c r="H120" s="9"/>
      <c r="I120" s="9" t="s">
        <v>8300</v>
      </c>
      <c r="J120" s="9" t="s">
        <v>2946</v>
      </c>
      <c r="K120" t="s">
        <v>8301</v>
      </c>
      <c r="L120" t="s">
        <v>8302</v>
      </c>
      <c r="M120" s="3" t="str">
        <f>HYPERLINK(склад2въезд13[[#This Row],[RelativePath]])</f>
        <v>4 Крыльцо офиса\K07156189_21_20260103T161709Z.jpg</v>
      </c>
    </row>
    <row r="121" spans="1:13" x14ac:dyDescent="0.25">
      <c r="A121" s="2" t="s">
        <v>22</v>
      </c>
      <c r="B121" s="4">
        <v>46026</v>
      </c>
      <c r="C121" s="5">
        <v>0.67975694444444446</v>
      </c>
      <c r="D121" s="9" t="s">
        <v>1967</v>
      </c>
      <c r="E121" s="9" t="s">
        <v>8</v>
      </c>
      <c r="F121" s="9"/>
      <c r="H121" s="9"/>
      <c r="I121" s="9" t="s">
        <v>8303</v>
      </c>
      <c r="J121" s="9" t="s">
        <v>2946</v>
      </c>
      <c r="K121" t="s">
        <v>8304</v>
      </c>
      <c r="L121" t="s">
        <v>8305</v>
      </c>
      <c r="M121" s="3" t="str">
        <f>HYPERLINK(склад2въезд13[[#This Row],[RelativePath]])</f>
        <v>4 Крыльцо офиса\K07156189_21_20260104T161851Z.jpg</v>
      </c>
    </row>
    <row r="122" spans="1:13" x14ac:dyDescent="0.25">
      <c r="A122" s="2" t="s">
        <v>13</v>
      </c>
      <c r="B122" s="4">
        <v>46027</v>
      </c>
      <c r="C122" s="5">
        <v>0.67423611111111115</v>
      </c>
      <c r="D122" s="9" t="s">
        <v>1967</v>
      </c>
      <c r="E122" s="9" t="s">
        <v>8</v>
      </c>
      <c r="F122" s="9"/>
      <c r="H122" s="9"/>
      <c r="I122" s="9" t="s">
        <v>8528</v>
      </c>
      <c r="J122" s="9" t="s">
        <v>2946</v>
      </c>
      <c r="K122" t="s">
        <v>8529</v>
      </c>
      <c r="L122" t="s">
        <v>8530</v>
      </c>
      <c r="M122" s="3" t="str">
        <f>HYPERLINK(склад2въезд13[[#This Row],[RelativePath]])</f>
        <v>4 Крыльцо офиса\K07156189_21_20260105T161054Z.jpg</v>
      </c>
    </row>
    <row r="123" spans="1:13" x14ac:dyDescent="0.25">
      <c r="A123" s="2" t="s">
        <v>14</v>
      </c>
      <c r="B123" s="4">
        <v>46028</v>
      </c>
      <c r="C123" s="5">
        <v>0.58508101851851857</v>
      </c>
      <c r="D123" s="9" t="s">
        <v>4</v>
      </c>
      <c r="E123" s="9" t="s">
        <v>8</v>
      </c>
      <c r="F123" s="9"/>
      <c r="H123" s="9"/>
      <c r="I123" s="9" t="s">
        <v>8531</v>
      </c>
      <c r="J123" s="9" t="s">
        <v>2946</v>
      </c>
      <c r="K123" t="s">
        <v>8532</v>
      </c>
      <c r="L123" t="s">
        <v>8533</v>
      </c>
      <c r="M123" s="3" t="str">
        <f>HYPERLINK(склад2въезд13[[#This Row],[RelativePath]])</f>
        <v>4 Крыльцо офиса\K07156189_21_20260106T140231Z.jpg</v>
      </c>
    </row>
    <row r="124" spans="1:13" x14ac:dyDescent="0.25">
      <c r="A124" s="2" t="s">
        <v>15</v>
      </c>
      <c r="B124" s="4">
        <v>46029</v>
      </c>
      <c r="C124" s="5">
        <v>0.52965277777777775</v>
      </c>
      <c r="D124" s="9" t="s">
        <v>4</v>
      </c>
      <c r="E124" s="9" t="s">
        <v>8</v>
      </c>
      <c r="F124" s="9"/>
      <c r="H124" s="9"/>
      <c r="I124" s="9" t="s">
        <v>8534</v>
      </c>
      <c r="J124" s="9" t="s">
        <v>2946</v>
      </c>
      <c r="K124" t="s">
        <v>8535</v>
      </c>
      <c r="L124" t="s">
        <v>8536</v>
      </c>
      <c r="M124" s="3" t="str">
        <f>HYPERLINK(склад2въезд13[[#This Row],[RelativePath]])</f>
        <v>4 Крыльцо офиса\K07156189_21_20260107T124242Z.jpg</v>
      </c>
    </row>
    <row r="125" spans="1:13" x14ac:dyDescent="0.25">
      <c r="A125" s="2" t="s">
        <v>16</v>
      </c>
      <c r="B125" s="4">
        <v>46030</v>
      </c>
      <c r="C125" s="5">
        <v>0.56579861111111107</v>
      </c>
      <c r="D125" s="9" t="s">
        <v>4</v>
      </c>
      <c r="E125" s="9" t="s">
        <v>8</v>
      </c>
      <c r="F125" s="9"/>
      <c r="H125" s="9"/>
      <c r="I125" s="9" t="s">
        <v>8537</v>
      </c>
      <c r="J125" s="9" t="s">
        <v>2946</v>
      </c>
      <c r="K125" t="s">
        <v>8538</v>
      </c>
      <c r="L125" t="s">
        <v>8539</v>
      </c>
      <c r="M125" s="3" t="str">
        <f>HYPERLINK(склад2въезд13[[#This Row],[RelativePath]])</f>
        <v>4 Крыльцо офиса\K07156189_21_20260108T133445Z.jpg</v>
      </c>
    </row>
    <row r="126" spans="1:13" x14ac:dyDescent="0.25">
      <c r="A126" s="2" t="s">
        <v>16</v>
      </c>
      <c r="B126" s="4">
        <v>46030</v>
      </c>
      <c r="C126" s="5">
        <v>0.74836805555555552</v>
      </c>
      <c r="D126" s="9" t="s">
        <v>4</v>
      </c>
      <c r="E126" s="9" t="s">
        <v>1570</v>
      </c>
      <c r="F126" s="9"/>
      <c r="H126" s="9"/>
      <c r="I126" s="9" t="s">
        <v>8540</v>
      </c>
      <c r="J126" s="9" t="s">
        <v>2946</v>
      </c>
      <c r="K126" t="s">
        <v>8541</v>
      </c>
      <c r="L126" t="s">
        <v>8542</v>
      </c>
      <c r="M126" s="3" t="str">
        <f>HYPERLINK(склад2въезд13[[#This Row],[RelativePath]])</f>
        <v>4 Крыльцо офиса\K07156189_21_20260108T175739Z.jpg</v>
      </c>
    </row>
    <row r="127" spans="1:13" x14ac:dyDescent="0.25">
      <c r="A127" s="2" t="s">
        <v>17</v>
      </c>
      <c r="B127" s="4">
        <v>46031</v>
      </c>
      <c r="C127" s="5">
        <v>0.66954861111111108</v>
      </c>
      <c r="D127" s="9" t="s">
        <v>4</v>
      </c>
      <c r="E127" s="9" t="s">
        <v>8691</v>
      </c>
      <c r="F127" s="9"/>
      <c r="H127" s="9"/>
      <c r="I127" s="9" t="s">
        <v>8543</v>
      </c>
      <c r="J127" s="9" t="s">
        <v>2946</v>
      </c>
      <c r="K127" t="s">
        <v>8544</v>
      </c>
      <c r="L127" t="s">
        <v>8545</v>
      </c>
      <c r="M127" s="3" t="str">
        <f>HYPERLINK(склад2въезд13[[#This Row],[RelativePath]])</f>
        <v>4 Крыльцо офиса\K07156189_21_20260109T160409Z.jpg</v>
      </c>
    </row>
    <row r="128" spans="1:13" x14ac:dyDescent="0.25">
      <c r="A128" s="2" t="s">
        <v>17</v>
      </c>
      <c r="B128" s="4">
        <v>46031</v>
      </c>
      <c r="C128" s="5">
        <v>0.67434027777777783</v>
      </c>
      <c r="D128" s="9" t="s">
        <v>4</v>
      </c>
      <c r="E128" s="9" t="s">
        <v>8691</v>
      </c>
      <c r="F128" s="9"/>
      <c r="H128" s="9"/>
      <c r="I128" s="9" t="s">
        <v>8546</v>
      </c>
      <c r="J128" s="9" t="s">
        <v>2946</v>
      </c>
      <c r="K128" t="s">
        <v>8547</v>
      </c>
      <c r="L128" t="s">
        <v>8548</v>
      </c>
      <c r="M128" s="3" t="str">
        <f>HYPERLINK(склад2въезд13[[#This Row],[RelativePath]])</f>
        <v>4 Крыльцо офиса\K07156189_21_20260109T161103Z.jpg</v>
      </c>
    </row>
    <row r="129" spans="1:13" x14ac:dyDescent="0.25">
      <c r="A129" s="2" t="s">
        <v>18</v>
      </c>
      <c r="B129" s="4">
        <v>46032</v>
      </c>
      <c r="C129" s="5">
        <v>0.52968749999999998</v>
      </c>
      <c r="D129" s="9" t="s">
        <v>1569</v>
      </c>
      <c r="E129" s="9" t="s">
        <v>8689</v>
      </c>
      <c r="F129" s="9"/>
      <c r="H129" s="9"/>
      <c r="I129" s="9" t="s">
        <v>8549</v>
      </c>
      <c r="J129" s="9" t="s">
        <v>2946</v>
      </c>
      <c r="K129" t="s">
        <v>8550</v>
      </c>
      <c r="L129" t="s">
        <v>8551</v>
      </c>
      <c r="M129" s="3" t="str">
        <f>HYPERLINK(склад2въезд13[[#This Row],[RelativePath]])</f>
        <v>4 Крыльцо офиса\K07156189_21_20260110T124245Z.jpg</v>
      </c>
    </row>
    <row r="130" spans="1:13" x14ac:dyDescent="0.25">
      <c r="A130" s="2" t="s">
        <v>18</v>
      </c>
      <c r="B130" s="4">
        <v>46032</v>
      </c>
      <c r="C130" s="5">
        <v>0.54754629629629625</v>
      </c>
      <c r="D130" s="9" t="s">
        <v>1569</v>
      </c>
      <c r="E130" s="9" t="s">
        <v>8690</v>
      </c>
      <c r="F130" s="9"/>
      <c r="H130" s="9"/>
      <c r="I130" s="9" t="s">
        <v>8552</v>
      </c>
      <c r="J130" s="9" t="s">
        <v>2946</v>
      </c>
      <c r="K130" t="s">
        <v>8553</v>
      </c>
      <c r="L130" t="s">
        <v>8554</v>
      </c>
      <c r="M130" s="3" t="str">
        <f>HYPERLINK(склад2въезд13[[#This Row],[RelativePath]])</f>
        <v>4 Крыльцо офиса\K07156189_21_20260110T130828Z.jpg</v>
      </c>
    </row>
    <row r="131" spans="1:13" x14ac:dyDescent="0.25">
      <c r="A131" s="2" t="s">
        <v>18</v>
      </c>
      <c r="B131" s="4">
        <v>46032</v>
      </c>
      <c r="C131" s="5">
        <v>0.68979166666666669</v>
      </c>
      <c r="D131" s="9" t="s">
        <v>622</v>
      </c>
      <c r="E131" s="9" t="s">
        <v>8690</v>
      </c>
      <c r="F131" s="9"/>
      <c r="H131" s="9"/>
      <c r="I131" s="9" t="s">
        <v>8555</v>
      </c>
      <c r="J131" s="9" t="s">
        <v>2946</v>
      </c>
      <c r="K131" t="s">
        <v>8556</v>
      </c>
      <c r="L131" t="s">
        <v>8557</v>
      </c>
      <c r="M131" s="3" t="str">
        <f>HYPERLINK(склад2въезд13[[#This Row],[RelativePath]])</f>
        <v>4 Крыльцо офиса\K07156189_21_20260110T163318Z.jpg</v>
      </c>
    </row>
    <row r="132" spans="1:13" x14ac:dyDescent="0.25">
      <c r="A132" s="2" t="s">
        <v>18</v>
      </c>
      <c r="B132" s="4">
        <v>46032</v>
      </c>
      <c r="C132" s="5">
        <v>0.71287037037037038</v>
      </c>
      <c r="D132" s="9" t="s">
        <v>622</v>
      </c>
      <c r="E132" s="9" t="s">
        <v>8689</v>
      </c>
      <c r="F132" s="9"/>
      <c r="H132" s="9"/>
      <c r="I132" s="9" t="s">
        <v>8558</v>
      </c>
      <c r="J132" s="9" t="s">
        <v>2946</v>
      </c>
      <c r="K132" t="s">
        <v>8559</v>
      </c>
      <c r="L132" t="s">
        <v>8560</v>
      </c>
      <c r="M132" s="3" t="str">
        <f>HYPERLINK(склад2въезд13[[#This Row],[RelativePath]])</f>
        <v>4 Крыльцо офиса\K07156189_21_20260110T170632Z.jpg</v>
      </c>
    </row>
    <row r="133" spans="1:13" x14ac:dyDescent="0.25">
      <c r="A133" s="2" t="s">
        <v>22</v>
      </c>
      <c r="B133" s="4">
        <v>46033</v>
      </c>
      <c r="C133" s="5">
        <v>0.67136574074074074</v>
      </c>
      <c r="D133" s="9" t="s">
        <v>1967</v>
      </c>
      <c r="E133" s="9" t="s">
        <v>8</v>
      </c>
      <c r="F133" s="9"/>
      <c r="H133" s="9"/>
      <c r="I133" s="9" t="s">
        <v>8561</v>
      </c>
      <c r="J133" s="9" t="s">
        <v>2946</v>
      </c>
      <c r="K133" t="s">
        <v>8562</v>
      </c>
      <c r="L133" t="s">
        <v>8563</v>
      </c>
      <c r="M133" s="3" t="str">
        <f>HYPERLINK(склад2въезд13[[#This Row],[RelativePath]])</f>
        <v>4 Крыльцо офиса\K07156189_21_20260111T160646Z.jpg</v>
      </c>
    </row>
    <row r="134" spans="1:13" x14ac:dyDescent="0.25">
      <c r="A134" s="2" t="s">
        <v>22</v>
      </c>
      <c r="B134" s="4">
        <v>46033</v>
      </c>
      <c r="C134" s="5">
        <v>0.78637731481481477</v>
      </c>
      <c r="D134" s="9" t="s">
        <v>4</v>
      </c>
      <c r="E134" s="9" t="s">
        <v>8692</v>
      </c>
      <c r="F134" s="9"/>
      <c r="H134" s="9"/>
      <c r="I134" s="9" t="s">
        <v>8564</v>
      </c>
      <c r="J134" s="9" t="s">
        <v>2946</v>
      </c>
      <c r="K134" t="s">
        <v>8565</v>
      </c>
      <c r="L134" t="s">
        <v>8566</v>
      </c>
      <c r="M134" s="3" t="str">
        <f>HYPERLINK(склад2въезд13[[#This Row],[RelativePath]])</f>
        <v>4 Крыльцо офиса\K07156189_21_20260111T185223Z.jpg</v>
      </c>
    </row>
    <row r="135" spans="1:13" x14ac:dyDescent="0.25">
      <c r="A135" s="2" t="s">
        <v>18</v>
      </c>
      <c r="B135" s="4">
        <v>46004</v>
      </c>
      <c r="C135" s="5">
        <v>0.54593749999999996</v>
      </c>
      <c r="D135" s="9" t="s">
        <v>1967</v>
      </c>
      <c r="E135" s="9" t="s">
        <v>8</v>
      </c>
      <c r="F135" s="9"/>
      <c r="H135" s="9"/>
      <c r="I135" s="9" t="s">
        <v>6082</v>
      </c>
      <c r="J135" s="9" t="s">
        <v>2946</v>
      </c>
      <c r="K135" t="s">
        <v>6083</v>
      </c>
      <c r="L135" t="s">
        <v>6084</v>
      </c>
      <c r="M135" s="3" t="str">
        <f>HYPERLINK(склад2въезд13[[#This Row],[RelativePath]])</f>
        <v>4 Крыльцо офиса\K07156189_21_20251213T130609Z.jpg</v>
      </c>
    </row>
    <row r="136" spans="1:13" x14ac:dyDescent="0.25">
      <c r="A136" s="2" t="s">
        <v>22</v>
      </c>
      <c r="B136" s="4">
        <v>46019</v>
      </c>
      <c r="C136" s="5">
        <v>0.50564814814814818</v>
      </c>
      <c r="D136" s="9" t="s">
        <v>1967</v>
      </c>
      <c r="E136" s="9" t="s">
        <v>8</v>
      </c>
      <c r="F136" s="9"/>
      <c r="H136" s="9"/>
      <c r="I136" s="9" t="s">
        <v>7900</v>
      </c>
      <c r="J136" s="9" t="s">
        <v>2946</v>
      </c>
      <c r="K136" t="s">
        <v>7901</v>
      </c>
      <c r="L136" t="s">
        <v>7902</v>
      </c>
      <c r="M136" s="3" t="str">
        <f>HYPERLINK(склад2въезд13[[#This Row],[RelativePath]])</f>
        <v>4 Крыльцо офиса\K07156189_21_20251228T120808Z.jpg</v>
      </c>
    </row>
    <row r="137" spans="1:13" x14ac:dyDescent="0.25">
      <c r="A137" s="2" t="s">
        <v>13</v>
      </c>
      <c r="B137" s="4">
        <v>46034</v>
      </c>
      <c r="C137" s="5">
        <v>0.44019675925925927</v>
      </c>
      <c r="D137" s="9" t="s">
        <v>4</v>
      </c>
      <c r="E137" s="9" t="s">
        <v>8691</v>
      </c>
      <c r="F137" s="9"/>
      <c r="H137" s="9"/>
      <c r="I137" s="9" t="s">
        <v>8874</v>
      </c>
      <c r="J137" s="9" t="s">
        <v>2946</v>
      </c>
      <c r="K137" t="s">
        <v>8875</v>
      </c>
      <c r="L137" t="s">
        <v>8876</v>
      </c>
      <c r="M137" s="3" t="str">
        <f>HYPERLINK(склад2въезд13[[#This Row],[RelativePath]])</f>
        <v>4 Крыльцо офиса\K07156189_21_20260112T103353Z.jpg</v>
      </c>
    </row>
    <row r="138" spans="1:13" x14ac:dyDescent="0.25">
      <c r="A138" s="2" t="s">
        <v>14</v>
      </c>
      <c r="B138" s="4">
        <v>46035</v>
      </c>
      <c r="C138" s="5">
        <v>0.62951388888888893</v>
      </c>
      <c r="D138" s="9" t="s">
        <v>4</v>
      </c>
      <c r="E138" s="9" t="s">
        <v>8691</v>
      </c>
      <c r="F138" s="9"/>
      <c r="H138" s="9"/>
      <c r="I138" s="9" t="s">
        <v>8877</v>
      </c>
      <c r="J138" s="9" t="s">
        <v>2946</v>
      </c>
      <c r="K138" t="s">
        <v>8878</v>
      </c>
      <c r="L138" t="s">
        <v>8879</v>
      </c>
      <c r="M138" s="3" t="str">
        <f>HYPERLINK(склад2въезд13[[#This Row],[RelativePath]])</f>
        <v>4 Крыльцо офиса\K07156189_21_20260113T150630Z.jpg</v>
      </c>
    </row>
    <row r="139" spans="1:13" x14ac:dyDescent="0.25">
      <c r="A139" s="2" t="s">
        <v>15</v>
      </c>
      <c r="B139" s="4">
        <v>46036</v>
      </c>
      <c r="C139" s="5">
        <v>0.68820601851851848</v>
      </c>
      <c r="D139" s="9" t="s">
        <v>4</v>
      </c>
      <c r="E139" s="9" t="s">
        <v>8691</v>
      </c>
      <c r="F139" s="9"/>
      <c r="H139" s="9"/>
      <c r="I139" s="9" t="s">
        <v>9140</v>
      </c>
      <c r="J139" s="9" t="s">
        <v>2946</v>
      </c>
      <c r="K139" t="s">
        <v>9141</v>
      </c>
      <c r="L139" t="s">
        <v>9142</v>
      </c>
      <c r="M139" s="3" t="str">
        <f>HYPERLINK(склад2въезд13[[#This Row],[RelativePath]])</f>
        <v>4 Крыльцо офиса\K07156189_21_20260114T163101Z.jpg</v>
      </c>
    </row>
    <row r="140" spans="1:13" x14ac:dyDescent="0.25">
      <c r="A140" s="2" t="s">
        <v>16</v>
      </c>
      <c r="B140" s="4">
        <v>46037</v>
      </c>
      <c r="C140" s="5">
        <v>0.60546296296296298</v>
      </c>
      <c r="D140" s="9" t="s">
        <v>4</v>
      </c>
      <c r="E140" s="9" t="s">
        <v>8691</v>
      </c>
      <c r="F140" s="9"/>
      <c r="H140" s="9"/>
      <c r="I140" s="9" t="s">
        <v>9234</v>
      </c>
      <c r="J140" s="9" t="s">
        <v>2946</v>
      </c>
      <c r="K140" t="s">
        <v>9235</v>
      </c>
      <c r="L140" t="s">
        <v>9236</v>
      </c>
      <c r="M140" s="3" t="str">
        <f>HYPERLINK(склад2въезд13[[#This Row],[RelativePath]])</f>
        <v>4 Крыльцо офиса\K07156189_21_20260115T143152Z.jpg</v>
      </c>
    </row>
    <row r="141" spans="1:13" x14ac:dyDescent="0.25">
      <c r="A141" s="2" t="s">
        <v>17</v>
      </c>
      <c r="B141" s="4">
        <v>46038</v>
      </c>
      <c r="C141" s="5">
        <v>0.40539351851851851</v>
      </c>
      <c r="D141" s="9" t="s">
        <v>4</v>
      </c>
      <c r="E141" s="9" t="s">
        <v>9249</v>
      </c>
      <c r="F141" s="9"/>
      <c r="H141" s="9"/>
      <c r="I141" s="9" t="s">
        <v>9237</v>
      </c>
      <c r="J141" s="9" t="s">
        <v>2946</v>
      </c>
      <c r="K141" t="s">
        <v>9238</v>
      </c>
      <c r="L141" t="s">
        <v>9239</v>
      </c>
      <c r="M141" s="3" t="str">
        <f>HYPERLINK(склад2въезд13[[#This Row],[RelativePath]])</f>
        <v>4 Крыльцо офиса\K07156189_21_20260116T094346Z.jpg</v>
      </c>
    </row>
    <row r="142" spans="1:13" x14ac:dyDescent="0.25">
      <c r="A142" s="2" t="s">
        <v>17</v>
      </c>
      <c r="B142" s="4">
        <v>46038</v>
      </c>
      <c r="C142" s="5">
        <v>0.45834490740740741</v>
      </c>
      <c r="D142" s="9" t="s">
        <v>158</v>
      </c>
      <c r="E142" s="9" t="s">
        <v>5411</v>
      </c>
      <c r="F142" s="9" t="s">
        <v>500</v>
      </c>
      <c r="H142" s="9"/>
      <c r="I142" s="9" t="s">
        <v>9240</v>
      </c>
      <c r="J142" s="9" t="s">
        <v>2946</v>
      </c>
      <c r="K142" t="s">
        <v>9241</v>
      </c>
      <c r="L142" t="s">
        <v>9242</v>
      </c>
      <c r="M142" s="3" t="str">
        <f>HYPERLINK(склад2въезд13[[#This Row],[RelativePath]])</f>
        <v>4 Крыльцо офиса\K07156189_21_20260116T110001Z.jpg</v>
      </c>
    </row>
    <row r="143" spans="1:13" x14ac:dyDescent="0.25">
      <c r="A143" s="2" t="s">
        <v>17</v>
      </c>
      <c r="B143" s="4">
        <v>46038</v>
      </c>
      <c r="C143" s="5">
        <v>0.51648148148148143</v>
      </c>
      <c r="D143" s="9" t="s">
        <v>158</v>
      </c>
      <c r="E143" s="9" t="s">
        <v>5411</v>
      </c>
      <c r="F143" s="9" t="s">
        <v>500</v>
      </c>
      <c r="H143" s="9" t="s">
        <v>2891</v>
      </c>
      <c r="I143" s="9" t="s">
        <v>9243</v>
      </c>
      <c r="J143" s="9" t="s">
        <v>2946</v>
      </c>
      <c r="K143" t="s">
        <v>9244</v>
      </c>
      <c r="L143" t="s">
        <v>9245</v>
      </c>
      <c r="M143" s="3" t="str">
        <f>HYPERLINK(склад2въезд13[[#This Row],[RelativePath]])</f>
        <v>4 Крыльцо офиса\K07156189_21_20260116T122344Z.jpg</v>
      </c>
    </row>
    <row r="144" spans="1:13" x14ac:dyDescent="0.25">
      <c r="A144" s="2" t="s">
        <v>17</v>
      </c>
      <c r="B144" s="4">
        <v>46038</v>
      </c>
      <c r="C144" s="5">
        <v>0.705474537037037</v>
      </c>
      <c r="D144" s="9" t="s">
        <v>4</v>
      </c>
      <c r="E144" s="9" t="s">
        <v>9250</v>
      </c>
      <c r="F144" s="9"/>
      <c r="H144" s="9"/>
      <c r="I144" s="9" t="s">
        <v>9246</v>
      </c>
      <c r="J144" s="9" t="s">
        <v>2946</v>
      </c>
      <c r="K144" t="s">
        <v>9247</v>
      </c>
      <c r="L144" t="s">
        <v>9248</v>
      </c>
      <c r="M144" s="3" t="str">
        <f>HYPERLINK(склад2въезд13[[#This Row],[RelativePath]])</f>
        <v>4 Крыльцо офиса\K07156189_21_20260116T165553Z.jpg</v>
      </c>
    </row>
    <row r="145" spans="1:13" x14ac:dyDescent="0.25">
      <c r="A145" s="2" t="s">
        <v>18</v>
      </c>
      <c r="B145" s="4">
        <v>46039</v>
      </c>
      <c r="C145" s="5">
        <v>0.64023148148148146</v>
      </c>
      <c r="D145" s="9" t="s">
        <v>4</v>
      </c>
      <c r="E145" s="9" t="s">
        <v>8691</v>
      </c>
      <c r="F145" s="9"/>
      <c r="H145" s="9"/>
      <c r="I145" s="9" t="s">
        <v>9513</v>
      </c>
      <c r="J145" s="9" t="s">
        <v>2946</v>
      </c>
      <c r="K145" t="s">
        <v>9514</v>
      </c>
      <c r="L145" t="s">
        <v>9515</v>
      </c>
      <c r="M145" s="3" t="str">
        <f>HYPERLINK(склад2въезд13[[#This Row],[RelativePath]])</f>
        <v>4 Крыльцо офиса\K07156189_21_20260117T152156Z.jpg</v>
      </c>
    </row>
    <row r="146" spans="1:13" x14ac:dyDescent="0.25">
      <c r="A146" s="2" t="s">
        <v>22</v>
      </c>
      <c r="B146" s="4">
        <v>46040</v>
      </c>
      <c r="C146" s="5">
        <v>0.69824074074074072</v>
      </c>
      <c r="D146" s="9" t="s">
        <v>1967</v>
      </c>
      <c r="E146" s="9" t="s">
        <v>8</v>
      </c>
      <c r="F146" s="9"/>
      <c r="H146" s="9"/>
      <c r="I146" s="9" t="s">
        <v>9516</v>
      </c>
      <c r="J146" s="9" t="s">
        <v>2946</v>
      </c>
      <c r="K146" t="s">
        <v>9517</v>
      </c>
      <c r="L146" t="s">
        <v>9518</v>
      </c>
      <c r="M146" s="3" t="str">
        <f>HYPERLINK(склад2въезд13[[#This Row],[RelativePath]])</f>
        <v>4 Крыльцо офиса\K07156189_21_20260118T164528Z.jpg</v>
      </c>
    </row>
    <row r="147" spans="1:13" x14ac:dyDescent="0.25">
      <c r="A147" s="2" t="s">
        <v>13</v>
      </c>
      <c r="B147" s="4">
        <v>46041</v>
      </c>
      <c r="C147" s="5">
        <v>0.69586805555555553</v>
      </c>
      <c r="D147" s="9" t="s">
        <v>4</v>
      </c>
      <c r="E147" s="9" t="s">
        <v>8691</v>
      </c>
      <c r="F147" s="9"/>
      <c r="H147" s="9"/>
      <c r="I147" s="9" t="s">
        <v>9604</v>
      </c>
      <c r="J147" s="9" t="s">
        <v>2946</v>
      </c>
      <c r="K147" t="s">
        <v>9605</v>
      </c>
      <c r="L147" t="s">
        <v>9606</v>
      </c>
      <c r="M147" s="3" t="str">
        <f>HYPERLINK(склад2въезд13[[#This Row],[RelativePath]])</f>
        <v>4 Крыльцо офиса\K07156189_21_20260119T164203Z.jpg</v>
      </c>
    </row>
    <row r="148" spans="1:13" x14ac:dyDescent="0.25">
      <c r="A148" s="2" t="s">
        <v>14</v>
      </c>
      <c r="B148" s="4">
        <v>46042</v>
      </c>
      <c r="C148" s="5">
        <v>0.50453703703703701</v>
      </c>
      <c r="D148" s="9" t="s">
        <v>4</v>
      </c>
      <c r="E148" s="9" t="s">
        <v>8691</v>
      </c>
      <c r="F148" s="9"/>
      <c r="H148" s="9"/>
      <c r="I148" s="9" t="s">
        <v>9607</v>
      </c>
      <c r="J148" s="9" t="s">
        <v>2946</v>
      </c>
      <c r="K148" t="s">
        <v>9608</v>
      </c>
      <c r="L148" t="s">
        <v>9609</v>
      </c>
      <c r="M148" s="3" t="str">
        <f>HYPERLINK(склад2въезд13[[#This Row],[RelativePath]])</f>
        <v>4 Крыльцо офиса\K07156189_21_20260120T120632Z.jpg</v>
      </c>
    </row>
    <row r="149" spans="1:13" x14ac:dyDescent="0.25">
      <c r="A149" s="2" t="s">
        <v>14</v>
      </c>
      <c r="B149" s="4">
        <v>46042</v>
      </c>
      <c r="C149" s="5">
        <v>0.67519675925925926</v>
      </c>
      <c r="D149" s="9" t="s">
        <v>4</v>
      </c>
      <c r="E149" s="9" t="s">
        <v>8691</v>
      </c>
      <c r="F149" s="9"/>
      <c r="H149" s="9"/>
      <c r="I149" s="9" t="s">
        <v>9610</v>
      </c>
      <c r="J149" s="9" t="s">
        <v>2946</v>
      </c>
      <c r="K149" t="s">
        <v>9611</v>
      </c>
      <c r="L149" t="s">
        <v>9612</v>
      </c>
      <c r="M149" s="3" t="str">
        <f>HYPERLINK(склад2въезд13[[#This Row],[RelativePath]])</f>
        <v>4 Крыльцо офиса\K07156189_21_20260120T161217Z.jpg</v>
      </c>
    </row>
    <row r="150" spans="1:13" x14ac:dyDescent="0.25">
      <c r="A150" s="2" t="s">
        <v>15</v>
      </c>
      <c r="B150" s="4">
        <v>46043</v>
      </c>
      <c r="C150" s="5">
        <v>0.65590277777777772</v>
      </c>
      <c r="D150" s="9" t="s">
        <v>4</v>
      </c>
      <c r="E150" s="9" t="s">
        <v>8691</v>
      </c>
      <c r="F150" s="9"/>
      <c r="H150" s="9"/>
      <c r="I150" s="9" t="s">
        <v>9997</v>
      </c>
      <c r="J150" s="9" t="s">
        <v>2946</v>
      </c>
      <c r="K150" t="s">
        <v>9998</v>
      </c>
      <c r="L150" t="s">
        <v>9999</v>
      </c>
      <c r="M150" s="3" t="str">
        <f>HYPERLINK(склад2въезд13[[#This Row],[RelativePath]])</f>
        <v>4 Крыльцо офиса\K07156189_21_20260121T154430Z.jpg</v>
      </c>
    </row>
    <row r="151" spans="1:13" x14ac:dyDescent="0.25">
      <c r="A151" s="2" t="s">
        <v>15</v>
      </c>
      <c r="B151" s="4">
        <v>46043</v>
      </c>
      <c r="C151" s="5">
        <v>0.695775462962963</v>
      </c>
      <c r="D151" s="9" t="s">
        <v>4</v>
      </c>
      <c r="E151" s="9" t="s">
        <v>8691</v>
      </c>
      <c r="F151" s="9"/>
      <c r="H151" s="9"/>
      <c r="I151" s="9" t="s">
        <v>9835</v>
      </c>
      <c r="J151" s="9" t="s">
        <v>2946</v>
      </c>
      <c r="K151" t="s">
        <v>9836</v>
      </c>
      <c r="L151" t="s">
        <v>9837</v>
      </c>
      <c r="M151" s="3" t="str">
        <f>HYPERLINK(склад2въезд13[[#This Row],[RelativePath]])</f>
        <v>4 Крыльцо офиса\K07156189_21_20260121T164155Z.jpg</v>
      </c>
    </row>
    <row r="152" spans="1:13" x14ac:dyDescent="0.25">
      <c r="A152" s="2" t="s">
        <v>16</v>
      </c>
      <c r="B152" s="4">
        <v>46044</v>
      </c>
      <c r="C152" s="5">
        <v>0.45400462962962962</v>
      </c>
      <c r="D152" s="9" t="s">
        <v>4</v>
      </c>
      <c r="E152" s="9" t="s">
        <v>8691</v>
      </c>
      <c r="F152" s="9"/>
      <c r="H152" s="9"/>
      <c r="I152" s="9" t="s">
        <v>9838</v>
      </c>
      <c r="J152" s="9" t="s">
        <v>2946</v>
      </c>
      <c r="K152" t="s">
        <v>9839</v>
      </c>
      <c r="L152" t="s">
        <v>9840</v>
      </c>
      <c r="M152" s="3" t="str">
        <f>HYPERLINK(склад2въезд13[[#This Row],[RelativePath]])</f>
        <v>4 Крыльцо офиса\K07156189_21_20260122T105346Z.jpg</v>
      </c>
    </row>
    <row r="153" spans="1:13" x14ac:dyDescent="0.25">
      <c r="A153" s="2" t="s">
        <v>16</v>
      </c>
      <c r="B153" s="4">
        <v>46044</v>
      </c>
      <c r="C153" s="5">
        <v>0.71195601851851853</v>
      </c>
      <c r="D153" s="9" t="s">
        <v>4</v>
      </c>
      <c r="E153" s="9" t="s">
        <v>8691</v>
      </c>
      <c r="F153" s="9"/>
      <c r="H153" s="9"/>
      <c r="I153" s="9" t="s">
        <v>9841</v>
      </c>
      <c r="J153" s="9" t="s">
        <v>2946</v>
      </c>
      <c r="K153" t="s">
        <v>9842</v>
      </c>
      <c r="L153" t="s">
        <v>9843</v>
      </c>
      <c r="M153" s="3" t="str">
        <f>HYPERLINK(склад2въезд13[[#This Row],[RelativePath]])</f>
        <v>4 Крыльцо офиса\K07156189_21_20260122T170513Z.jpg</v>
      </c>
    </row>
    <row r="154" spans="1:13" x14ac:dyDescent="0.25">
      <c r="A154" s="2" t="s">
        <v>16</v>
      </c>
      <c r="B154" s="4">
        <v>46044</v>
      </c>
      <c r="C154" s="5">
        <v>0.97177083333333336</v>
      </c>
      <c r="D154" s="9" t="s">
        <v>4</v>
      </c>
      <c r="E154" s="9" t="s">
        <v>10039</v>
      </c>
      <c r="F154" s="9"/>
      <c r="H154" s="9"/>
      <c r="I154" s="9" t="s">
        <v>10060</v>
      </c>
      <c r="J154" s="9" t="s">
        <v>2946</v>
      </c>
      <c r="K154" t="s">
        <v>10061</v>
      </c>
      <c r="L154" t="s">
        <v>10062</v>
      </c>
      <c r="M154" s="3" t="str">
        <f>HYPERLINK(склад2въезд13[[#This Row],[RelativePath]])</f>
        <v>4 Крыльцо офиса\K07156189_21_20260122T231921Z.jpg</v>
      </c>
    </row>
    <row r="155" spans="1:13" x14ac:dyDescent="0.25">
      <c r="A155" s="2" t="s">
        <v>16</v>
      </c>
      <c r="B155" s="4">
        <v>46044</v>
      </c>
      <c r="C155" s="5">
        <v>0.98876157407407406</v>
      </c>
      <c r="D155" s="9" t="s">
        <v>4</v>
      </c>
      <c r="E155" s="9" t="s">
        <v>10039</v>
      </c>
      <c r="F155" s="9"/>
      <c r="H155" s="9" t="s">
        <v>10154</v>
      </c>
      <c r="I155" s="9" t="s">
        <v>10142</v>
      </c>
      <c r="J155" s="9" t="s">
        <v>2946</v>
      </c>
      <c r="K155" t="s">
        <v>10143</v>
      </c>
      <c r="L155" t="s">
        <v>10144</v>
      </c>
      <c r="M155" s="3" t="str">
        <f>HYPERLINK(склад2въезд13[[#This Row],[RelativePath]])</f>
        <v>4 Крыльцо офиса\K07156189_21_20260122T234349Z.jpg</v>
      </c>
    </row>
    <row r="156" spans="1:13" x14ac:dyDescent="0.25">
      <c r="A156" s="2" t="s">
        <v>17</v>
      </c>
      <c r="B156" s="4">
        <v>46045</v>
      </c>
      <c r="C156" s="5">
        <v>4.1898148148148146E-3</v>
      </c>
      <c r="D156" s="9" t="s">
        <v>4</v>
      </c>
      <c r="E156" s="9" t="s">
        <v>10039</v>
      </c>
      <c r="F156" s="9"/>
      <c r="H156" s="9" t="s">
        <v>10154</v>
      </c>
      <c r="I156" s="9" t="s">
        <v>10145</v>
      </c>
      <c r="J156" s="9" t="s">
        <v>2946</v>
      </c>
      <c r="K156" t="s">
        <v>10146</v>
      </c>
      <c r="L156" t="s">
        <v>10147</v>
      </c>
      <c r="M156" s="3" t="str">
        <f>HYPERLINK(склад2въезд13[[#This Row],[RelativePath]])</f>
        <v>4 Крыльцо офиса\K07156189_21_20260123T000602Z.jpg</v>
      </c>
    </row>
    <row r="157" spans="1:13" x14ac:dyDescent="0.25">
      <c r="A157" s="2" t="s">
        <v>17</v>
      </c>
      <c r="B157" s="4">
        <v>46045</v>
      </c>
      <c r="C157" s="5">
        <v>4.760416666666667E-2</v>
      </c>
      <c r="D157" s="9" t="s">
        <v>1569</v>
      </c>
      <c r="E157" s="9" t="s">
        <v>10040</v>
      </c>
      <c r="F157" s="9" t="s">
        <v>60</v>
      </c>
      <c r="H157" s="9"/>
      <c r="I157" s="9" t="s">
        <v>10148</v>
      </c>
      <c r="J157" s="9" t="s">
        <v>2946</v>
      </c>
      <c r="K157" t="s">
        <v>10149</v>
      </c>
      <c r="L157" t="s">
        <v>10150</v>
      </c>
      <c r="M157" s="3" t="str">
        <f>HYPERLINK(склад2въезд13[[#This Row],[RelativePath]])</f>
        <v>4 Крыльцо офиса\K07156189_21_20260123T010833Z.jpg</v>
      </c>
    </row>
    <row r="158" spans="1:13" x14ac:dyDescent="0.25">
      <c r="A158" s="2" t="s">
        <v>17</v>
      </c>
      <c r="B158" s="4">
        <v>46045</v>
      </c>
      <c r="C158" s="5">
        <v>0.44877314814814817</v>
      </c>
      <c r="D158" s="9" t="s">
        <v>4</v>
      </c>
      <c r="E158" s="9" t="s">
        <v>8691</v>
      </c>
      <c r="F158" s="9"/>
      <c r="H158" s="9"/>
      <c r="I158" s="9" t="s">
        <v>10151</v>
      </c>
      <c r="J158" s="9" t="s">
        <v>2946</v>
      </c>
      <c r="K158" t="s">
        <v>10152</v>
      </c>
      <c r="L158" t="s">
        <v>10153</v>
      </c>
      <c r="M158" s="3" t="str">
        <f>HYPERLINK(склад2въезд13[[#This Row],[RelativePath]])</f>
        <v>4 Крыльцо офиса\K07156189_21_20260123T104614Z.jpg</v>
      </c>
    </row>
    <row r="159" spans="1:13" x14ac:dyDescent="0.25">
      <c r="A159" s="2" t="s">
        <v>18</v>
      </c>
      <c r="B159" s="4">
        <v>46046</v>
      </c>
      <c r="C159" s="5">
        <v>0.68717592592592591</v>
      </c>
      <c r="D159" s="9" t="s">
        <v>1967</v>
      </c>
      <c r="E159" s="9" t="s">
        <v>8</v>
      </c>
      <c r="F159" s="9"/>
      <c r="H159" s="9"/>
      <c r="I159" s="9" t="s">
        <v>10367</v>
      </c>
      <c r="J159" s="9" t="s">
        <v>2946</v>
      </c>
      <c r="K159" t="s">
        <v>10368</v>
      </c>
      <c r="L159" t="s">
        <v>10369</v>
      </c>
      <c r="M159" s="3" t="str">
        <f>HYPERLINK(склад2въезд13[[#This Row],[RelativePath]])</f>
        <v>4 Крыльцо офиса\K07156189_21_20260124T162932Z.jpg</v>
      </c>
    </row>
    <row r="160" spans="1:13" x14ac:dyDescent="0.25">
      <c r="A160" s="2" t="s">
        <v>22</v>
      </c>
      <c r="B160" s="4">
        <v>46047</v>
      </c>
      <c r="C160" s="5">
        <v>0.70804398148148151</v>
      </c>
      <c r="D160" s="9" t="s">
        <v>1967</v>
      </c>
      <c r="E160" s="9" t="s">
        <v>8</v>
      </c>
      <c r="F160" s="9"/>
      <c r="H160" s="9"/>
      <c r="I160" s="9" t="s">
        <v>10370</v>
      </c>
      <c r="J160" s="9" t="s">
        <v>2946</v>
      </c>
      <c r="K160" t="s">
        <v>10371</v>
      </c>
      <c r="L160" t="s">
        <v>10372</v>
      </c>
      <c r="M160" s="3" t="str">
        <f>HYPERLINK(склад2въезд13[[#This Row],[RelativePath]])</f>
        <v>4 Крыльцо офиса\K07156189_21_20260125T165935Z.jpg</v>
      </c>
    </row>
    <row r="161" spans="1:13" x14ac:dyDescent="0.25">
      <c r="A161" s="2" t="s">
        <v>13</v>
      </c>
      <c r="B161" s="4">
        <v>46048</v>
      </c>
      <c r="C161" s="5">
        <v>0.65995370370370365</v>
      </c>
      <c r="D161" s="9" t="s">
        <v>1967</v>
      </c>
      <c r="E161" s="9" t="s">
        <v>8</v>
      </c>
      <c r="F161" s="9"/>
      <c r="H161" s="9"/>
      <c r="I161" s="9" t="s">
        <v>10412</v>
      </c>
      <c r="J161" s="9" t="s">
        <v>2946</v>
      </c>
      <c r="K161" t="s">
        <v>10413</v>
      </c>
      <c r="L161" t="s">
        <v>10414</v>
      </c>
      <c r="M161" s="3" t="str">
        <f>HYPERLINK(склад2въезд13[[#This Row],[RelativePath]])</f>
        <v>4 Крыльцо офиса\K07156189_21_20260126T155020Z.jpg</v>
      </c>
    </row>
    <row r="162" spans="1:13" x14ac:dyDescent="0.25">
      <c r="A162" s="2" t="s">
        <v>14</v>
      </c>
      <c r="B162" s="4">
        <v>46049</v>
      </c>
      <c r="C162" s="5">
        <v>0.50178240740740743</v>
      </c>
      <c r="D162" s="9" t="s">
        <v>1967</v>
      </c>
      <c r="E162" s="9" t="s">
        <v>8</v>
      </c>
      <c r="F162" s="9"/>
      <c r="H162" s="9"/>
      <c r="I162" s="9" t="s">
        <v>10415</v>
      </c>
      <c r="J162" s="9" t="s">
        <v>2946</v>
      </c>
      <c r="K162" t="s">
        <v>10416</v>
      </c>
      <c r="L162" t="s">
        <v>10417</v>
      </c>
      <c r="M162" s="3" t="str">
        <f>HYPERLINK(склад2въезд13[[#This Row],[RelativePath]])</f>
        <v>4 Крыльцо офиса\K07156189_21_20260127T120234Z.jpg</v>
      </c>
    </row>
    <row r="163" spans="1:13" x14ac:dyDescent="0.25">
      <c r="A163" s="2" t="s">
        <v>15</v>
      </c>
      <c r="B163" s="4">
        <v>46050</v>
      </c>
      <c r="C163" s="5">
        <v>0.62151620370370375</v>
      </c>
      <c r="D163" s="9" t="s">
        <v>4</v>
      </c>
      <c r="E163" s="9" t="s">
        <v>10754</v>
      </c>
      <c r="F163" s="9"/>
      <c r="H163" s="9"/>
      <c r="I163" s="9" t="s">
        <v>10580</v>
      </c>
      <c r="J163" s="9" t="s">
        <v>2946</v>
      </c>
      <c r="K163" t="s">
        <v>10581</v>
      </c>
      <c r="L163" t="s">
        <v>10582</v>
      </c>
      <c r="M163" s="3" t="str">
        <f>HYPERLINK(склад2въезд13[[#This Row],[RelativePath]])</f>
        <v>4 Крыльцо офиса\K07156189_21_20260128T145459Z.jpg</v>
      </c>
    </row>
    <row r="164" spans="1:13" x14ac:dyDescent="0.25">
      <c r="A164" s="2" t="s">
        <v>16</v>
      </c>
      <c r="B164" s="4">
        <v>46051</v>
      </c>
      <c r="C164" s="5">
        <v>0.52840277777777778</v>
      </c>
      <c r="D164" s="9" t="s">
        <v>4</v>
      </c>
      <c r="E164" s="9" t="s">
        <v>8691</v>
      </c>
      <c r="F164" s="9"/>
      <c r="H164" s="9"/>
      <c r="I164" s="9" t="s">
        <v>10583</v>
      </c>
      <c r="J164" s="9" t="s">
        <v>2946</v>
      </c>
      <c r="K164" t="s">
        <v>10584</v>
      </c>
      <c r="L164" t="s">
        <v>10585</v>
      </c>
      <c r="M164" s="3" t="str">
        <f>HYPERLINK(склад2въезд13[[#This Row],[RelativePath]])</f>
        <v>4 Крыльцо офиса\K07156189_21_20260129T124054Z.jpg</v>
      </c>
    </row>
    <row r="165" spans="1:13" x14ac:dyDescent="0.25">
      <c r="A165" s="2" t="s">
        <v>17</v>
      </c>
      <c r="B165" s="4">
        <v>46052</v>
      </c>
      <c r="C165" s="5">
        <v>0.38755787037037037</v>
      </c>
      <c r="D165" s="9" t="s">
        <v>4</v>
      </c>
      <c r="E165" s="9" t="s">
        <v>70</v>
      </c>
      <c r="F165" s="9" t="s">
        <v>5027</v>
      </c>
      <c r="H165" s="9"/>
      <c r="I165" s="9" t="s">
        <v>10774</v>
      </c>
      <c r="J165" s="9" t="s">
        <v>2946</v>
      </c>
      <c r="K165" t="s">
        <v>10775</v>
      </c>
      <c r="L165" t="s">
        <v>10776</v>
      </c>
      <c r="M165" s="3" t="str">
        <f>HYPERLINK(склад2въезд13[[#This Row],[RelativePath]])</f>
        <v>4 Крыльцо офиса\K07156189_21_20260130T091805Z.jpg</v>
      </c>
    </row>
    <row r="166" spans="1:13" x14ac:dyDescent="0.25">
      <c r="A166" s="2" t="s">
        <v>17</v>
      </c>
      <c r="B166" s="4">
        <v>46052</v>
      </c>
      <c r="C166" s="5">
        <v>0.38785879629629627</v>
      </c>
      <c r="D166" s="9" t="s">
        <v>261</v>
      </c>
      <c r="E166" s="9" t="s">
        <v>70</v>
      </c>
      <c r="F166" s="9" t="s">
        <v>5027</v>
      </c>
      <c r="H166" s="9"/>
      <c r="I166" s="9" t="s">
        <v>10777</v>
      </c>
      <c r="J166" s="9" t="s">
        <v>2946</v>
      </c>
      <c r="K166" t="s">
        <v>10778</v>
      </c>
      <c r="L166" t="s">
        <v>10779</v>
      </c>
      <c r="M166" s="3" t="str">
        <f>HYPERLINK(склад2въезд13[[#This Row],[RelativePath]])</f>
        <v>4 Крыльцо офиса\K07156189_21_20260130T091831Z.jpg</v>
      </c>
    </row>
    <row r="167" spans="1:13" x14ac:dyDescent="0.25">
      <c r="A167" s="2" t="s">
        <v>18</v>
      </c>
      <c r="B167" s="4">
        <v>46053</v>
      </c>
      <c r="C167" s="5">
        <v>0.48790509259259257</v>
      </c>
      <c r="D167" s="9" t="s">
        <v>1967</v>
      </c>
      <c r="E167" s="9" t="s">
        <v>8</v>
      </c>
      <c r="F167" s="9"/>
      <c r="H167" s="9"/>
      <c r="I167" s="9" t="s">
        <v>10894</v>
      </c>
      <c r="J167" s="9" t="s">
        <v>2946</v>
      </c>
      <c r="K167" t="s">
        <v>10895</v>
      </c>
      <c r="L167" t="s">
        <v>10896</v>
      </c>
      <c r="M167" s="3" t="str">
        <f>HYPERLINK(склад2въезд13[[#This Row],[RelativePath]])</f>
        <v>4 Крыльцо офиса\K07156189_21_20260131T114235Z.jpg</v>
      </c>
    </row>
    <row r="168" spans="1:13" x14ac:dyDescent="0.25">
      <c r="A168" s="2" t="s">
        <v>22</v>
      </c>
      <c r="B168" s="4">
        <v>46054</v>
      </c>
      <c r="C168" s="5">
        <v>0.70708333333333329</v>
      </c>
      <c r="D168" s="9" t="s">
        <v>1967</v>
      </c>
      <c r="E168" s="9" t="s">
        <v>8</v>
      </c>
      <c r="F168" s="9"/>
      <c r="H168" s="9"/>
      <c r="I168" s="9" t="s">
        <v>10897</v>
      </c>
      <c r="J168" s="9" t="s">
        <v>2946</v>
      </c>
      <c r="K168" t="s">
        <v>10898</v>
      </c>
      <c r="L168" t="s">
        <v>10899</v>
      </c>
      <c r="M168" s="3" t="str">
        <f>HYPERLINK(склад2въезд13[[#This Row],[RelativePath]])</f>
        <v>4 Крыльцо офиса\K07156189_21_20260201T165812Z.jpg</v>
      </c>
    </row>
    <row r="169" spans="1:13" x14ac:dyDescent="0.25">
      <c r="A169" s="2" t="s">
        <v>13</v>
      </c>
      <c r="B169" s="4">
        <v>46055</v>
      </c>
      <c r="C169" s="5">
        <v>0.66347222222222224</v>
      </c>
      <c r="D169" s="9" t="s">
        <v>4</v>
      </c>
      <c r="E169" s="9" t="s">
        <v>8691</v>
      </c>
      <c r="F169" s="9"/>
      <c r="H169" s="9"/>
      <c r="I169" s="9" t="s">
        <v>11048</v>
      </c>
      <c r="J169" s="9" t="s">
        <v>2946</v>
      </c>
      <c r="K169" t="s">
        <v>11049</v>
      </c>
      <c r="L169" t="s">
        <v>11050</v>
      </c>
      <c r="M169" s="3" t="str">
        <f>HYPERLINK(склад2въезд13[[#This Row],[RelativePath]])</f>
        <v>4 Крыльцо офиса\K07156189_21_20260202T155524Z.jpg</v>
      </c>
    </row>
    <row r="170" spans="1:13" x14ac:dyDescent="0.25">
      <c r="A170" s="2" t="s">
        <v>14</v>
      </c>
      <c r="B170" s="4">
        <v>46056</v>
      </c>
      <c r="C170" s="5">
        <v>0.79167824074074078</v>
      </c>
      <c r="D170" s="9" t="s">
        <v>261</v>
      </c>
      <c r="E170" s="9" t="s">
        <v>6111</v>
      </c>
      <c r="F170" s="9" t="s">
        <v>11274</v>
      </c>
      <c r="H170" s="9"/>
      <c r="I170" s="9" t="s">
        <v>11051</v>
      </c>
      <c r="J170" s="9" t="s">
        <v>2946</v>
      </c>
      <c r="K170" t="s">
        <v>11052</v>
      </c>
      <c r="L170" t="s">
        <v>11053</v>
      </c>
      <c r="M170" s="3" t="str">
        <f>HYPERLINK(склад2въезд13[[#This Row],[RelativePath]])</f>
        <v>4 Крыльцо офиса\K07156189_21_20260203T190001Z.jpg</v>
      </c>
    </row>
    <row r="171" spans="1:13" x14ac:dyDescent="0.25">
      <c r="A171" s="2" t="s">
        <v>14</v>
      </c>
      <c r="B171" s="4">
        <v>46056</v>
      </c>
      <c r="C171" s="5">
        <v>0.79401620370370374</v>
      </c>
      <c r="D171" s="9" t="s">
        <v>622</v>
      </c>
      <c r="E171" s="9" t="s">
        <v>6111</v>
      </c>
      <c r="F171" s="9" t="s">
        <v>11274</v>
      </c>
      <c r="H171" s="9"/>
      <c r="I171" s="9" t="s">
        <v>11054</v>
      </c>
      <c r="J171" s="9" t="s">
        <v>2946</v>
      </c>
      <c r="K171" t="s">
        <v>11055</v>
      </c>
      <c r="L171" t="s">
        <v>11056</v>
      </c>
      <c r="M171" s="3" t="str">
        <f>HYPERLINK(склад2въезд13[[#This Row],[RelativePath]])</f>
        <v>4 Крыльцо офиса\K07156189_21_20260203T190323Z.jpg</v>
      </c>
    </row>
    <row r="172" spans="1:13" x14ac:dyDescent="0.25">
      <c r="A172" s="2" t="s">
        <v>14</v>
      </c>
      <c r="B172" s="4">
        <v>46056</v>
      </c>
      <c r="C172" s="5">
        <v>0.83732638888888888</v>
      </c>
      <c r="D172" s="9" t="s">
        <v>1569</v>
      </c>
      <c r="E172" s="9" t="s">
        <v>6111</v>
      </c>
      <c r="F172" s="9"/>
      <c r="H172" s="9"/>
      <c r="I172" s="9" t="s">
        <v>11057</v>
      </c>
      <c r="J172" s="9" t="s">
        <v>2946</v>
      </c>
      <c r="K172" t="s">
        <v>11058</v>
      </c>
      <c r="L172" t="s">
        <v>11059</v>
      </c>
      <c r="M172" s="3" t="str">
        <f>HYPERLINK(склад2въезд13[[#This Row],[RelativePath]])</f>
        <v>4 Крыльцо офиса\K07156189_21_20260203T200545Z.jpg</v>
      </c>
    </row>
    <row r="173" spans="1:13" x14ac:dyDescent="0.25">
      <c r="A173" s="2" t="s">
        <v>15</v>
      </c>
      <c r="B173" s="4">
        <v>46057</v>
      </c>
      <c r="C173" s="5">
        <v>0.62151620370370375</v>
      </c>
      <c r="D173" s="9" t="s">
        <v>4</v>
      </c>
      <c r="E173" s="9" t="s">
        <v>8691</v>
      </c>
      <c r="F173" s="9"/>
      <c r="H173" s="9"/>
      <c r="I173" s="9" t="s">
        <v>11333</v>
      </c>
      <c r="J173" s="9" t="s">
        <v>2946</v>
      </c>
      <c r="K173" t="s">
        <v>11334</v>
      </c>
      <c r="L173" t="s">
        <v>11335</v>
      </c>
      <c r="M173" s="3" t="str">
        <f>HYPERLINK(склад2въезд13[[#This Row],[RelativePath]])</f>
        <v>4 Крыльцо офиса\K07156189_21_20260204T145459Z.jpg</v>
      </c>
    </row>
    <row r="174" spans="1:13" x14ac:dyDescent="0.25">
      <c r="A174" s="2" t="s">
        <v>16</v>
      </c>
      <c r="B174" s="4">
        <v>46058</v>
      </c>
      <c r="C174" s="5">
        <v>0.58555555555555561</v>
      </c>
      <c r="D174" s="9" t="s">
        <v>4</v>
      </c>
      <c r="E174" s="9" t="s">
        <v>8691</v>
      </c>
      <c r="F174" s="9"/>
      <c r="H174" s="9"/>
      <c r="I174" s="9" t="s">
        <v>11336</v>
      </c>
      <c r="J174" s="9" t="s">
        <v>2946</v>
      </c>
      <c r="K174" t="s">
        <v>11337</v>
      </c>
      <c r="L174" t="s">
        <v>11338</v>
      </c>
      <c r="M174" s="3" t="str">
        <f>HYPERLINK(склад2въезд13[[#This Row],[RelativePath]])</f>
        <v>4 Крыльцо офиса\K07156189_21_20260205T140312Z.jpg</v>
      </c>
    </row>
    <row r="175" spans="1:13" x14ac:dyDescent="0.25">
      <c r="A175" s="2" t="s">
        <v>17</v>
      </c>
      <c r="B175" s="4">
        <v>46059</v>
      </c>
      <c r="C175" s="5">
        <v>0.52001157407407406</v>
      </c>
      <c r="D175" s="9" t="s">
        <v>4</v>
      </c>
      <c r="E175" s="9" t="s">
        <v>8691</v>
      </c>
      <c r="F175" s="9"/>
      <c r="H175" s="9"/>
      <c r="I175" s="9" t="s">
        <v>11339</v>
      </c>
      <c r="J175" s="9" t="s">
        <v>2946</v>
      </c>
      <c r="K175" t="s">
        <v>11340</v>
      </c>
      <c r="L175" t="s">
        <v>11341</v>
      </c>
      <c r="M175" s="3" t="str">
        <f>HYPERLINK(склад2въезд13[[#This Row],[RelativePath]])</f>
        <v>4 Крыльцо офиса\K07156189_21_20260206T122849Z.jpg</v>
      </c>
    </row>
    <row r="176" spans="1:13" x14ac:dyDescent="0.25">
      <c r="A176" s="2" t="s">
        <v>18</v>
      </c>
      <c r="B176" s="4">
        <v>46060</v>
      </c>
      <c r="C176" s="5">
        <v>0.66626157407407405</v>
      </c>
      <c r="D176" s="9" t="s">
        <v>4</v>
      </c>
      <c r="E176" s="9" t="s">
        <v>8</v>
      </c>
      <c r="F176" s="9"/>
      <c r="H176" s="9"/>
      <c r="I176" s="9" t="s">
        <v>11520</v>
      </c>
      <c r="J176" s="9" t="s">
        <v>2946</v>
      </c>
      <c r="K176" t="s">
        <v>11521</v>
      </c>
      <c r="L176" t="s">
        <v>11522</v>
      </c>
      <c r="M176" s="3" t="str">
        <f>HYPERLINK(склад2въезд13[[#This Row],[RelativePath]])</f>
        <v>4 Крыльцо офиса\K07156189_21_20260207T155925Z.jpg</v>
      </c>
    </row>
    <row r="177" spans="1:13" x14ac:dyDescent="0.25">
      <c r="A177" s="2" t="s">
        <v>22</v>
      </c>
      <c r="B177" s="4">
        <v>46061</v>
      </c>
      <c r="C177" s="5">
        <v>0.68674768518518514</v>
      </c>
      <c r="D177" s="9" t="s">
        <v>1967</v>
      </c>
      <c r="E177" s="9" t="s">
        <v>8</v>
      </c>
      <c r="F177" s="9"/>
      <c r="H177" s="9"/>
      <c r="I177" s="9" t="s">
        <v>11523</v>
      </c>
      <c r="J177" s="9" t="s">
        <v>2946</v>
      </c>
      <c r="K177" t="s">
        <v>11524</v>
      </c>
      <c r="L177" t="s">
        <v>11525</v>
      </c>
      <c r="M177" s="3" t="str">
        <f>HYPERLINK(склад2въезд13[[#This Row],[RelativePath]])</f>
        <v>4 Крыльцо офиса\K07156189_21_20260208T162855Z.jpg</v>
      </c>
    </row>
    <row r="178" spans="1:13" x14ac:dyDescent="0.25">
      <c r="A178" s="2" t="s">
        <v>13</v>
      </c>
      <c r="B178" s="4">
        <v>46062</v>
      </c>
      <c r="C178" s="5">
        <v>0.44567129629629632</v>
      </c>
      <c r="D178" s="9" t="s">
        <v>4</v>
      </c>
      <c r="E178" s="9" t="s">
        <v>8691</v>
      </c>
      <c r="F178" s="9"/>
      <c r="H178" s="9"/>
      <c r="I178" s="9" t="s">
        <v>11726</v>
      </c>
      <c r="J178" s="9" t="s">
        <v>2946</v>
      </c>
      <c r="K178" t="s">
        <v>11727</v>
      </c>
      <c r="L178" t="s">
        <v>11728</v>
      </c>
      <c r="M178" s="3" t="str">
        <f>HYPERLINK(склад2въезд13[[#This Row],[RelativePath]])</f>
        <v>4 Крыльцо офиса\K07156189_21_20260209T104146Z.jpg</v>
      </c>
    </row>
    <row r="179" spans="1:13" x14ac:dyDescent="0.25">
      <c r="A179" s="2" t="s">
        <v>14</v>
      </c>
      <c r="B179" s="4">
        <v>46063</v>
      </c>
      <c r="C179" s="5">
        <v>0.35106481481481483</v>
      </c>
      <c r="D179" s="9" t="s">
        <v>11807</v>
      </c>
      <c r="E179" s="9" t="s">
        <v>11808</v>
      </c>
      <c r="F179" s="9" t="s">
        <v>5010</v>
      </c>
      <c r="H179" s="9"/>
      <c r="I179" s="9" t="s">
        <v>11729</v>
      </c>
      <c r="J179" s="9" t="s">
        <v>2946</v>
      </c>
      <c r="K179" t="s">
        <v>11730</v>
      </c>
      <c r="L179" t="s">
        <v>11731</v>
      </c>
      <c r="M179" s="3" t="str">
        <f>HYPERLINK(склад2въезд13[[#This Row],[RelativePath]])</f>
        <v>4 Крыльцо офиса\K07156189_21_20260210T082532Z.jpg</v>
      </c>
    </row>
    <row r="180" spans="1:13" x14ac:dyDescent="0.25">
      <c r="A180" s="2" t="s">
        <v>14</v>
      </c>
      <c r="B180" s="4">
        <v>46063</v>
      </c>
      <c r="C180" s="5">
        <v>0.37222222222222223</v>
      </c>
      <c r="D180" s="9" t="s">
        <v>62</v>
      </c>
      <c r="E180" s="9" t="s">
        <v>11808</v>
      </c>
      <c r="F180" s="9" t="s">
        <v>5010</v>
      </c>
      <c r="H180" s="9"/>
      <c r="I180" s="9" t="s">
        <v>11732</v>
      </c>
      <c r="J180" s="9" t="s">
        <v>2946</v>
      </c>
      <c r="K180" t="s">
        <v>11733</v>
      </c>
      <c r="L180" t="s">
        <v>11734</v>
      </c>
      <c r="M180" s="3" t="str">
        <f>HYPERLINK(склад2въезд13[[#This Row],[RelativePath]])</f>
        <v>4 Крыльцо офиса\K07156189_21_20260210T085600Z.jpg</v>
      </c>
    </row>
    <row r="181" spans="1:13" x14ac:dyDescent="0.25">
      <c r="A181" s="2" t="s">
        <v>15</v>
      </c>
      <c r="B181" s="4">
        <v>46064</v>
      </c>
      <c r="C181" s="5">
        <v>0.44527777777777777</v>
      </c>
      <c r="D181" s="9" t="s">
        <v>11807</v>
      </c>
      <c r="E181" s="9" t="s">
        <v>4134</v>
      </c>
      <c r="F181" s="9" t="s">
        <v>5010</v>
      </c>
      <c r="H181" s="9"/>
      <c r="I181" s="9" t="s">
        <v>11735</v>
      </c>
      <c r="J181" s="9" t="s">
        <v>2946</v>
      </c>
      <c r="K181" t="s">
        <v>11736</v>
      </c>
      <c r="L181" t="s">
        <v>11737</v>
      </c>
      <c r="M181" s="3" t="str">
        <f>HYPERLINK(склад2въезд13[[#This Row],[RelativePath]])</f>
        <v>4 Крыльцо офиса\K07156189_21_20260211T104112Z.jpg</v>
      </c>
    </row>
    <row r="182" spans="1:13" x14ac:dyDescent="0.25">
      <c r="A182" s="2" t="s">
        <v>15</v>
      </c>
      <c r="B182" s="4">
        <v>46064</v>
      </c>
      <c r="C182" s="5">
        <v>0.58076388888888886</v>
      </c>
      <c r="D182" s="9" t="s">
        <v>62</v>
      </c>
      <c r="E182" s="9" t="s">
        <v>4134</v>
      </c>
      <c r="F182" s="9" t="s">
        <v>5010</v>
      </c>
      <c r="H182" s="9"/>
      <c r="I182" s="9" t="s">
        <v>11738</v>
      </c>
      <c r="J182" s="9" t="s">
        <v>2946</v>
      </c>
      <c r="K182" t="s">
        <v>11739</v>
      </c>
      <c r="L182" t="s">
        <v>11740</v>
      </c>
      <c r="M182" s="3" t="str">
        <f>HYPERLINK(склад2въезд13[[#This Row],[RelativePath]])</f>
        <v>4 Крыльцо офиса\K07156189_21_20260211T135618Z.jpg</v>
      </c>
    </row>
    <row r="183" spans="1:13" x14ac:dyDescent="0.25">
      <c r="A183" s="2" t="s">
        <v>16</v>
      </c>
      <c r="B183" s="4">
        <v>46065</v>
      </c>
      <c r="C183" s="5">
        <v>0.36050925925925925</v>
      </c>
      <c r="D183" s="9" t="s">
        <v>1569</v>
      </c>
      <c r="E183" s="9" t="s">
        <v>70</v>
      </c>
      <c r="F183" s="9" t="s">
        <v>5010</v>
      </c>
      <c r="H183" s="9"/>
      <c r="I183" s="9" t="s">
        <v>11741</v>
      </c>
      <c r="J183" s="9" t="s">
        <v>2946</v>
      </c>
      <c r="K183" t="s">
        <v>11742</v>
      </c>
      <c r="L183" t="s">
        <v>11743</v>
      </c>
      <c r="M183" s="3" t="str">
        <f>HYPERLINK(склад2въезд13[[#This Row],[RelativePath]])</f>
        <v>4 Крыльцо офиса\K07156189_21_20260212T083908Z.jpg</v>
      </c>
    </row>
    <row r="184" spans="1:13" x14ac:dyDescent="0.25">
      <c r="A184" s="2" t="s">
        <v>16</v>
      </c>
      <c r="B184" s="4">
        <v>46065</v>
      </c>
      <c r="C184" s="5">
        <v>0.36939814814814814</v>
      </c>
      <c r="D184" s="9" t="s">
        <v>11807</v>
      </c>
      <c r="E184" s="9" t="s">
        <v>70</v>
      </c>
      <c r="F184" s="9"/>
      <c r="H184" s="9"/>
      <c r="I184" s="9" t="s">
        <v>11744</v>
      </c>
      <c r="J184" s="9" t="s">
        <v>2946</v>
      </c>
      <c r="K184" t="s">
        <v>11745</v>
      </c>
      <c r="L184" t="s">
        <v>11746</v>
      </c>
      <c r="M184" s="3" t="str">
        <f>HYPERLINK(склад2въезд13[[#This Row],[RelativePath]])</f>
        <v>4 Крыльцо офиса\K07156189_21_20260212T085156Z.jpg</v>
      </c>
    </row>
    <row r="185" spans="1:13" x14ac:dyDescent="0.25">
      <c r="A185" s="2" t="s">
        <v>16</v>
      </c>
      <c r="B185" s="4">
        <v>46065</v>
      </c>
      <c r="C185" s="5">
        <v>0.3870601851851852</v>
      </c>
      <c r="D185" s="9" t="s">
        <v>11809</v>
      </c>
      <c r="E185" s="9" t="s">
        <v>70</v>
      </c>
      <c r="F185" s="9" t="s">
        <v>9224</v>
      </c>
      <c r="H185" s="9"/>
      <c r="I185" s="9" t="s">
        <v>11747</v>
      </c>
      <c r="J185" s="9" t="s">
        <v>2946</v>
      </c>
      <c r="K185" t="s">
        <v>11748</v>
      </c>
      <c r="L185" t="s">
        <v>11749</v>
      </c>
      <c r="M185" s="3" t="str">
        <f>HYPERLINK(склад2въезд13[[#This Row],[RelativePath]])</f>
        <v>4 Крыльцо офиса\K07156189_21_20260212T091722Z.jpg</v>
      </c>
    </row>
    <row r="186" spans="1:13" x14ac:dyDescent="0.25">
      <c r="A186" s="2" t="s">
        <v>16</v>
      </c>
      <c r="B186" s="4">
        <v>46065</v>
      </c>
      <c r="C186" s="5">
        <v>0.39519675925925923</v>
      </c>
      <c r="D186" s="9" t="s">
        <v>622</v>
      </c>
      <c r="E186" s="9" t="s">
        <v>70</v>
      </c>
      <c r="F186" s="9" t="s">
        <v>9224</v>
      </c>
      <c r="H186" s="9"/>
      <c r="I186" s="9" t="s">
        <v>11750</v>
      </c>
      <c r="J186" s="9" t="s">
        <v>2946</v>
      </c>
      <c r="K186" t="s">
        <v>11751</v>
      </c>
      <c r="L186" t="s">
        <v>11752</v>
      </c>
      <c r="M186" s="3" t="str">
        <f>HYPERLINK(склад2въезд13[[#This Row],[RelativePath]])</f>
        <v>4 Крыльцо офиса\K07156189_21_20260212T092905Z.jpg</v>
      </c>
    </row>
    <row r="187" spans="1:13" x14ac:dyDescent="0.25">
      <c r="A187" s="2" t="s">
        <v>17</v>
      </c>
      <c r="B187" s="4">
        <v>46066</v>
      </c>
      <c r="C187" s="5">
        <v>0.5755555555555556</v>
      </c>
      <c r="D187" s="9" t="s">
        <v>262</v>
      </c>
      <c r="E187" s="9" t="s">
        <v>11863</v>
      </c>
      <c r="F187" s="9" t="s">
        <v>1585</v>
      </c>
      <c r="G187">
        <v>2</v>
      </c>
      <c r="H187" s="9"/>
      <c r="I187" s="9" t="s">
        <v>11827</v>
      </c>
      <c r="J187" s="9" t="s">
        <v>2946</v>
      </c>
      <c r="K187" t="s">
        <v>11828</v>
      </c>
      <c r="L187" t="s">
        <v>11829</v>
      </c>
      <c r="M187" s="3" t="str">
        <f>HYPERLINK(склад2въезд13[[#This Row],[RelativePath]])</f>
        <v>4 Крыльцо офиса\K07156189_21_20260213T134848Z.jpg</v>
      </c>
    </row>
    <row r="188" spans="1:13" x14ac:dyDescent="0.25">
      <c r="A188" s="2" t="s">
        <v>17</v>
      </c>
      <c r="B188" s="4">
        <v>46066</v>
      </c>
      <c r="C188" s="5">
        <v>0.694849537037037</v>
      </c>
      <c r="D188" s="9" t="s">
        <v>11867</v>
      </c>
      <c r="E188" s="9" t="s">
        <v>11864</v>
      </c>
      <c r="F188" s="9"/>
      <c r="H188" s="9"/>
      <c r="I188" s="9" t="s">
        <v>11830</v>
      </c>
      <c r="J188" s="9" t="s">
        <v>2946</v>
      </c>
      <c r="K188" t="s">
        <v>11831</v>
      </c>
      <c r="L188" t="s">
        <v>11832</v>
      </c>
      <c r="M188" s="3" t="str">
        <f>HYPERLINK(склад2въезд13[[#This Row],[RelativePath]])</f>
        <v>4 Крыльцо офиса\K07156189_21_20260213T164035Z.jpg</v>
      </c>
    </row>
    <row r="189" spans="1:13" x14ac:dyDescent="0.25">
      <c r="A189" s="2" t="s">
        <v>17</v>
      </c>
      <c r="B189" s="4">
        <v>46066</v>
      </c>
      <c r="C189" s="5">
        <v>0.7041898148148148</v>
      </c>
      <c r="D189" s="9" t="s">
        <v>11865</v>
      </c>
      <c r="E189" s="9" t="s">
        <v>11864</v>
      </c>
      <c r="F189" s="9"/>
      <c r="H189" s="9"/>
      <c r="I189" s="9" t="s">
        <v>11833</v>
      </c>
      <c r="J189" s="9" t="s">
        <v>2946</v>
      </c>
      <c r="K189" t="s">
        <v>11834</v>
      </c>
      <c r="L189" t="s">
        <v>11835</v>
      </c>
      <c r="M189" s="3" t="str">
        <f>HYPERLINK(склад2въезд13[[#This Row],[RelativePath]])</f>
        <v>4 Крыльцо офиса\K07156189_21_20260213T165402Z.jpg</v>
      </c>
    </row>
    <row r="190" spans="1:13" x14ac:dyDescent="0.25">
      <c r="A190" s="2" t="s">
        <v>18</v>
      </c>
      <c r="B190" s="4">
        <v>46067</v>
      </c>
      <c r="C190" s="5">
        <v>0.42972222222222223</v>
      </c>
      <c r="D190" s="9" t="s">
        <v>4</v>
      </c>
      <c r="E190" s="9" t="s">
        <v>11866</v>
      </c>
      <c r="F190" s="9"/>
      <c r="H190" s="9"/>
      <c r="I190" s="9" t="s">
        <v>11836</v>
      </c>
      <c r="J190" s="9" t="s">
        <v>2946</v>
      </c>
      <c r="K190" t="s">
        <v>11837</v>
      </c>
      <c r="L190" t="s">
        <v>11838</v>
      </c>
      <c r="M190" s="3" t="str">
        <f>HYPERLINK(склад2въезд13[[#This Row],[RelativePath]])</f>
        <v>4 Крыльцо офиса\K07156189_21_20260214T101848Z.jpg</v>
      </c>
    </row>
    <row r="191" spans="1:13" x14ac:dyDescent="0.25">
      <c r="A191" s="2" t="s">
        <v>18</v>
      </c>
      <c r="B191" s="4">
        <v>46067</v>
      </c>
      <c r="C191" s="5">
        <v>0.88991898148148152</v>
      </c>
      <c r="D191" s="9" t="s">
        <v>11867</v>
      </c>
      <c r="E191" s="9" t="s">
        <v>11864</v>
      </c>
      <c r="F191" s="9"/>
      <c r="H191" s="9"/>
      <c r="I191" s="9" t="s">
        <v>11839</v>
      </c>
      <c r="J191" s="9" t="s">
        <v>2946</v>
      </c>
      <c r="K191" t="s">
        <v>11840</v>
      </c>
      <c r="L191" t="s">
        <v>11841</v>
      </c>
      <c r="M191" s="3" t="str">
        <f>HYPERLINK(склад2въезд13[[#This Row],[RelativePath]])</f>
        <v>4 Крыльцо офиса\K07156189_21_20260214T212129Z.jpg</v>
      </c>
    </row>
    <row r="192" spans="1:13" x14ac:dyDescent="0.25">
      <c r="A192" s="2" t="s">
        <v>18</v>
      </c>
      <c r="B192" s="4">
        <v>46067</v>
      </c>
      <c r="C192" s="5">
        <v>0.90062500000000001</v>
      </c>
      <c r="D192" s="9" t="s">
        <v>62</v>
      </c>
      <c r="E192" s="9" t="s">
        <v>11864</v>
      </c>
      <c r="F192" s="9"/>
      <c r="H192" s="9"/>
      <c r="I192" s="9" t="s">
        <v>11842</v>
      </c>
      <c r="J192" s="9" t="s">
        <v>2946</v>
      </c>
      <c r="K192" t="s">
        <v>11843</v>
      </c>
      <c r="L192" t="s">
        <v>11844</v>
      </c>
      <c r="M192" s="3" t="str">
        <f>HYPERLINK(склад2въезд13[[#This Row],[RelativePath]])</f>
        <v>4 Крыльцо офиса\K07156189_21_20260214T213654Z.jpg</v>
      </c>
    </row>
    <row r="193" spans="1:13" x14ac:dyDescent="0.25">
      <c r="A193" s="2" t="s">
        <v>22</v>
      </c>
      <c r="B193" s="4">
        <v>46068</v>
      </c>
      <c r="C193" s="5">
        <v>0.65759259259259262</v>
      </c>
      <c r="D193" s="9" t="s">
        <v>1967</v>
      </c>
      <c r="E193" s="9" t="s">
        <v>8</v>
      </c>
      <c r="F193" s="9"/>
      <c r="H193" s="9"/>
      <c r="I193" s="9" t="s">
        <v>11887</v>
      </c>
      <c r="J193" s="9" t="s">
        <v>2946</v>
      </c>
      <c r="K193" t="s">
        <v>11888</v>
      </c>
      <c r="L193" t="s">
        <v>11889</v>
      </c>
      <c r="M193" s="3" t="str">
        <f>HYPERLINK(склад2въезд13[[#This Row],[RelativePath]])</f>
        <v>4 Крыльцо офиса\K07156189_21_20260215T154656Z.jpg</v>
      </c>
    </row>
    <row r="194" spans="1:13" x14ac:dyDescent="0.25">
      <c r="A194" s="2" t="s">
        <v>13</v>
      </c>
      <c r="B194" s="4">
        <v>46069</v>
      </c>
      <c r="C194" s="5">
        <v>0.60898148148148146</v>
      </c>
      <c r="D194" s="9" t="s">
        <v>1967</v>
      </c>
      <c r="E194" s="9" t="s">
        <v>8</v>
      </c>
      <c r="F194" s="9"/>
      <c r="H194" s="9"/>
      <c r="I194" s="9" t="s">
        <v>12107</v>
      </c>
      <c r="J194" s="9" t="s">
        <v>2946</v>
      </c>
      <c r="K194" t="s">
        <v>12108</v>
      </c>
      <c r="L194" t="s">
        <v>12109</v>
      </c>
      <c r="M194" s="3" t="str">
        <f>HYPERLINK(склад2въезд13[[#This Row],[RelativePath]])</f>
        <v>4 Крыльцо офиса\K07156189_21_20260216T143656Z.jpg</v>
      </c>
    </row>
    <row r="195" spans="1:13" x14ac:dyDescent="0.25">
      <c r="A195" s="2" t="s">
        <v>14</v>
      </c>
      <c r="B195" s="4">
        <v>46070</v>
      </c>
      <c r="C195" s="5">
        <v>0.43868055555555557</v>
      </c>
      <c r="D195" s="9" t="s">
        <v>12220</v>
      </c>
      <c r="E195" s="9" t="s">
        <v>86</v>
      </c>
      <c r="F195" s="9"/>
      <c r="H195" s="9"/>
      <c r="I195" s="9" t="s">
        <v>12110</v>
      </c>
      <c r="J195" s="9" t="s">
        <v>2946</v>
      </c>
      <c r="K195" t="s">
        <v>12111</v>
      </c>
      <c r="L195" t="s">
        <v>12112</v>
      </c>
      <c r="M195" s="3" t="str">
        <f>HYPERLINK(склад2въезд13[[#This Row],[RelativePath]])</f>
        <v>4 Крыльцо офиса\K07156189_21_20260217T103142Z.jpg</v>
      </c>
    </row>
    <row r="196" spans="1:13" x14ac:dyDescent="0.25">
      <c r="A196" s="2" t="s">
        <v>14</v>
      </c>
      <c r="B196" s="4">
        <v>46070</v>
      </c>
      <c r="C196" s="5">
        <v>0.44383101851851853</v>
      </c>
      <c r="D196" s="9" t="s">
        <v>12220</v>
      </c>
      <c r="E196" s="9" t="s">
        <v>86</v>
      </c>
      <c r="F196" s="9"/>
      <c r="H196" s="9"/>
      <c r="I196" s="9" t="s">
        <v>12113</v>
      </c>
      <c r="J196" s="9" t="s">
        <v>2946</v>
      </c>
      <c r="K196" t="s">
        <v>12114</v>
      </c>
      <c r="L196" t="s">
        <v>12115</v>
      </c>
      <c r="M196" s="3" t="str">
        <f>HYPERLINK(склад2въезд13[[#This Row],[RelativePath]])</f>
        <v>4 Крыльцо офиса\K07156189_21_20260217T103907Z.jpg</v>
      </c>
    </row>
    <row r="197" spans="1:13" x14ac:dyDescent="0.25">
      <c r="A197" s="2" t="s">
        <v>14</v>
      </c>
      <c r="B197" s="4">
        <v>46070</v>
      </c>
      <c r="C197" s="5">
        <v>0.44959490740740743</v>
      </c>
      <c r="D197" s="9" t="s">
        <v>12220</v>
      </c>
      <c r="E197" s="9" t="s">
        <v>86</v>
      </c>
      <c r="F197" s="9"/>
      <c r="H197" s="9"/>
      <c r="I197" s="9" t="s">
        <v>12116</v>
      </c>
      <c r="J197" s="9" t="s">
        <v>2946</v>
      </c>
      <c r="K197" t="s">
        <v>12117</v>
      </c>
      <c r="L197" t="s">
        <v>12118</v>
      </c>
      <c r="M197" s="3" t="str">
        <f>HYPERLINK(склад2въезд13[[#This Row],[RelativePath]])</f>
        <v>4 Крыльцо офиса\K07156189_21_20260217T104725Z.jpg</v>
      </c>
    </row>
    <row r="198" spans="1:13" x14ac:dyDescent="0.25">
      <c r="A198" s="2" t="s">
        <v>14</v>
      </c>
      <c r="B198" s="4">
        <v>46070</v>
      </c>
      <c r="C198" s="5">
        <v>0.51246527777777773</v>
      </c>
      <c r="D198" s="9" t="s">
        <v>4</v>
      </c>
      <c r="E198" s="9" t="s">
        <v>12221</v>
      </c>
      <c r="F198" s="9"/>
      <c r="H198" s="9"/>
      <c r="I198" s="9" t="s">
        <v>12119</v>
      </c>
      <c r="J198" s="9" t="s">
        <v>2946</v>
      </c>
      <c r="K198" t="s">
        <v>12120</v>
      </c>
      <c r="L198" t="s">
        <v>12121</v>
      </c>
      <c r="M198" s="3" t="str">
        <f>HYPERLINK(склад2въезд13[[#This Row],[RelativePath]])</f>
        <v>4 Крыльцо офиса\K07156189_21_20260217T121757Z.jpg</v>
      </c>
    </row>
    <row r="199" spans="1:13" x14ac:dyDescent="0.25">
      <c r="A199" s="2" t="s">
        <v>14</v>
      </c>
      <c r="B199" s="4">
        <v>46070</v>
      </c>
      <c r="C199" s="5">
        <v>0.63879629629629631</v>
      </c>
      <c r="D199" s="9" t="s">
        <v>12220</v>
      </c>
      <c r="E199" s="9" t="s">
        <v>503</v>
      </c>
      <c r="F199" s="9"/>
      <c r="H199" s="9"/>
      <c r="I199" s="9" t="s">
        <v>12122</v>
      </c>
      <c r="J199" s="9" t="s">
        <v>2946</v>
      </c>
      <c r="K199" t="s">
        <v>12123</v>
      </c>
      <c r="L199" t="s">
        <v>12124</v>
      </c>
      <c r="M199" s="3" t="str">
        <f>HYPERLINK(склад2въезд13[[#This Row],[RelativePath]])</f>
        <v>4 Крыльцо офиса\K07156189_21_20260217T151952Z.jpg</v>
      </c>
    </row>
    <row r="200" spans="1:13" x14ac:dyDescent="0.25">
      <c r="A200" s="2" t="s">
        <v>14</v>
      </c>
      <c r="B200" s="4">
        <v>46070</v>
      </c>
      <c r="C200" s="5">
        <v>0.67047453703703708</v>
      </c>
      <c r="D200" s="9" t="s">
        <v>4</v>
      </c>
      <c r="E200" s="9" t="s">
        <v>12221</v>
      </c>
      <c r="F200" s="9"/>
      <c r="H200" s="9"/>
      <c r="I200" s="9" t="s">
        <v>12125</v>
      </c>
      <c r="J200" s="9" t="s">
        <v>2946</v>
      </c>
      <c r="K200" t="s">
        <v>12126</v>
      </c>
      <c r="L200" t="s">
        <v>12127</v>
      </c>
      <c r="M200" s="3" t="str">
        <f>HYPERLINK(склад2въезд13[[#This Row],[RelativePath]])</f>
        <v>4 Крыльцо офиса\K07156189_21_20260217T160529Z.jpg</v>
      </c>
    </row>
    <row r="201" spans="1:13" x14ac:dyDescent="0.25">
      <c r="A201" s="2" t="s">
        <v>14</v>
      </c>
      <c r="B201" s="4">
        <v>46070</v>
      </c>
      <c r="C201" s="5">
        <v>0.69761574074074073</v>
      </c>
      <c r="D201" s="9" t="s">
        <v>11811</v>
      </c>
      <c r="E201" s="9"/>
      <c r="F201" s="9"/>
      <c r="H201" s="9"/>
      <c r="I201" s="9" t="s">
        <v>12128</v>
      </c>
      <c r="J201" s="9" t="s">
        <v>2946</v>
      </c>
      <c r="K201" t="s">
        <v>12129</v>
      </c>
      <c r="L201" t="s">
        <v>12130</v>
      </c>
      <c r="M201" s="3" t="str">
        <f>HYPERLINK(склад2въезд13[[#This Row],[RelativePath]])</f>
        <v>4 Крыльцо офиса\K07156189_21_20260217T164434Z.jpg</v>
      </c>
    </row>
    <row r="202" spans="1:13" x14ac:dyDescent="0.25">
      <c r="A202" s="2" t="s">
        <v>15</v>
      </c>
      <c r="B202" s="4">
        <v>46071</v>
      </c>
      <c r="C202" s="5">
        <v>0.40978009259259257</v>
      </c>
      <c r="D202" s="9" t="s">
        <v>11867</v>
      </c>
      <c r="E202" s="9" t="s">
        <v>4134</v>
      </c>
      <c r="F202" s="9"/>
      <c r="H202" s="9"/>
      <c r="I202" s="9" t="s">
        <v>12223</v>
      </c>
      <c r="J202" s="9" t="s">
        <v>2946</v>
      </c>
      <c r="K202" t="s">
        <v>12224</v>
      </c>
      <c r="L202" t="s">
        <v>12225</v>
      </c>
      <c r="M202" s="3" t="str">
        <f>HYPERLINK(склад2въезд13[[#This Row],[RelativePath]])</f>
        <v>4 Крыльцо офиса\K07156189_21_20260218T095005Z.jpg</v>
      </c>
    </row>
    <row r="203" spans="1:13" x14ac:dyDescent="0.25">
      <c r="A203" s="2" t="s">
        <v>15</v>
      </c>
      <c r="B203" s="4">
        <v>46071</v>
      </c>
      <c r="C203" s="5">
        <v>0.50271990740740746</v>
      </c>
      <c r="D203" s="9" t="s">
        <v>623</v>
      </c>
      <c r="E203" s="9" t="s">
        <v>86</v>
      </c>
      <c r="F203" s="9"/>
      <c r="H203" s="9"/>
      <c r="I203" s="9" t="s">
        <v>12131</v>
      </c>
      <c r="J203" s="9" t="s">
        <v>2946</v>
      </c>
      <c r="K203" t="s">
        <v>12132</v>
      </c>
      <c r="L203" t="s">
        <v>12133</v>
      </c>
      <c r="M203" s="3" t="str">
        <f>HYPERLINK(склад2въезд13[[#This Row],[RelativePath]])</f>
        <v>4 Крыльцо офиса\K07156189_21_20260218T120355Z.jpg</v>
      </c>
    </row>
    <row r="204" spans="1:13" x14ac:dyDescent="0.25">
      <c r="A204" s="2" t="s">
        <v>15</v>
      </c>
      <c r="B204" s="4">
        <v>46071</v>
      </c>
      <c r="C204" s="5">
        <v>0.51141203703703708</v>
      </c>
      <c r="D204" s="9" t="s">
        <v>1569</v>
      </c>
      <c r="E204" s="9" t="s">
        <v>12222</v>
      </c>
      <c r="F204" s="9"/>
      <c r="H204" s="9"/>
      <c r="I204" s="9" t="s">
        <v>12134</v>
      </c>
      <c r="J204" s="9" t="s">
        <v>2946</v>
      </c>
      <c r="K204" t="s">
        <v>12135</v>
      </c>
      <c r="L204" t="s">
        <v>12136</v>
      </c>
      <c r="M204" s="3" t="str">
        <f>HYPERLINK(склад2въезд13[[#This Row],[RelativePath]])</f>
        <v>4 Крыльцо офиса\K07156189_21_20260218T121626Z.jpg</v>
      </c>
    </row>
    <row r="205" spans="1:13" x14ac:dyDescent="0.25">
      <c r="A205" s="2" t="s">
        <v>15</v>
      </c>
      <c r="B205" s="4">
        <v>46071</v>
      </c>
      <c r="C205" s="5">
        <v>0.5130555555555556</v>
      </c>
      <c r="D205" s="9" t="s">
        <v>62</v>
      </c>
      <c r="E205" s="9" t="s">
        <v>4134</v>
      </c>
      <c r="F205" s="9"/>
      <c r="H205" s="9"/>
      <c r="I205" s="9" t="s">
        <v>12137</v>
      </c>
      <c r="J205" s="9" t="s">
        <v>2946</v>
      </c>
      <c r="K205" t="s">
        <v>12138</v>
      </c>
      <c r="L205" t="s">
        <v>12139</v>
      </c>
      <c r="M205" s="3" t="str">
        <f>HYPERLINK(склад2въезд13[[#This Row],[RelativePath]])</f>
        <v>4 Крыльцо офиса\K07156189_21_20260218T121848Z.jpg</v>
      </c>
    </row>
    <row r="206" spans="1:13" x14ac:dyDescent="0.25">
      <c r="A206" s="2" t="s">
        <v>15</v>
      </c>
      <c r="B206" s="4">
        <v>46071</v>
      </c>
      <c r="C206" s="5">
        <v>0.51651620370370366</v>
      </c>
      <c r="D206" s="9" t="s">
        <v>11867</v>
      </c>
      <c r="E206" s="9" t="s">
        <v>12222</v>
      </c>
      <c r="F206" s="9"/>
      <c r="H206" s="9"/>
      <c r="I206" s="9" t="s">
        <v>12140</v>
      </c>
      <c r="J206" s="9" t="s">
        <v>2946</v>
      </c>
      <c r="K206" t="s">
        <v>12141</v>
      </c>
      <c r="L206" t="s">
        <v>12142</v>
      </c>
      <c r="M206" s="3" t="str">
        <f>HYPERLINK(склад2въезд13[[#This Row],[RelativePath]])</f>
        <v>4 Крыльцо офиса\K07156189_21_20260218T122347Z.jpg</v>
      </c>
    </row>
    <row r="207" spans="1:13" x14ac:dyDescent="0.25">
      <c r="A207" s="2" t="s">
        <v>15</v>
      </c>
      <c r="B207" s="4">
        <v>46071</v>
      </c>
      <c r="C207" s="5">
        <v>0.52504629629629629</v>
      </c>
      <c r="D207" s="9" t="s">
        <v>62</v>
      </c>
      <c r="E207" s="9" t="s">
        <v>12222</v>
      </c>
      <c r="F207" s="9"/>
      <c r="H207" s="9"/>
      <c r="I207" s="9" t="s">
        <v>12143</v>
      </c>
      <c r="J207" s="9" t="s">
        <v>2946</v>
      </c>
      <c r="K207" t="s">
        <v>12144</v>
      </c>
      <c r="L207" t="s">
        <v>12145</v>
      </c>
      <c r="M207" s="3" t="str">
        <f>HYPERLINK(склад2въезд13[[#This Row],[RelativePath]])</f>
        <v>4 Крыльцо офиса\K07156189_21_20260218T123604Z.jpg</v>
      </c>
    </row>
    <row r="208" spans="1:13" x14ac:dyDescent="0.25">
      <c r="A208" s="2" t="s">
        <v>15</v>
      </c>
      <c r="B208" s="4">
        <v>46071</v>
      </c>
      <c r="C208" s="5">
        <v>0.60122685185185187</v>
      </c>
      <c r="D208" s="9" t="s">
        <v>623</v>
      </c>
      <c r="E208" s="9" t="s">
        <v>86</v>
      </c>
      <c r="F208" s="9"/>
      <c r="H208" s="9"/>
      <c r="I208" s="9" t="s">
        <v>12146</v>
      </c>
      <c r="J208" s="9" t="s">
        <v>2946</v>
      </c>
      <c r="K208" t="s">
        <v>12147</v>
      </c>
      <c r="L208" t="s">
        <v>12148</v>
      </c>
      <c r="M208" s="3" t="str">
        <f>HYPERLINK(склад2въезд13[[#This Row],[RelativePath]])</f>
        <v>4 Крыльцо офиса\K07156189_21_20260218T142546Z.jpg</v>
      </c>
    </row>
    <row r="209" spans="1:13" x14ac:dyDescent="0.25">
      <c r="A209" s="2" t="s">
        <v>16</v>
      </c>
      <c r="B209" s="4">
        <v>46072</v>
      </c>
      <c r="C209" s="5">
        <v>0.41233796296296299</v>
      </c>
      <c r="D209" s="9" t="s">
        <v>623</v>
      </c>
      <c r="E209" s="9" t="s">
        <v>86</v>
      </c>
      <c r="F209" s="9"/>
      <c r="H209" s="9"/>
      <c r="I209" s="9" t="s">
        <v>12293</v>
      </c>
      <c r="J209" s="9" t="s">
        <v>2946</v>
      </c>
      <c r="K209" t="s">
        <v>12294</v>
      </c>
      <c r="L209" t="s">
        <v>12295</v>
      </c>
      <c r="M209" s="3" t="str">
        <f>HYPERLINK(склад2въезд13[[#This Row],[RelativePath]])</f>
        <v>4 Крыльцо офиса\K07156189_21_20260219T095346Z.jpg</v>
      </c>
    </row>
    <row r="210" spans="1:13" x14ac:dyDescent="0.25">
      <c r="A210" s="2" t="s">
        <v>16</v>
      </c>
      <c r="B210" s="4">
        <v>46072</v>
      </c>
      <c r="C210" s="5">
        <v>0.45656249999999998</v>
      </c>
      <c r="D210" s="9" t="s">
        <v>11867</v>
      </c>
      <c r="E210" s="9" t="s">
        <v>4134</v>
      </c>
      <c r="F210" s="9"/>
      <c r="H210" s="9"/>
      <c r="I210" s="9" t="s">
        <v>12296</v>
      </c>
      <c r="J210" s="9" t="s">
        <v>2946</v>
      </c>
      <c r="K210" t="s">
        <v>12297</v>
      </c>
      <c r="L210" t="s">
        <v>12298</v>
      </c>
      <c r="M210" s="3" t="str">
        <f>HYPERLINK(склад2въезд13[[#This Row],[RelativePath]])</f>
        <v>4 Крыльцо офиса\K07156189_21_20260219T105727Z.jpg</v>
      </c>
    </row>
    <row r="211" spans="1:13" x14ac:dyDescent="0.25">
      <c r="A211" s="2" t="s">
        <v>16</v>
      </c>
      <c r="B211" s="4">
        <v>46072</v>
      </c>
      <c r="C211" s="5">
        <v>0.45841435185185186</v>
      </c>
      <c r="D211" s="9" t="s">
        <v>11867</v>
      </c>
      <c r="E211" s="9" t="s">
        <v>12341</v>
      </c>
      <c r="F211" s="9"/>
      <c r="H211" s="9" t="s">
        <v>12342</v>
      </c>
      <c r="I211" s="9" t="s">
        <v>12299</v>
      </c>
      <c r="J211" s="9" t="s">
        <v>2946</v>
      </c>
      <c r="K211" t="s">
        <v>12300</v>
      </c>
      <c r="L211" t="s">
        <v>12301</v>
      </c>
      <c r="M211" s="3" t="str">
        <f>HYPERLINK(склад2въезд13[[#This Row],[RelativePath]])</f>
        <v>4 Крыльцо офиса\K07156189_21_20260219T110007Z.jpg</v>
      </c>
    </row>
    <row r="212" spans="1:13" x14ac:dyDescent="0.25">
      <c r="A212" s="2" t="s">
        <v>16</v>
      </c>
      <c r="B212" s="4">
        <v>46072</v>
      </c>
      <c r="C212" s="5">
        <v>0.58318287037037042</v>
      </c>
      <c r="D212" s="9" t="s">
        <v>62</v>
      </c>
      <c r="E212" s="9" t="s">
        <v>4134</v>
      </c>
      <c r="F212" s="9"/>
      <c r="H212" s="9"/>
      <c r="I212" s="9" t="s">
        <v>12302</v>
      </c>
      <c r="J212" s="9" t="s">
        <v>2946</v>
      </c>
      <c r="K212" t="s">
        <v>12303</v>
      </c>
      <c r="L212" t="s">
        <v>12304</v>
      </c>
      <c r="M212" s="3" t="str">
        <f>HYPERLINK(склад2въезд13[[#This Row],[RelativePath]])</f>
        <v>4 Крыльцо офиса\K07156189_21_20260219T135947Z.jpg</v>
      </c>
    </row>
    <row r="213" spans="1:13" x14ac:dyDescent="0.25">
      <c r="A213" s="2" t="s">
        <v>16</v>
      </c>
      <c r="B213" s="4">
        <v>46072</v>
      </c>
      <c r="C213" s="5">
        <v>0.60552083333333329</v>
      </c>
      <c r="D213" s="9" t="s">
        <v>11867</v>
      </c>
      <c r="E213" s="9" t="s">
        <v>12343</v>
      </c>
      <c r="F213" s="9"/>
      <c r="H213" s="9"/>
      <c r="I213" s="9" t="s">
        <v>12305</v>
      </c>
      <c r="J213" s="9" t="s">
        <v>2946</v>
      </c>
      <c r="K213" t="s">
        <v>12306</v>
      </c>
      <c r="L213" t="s">
        <v>12307</v>
      </c>
      <c r="M213" s="3" t="str">
        <f>HYPERLINK(склад2въезд13[[#This Row],[RelativePath]])</f>
        <v>4 Крыльцо офиса\K07156189_21_20260219T143157Z.jpg</v>
      </c>
    </row>
    <row r="214" spans="1:13" x14ac:dyDescent="0.25">
      <c r="A214" s="2" t="s">
        <v>16</v>
      </c>
      <c r="B214" s="4">
        <v>46072</v>
      </c>
      <c r="C214" s="5">
        <v>0.60810185185185184</v>
      </c>
      <c r="D214" s="9" t="s">
        <v>62</v>
      </c>
      <c r="E214" s="9" t="s">
        <v>12343</v>
      </c>
      <c r="F214" s="9" t="s">
        <v>12447</v>
      </c>
      <c r="H214" s="9"/>
      <c r="I214" s="9" t="s">
        <v>12308</v>
      </c>
      <c r="J214" s="9" t="s">
        <v>2946</v>
      </c>
      <c r="K214" t="s">
        <v>12309</v>
      </c>
      <c r="L214" t="s">
        <v>12310</v>
      </c>
      <c r="M214" s="3" t="str">
        <f>HYPERLINK(склад2въезд13[[#This Row],[RelativePath]])</f>
        <v>4 Крыльцо офиса\K07156189_21_20260219T143540Z.jpg</v>
      </c>
    </row>
    <row r="215" spans="1:13" x14ac:dyDescent="0.25">
      <c r="A215" s="2" t="s">
        <v>17</v>
      </c>
      <c r="B215" s="4">
        <v>46073</v>
      </c>
      <c r="C215" s="5">
        <v>0.65903935185185181</v>
      </c>
      <c r="D215" s="9" t="s">
        <v>11867</v>
      </c>
      <c r="E215" s="9" t="s">
        <v>12343</v>
      </c>
      <c r="F215" s="9"/>
      <c r="H215" s="9"/>
      <c r="I215" s="9" t="s">
        <v>12354</v>
      </c>
      <c r="J215" s="9" t="s">
        <v>2946</v>
      </c>
      <c r="K215" t="s">
        <v>12355</v>
      </c>
      <c r="L215" t="s">
        <v>12356</v>
      </c>
      <c r="M215" s="3" t="str">
        <f>HYPERLINK(склад2въезд13[[#This Row],[RelativePath]])</f>
        <v>4 Крыльцо офиса\K07156189_21_20260220T154901Z.jpg</v>
      </c>
    </row>
    <row r="216" spans="1:13" x14ac:dyDescent="0.25">
      <c r="A216" s="2" t="s">
        <v>17</v>
      </c>
      <c r="B216" s="4">
        <v>46073</v>
      </c>
      <c r="C216" s="5">
        <v>0.66093749999999996</v>
      </c>
      <c r="D216" s="9" t="s">
        <v>12448</v>
      </c>
      <c r="E216" s="9" t="s">
        <v>12343</v>
      </c>
      <c r="F216" s="9"/>
      <c r="H216" s="9"/>
      <c r="I216" s="9" t="s">
        <v>12357</v>
      </c>
      <c r="J216" s="9" t="s">
        <v>2946</v>
      </c>
      <c r="K216" t="s">
        <v>12358</v>
      </c>
      <c r="L216" t="s">
        <v>12359</v>
      </c>
      <c r="M216" s="3" t="str">
        <f>HYPERLINK(склад2въезд13[[#This Row],[RelativePath]])</f>
        <v>4 Крыльцо офиса\K07156189_21_20260220T155145Z.jpg</v>
      </c>
    </row>
    <row r="217" spans="1:13" x14ac:dyDescent="0.25">
      <c r="A217" s="2" t="s">
        <v>17</v>
      </c>
      <c r="B217" s="4">
        <v>46073</v>
      </c>
      <c r="C217" s="5">
        <v>0.66113425925925928</v>
      </c>
      <c r="D217" s="9" t="s">
        <v>6092</v>
      </c>
      <c r="E217" s="9" t="s">
        <v>12343</v>
      </c>
      <c r="F217" s="9"/>
      <c r="H217" s="9"/>
      <c r="I217" s="9" t="s">
        <v>12360</v>
      </c>
      <c r="J217" s="9" t="s">
        <v>2946</v>
      </c>
      <c r="K217" t="s">
        <v>12361</v>
      </c>
      <c r="L217" t="s">
        <v>12362</v>
      </c>
      <c r="M217" s="3" t="str">
        <f>HYPERLINK(склад2въезд13[[#This Row],[RelativePath]])</f>
        <v>4 Крыльцо офиса\K07156189_21_20260220T155202Z.jpg</v>
      </c>
    </row>
    <row r="218" spans="1:13" x14ac:dyDescent="0.25">
      <c r="A218" s="2" t="s">
        <v>18</v>
      </c>
      <c r="B218" s="4">
        <v>46074</v>
      </c>
      <c r="C218" s="5">
        <v>0.35714120370370372</v>
      </c>
      <c r="D218" s="9" t="s">
        <v>1569</v>
      </c>
      <c r="E218" s="9" t="s">
        <v>12626</v>
      </c>
      <c r="F218" s="9"/>
      <c r="H218" s="9"/>
      <c r="I218" s="9" t="s">
        <v>12455</v>
      </c>
      <c r="J218" s="9" t="s">
        <v>2946</v>
      </c>
      <c r="K218" t="s">
        <v>12456</v>
      </c>
      <c r="L218" t="s">
        <v>12457</v>
      </c>
      <c r="M218" s="3" t="str">
        <f>HYPERLINK(склад2въезд13[[#This Row],[RelativePath]])</f>
        <v>4 Крыльцо офиса\K07156189_21_20260221T083417Z.jpg</v>
      </c>
    </row>
    <row r="219" spans="1:13" x14ac:dyDescent="0.25">
      <c r="A219" s="2" t="s">
        <v>18</v>
      </c>
      <c r="B219" s="4">
        <v>46074</v>
      </c>
      <c r="C219" s="5">
        <v>0.35908564814814814</v>
      </c>
      <c r="D219" s="9" t="s">
        <v>6092</v>
      </c>
      <c r="E219" s="9" t="s">
        <v>12626</v>
      </c>
      <c r="F219" s="9"/>
      <c r="H219" s="9"/>
      <c r="I219" s="9" t="s">
        <v>12458</v>
      </c>
      <c r="J219" s="9" t="s">
        <v>2946</v>
      </c>
      <c r="K219" t="s">
        <v>12459</v>
      </c>
      <c r="L219" t="s">
        <v>12460</v>
      </c>
      <c r="M219" s="3" t="str">
        <f>HYPERLINK(склад2въезд13[[#This Row],[RelativePath]])</f>
        <v>4 Крыльцо офиса\K07156189_21_20260221T083705Z.jpg</v>
      </c>
    </row>
    <row r="220" spans="1:13" x14ac:dyDescent="0.25">
      <c r="A220" s="2" t="s">
        <v>18</v>
      </c>
      <c r="B220" s="4">
        <v>46074</v>
      </c>
      <c r="C220" s="5">
        <v>0.36126157407407405</v>
      </c>
      <c r="D220" s="9" t="s">
        <v>62</v>
      </c>
      <c r="E220" s="9" t="s">
        <v>12626</v>
      </c>
      <c r="F220" s="9"/>
      <c r="H220" s="9"/>
      <c r="I220" s="9" t="s">
        <v>12461</v>
      </c>
      <c r="J220" s="9" t="s">
        <v>2946</v>
      </c>
      <c r="K220" t="s">
        <v>12462</v>
      </c>
      <c r="L220" t="s">
        <v>12463</v>
      </c>
      <c r="M220" s="3" t="str">
        <f>HYPERLINK(склад2въезд13[[#This Row],[RelativePath]])</f>
        <v>4 Крыльцо офиса\K07156189_21_20260221T084013Z.jpg</v>
      </c>
    </row>
    <row r="221" spans="1:13" x14ac:dyDescent="0.25">
      <c r="A221" s="2" t="s">
        <v>18</v>
      </c>
      <c r="B221" s="4">
        <v>46074</v>
      </c>
      <c r="C221" s="5">
        <v>0.38164351851851852</v>
      </c>
      <c r="D221" s="9" t="s">
        <v>1569</v>
      </c>
      <c r="E221" s="9" t="s">
        <v>12341</v>
      </c>
      <c r="F221" s="9"/>
      <c r="H221" s="9"/>
      <c r="I221" s="9" t="s">
        <v>12464</v>
      </c>
      <c r="J221" s="9" t="s">
        <v>2946</v>
      </c>
      <c r="K221" t="s">
        <v>12465</v>
      </c>
      <c r="L221" t="s">
        <v>12466</v>
      </c>
      <c r="M221" s="3" t="str">
        <f>HYPERLINK(склад2въезд13[[#This Row],[RelativePath]])</f>
        <v>4 Крыльцо офиса\K07156189_21_20260221T090934Z.jpg</v>
      </c>
    </row>
    <row r="222" spans="1:13" x14ac:dyDescent="0.25">
      <c r="A222" s="2" t="s">
        <v>18</v>
      </c>
      <c r="B222" s="4">
        <v>46074</v>
      </c>
      <c r="C222" s="5">
        <v>0.47270833333333334</v>
      </c>
      <c r="D222" s="9" t="s">
        <v>62</v>
      </c>
      <c r="E222" s="9" t="s">
        <v>12341</v>
      </c>
      <c r="F222" s="9"/>
      <c r="H222" s="9"/>
      <c r="I222" s="9" t="s">
        <v>12467</v>
      </c>
      <c r="J222" s="9" t="s">
        <v>2946</v>
      </c>
      <c r="K222" t="s">
        <v>12468</v>
      </c>
      <c r="L222" t="s">
        <v>12469</v>
      </c>
      <c r="M222" s="3" t="str">
        <f>HYPERLINK(склад2въезд13[[#This Row],[RelativePath]])</f>
        <v>4 Крыльцо офиса\K07156189_21_20260221T112042Z.jpg</v>
      </c>
    </row>
    <row r="223" spans="1:13" x14ac:dyDescent="0.25">
      <c r="A223" s="2" t="s">
        <v>18</v>
      </c>
      <c r="B223" s="4">
        <v>46074</v>
      </c>
      <c r="C223" s="5">
        <v>0.60416666666666663</v>
      </c>
      <c r="D223" s="9" t="s">
        <v>11807</v>
      </c>
      <c r="E223" s="9" t="s">
        <v>12627</v>
      </c>
      <c r="F223" s="9"/>
      <c r="H223" s="9"/>
      <c r="I223" s="9" t="s">
        <v>12470</v>
      </c>
      <c r="J223" s="9" t="s">
        <v>2946</v>
      </c>
      <c r="K223" t="s">
        <v>12471</v>
      </c>
      <c r="L223" t="s">
        <v>12472</v>
      </c>
      <c r="M223" s="3" t="str">
        <f>HYPERLINK(склад2въезд13[[#This Row],[RelativePath]])</f>
        <v>4 Крыльцо офиса\K07156189_21_20260221T143000Z.jpg</v>
      </c>
    </row>
    <row r="224" spans="1:13" x14ac:dyDescent="0.25">
      <c r="A224" s="2" t="s">
        <v>18</v>
      </c>
      <c r="B224" s="4">
        <v>46074</v>
      </c>
      <c r="C224" s="5">
        <v>0.62526620370370367</v>
      </c>
      <c r="D224" s="9" t="s">
        <v>62</v>
      </c>
      <c r="E224" s="9" t="s">
        <v>12627</v>
      </c>
      <c r="F224" s="9"/>
      <c r="H224" s="9"/>
      <c r="I224" s="9" t="s">
        <v>12473</v>
      </c>
      <c r="J224" s="9" t="s">
        <v>2946</v>
      </c>
      <c r="K224" t="s">
        <v>12474</v>
      </c>
      <c r="L224" t="s">
        <v>12475</v>
      </c>
      <c r="M224" s="3" t="str">
        <f>HYPERLINK(склад2въезд13[[#This Row],[RelativePath]])</f>
        <v>4 Крыльцо офиса\K07156189_21_20260221T150023Z.jpg</v>
      </c>
    </row>
    <row r="225" spans="1:13" x14ac:dyDescent="0.25">
      <c r="A225" s="2" t="s">
        <v>22</v>
      </c>
      <c r="B225" s="4">
        <v>46075</v>
      </c>
      <c r="C225" s="5">
        <v>0.57214120370370369</v>
      </c>
      <c r="D225" s="9" t="s">
        <v>4</v>
      </c>
      <c r="E225" s="9" t="s">
        <v>8</v>
      </c>
      <c r="F225" s="9"/>
      <c r="H225" s="9"/>
      <c r="I225" s="9" t="s">
        <v>12476</v>
      </c>
      <c r="J225" s="9" t="s">
        <v>2946</v>
      </c>
      <c r="K225" t="s">
        <v>12477</v>
      </c>
      <c r="L225" t="s">
        <v>12478</v>
      </c>
      <c r="M225" s="3" t="str">
        <f>HYPERLINK(склад2въезд13[[#This Row],[RelativePath]])</f>
        <v>4 Крыльцо офиса\K07156189_21_20260222T134353Z.jpg</v>
      </c>
    </row>
    <row r="226" spans="1:13" x14ac:dyDescent="0.25">
      <c r="A226" s="2" t="s">
        <v>22</v>
      </c>
      <c r="B226" s="4">
        <v>46075</v>
      </c>
      <c r="C226" s="5">
        <v>0.79046296296296292</v>
      </c>
      <c r="D226" s="9" t="s">
        <v>1967</v>
      </c>
      <c r="E226" s="9" t="s">
        <v>8</v>
      </c>
      <c r="F226" s="9"/>
      <c r="H226" s="9"/>
      <c r="I226" s="9" t="s">
        <v>12479</v>
      </c>
      <c r="J226" s="9" t="s">
        <v>2946</v>
      </c>
      <c r="K226" t="s">
        <v>12480</v>
      </c>
      <c r="L226" t="s">
        <v>12481</v>
      </c>
      <c r="M226" s="3" t="str">
        <f>HYPERLINK(склад2въезд13[[#This Row],[RelativePath]])</f>
        <v>4 Крыльцо офиса\K07156189_21_20260222T185816Z.jpg</v>
      </c>
    </row>
    <row r="227" spans="1:13" x14ac:dyDescent="0.25">
      <c r="A227" s="2" t="s">
        <v>13</v>
      </c>
      <c r="B227" s="4">
        <v>46076</v>
      </c>
      <c r="C227" s="5">
        <v>0.32671296296296298</v>
      </c>
      <c r="D227" s="9" t="s">
        <v>1569</v>
      </c>
      <c r="E227" s="9" t="s">
        <v>4132</v>
      </c>
      <c r="F227" s="9"/>
      <c r="H227" s="9"/>
      <c r="I227" s="9" t="s">
        <v>12628</v>
      </c>
      <c r="J227" s="9" t="s">
        <v>2946</v>
      </c>
      <c r="K227" t="s">
        <v>12629</v>
      </c>
      <c r="L227" t="s">
        <v>12630</v>
      </c>
      <c r="M227" s="3" t="str">
        <f>HYPERLINK(склад2въезд13[[#This Row],[RelativePath]])</f>
        <v>4 Крыльцо офиса\K07156189_21_20260223T075028Z.jpg</v>
      </c>
    </row>
    <row r="228" spans="1:13" x14ac:dyDescent="0.25">
      <c r="A228" s="2" t="s">
        <v>13</v>
      </c>
      <c r="B228" s="4">
        <v>46076</v>
      </c>
      <c r="C228" s="5">
        <v>0.33501157407407406</v>
      </c>
      <c r="D228" s="9" t="s">
        <v>11807</v>
      </c>
      <c r="E228" s="9" t="s">
        <v>12776</v>
      </c>
      <c r="F228" s="9" t="s">
        <v>51</v>
      </c>
      <c r="H228" s="9"/>
      <c r="I228" s="9" t="s">
        <v>12631</v>
      </c>
      <c r="J228" s="9" t="s">
        <v>2946</v>
      </c>
      <c r="K228" t="s">
        <v>12632</v>
      </c>
      <c r="L228" t="s">
        <v>12633</v>
      </c>
      <c r="M228" s="3" t="str">
        <f>HYPERLINK(склад2въезд13[[#This Row],[RelativePath]])</f>
        <v>4 Крыльцо офиса\K07156189_21_20260223T080225Z.jpg</v>
      </c>
    </row>
    <row r="229" spans="1:13" x14ac:dyDescent="0.25">
      <c r="A229" s="2" t="s">
        <v>13</v>
      </c>
      <c r="B229" s="4">
        <v>46076</v>
      </c>
      <c r="C229" s="5">
        <v>0.34920138888888891</v>
      </c>
      <c r="D229" s="9" t="s">
        <v>11807</v>
      </c>
      <c r="E229" s="9" t="s">
        <v>12777</v>
      </c>
      <c r="F229" s="9" t="s">
        <v>51</v>
      </c>
      <c r="H229" s="9"/>
      <c r="I229" s="9" t="s">
        <v>12634</v>
      </c>
      <c r="J229" s="9" t="s">
        <v>2946</v>
      </c>
      <c r="K229" t="s">
        <v>12635</v>
      </c>
      <c r="L229" t="s">
        <v>12636</v>
      </c>
      <c r="M229" s="3" t="str">
        <f>HYPERLINK(склад2въезд13[[#This Row],[RelativePath]])</f>
        <v>4 Крыльцо офиса\K07156189_21_20260223T082251Z.jpg</v>
      </c>
    </row>
    <row r="230" spans="1:13" x14ac:dyDescent="0.25">
      <c r="A230" s="2" t="s">
        <v>13</v>
      </c>
      <c r="B230" s="4">
        <v>46076</v>
      </c>
      <c r="C230" s="5">
        <v>0.42282407407407407</v>
      </c>
      <c r="D230" s="9" t="s">
        <v>62</v>
      </c>
      <c r="E230" s="9" t="s">
        <v>4132</v>
      </c>
      <c r="F230" s="9"/>
      <c r="H230" s="9"/>
      <c r="I230" s="9" t="s">
        <v>12637</v>
      </c>
      <c r="J230" s="9" t="s">
        <v>2946</v>
      </c>
      <c r="K230" t="s">
        <v>12638</v>
      </c>
      <c r="L230" t="s">
        <v>12639</v>
      </c>
      <c r="M230" s="3" t="str">
        <f>HYPERLINK(склад2въезд13[[#This Row],[RelativePath]])</f>
        <v>4 Крыльцо офиса\K07156189_21_20260223T100852Z.jpg</v>
      </c>
    </row>
    <row r="231" spans="1:13" x14ac:dyDescent="0.25">
      <c r="A231" s="2" t="s">
        <v>13</v>
      </c>
      <c r="B231" s="4">
        <v>46076</v>
      </c>
      <c r="C231" s="5">
        <v>0.42350694444444442</v>
      </c>
      <c r="D231" s="9" t="s">
        <v>62</v>
      </c>
      <c r="E231" s="9" t="s">
        <v>12777</v>
      </c>
      <c r="F231" s="9" t="s">
        <v>621</v>
      </c>
      <c r="H231" s="9"/>
      <c r="I231" s="9" t="s">
        <v>12640</v>
      </c>
      <c r="J231" s="9" t="s">
        <v>2946</v>
      </c>
      <c r="K231" t="s">
        <v>12641</v>
      </c>
      <c r="L231" t="s">
        <v>12642</v>
      </c>
      <c r="M231" s="3" t="str">
        <f>HYPERLINK(склад2въезд13[[#This Row],[RelativePath]])</f>
        <v>4 Крыльцо офиса\K07156189_21_20260223T100951Z.jpg</v>
      </c>
    </row>
    <row r="232" spans="1:13" x14ac:dyDescent="0.25">
      <c r="A232" s="2" t="s">
        <v>13</v>
      </c>
      <c r="B232" s="4">
        <v>46076</v>
      </c>
      <c r="C232" s="5">
        <v>0.44133101851851853</v>
      </c>
      <c r="D232" s="9" t="s">
        <v>62</v>
      </c>
      <c r="E232" s="9" t="s">
        <v>12776</v>
      </c>
      <c r="F232" s="9" t="s">
        <v>621</v>
      </c>
      <c r="H232" s="9"/>
      <c r="I232" s="9" t="s">
        <v>12643</v>
      </c>
      <c r="J232" s="9" t="s">
        <v>2946</v>
      </c>
      <c r="K232" t="s">
        <v>12644</v>
      </c>
      <c r="L232" t="s">
        <v>12645</v>
      </c>
      <c r="M232" s="3" t="str">
        <f>HYPERLINK(склад2въезд13[[#This Row],[RelativePath]])</f>
        <v>4 Крыльцо офиса\K07156189_21_20260223T103531Z.jpg</v>
      </c>
    </row>
    <row r="233" spans="1:13" x14ac:dyDescent="0.25">
      <c r="A233" s="2" t="s">
        <v>14</v>
      </c>
      <c r="B233" s="4">
        <v>46077</v>
      </c>
      <c r="C233" s="5">
        <v>0.41545138888888888</v>
      </c>
      <c r="D233" s="9"/>
      <c r="E233" s="9"/>
      <c r="F233" s="9"/>
      <c r="H233" s="9"/>
      <c r="I233" s="9" t="s">
        <v>12840</v>
      </c>
      <c r="J233" s="9" t="s">
        <v>6229</v>
      </c>
      <c r="K233" t="s">
        <v>12841</v>
      </c>
      <c r="L233" t="s">
        <v>12842</v>
      </c>
      <c r="M233" s="3" t="str">
        <f>HYPERLINK(склад2въезд13[[#This Row],[RelativePath]])</f>
        <v>4 Крыльцо офиса\K07156189_21_20260224T095815Z.jpg</v>
      </c>
    </row>
    <row r="234" spans="1:13" x14ac:dyDescent="0.25">
      <c r="A234" s="2" t="s">
        <v>14</v>
      </c>
      <c r="B234" s="4">
        <v>46077</v>
      </c>
      <c r="C234" s="5">
        <v>0.42163194444444446</v>
      </c>
      <c r="D234" s="9"/>
      <c r="E234" s="9"/>
      <c r="F234" s="9"/>
      <c r="H234" s="9"/>
      <c r="I234" s="9" t="s">
        <v>12843</v>
      </c>
      <c r="J234" s="9" t="s">
        <v>6229</v>
      </c>
      <c r="K234" t="s">
        <v>12844</v>
      </c>
      <c r="L234" t="s">
        <v>12845</v>
      </c>
      <c r="M234" s="3" t="str">
        <f>HYPERLINK(склад2въезд13[[#This Row],[RelativePath]])</f>
        <v>4 Крыльцо офиса\K07156189_21_20260224T100709Z.jpg</v>
      </c>
    </row>
    <row r="235" spans="1:13" x14ac:dyDescent="0.25">
      <c r="A235" s="2" t="s">
        <v>14</v>
      </c>
      <c r="B235" s="4">
        <v>46077</v>
      </c>
      <c r="C235" s="5">
        <v>0.92488425925925921</v>
      </c>
      <c r="D235" s="9"/>
      <c r="E235" s="9"/>
      <c r="F235" s="9"/>
      <c r="H235" s="9"/>
      <c r="I235" s="9" t="s">
        <v>12846</v>
      </c>
      <c r="J235" s="9" t="s">
        <v>6229</v>
      </c>
      <c r="K235" t="s">
        <v>12847</v>
      </c>
      <c r="L235" t="s">
        <v>12848</v>
      </c>
      <c r="M235" s="3" t="str">
        <f>HYPERLINK(склад2въезд13[[#This Row],[RelativePath]])</f>
        <v>4 Крыльцо офиса\K07156189_21_20260224T221150Z.jpg</v>
      </c>
    </row>
    <row r="236" spans="1:13" x14ac:dyDescent="0.25">
      <c r="A236" s="2" t="s">
        <v>15</v>
      </c>
      <c r="B236" s="4">
        <v>46078</v>
      </c>
      <c r="C236" s="5">
        <v>0.33331018518518518</v>
      </c>
      <c r="D236" s="9"/>
      <c r="E236" s="9"/>
      <c r="F236" s="9"/>
      <c r="H236" s="9"/>
      <c r="I236" s="9" t="s">
        <v>12849</v>
      </c>
      <c r="J236" s="9" t="s">
        <v>6229</v>
      </c>
      <c r="K236" t="s">
        <v>12850</v>
      </c>
      <c r="L236" t="s">
        <v>12851</v>
      </c>
      <c r="M236" s="3" t="str">
        <f>HYPERLINK(склад2въезд13[[#This Row],[RelativePath]])</f>
        <v>4 Крыльцо офиса\K07156189_21_20260225T075958Z.jpg</v>
      </c>
    </row>
    <row r="237" spans="1:13" x14ac:dyDescent="0.25">
      <c r="A237" s="2" t="s">
        <v>15</v>
      </c>
      <c r="B237" s="4">
        <v>46078</v>
      </c>
      <c r="C237" s="5">
        <v>0.35576388888888888</v>
      </c>
      <c r="D237" s="9"/>
      <c r="E237" s="9"/>
      <c r="F237" s="9"/>
      <c r="H237" s="9"/>
      <c r="I237" s="9" t="s">
        <v>12852</v>
      </c>
      <c r="J237" s="9" t="s">
        <v>6229</v>
      </c>
      <c r="K237" t="s">
        <v>12853</v>
      </c>
      <c r="L237" t="s">
        <v>12854</v>
      </c>
      <c r="M237" s="3" t="str">
        <f>HYPERLINK(склад2въезд13[[#This Row],[RelativePath]])</f>
        <v>4 Крыльцо офиса\K07156189_21_20260225T083218Z.jpg</v>
      </c>
    </row>
    <row r="238" spans="1:13" x14ac:dyDescent="0.25">
      <c r="A238" s="2" t="s">
        <v>15</v>
      </c>
      <c r="B238" s="4">
        <v>46078</v>
      </c>
      <c r="C238" s="5">
        <v>0.35974537037037035</v>
      </c>
      <c r="D238" s="9"/>
      <c r="E238" s="9"/>
      <c r="F238" s="9"/>
      <c r="H238" s="9"/>
      <c r="I238" s="9" t="s">
        <v>12855</v>
      </c>
      <c r="J238" s="9" t="s">
        <v>6229</v>
      </c>
      <c r="K238" t="s">
        <v>12856</v>
      </c>
      <c r="L238" t="s">
        <v>12857</v>
      </c>
      <c r="M238" s="3" t="str">
        <f>HYPERLINK(склад2въезд13[[#This Row],[RelativePath]])</f>
        <v>4 Крыльцо офиса\K07156189_21_20260225T083802Z.jpg</v>
      </c>
    </row>
    <row r="239" spans="1:13" x14ac:dyDescent="0.25">
      <c r="A239" s="2" t="s">
        <v>15</v>
      </c>
      <c r="B239" s="4">
        <v>46078</v>
      </c>
      <c r="C239" s="5">
        <v>0.36366898148148147</v>
      </c>
      <c r="D239" s="9"/>
      <c r="E239" s="9"/>
      <c r="F239" s="9"/>
      <c r="H239" s="9"/>
      <c r="I239" s="9" t="s">
        <v>12858</v>
      </c>
      <c r="J239" s="9" t="s">
        <v>6229</v>
      </c>
      <c r="K239" t="s">
        <v>12859</v>
      </c>
      <c r="L239" t="s">
        <v>12860</v>
      </c>
      <c r="M239" s="3" t="str">
        <f>HYPERLINK(склад2въезд13[[#This Row],[RelativePath]])</f>
        <v>4 Крыльцо офиса\K07156189_21_20260225T084341Z.jpg</v>
      </c>
    </row>
    <row r="240" spans="1:13" x14ac:dyDescent="0.25">
      <c r="A240" s="2" t="s">
        <v>15</v>
      </c>
      <c r="B240" s="4">
        <v>46078</v>
      </c>
      <c r="C240" s="5">
        <v>0.3664351851851852</v>
      </c>
      <c r="D240" s="9"/>
      <c r="E240" s="9"/>
      <c r="F240" s="9"/>
      <c r="H240" s="9"/>
      <c r="I240" s="9" t="s">
        <v>12861</v>
      </c>
      <c r="J240" s="9" t="s">
        <v>6229</v>
      </c>
      <c r="K240" t="s">
        <v>12862</v>
      </c>
      <c r="L240" t="s">
        <v>12863</v>
      </c>
      <c r="M240" s="3" t="str">
        <f>HYPERLINK(склад2въезд13[[#This Row],[RelativePath]])</f>
        <v>4 Крыльцо офиса\K07156189_21_20260225T084740Z.jpg</v>
      </c>
    </row>
    <row r="241" spans="1:13" x14ac:dyDescent="0.25">
      <c r="A241" s="2" t="s">
        <v>15</v>
      </c>
      <c r="B241" s="4">
        <v>46078</v>
      </c>
      <c r="C241" s="5">
        <v>0.36961805555555555</v>
      </c>
      <c r="D241" s="9"/>
      <c r="E241" s="9"/>
      <c r="F241" s="9"/>
      <c r="H241" s="9"/>
      <c r="I241" s="9" t="s">
        <v>12864</v>
      </c>
      <c r="J241" s="9" t="s">
        <v>6229</v>
      </c>
      <c r="K241" t="s">
        <v>12865</v>
      </c>
      <c r="L241" t="s">
        <v>12866</v>
      </c>
      <c r="M241" s="3" t="str">
        <f>HYPERLINK(склад2въезд13[[#This Row],[RelativePath]])</f>
        <v>4 Крыльцо офиса\K07156189_21_20260225T085215Z.jpg</v>
      </c>
    </row>
    <row r="242" spans="1:13" x14ac:dyDescent="0.25">
      <c r="A242" s="2" t="s">
        <v>15</v>
      </c>
      <c r="B242" s="4">
        <v>46078</v>
      </c>
      <c r="C242" s="5">
        <v>0.37083333333333335</v>
      </c>
      <c r="D242" s="9"/>
      <c r="E242" s="9"/>
      <c r="F242" s="9"/>
      <c r="H242" s="9"/>
      <c r="I242" s="9" t="s">
        <v>12867</v>
      </c>
      <c r="J242" s="9" t="s">
        <v>6229</v>
      </c>
      <c r="K242" t="s">
        <v>12868</v>
      </c>
      <c r="L242" t="s">
        <v>12869</v>
      </c>
      <c r="M242" s="3" t="str">
        <f>HYPERLINK(склад2въезд13[[#This Row],[RelativePath]])</f>
        <v>4 Крыльцо офиса\K07156189_21_20260225T085400Z.jpg</v>
      </c>
    </row>
    <row r="243" spans="1:13" x14ac:dyDescent="0.25">
      <c r="A243" s="2" t="s">
        <v>15</v>
      </c>
      <c r="B243" s="4">
        <v>46078</v>
      </c>
      <c r="C243" s="5">
        <v>0.37346064814814817</v>
      </c>
      <c r="D243" s="9"/>
      <c r="E243" s="9"/>
      <c r="F243" s="9"/>
      <c r="H243" s="9"/>
      <c r="I243" s="9" t="s">
        <v>12870</v>
      </c>
      <c r="J243" s="9" t="s">
        <v>6229</v>
      </c>
      <c r="K243" t="s">
        <v>12871</v>
      </c>
      <c r="L243" t="s">
        <v>12872</v>
      </c>
      <c r="M243" s="3" t="str">
        <f>HYPERLINK(склад2въезд13[[#This Row],[RelativePath]])</f>
        <v>4 Крыльцо офиса\K07156189_21_20260225T085747Z.jpg</v>
      </c>
    </row>
    <row r="244" spans="1:13" x14ac:dyDescent="0.25">
      <c r="A244" s="2" t="s">
        <v>15</v>
      </c>
      <c r="B244" s="4">
        <v>46078</v>
      </c>
      <c r="C244" s="5">
        <v>0.37591435185185185</v>
      </c>
      <c r="D244" s="9"/>
      <c r="E244" s="9"/>
      <c r="F244" s="9"/>
      <c r="H244" s="9"/>
      <c r="I244" s="9" t="s">
        <v>12873</v>
      </c>
      <c r="J244" s="9" t="s">
        <v>6229</v>
      </c>
      <c r="K244" t="s">
        <v>12874</v>
      </c>
      <c r="L244" t="s">
        <v>12875</v>
      </c>
      <c r="M244" s="3" t="str">
        <f>HYPERLINK(склад2въезд13[[#This Row],[RelativePath]])</f>
        <v>4 Крыльцо офиса\K07156189_21_20260225T090119Z.jpg</v>
      </c>
    </row>
    <row r="245" spans="1:13" x14ac:dyDescent="0.25">
      <c r="A245" s="2" t="s">
        <v>15</v>
      </c>
      <c r="B245" s="4">
        <v>46078</v>
      </c>
      <c r="C245" s="5">
        <v>0.37873842592592594</v>
      </c>
      <c r="D245" s="9"/>
      <c r="E245" s="9"/>
      <c r="F245" s="9"/>
      <c r="H245" s="9"/>
      <c r="I245" s="9" t="s">
        <v>12876</v>
      </c>
      <c r="J245" s="9" t="s">
        <v>6229</v>
      </c>
      <c r="K245" t="s">
        <v>12877</v>
      </c>
      <c r="L245" t="s">
        <v>12878</v>
      </c>
      <c r="M245" s="3" t="str">
        <f>HYPERLINK(склад2въезд13[[#This Row],[RelativePath]])</f>
        <v>4 Крыльцо офиса\K07156189_21_20260225T090523Z.jpg</v>
      </c>
    </row>
    <row r="246" spans="1:13" x14ac:dyDescent="0.25">
      <c r="A246" s="2" t="s">
        <v>15</v>
      </c>
      <c r="B246" s="4">
        <v>46078</v>
      </c>
      <c r="C246" s="5">
        <v>0.38134259259259257</v>
      </c>
      <c r="D246" s="9"/>
      <c r="E246" s="9"/>
      <c r="F246" s="9"/>
      <c r="H246" s="9"/>
      <c r="I246" s="9" t="s">
        <v>12879</v>
      </c>
      <c r="J246" s="9" t="s">
        <v>6229</v>
      </c>
      <c r="K246" t="s">
        <v>12880</v>
      </c>
      <c r="L246" t="s">
        <v>12881</v>
      </c>
      <c r="M246" s="3" t="str">
        <f>HYPERLINK(склад2въезд13[[#This Row],[RelativePath]])</f>
        <v>4 Крыльцо офиса\K07156189_21_20260225T090908Z.jpg</v>
      </c>
    </row>
    <row r="247" spans="1:13" x14ac:dyDescent="0.25">
      <c r="A247" s="2" t="s">
        <v>15</v>
      </c>
      <c r="B247" s="4">
        <v>46078</v>
      </c>
      <c r="C247" s="5">
        <v>0.38405092592592593</v>
      </c>
      <c r="D247" s="9"/>
      <c r="E247" s="9"/>
      <c r="F247" s="9"/>
      <c r="H247" s="9"/>
      <c r="I247" s="9" t="s">
        <v>12882</v>
      </c>
      <c r="J247" s="9" t="s">
        <v>6229</v>
      </c>
      <c r="K247" t="s">
        <v>12883</v>
      </c>
      <c r="L247" t="s">
        <v>12884</v>
      </c>
      <c r="M247" s="3" t="str">
        <f>HYPERLINK(склад2въезд13[[#This Row],[RelativePath]])</f>
        <v>4 Крыльцо офиса\K07156189_21_20260225T091302Z.jpg</v>
      </c>
    </row>
    <row r="248" spans="1:13" x14ac:dyDescent="0.25">
      <c r="A248" s="2" t="s">
        <v>15</v>
      </c>
      <c r="B248" s="4">
        <v>46078</v>
      </c>
      <c r="C248" s="5">
        <v>0.38704861111111111</v>
      </c>
      <c r="D248" s="9"/>
      <c r="E248" s="9"/>
      <c r="F248" s="9"/>
      <c r="H248" s="9"/>
      <c r="I248" s="9" t="s">
        <v>12885</v>
      </c>
      <c r="J248" s="9" t="s">
        <v>6229</v>
      </c>
      <c r="K248" t="s">
        <v>12886</v>
      </c>
      <c r="L248" t="s">
        <v>12887</v>
      </c>
      <c r="M248" s="3" t="str">
        <f>HYPERLINK(склад2въезд13[[#This Row],[RelativePath]])</f>
        <v>4 Крыльцо офиса\K07156189_21_20260225T091721Z.jpg</v>
      </c>
    </row>
    <row r="249" spans="1:13" x14ac:dyDescent="0.25">
      <c r="A249" s="2" t="s">
        <v>15</v>
      </c>
      <c r="B249" s="4">
        <v>46078</v>
      </c>
      <c r="C249" s="5">
        <v>0.38915509259259257</v>
      </c>
      <c r="D249" s="9"/>
      <c r="E249" s="9"/>
      <c r="F249" s="9"/>
      <c r="H249" s="9"/>
      <c r="I249" s="9" t="s">
        <v>12888</v>
      </c>
      <c r="J249" s="9" t="s">
        <v>6229</v>
      </c>
      <c r="K249" t="s">
        <v>12889</v>
      </c>
      <c r="L249" t="s">
        <v>12890</v>
      </c>
      <c r="M249" s="3" t="str">
        <f>HYPERLINK(склад2въезд13[[#This Row],[RelativePath]])</f>
        <v>4 Крыльцо офиса\K07156189_21_20260225T092023Z.jpg</v>
      </c>
    </row>
    <row r="250" spans="1:13" x14ac:dyDescent="0.25">
      <c r="A250" s="2" t="s">
        <v>15</v>
      </c>
      <c r="B250" s="4">
        <v>46078</v>
      </c>
      <c r="C250" s="5">
        <v>0.39136574074074076</v>
      </c>
      <c r="D250" s="9"/>
      <c r="E250" s="9"/>
      <c r="F250" s="9"/>
      <c r="H250" s="9"/>
      <c r="I250" s="9" t="s">
        <v>12891</v>
      </c>
      <c r="J250" s="9" t="s">
        <v>6229</v>
      </c>
      <c r="K250" t="s">
        <v>12892</v>
      </c>
      <c r="L250" t="s">
        <v>12893</v>
      </c>
      <c r="M250" s="3" t="str">
        <f>HYPERLINK(склад2въезд13[[#This Row],[RelativePath]])</f>
        <v>4 Крыльцо офиса\K07156189_21_20260225T092334Z.jpg</v>
      </c>
    </row>
    <row r="251" spans="1:13" x14ac:dyDescent="0.25">
      <c r="A251" s="2" t="s">
        <v>15</v>
      </c>
      <c r="B251" s="4">
        <v>46078</v>
      </c>
      <c r="C251" s="5">
        <v>0.39361111111111113</v>
      </c>
      <c r="D251" s="9"/>
      <c r="E251" s="9"/>
      <c r="F251" s="9"/>
      <c r="H251" s="9"/>
      <c r="I251" s="9" t="s">
        <v>12894</v>
      </c>
      <c r="J251" s="9" t="s">
        <v>6229</v>
      </c>
      <c r="K251" t="s">
        <v>12895</v>
      </c>
      <c r="L251" t="s">
        <v>12896</v>
      </c>
      <c r="M251" s="3" t="str">
        <f>HYPERLINK(склад2въезд13[[#This Row],[RelativePath]])</f>
        <v>4 Крыльцо офиса\K07156189_21_20260225T092648Z.jpg</v>
      </c>
    </row>
    <row r="252" spans="1:13" x14ac:dyDescent="0.25">
      <c r="A252" s="2" t="s">
        <v>15</v>
      </c>
      <c r="B252" s="4">
        <v>46078</v>
      </c>
      <c r="C252" s="5">
        <v>0.39594907407407409</v>
      </c>
      <c r="D252" s="9"/>
      <c r="E252" s="9"/>
      <c r="F252" s="9"/>
      <c r="H252" s="9"/>
      <c r="I252" s="9" t="s">
        <v>12897</v>
      </c>
      <c r="J252" s="9" t="s">
        <v>6229</v>
      </c>
      <c r="K252" t="s">
        <v>12898</v>
      </c>
      <c r="L252" t="s">
        <v>12899</v>
      </c>
      <c r="M252" s="3" t="str">
        <f>HYPERLINK(склад2въезд13[[#This Row],[RelativePath]])</f>
        <v>4 Крыльцо офиса\K07156189_21_20260225T093010Z.jpg</v>
      </c>
    </row>
    <row r="253" spans="1:13" x14ac:dyDescent="0.25">
      <c r="A253" s="2" t="s">
        <v>15</v>
      </c>
      <c r="B253" s="4">
        <v>46078</v>
      </c>
      <c r="C253" s="5">
        <v>0.39846064814814813</v>
      </c>
      <c r="D253" s="9"/>
      <c r="E253" s="9"/>
      <c r="F253" s="9"/>
      <c r="H253" s="9"/>
      <c r="I253" s="9" t="s">
        <v>12900</v>
      </c>
      <c r="J253" s="9" t="s">
        <v>6229</v>
      </c>
      <c r="K253" t="s">
        <v>12901</v>
      </c>
      <c r="L253" t="s">
        <v>12902</v>
      </c>
      <c r="M253" s="3" t="str">
        <f>HYPERLINK(склад2въезд13[[#This Row],[RelativePath]])</f>
        <v>4 Крыльцо офиса\K07156189_21_20260225T093347Z.jpg</v>
      </c>
    </row>
    <row r="254" spans="1:13" x14ac:dyDescent="0.25">
      <c r="A254" s="2" t="s">
        <v>15</v>
      </c>
      <c r="B254" s="4">
        <v>46078</v>
      </c>
      <c r="C254" s="5">
        <v>0.40065972222222224</v>
      </c>
      <c r="D254" s="9"/>
      <c r="E254" s="9"/>
      <c r="F254" s="9"/>
      <c r="H254" s="9"/>
      <c r="I254" s="9" t="s">
        <v>12903</v>
      </c>
      <c r="J254" s="9" t="s">
        <v>6229</v>
      </c>
      <c r="K254" t="s">
        <v>12904</v>
      </c>
      <c r="L254" t="s">
        <v>12905</v>
      </c>
      <c r="M254" s="3" t="str">
        <f>HYPERLINK(склад2въезд13[[#This Row],[RelativePath]])</f>
        <v>4 Крыльцо офиса\K07156189_21_20260225T093657Z.jpg</v>
      </c>
    </row>
    <row r="255" spans="1:13" x14ac:dyDescent="0.25">
      <c r="A255" s="2" t="s">
        <v>15</v>
      </c>
      <c r="B255" s="4">
        <v>46078</v>
      </c>
      <c r="C255" s="5">
        <v>0.40434027777777776</v>
      </c>
      <c r="D255" s="9"/>
      <c r="E255" s="9"/>
      <c r="F255" s="9"/>
      <c r="H255" s="9"/>
      <c r="I255" s="9" t="s">
        <v>12906</v>
      </c>
      <c r="J255" s="9" t="s">
        <v>6229</v>
      </c>
      <c r="K255" t="s">
        <v>12907</v>
      </c>
      <c r="L255" t="s">
        <v>12908</v>
      </c>
      <c r="M255" s="3" t="str">
        <f>HYPERLINK(склад2въезд13[[#This Row],[RelativePath]])</f>
        <v>4 Крыльцо офиса\K07156189_21_20260225T094215Z.jpg</v>
      </c>
    </row>
    <row r="256" spans="1:13" x14ac:dyDescent="0.25">
      <c r="A256" s="2" t="s">
        <v>15</v>
      </c>
      <c r="B256" s="4">
        <v>46078</v>
      </c>
      <c r="C256" s="5">
        <v>0.40739583333333335</v>
      </c>
      <c r="D256" s="9"/>
      <c r="E256" s="9"/>
      <c r="F256" s="9"/>
      <c r="H256" s="9"/>
      <c r="I256" s="9" t="s">
        <v>12909</v>
      </c>
      <c r="J256" s="9" t="s">
        <v>6229</v>
      </c>
      <c r="K256" t="s">
        <v>12910</v>
      </c>
      <c r="L256" t="s">
        <v>12911</v>
      </c>
      <c r="M256" s="3" t="str">
        <f>HYPERLINK(склад2въезд13[[#This Row],[RelativePath]])</f>
        <v>4 Крыльцо офиса\K07156189_21_20260225T094639Z.jpg</v>
      </c>
    </row>
    <row r="257" spans="1:13" x14ac:dyDescent="0.25">
      <c r="A257" s="2" t="s">
        <v>15</v>
      </c>
      <c r="B257" s="4">
        <v>46078</v>
      </c>
      <c r="C257" s="5">
        <v>0.41040509259259261</v>
      </c>
      <c r="D257" s="9"/>
      <c r="E257" s="9"/>
      <c r="F257" s="9"/>
      <c r="H257" s="9"/>
      <c r="I257" s="9" t="s">
        <v>12912</v>
      </c>
      <c r="J257" s="9" t="s">
        <v>6229</v>
      </c>
      <c r="K257" t="s">
        <v>12913</v>
      </c>
      <c r="L257" t="s">
        <v>12914</v>
      </c>
      <c r="M257" s="3" t="str">
        <f>HYPERLINK(склад2въезд13[[#This Row],[RelativePath]])</f>
        <v>4 Крыльцо офиса\K07156189_21_20260225T095059Z.jpg</v>
      </c>
    </row>
    <row r="258" spans="1:13" x14ac:dyDescent="0.25">
      <c r="A258" s="2" t="s">
        <v>15</v>
      </c>
      <c r="B258" s="4">
        <v>46078</v>
      </c>
      <c r="C258" s="5">
        <v>0.41878472222222224</v>
      </c>
      <c r="D258" s="9"/>
      <c r="E258" s="9"/>
      <c r="F258" s="9"/>
      <c r="H258" s="9"/>
      <c r="I258" s="9" t="s">
        <v>12915</v>
      </c>
      <c r="J258" s="9" t="s">
        <v>6229</v>
      </c>
      <c r="K258" t="s">
        <v>12916</v>
      </c>
      <c r="L258" t="s">
        <v>12917</v>
      </c>
      <c r="M258" s="3" t="str">
        <f>HYPERLINK(склад2въезд13[[#This Row],[RelativePath]])</f>
        <v>4 Крыльцо офиса\K07156189_21_20260225T100303Z.jpg</v>
      </c>
    </row>
    <row r="259" spans="1:13" x14ac:dyDescent="0.25">
      <c r="A259" s="2" t="s">
        <v>15</v>
      </c>
      <c r="B259" s="4">
        <v>46078</v>
      </c>
      <c r="C259" s="5">
        <v>0.4203587962962963</v>
      </c>
      <c r="D259" s="9"/>
      <c r="E259" s="9"/>
      <c r="F259" s="9"/>
      <c r="H259" s="9"/>
      <c r="I259" s="9" t="s">
        <v>12918</v>
      </c>
      <c r="J259" s="9" t="s">
        <v>6229</v>
      </c>
      <c r="K259" t="s">
        <v>12919</v>
      </c>
      <c r="L259" t="s">
        <v>12920</v>
      </c>
      <c r="M259" s="3" t="str">
        <f>HYPERLINK(склад2въезд13[[#This Row],[RelativePath]])</f>
        <v>4 Крыльцо офиса\K07156189_21_20260225T100519Z.jpg</v>
      </c>
    </row>
    <row r="260" spans="1:13" x14ac:dyDescent="0.25">
      <c r="A260" s="2" t="s">
        <v>15</v>
      </c>
      <c r="B260" s="4">
        <v>46078</v>
      </c>
      <c r="C260" s="5">
        <v>0.42670138888888887</v>
      </c>
      <c r="D260" s="9"/>
      <c r="E260" s="9"/>
      <c r="F260" s="9"/>
      <c r="H260" s="9"/>
      <c r="I260" s="9" t="s">
        <v>12921</v>
      </c>
      <c r="J260" s="9" t="s">
        <v>6229</v>
      </c>
      <c r="K260" t="s">
        <v>12922</v>
      </c>
      <c r="L260" t="s">
        <v>12923</v>
      </c>
      <c r="M260" s="3" t="str">
        <f>HYPERLINK(склад2въезд13[[#This Row],[RelativePath]])</f>
        <v>4 Крыльцо офиса\K07156189_21_20260225T101427Z.jpg</v>
      </c>
    </row>
    <row r="261" spans="1:13" x14ac:dyDescent="0.25">
      <c r="A261" s="2" t="s">
        <v>15</v>
      </c>
      <c r="B261" s="4">
        <v>46078</v>
      </c>
      <c r="C261" s="5">
        <v>0.48478009259259258</v>
      </c>
      <c r="D261" s="9"/>
      <c r="E261" s="9"/>
      <c r="F261" s="9"/>
      <c r="H261" s="9"/>
      <c r="I261" s="9" t="s">
        <v>12924</v>
      </c>
      <c r="J261" s="9" t="s">
        <v>6229</v>
      </c>
      <c r="K261" t="s">
        <v>12925</v>
      </c>
      <c r="L261" t="s">
        <v>12926</v>
      </c>
      <c r="M261" s="3" t="str">
        <f>HYPERLINK(склад2въезд13[[#This Row],[RelativePath]])</f>
        <v>4 Крыльцо офиса\K07156189_21_20260225T113805Z.jpg</v>
      </c>
    </row>
    <row r="262" spans="1:13" x14ac:dyDescent="0.25">
      <c r="A262" s="2" t="s">
        <v>15</v>
      </c>
      <c r="B262" s="4">
        <v>46078</v>
      </c>
      <c r="C262" s="5">
        <v>0.74349537037037039</v>
      </c>
      <c r="D262" s="9"/>
      <c r="E262" s="9"/>
      <c r="F262" s="9"/>
      <c r="H262" s="9"/>
      <c r="I262" s="9" t="s">
        <v>12927</v>
      </c>
      <c r="J262" s="9" t="s">
        <v>6229</v>
      </c>
      <c r="K262" t="s">
        <v>12928</v>
      </c>
      <c r="L262" t="s">
        <v>12929</v>
      </c>
      <c r="M262" s="3" t="str">
        <f>HYPERLINK(склад2въезд13[[#This Row],[RelativePath]])</f>
        <v>4 Крыльцо офиса\K07156189_21_20260225T175038Z.jpg</v>
      </c>
    </row>
  </sheetData>
  <conditionalFormatting sqref="D263:D273 E263:E276 G2:H262 D2:E262">
    <cfRule type="containsText" dxfId="361" priority="14" operator="containsText" text="Выезд с территории">
      <formula>NOT(ISERROR(SEARCH("Выезд с территории",D2)))</formula>
    </cfRule>
  </conditionalFormatting>
  <conditionalFormatting sqref="F2:F262">
    <cfRule type="notContainsText" dxfId="360" priority="13" operator="notContains" text="порожний">
      <formula>ISERROR(SEARCH("порожний",F2))</formula>
    </cfRule>
  </conditionalFormatting>
  <conditionalFormatting sqref="E2:E276">
    <cfRule type="containsText" dxfId="359" priority="11" operator="containsText" text="Газель базы">
      <formula>NOT(ISERROR(SEARCH("Газель базы",E2)))</formula>
    </cfRule>
    <cfRule type="containsText" dxfId="358" priority="12" operator="containsText" text="Погрузчик базы">
      <formula>NOT(ISERROR(SEARCH("Погрузчик базы",E2)))</formula>
    </cfRule>
  </conditionalFormatting>
  <conditionalFormatting sqref="E2:E276">
    <cfRule type="containsText" dxfId="357" priority="10" operator="containsText" text="Трактор базы">
      <formula>NOT(ISERROR(SEARCH("Трактор базы",E2)))</formula>
    </cfRule>
  </conditionalFormatting>
  <conditionalFormatting sqref="A2:C262">
    <cfRule type="expression" dxfId="356" priority="9">
      <formula>$A2="пн"</formula>
    </cfRule>
  </conditionalFormatting>
  <conditionalFormatting sqref="A2:C264">
    <cfRule type="expression" dxfId="355" priority="3">
      <formula>$A2="вс"</formula>
    </cfRule>
    <cfRule type="expression" dxfId="354" priority="4">
      <formula>$A2="сб"</formula>
    </cfRule>
    <cfRule type="expression" dxfId="353" priority="5">
      <formula>$A2="пт"</formula>
    </cfRule>
    <cfRule type="expression" dxfId="352" priority="6">
      <formula>$A2="чт"</formula>
    </cfRule>
    <cfRule type="expression" dxfId="351" priority="7">
      <formula>$A2="ср"</formula>
    </cfRule>
    <cfRule type="expression" dxfId="350" priority="8">
      <formula>$A2="вт"</formula>
    </cfRule>
  </conditionalFormatting>
  <conditionalFormatting sqref="D2:D273">
    <cfRule type="containsText" dxfId="349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73">
    <cfRule type="containsText" dxfId="348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3DA-EBB0-4A14-838E-62012ADEA242}">
  <sheetPr>
    <tabColor theme="7" tint="0.39997558519241921"/>
  </sheetPr>
  <dimension ref="A1:M360"/>
  <sheetViews>
    <sheetView topLeftCell="B1" zoomScale="90" zoomScaleNormal="90" workbookViewId="0">
      <pane ySplit="1" topLeftCell="A340" activePane="bottomLeft" state="frozen"/>
      <selection pane="bottomLeft" activeCell="E350" sqref="E35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5.140625" bestFit="1" customWidth="1"/>
    <col min="5" max="5" width="60.140625" bestFit="1" customWidth="1"/>
    <col min="6" max="6" width="20.42578125" bestFit="1" customWidth="1"/>
    <col min="7" max="7" width="7.28515625" bestFit="1" customWidth="1"/>
    <col min="8" max="8" width="51.5703125" bestFit="1" customWidth="1"/>
    <col min="9" max="9" width="36.7109375" bestFit="1" customWidth="1"/>
    <col min="10" max="10" width="42.42578125" hidden="1" customWidth="1"/>
    <col min="11" max="11" width="54.85546875" hidden="1" customWidth="1"/>
    <col min="12" max="12" width="24.5703125" hidden="1" customWidth="1"/>
    <col min="13" max="13" width="54.855468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0.34177083333333336</v>
      </c>
      <c r="D2" s="9" t="s">
        <v>4</v>
      </c>
      <c r="E2" s="9" t="s">
        <v>8</v>
      </c>
      <c r="F2" s="9"/>
      <c r="H2" s="9" t="s">
        <v>5</v>
      </c>
      <c r="I2" s="9" t="s">
        <v>305</v>
      </c>
      <c r="J2" s="9" t="s">
        <v>2937</v>
      </c>
      <c r="K2" t="s">
        <v>307</v>
      </c>
      <c r="L2" t="s">
        <v>308</v>
      </c>
      <c r="M2" s="3" t="str">
        <f>HYPERLINK(склад2въезд1319[[#This Row],[RelativePath]])</f>
        <v>5 Крыльцо общага\K07156189_22_20251110T081209Z.jpg</v>
      </c>
    </row>
    <row r="3" spans="1:13" x14ac:dyDescent="0.25">
      <c r="A3" s="2" t="s">
        <v>13</v>
      </c>
      <c r="B3" s="4">
        <v>45971</v>
      </c>
      <c r="C3" s="5">
        <v>0.45474537037037038</v>
      </c>
      <c r="D3" s="9" t="s">
        <v>432</v>
      </c>
      <c r="E3" s="9" t="s">
        <v>433</v>
      </c>
      <c r="F3" s="9"/>
      <c r="H3" s="9"/>
      <c r="I3" s="9" t="s">
        <v>309</v>
      </c>
      <c r="J3" s="9" t="s">
        <v>2937</v>
      </c>
      <c r="K3" t="s">
        <v>310</v>
      </c>
      <c r="L3" t="s">
        <v>311</v>
      </c>
      <c r="M3" s="3" t="str">
        <f>HYPERLINK(склад2въезд1319[[#This Row],[RelativePath]])</f>
        <v>5 Крыльцо общага\K07156189_22_20251110T105450Z.jpg</v>
      </c>
    </row>
    <row r="4" spans="1:13" x14ac:dyDescent="0.25">
      <c r="A4" s="2" t="s">
        <v>13</v>
      </c>
      <c r="B4" s="4">
        <v>45971</v>
      </c>
      <c r="C4" s="5">
        <v>0.52840277777777778</v>
      </c>
      <c r="D4" s="9" t="s">
        <v>7</v>
      </c>
      <c r="E4" s="9" t="s">
        <v>433</v>
      </c>
      <c r="F4" s="9"/>
      <c r="H4" s="9"/>
      <c r="I4" s="9" t="s">
        <v>312</v>
      </c>
      <c r="J4" s="9" t="s">
        <v>2937</v>
      </c>
      <c r="K4" t="s">
        <v>313</v>
      </c>
      <c r="L4" t="s">
        <v>314</v>
      </c>
      <c r="M4" s="3" t="str">
        <f>HYPERLINK(склад2въезд1319[[#This Row],[RelativePath]])</f>
        <v>5 Крыльцо общага\K07156189_22_20251110T124054Z.jpg</v>
      </c>
    </row>
    <row r="5" spans="1:13" x14ac:dyDescent="0.25">
      <c r="A5" s="2" t="s">
        <v>13</v>
      </c>
      <c r="B5" s="4">
        <v>45971</v>
      </c>
      <c r="C5" s="5">
        <v>0.6010416666666667</v>
      </c>
      <c r="D5" s="9" t="s">
        <v>4</v>
      </c>
      <c r="E5" s="9" t="s">
        <v>435</v>
      </c>
      <c r="F5" s="9"/>
      <c r="H5" s="9"/>
      <c r="I5" s="9" t="s">
        <v>315</v>
      </c>
      <c r="J5" s="9" t="s">
        <v>2937</v>
      </c>
      <c r="K5" t="s">
        <v>316</v>
      </c>
      <c r="L5" t="s">
        <v>317</v>
      </c>
      <c r="M5" s="3" t="str">
        <f>HYPERLINK(склад2въезд1319[[#This Row],[RelativePath]])</f>
        <v>5 Крыльцо общага\K07156189_22_20251110T142530Z.jpg</v>
      </c>
    </row>
    <row r="6" spans="1:13" x14ac:dyDescent="0.25">
      <c r="A6" s="2" t="s">
        <v>13</v>
      </c>
      <c r="B6" s="4">
        <v>45971</v>
      </c>
      <c r="C6" s="5">
        <v>0.61381944444444447</v>
      </c>
      <c r="D6" s="9" t="s">
        <v>4</v>
      </c>
      <c r="E6" s="9" t="s">
        <v>434</v>
      </c>
      <c r="F6" s="9"/>
      <c r="H6" s="9"/>
      <c r="I6" s="9" t="s">
        <v>318</v>
      </c>
      <c r="J6" s="9" t="s">
        <v>2937</v>
      </c>
      <c r="K6" t="s">
        <v>319</v>
      </c>
      <c r="L6" t="s">
        <v>320</v>
      </c>
      <c r="M6" s="3" t="str">
        <f>HYPERLINK(склад2въезд1319[[#This Row],[RelativePath]])</f>
        <v>5 Крыльцо общага\K07156189_22_20251110T144354Z.jpg</v>
      </c>
    </row>
    <row r="7" spans="1:13" x14ac:dyDescent="0.25">
      <c r="A7" s="2" t="s">
        <v>13</v>
      </c>
      <c r="B7" s="4">
        <v>45971</v>
      </c>
      <c r="C7" s="5">
        <v>0.61496527777777776</v>
      </c>
      <c r="D7" s="9" t="s">
        <v>4</v>
      </c>
      <c r="E7" s="9" t="s">
        <v>434</v>
      </c>
      <c r="F7" s="9"/>
      <c r="H7" s="9"/>
      <c r="I7" s="9" t="s">
        <v>321</v>
      </c>
      <c r="J7" s="9" t="s">
        <v>2937</v>
      </c>
      <c r="K7" t="s">
        <v>322</v>
      </c>
      <c r="L7" t="s">
        <v>323</v>
      </c>
      <c r="M7" s="3" t="str">
        <f>HYPERLINK(склад2въезд1319[[#This Row],[RelativePath]])</f>
        <v>5 Крыльцо общага\K07156189_22_20251110T144533Z.jpg</v>
      </c>
    </row>
    <row r="8" spans="1:13" x14ac:dyDescent="0.25">
      <c r="A8" s="2" t="s">
        <v>13</v>
      </c>
      <c r="B8" s="4">
        <v>45971</v>
      </c>
      <c r="C8" s="5">
        <v>0.62350694444444443</v>
      </c>
      <c r="D8" s="9" t="s">
        <v>4</v>
      </c>
      <c r="E8" s="9" t="s">
        <v>435</v>
      </c>
      <c r="F8" s="9"/>
      <c r="H8" s="9"/>
      <c r="I8" s="9" t="s">
        <v>324</v>
      </c>
      <c r="J8" s="9" t="s">
        <v>2937</v>
      </c>
      <c r="K8" t="s">
        <v>325</v>
      </c>
      <c r="L8" t="s">
        <v>326</v>
      </c>
      <c r="M8" s="3" t="str">
        <f>HYPERLINK(склад2въезд1319[[#This Row],[RelativePath]])</f>
        <v>5 Крыльцо общага\K07156189_22_20251110T145751Z.jpg</v>
      </c>
    </row>
    <row r="9" spans="1:13" x14ac:dyDescent="0.25">
      <c r="A9" s="2" t="s">
        <v>13</v>
      </c>
      <c r="B9" s="4">
        <v>45971</v>
      </c>
      <c r="C9" s="5">
        <v>0.73828703703703702</v>
      </c>
      <c r="D9" s="9" t="s">
        <v>4</v>
      </c>
      <c r="E9" s="9" t="s">
        <v>436</v>
      </c>
      <c r="F9" s="9"/>
      <c r="H9" s="9"/>
      <c r="I9" s="9" t="s">
        <v>327</v>
      </c>
      <c r="J9" s="9" t="s">
        <v>2937</v>
      </c>
      <c r="K9" t="s">
        <v>328</v>
      </c>
      <c r="L9" t="s">
        <v>329</v>
      </c>
      <c r="M9" s="3" t="str">
        <f>HYPERLINK(склад2въезд1319[[#This Row],[RelativePath]])</f>
        <v>5 Крыльцо общага\K07156189_22_20251110T174308Z.jpg</v>
      </c>
    </row>
    <row r="10" spans="1:13" x14ac:dyDescent="0.25">
      <c r="A10" s="2" t="s">
        <v>14</v>
      </c>
      <c r="B10" s="4">
        <v>45972</v>
      </c>
      <c r="C10" s="5">
        <v>0.34718749999999998</v>
      </c>
      <c r="D10" s="9" t="s">
        <v>4</v>
      </c>
      <c r="E10" s="9" t="s">
        <v>8</v>
      </c>
      <c r="F10" s="9"/>
      <c r="H10" s="9" t="s">
        <v>5</v>
      </c>
      <c r="I10" s="9" t="s">
        <v>330</v>
      </c>
      <c r="J10" s="9" t="s">
        <v>2937</v>
      </c>
      <c r="K10" t="s">
        <v>331</v>
      </c>
      <c r="L10" t="s">
        <v>332</v>
      </c>
      <c r="M10" s="3" t="str">
        <f>HYPERLINK(склад2въезд1319[[#This Row],[RelativePath]])</f>
        <v>5 Крыльцо общага\K07156189_22_20251111T081957Z.jpg</v>
      </c>
    </row>
    <row r="11" spans="1:13" x14ac:dyDescent="0.25">
      <c r="A11" s="2" t="s">
        <v>14</v>
      </c>
      <c r="B11" s="4">
        <v>45972</v>
      </c>
      <c r="C11" s="5">
        <v>0.39120370370370372</v>
      </c>
      <c r="D11" s="9" t="s">
        <v>4</v>
      </c>
      <c r="E11" s="9" t="s">
        <v>437</v>
      </c>
      <c r="F11" s="9"/>
      <c r="H11" s="9"/>
      <c r="I11" s="9" t="s">
        <v>333</v>
      </c>
      <c r="J11" s="9" t="s">
        <v>2937</v>
      </c>
      <c r="K11" t="s">
        <v>334</v>
      </c>
      <c r="L11" t="s">
        <v>335</v>
      </c>
      <c r="M11" s="3" t="str">
        <f>HYPERLINK(склад2въезд1319[[#This Row],[RelativePath]])</f>
        <v>5 Крыльцо общага\K07156189_22_20251111T092320Z.jpg</v>
      </c>
    </row>
    <row r="12" spans="1:13" x14ac:dyDescent="0.25">
      <c r="A12" s="2" t="s">
        <v>14</v>
      </c>
      <c r="B12" s="4">
        <v>45972</v>
      </c>
      <c r="C12" s="5">
        <v>0.39533564814814814</v>
      </c>
      <c r="D12" s="9" t="s">
        <v>439</v>
      </c>
      <c r="E12" s="9" t="s">
        <v>67</v>
      </c>
      <c r="F12" s="9"/>
      <c r="H12" s="9"/>
      <c r="I12" s="9" t="s">
        <v>336</v>
      </c>
      <c r="J12" s="9" t="s">
        <v>2937</v>
      </c>
      <c r="K12" t="s">
        <v>337</v>
      </c>
      <c r="L12" t="s">
        <v>338</v>
      </c>
      <c r="M12" s="3" t="str">
        <f>HYPERLINK(склад2въезд1319[[#This Row],[RelativePath]])</f>
        <v>5 Крыльцо общага\K07156189_22_20251111T092917Z.jpg</v>
      </c>
    </row>
    <row r="13" spans="1:13" x14ac:dyDescent="0.25">
      <c r="A13" s="2" t="s">
        <v>14</v>
      </c>
      <c r="B13" s="4">
        <v>45972</v>
      </c>
      <c r="C13" s="5">
        <v>0.39787037037037037</v>
      </c>
      <c r="D13" s="9" t="s">
        <v>261</v>
      </c>
      <c r="E13" s="9" t="s">
        <v>67</v>
      </c>
      <c r="F13" s="9" t="s">
        <v>440</v>
      </c>
      <c r="H13" s="9"/>
      <c r="I13" s="9" t="s">
        <v>339</v>
      </c>
      <c r="J13" s="9" t="s">
        <v>2937</v>
      </c>
      <c r="K13" t="s">
        <v>340</v>
      </c>
      <c r="L13" t="s">
        <v>341</v>
      </c>
      <c r="M13" s="3" t="str">
        <f>HYPERLINK(склад2въезд1319[[#This Row],[RelativePath]])</f>
        <v>5 Крыльцо общага\K07156189_22_20251111T093256Z.jpg</v>
      </c>
    </row>
    <row r="14" spans="1:13" x14ac:dyDescent="0.25">
      <c r="A14" s="2" t="s">
        <v>14</v>
      </c>
      <c r="B14" s="4">
        <v>45972</v>
      </c>
      <c r="C14" s="5">
        <v>0.40370370370370373</v>
      </c>
      <c r="D14" s="9" t="s">
        <v>261</v>
      </c>
      <c r="E14" s="9" t="s">
        <v>67</v>
      </c>
      <c r="F14" s="9" t="s">
        <v>440</v>
      </c>
      <c r="H14" s="9"/>
      <c r="I14" s="9" t="s">
        <v>342</v>
      </c>
      <c r="J14" s="9" t="s">
        <v>2937</v>
      </c>
      <c r="K14" t="s">
        <v>343</v>
      </c>
      <c r="L14" t="s">
        <v>344</v>
      </c>
      <c r="M14" s="3" t="str">
        <f>HYPERLINK(склад2въезд1319[[#This Row],[RelativePath]])</f>
        <v>5 Крыльцо общага\K07156189_22_20251111T094120Z.jpg</v>
      </c>
    </row>
    <row r="15" spans="1:13" x14ac:dyDescent="0.25">
      <c r="A15" s="2" t="s">
        <v>14</v>
      </c>
      <c r="B15" s="4">
        <v>45972</v>
      </c>
      <c r="C15" s="5">
        <v>0.40377314814814813</v>
      </c>
      <c r="D15" s="9" t="s">
        <v>261</v>
      </c>
      <c r="E15" s="9" t="s">
        <v>67</v>
      </c>
      <c r="F15" s="9" t="s">
        <v>440</v>
      </c>
      <c r="H15" s="9"/>
      <c r="I15" s="9" t="s">
        <v>345</v>
      </c>
      <c r="J15" s="9" t="s">
        <v>2937</v>
      </c>
      <c r="K15" t="s">
        <v>346</v>
      </c>
      <c r="L15" t="s">
        <v>347</v>
      </c>
      <c r="M15" s="3" t="str">
        <f>HYPERLINK(склад2въезд1319[[#This Row],[RelativePath]])</f>
        <v>5 Крыльцо общага\K07156189_22_20251111T094126Z.jpg</v>
      </c>
    </row>
    <row r="16" spans="1:13" x14ac:dyDescent="0.25">
      <c r="A16" s="2" t="s">
        <v>14</v>
      </c>
      <c r="B16" s="4">
        <v>45972</v>
      </c>
      <c r="C16" s="5">
        <v>0.40597222222222223</v>
      </c>
      <c r="D16" s="9" t="s">
        <v>261</v>
      </c>
      <c r="E16" s="9" t="s">
        <v>67</v>
      </c>
      <c r="F16" s="9" t="s">
        <v>440</v>
      </c>
      <c r="H16" s="9"/>
      <c r="I16" s="9" t="s">
        <v>348</v>
      </c>
      <c r="J16" s="9" t="s">
        <v>2937</v>
      </c>
      <c r="K16" t="s">
        <v>349</v>
      </c>
      <c r="L16" t="s">
        <v>350</v>
      </c>
      <c r="M16" s="3" t="str">
        <f>HYPERLINK(склад2въезд1319[[#This Row],[RelativePath]])</f>
        <v>5 Крыльцо общага\K07156189_22_20251111T094436Z.jpg</v>
      </c>
    </row>
    <row r="17" spans="1:13" x14ac:dyDescent="0.25">
      <c r="A17" s="2" t="s">
        <v>14</v>
      </c>
      <c r="B17" s="4">
        <v>45972</v>
      </c>
      <c r="C17" s="5">
        <v>0.40881944444444446</v>
      </c>
      <c r="D17" s="9" t="s">
        <v>261</v>
      </c>
      <c r="E17" s="9" t="s">
        <v>67</v>
      </c>
      <c r="F17" s="9" t="s">
        <v>440</v>
      </c>
      <c r="H17" s="9"/>
      <c r="I17" s="9" t="s">
        <v>351</v>
      </c>
      <c r="J17" s="9" t="s">
        <v>2937</v>
      </c>
      <c r="K17" t="s">
        <v>352</v>
      </c>
      <c r="L17" t="s">
        <v>353</v>
      </c>
      <c r="M17" s="3" t="str">
        <f>HYPERLINK(склад2въезд1319[[#This Row],[RelativePath]])</f>
        <v>5 Крыльцо общага\K07156189_22_20251111T094842Z.jpg</v>
      </c>
    </row>
    <row r="18" spans="1:13" x14ac:dyDescent="0.25">
      <c r="A18" s="2" t="s">
        <v>14</v>
      </c>
      <c r="B18" s="4">
        <v>45972</v>
      </c>
      <c r="C18" s="5">
        <v>0.4105787037037037</v>
      </c>
      <c r="D18" s="9" t="s">
        <v>261</v>
      </c>
      <c r="E18" s="9" t="s">
        <v>67</v>
      </c>
      <c r="F18" s="9" t="s">
        <v>440</v>
      </c>
      <c r="H18" s="9"/>
      <c r="I18" s="9" t="s">
        <v>354</v>
      </c>
      <c r="J18" s="9" t="s">
        <v>2937</v>
      </c>
      <c r="K18" t="s">
        <v>355</v>
      </c>
      <c r="L18" t="s">
        <v>356</v>
      </c>
      <c r="M18" s="3" t="str">
        <f>HYPERLINK(склад2въезд1319[[#This Row],[RelativePath]])</f>
        <v>5 Крыльцо общага\K07156189_22_20251111T095114Z.jpg</v>
      </c>
    </row>
    <row r="19" spans="1:13" x14ac:dyDescent="0.25">
      <c r="A19" s="2" t="s">
        <v>14</v>
      </c>
      <c r="B19" s="4">
        <v>45972</v>
      </c>
      <c r="C19" s="5">
        <v>0.41136574074074073</v>
      </c>
      <c r="D19" s="9" t="s">
        <v>261</v>
      </c>
      <c r="E19" s="9" t="s">
        <v>67</v>
      </c>
      <c r="F19" s="9" t="s">
        <v>440</v>
      </c>
      <c r="H19" s="9"/>
      <c r="I19" s="9" t="s">
        <v>357</v>
      </c>
      <c r="J19" s="9" t="s">
        <v>2937</v>
      </c>
      <c r="K19" t="s">
        <v>358</v>
      </c>
      <c r="L19" t="s">
        <v>359</v>
      </c>
      <c r="M19" s="3" t="str">
        <f>HYPERLINK(склад2въезд1319[[#This Row],[RelativePath]])</f>
        <v>5 Крыльцо общага\K07156189_22_20251111T095222Z.jpg</v>
      </c>
    </row>
    <row r="20" spans="1:13" x14ac:dyDescent="0.25">
      <c r="A20" s="2" t="s">
        <v>14</v>
      </c>
      <c r="B20" s="4">
        <v>45972</v>
      </c>
      <c r="C20" s="5">
        <v>0.41312500000000002</v>
      </c>
      <c r="D20" s="9" t="s">
        <v>261</v>
      </c>
      <c r="E20" s="9" t="s">
        <v>67</v>
      </c>
      <c r="F20" s="9" t="s">
        <v>440</v>
      </c>
      <c r="H20" s="9"/>
      <c r="I20" s="9" t="s">
        <v>360</v>
      </c>
      <c r="J20" s="9" t="s">
        <v>2937</v>
      </c>
      <c r="K20" t="s">
        <v>361</v>
      </c>
      <c r="L20" t="s">
        <v>362</v>
      </c>
      <c r="M20" s="3" t="str">
        <f>HYPERLINK(склад2въезд1319[[#This Row],[RelativePath]])</f>
        <v>5 Крыльцо общага\K07156189_22_20251111T095454Z.jpg</v>
      </c>
    </row>
    <row r="21" spans="1:13" x14ac:dyDescent="0.25">
      <c r="A21" s="2" t="s">
        <v>14</v>
      </c>
      <c r="B21" s="4">
        <v>45972</v>
      </c>
      <c r="C21" s="5">
        <v>0.41627314814814814</v>
      </c>
      <c r="D21" s="9" t="s">
        <v>261</v>
      </c>
      <c r="E21" s="9" t="s">
        <v>67</v>
      </c>
      <c r="F21" s="9" t="s">
        <v>440</v>
      </c>
      <c r="H21" s="9"/>
      <c r="I21" s="9" t="s">
        <v>363</v>
      </c>
      <c r="J21" s="9" t="s">
        <v>2937</v>
      </c>
      <c r="K21" t="s">
        <v>364</v>
      </c>
      <c r="L21" t="s">
        <v>365</v>
      </c>
      <c r="M21" s="3" t="str">
        <f>HYPERLINK(склад2въезд1319[[#This Row],[RelativePath]])</f>
        <v>5 Крыльцо общага\K07156189_22_20251111T095926Z.jpg</v>
      </c>
    </row>
    <row r="22" spans="1:13" x14ac:dyDescent="0.25">
      <c r="A22" s="2" t="s">
        <v>14</v>
      </c>
      <c r="B22" s="4">
        <v>45972</v>
      </c>
      <c r="C22" s="5">
        <v>0.4226273148148148</v>
      </c>
      <c r="D22" s="9" t="s">
        <v>261</v>
      </c>
      <c r="E22" s="9" t="s">
        <v>67</v>
      </c>
      <c r="F22" s="9" t="s">
        <v>440</v>
      </c>
      <c r="H22" s="9"/>
      <c r="I22" s="9" t="s">
        <v>366</v>
      </c>
      <c r="J22" s="9" t="s">
        <v>2937</v>
      </c>
      <c r="K22" t="s">
        <v>367</v>
      </c>
      <c r="L22" t="s">
        <v>368</v>
      </c>
      <c r="M22" s="3" t="str">
        <f>HYPERLINK(склад2въезд1319[[#This Row],[RelativePath]])</f>
        <v>5 Крыльцо общага\K07156189_22_20251111T100835Z.jpg</v>
      </c>
    </row>
    <row r="23" spans="1:13" x14ac:dyDescent="0.25">
      <c r="A23" s="2" t="s">
        <v>14</v>
      </c>
      <c r="B23" s="4">
        <v>45972</v>
      </c>
      <c r="C23" s="5">
        <v>0.42736111111111114</v>
      </c>
      <c r="D23" s="9" t="s">
        <v>261</v>
      </c>
      <c r="E23" s="9" t="s">
        <v>67</v>
      </c>
      <c r="F23" s="9" t="s">
        <v>440</v>
      </c>
      <c r="H23" s="9"/>
      <c r="I23" s="9" t="s">
        <v>369</v>
      </c>
      <c r="J23" s="9" t="s">
        <v>2937</v>
      </c>
      <c r="K23" t="s">
        <v>370</v>
      </c>
      <c r="L23" t="s">
        <v>371</v>
      </c>
      <c r="M23" s="3" t="str">
        <f>HYPERLINK(склад2въезд1319[[#This Row],[RelativePath]])</f>
        <v>5 Крыльцо общага\K07156189_22_20251111T101524Z.jpg</v>
      </c>
    </row>
    <row r="24" spans="1:13" x14ac:dyDescent="0.25">
      <c r="A24" s="2" t="s">
        <v>14</v>
      </c>
      <c r="B24" s="4">
        <v>45972</v>
      </c>
      <c r="C24" s="5">
        <v>0.42944444444444446</v>
      </c>
      <c r="D24" s="9" t="s">
        <v>261</v>
      </c>
      <c r="E24" s="9" t="s">
        <v>67</v>
      </c>
      <c r="F24" s="9" t="s">
        <v>440</v>
      </c>
      <c r="H24" s="9"/>
      <c r="I24" s="9" t="s">
        <v>372</v>
      </c>
      <c r="J24" s="9" t="s">
        <v>2937</v>
      </c>
      <c r="K24" t="s">
        <v>373</v>
      </c>
      <c r="L24" t="s">
        <v>374</v>
      </c>
      <c r="M24" s="3" t="str">
        <f>HYPERLINK(склад2въезд1319[[#This Row],[RelativePath]])</f>
        <v>5 Крыльцо общага\K07156189_22_20251111T101824Z.jpg</v>
      </c>
    </row>
    <row r="25" spans="1:13" x14ac:dyDescent="0.25">
      <c r="A25" s="2" t="s">
        <v>14</v>
      </c>
      <c r="B25" s="4">
        <v>45972</v>
      </c>
      <c r="C25" s="5">
        <v>0.4316550925925926</v>
      </c>
      <c r="D25" s="9" t="s">
        <v>261</v>
      </c>
      <c r="E25" s="9" t="s">
        <v>67</v>
      </c>
      <c r="F25" s="9" t="s">
        <v>440</v>
      </c>
      <c r="H25" s="9"/>
      <c r="I25" s="9" t="s">
        <v>375</v>
      </c>
      <c r="J25" s="9" t="s">
        <v>2937</v>
      </c>
      <c r="K25" t="s">
        <v>376</v>
      </c>
      <c r="L25" t="s">
        <v>377</v>
      </c>
      <c r="M25" s="3" t="str">
        <f>HYPERLINK(склад2въезд1319[[#This Row],[RelativePath]])</f>
        <v>5 Крыльцо общага\K07156189_22_20251111T102135Z.jpg</v>
      </c>
    </row>
    <row r="26" spans="1:13" x14ac:dyDescent="0.25">
      <c r="A26" s="2" t="s">
        <v>14</v>
      </c>
      <c r="B26" s="4">
        <v>45972</v>
      </c>
      <c r="C26" s="5">
        <v>0.43408564814814815</v>
      </c>
      <c r="D26" s="9" t="s">
        <v>261</v>
      </c>
      <c r="E26" s="9" t="s">
        <v>67</v>
      </c>
      <c r="F26" s="9" t="s">
        <v>440</v>
      </c>
      <c r="H26" s="9"/>
      <c r="I26" s="9" t="s">
        <v>378</v>
      </c>
      <c r="J26" s="9" t="s">
        <v>2937</v>
      </c>
      <c r="K26" t="s">
        <v>379</v>
      </c>
      <c r="L26" t="s">
        <v>380</v>
      </c>
      <c r="M26" s="3" t="str">
        <f>HYPERLINK(склад2въезд1319[[#This Row],[RelativePath]])</f>
        <v>5 Крыльцо общага\K07156189_22_20251111T102505Z.jpg</v>
      </c>
    </row>
    <row r="27" spans="1:13" x14ac:dyDescent="0.25">
      <c r="A27" s="2" t="s">
        <v>14</v>
      </c>
      <c r="B27" s="4">
        <v>45972</v>
      </c>
      <c r="C27" s="5">
        <v>0.43606481481481479</v>
      </c>
      <c r="D27" s="9" t="s">
        <v>261</v>
      </c>
      <c r="E27" s="9" t="s">
        <v>67</v>
      </c>
      <c r="F27" s="9" t="s">
        <v>441</v>
      </c>
      <c r="H27" s="9" t="s">
        <v>442</v>
      </c>
      <c r="I27" s="9" t="s">
        <v>381</v>
      </c>
      <c r="J27" s="9" t="s">
        <v>2937</v>
      </c>
      <c r="K27" t="s">
        <v>382</v>
      </c>
      <c r="L27" t="s">
        <v>383</v>
      </c>
      <c r="M27" s="3" t="str">
        <f>HYPERLINK(склад2въезд1319[[#This Row],[RelativePath]])</f>
        <v>5 Крыльцо общага\K07156189_22_20251111T102756Z.jpg</v>
      </c>
    </row>
    <row r="28" spans="1:13" x14ac:dyDescent="0.25">
      <c r="A28" s="2" t="s">
        <v>14</v>
      </c>
      <c r="B28" s="4">
        <v>45972</v>
      </c>
      <c r="C28" s="5">
        <v>0.4387847222222222</v>
      </c>
      <c r="D28" s="9" t="s">
        <v>443</v>
      </c>
      <c r="E28" s="9" t="s">
        <v>67</v>
      </c>
      <c r="F28" s="9" t="s">
        <v>440</v>
      </c>
      <c r="H28" s="9"/>
      <c r="I28" s="9" t="s">
        <v>384</v>
      </c>
      <c r="J28" s="9" t="s">
        <v>2937</v>
      </c>
      <c r="K28" t="s">
        <v>385</v>
      </c>
      <c r="L28" t="s">
        <v>386</v>
      </c>
      <c r="M28" s="3" t="str">
        <f>HYPERLINK(склад2въезд1319[[#This Row],[RelativePath]])</f>
        <v>5 Крыльцо общага\K07156189_22_20251111T103151Z.jpg</v>
      </c>
    </row>
    <row r="29" spans="1:13" x14ac:dyDescent="0.25">
      <c r="A29" s="2" t="s">
        <v>14</v>
      </c>
      <c r="B29" s="4">
        <v>45972</v>
      </c>
      <c r="C29" s="5">
        <v>0.44353009259259257</v>
      </c>
      <c r="D29" s="9" t="s">
        <v>444</v>
      </c>
      <c r="E29" s="9" t="s">
        <v>67</v>
      </c>
      <c r="F29" s="9" t="s">
        <v>440</v>
      </c>
      <c r="H29" s="9"/>
      <c r="I29" s="9" t="s">
        <v>387</v>
      </c>
      <c r="J29" s="9" t="s">
        <v>2937</v>
      </c>
      <c r="K29" t="s">
        <v>388</v>
      </c>
      <c r="L29" t="s">
        <v>389</v>
      </c>
      <c r="M29" s="3" t="str">
        <f>HYPERLINK(склад2въезд1319[[#This Row],[RelativePath]])</f>
        <v>5 Крыльцо общага\K07156189_22_20251111T103841Z.jpg</v>
      </c>
    </row>
    <row r="30" spans="1:13" x14ac:dyDescent="0.25">
      <c r="A30" s="2" t="s">
        <v>14</v>
      </c>
      <c r="B30" s="4">
        <v>45972</v>
      </c>
      <c r="C30" s="5">
        <v>0.64351851851851849</v>
      </c>
      <c r="D30" s="9" t="s">
        <v>4</v>
      </c>
      <c r="E30" s="9" t="s">
        <v>445</v>
      </c>
      <c r="F30" s="9"/>
      <c r="H30" s="9"/>
      <c r="I30" s="9" t="s">
        <v>390</v>
      </c>
      <c r="J30" s="9" t="s">
        <v>2937</v>
      </c>
      <c r="K30" t="s">
        <v>391</v>
      </c>
      <c r="L30" t="s">
        <v>392</v>
      </c>
      <c r="M30" s="3" t="str">
        <f>HYPERLINK(склад2въезд1319[[#This Row],[RelativePath]])</f>
        <v>5 Крыльцо общага\K07156189_22_20251111T152640Z.jpg</v>
      </c>
    </row>
    <row r="31" spans="1:13" x14ac:dyDescent="0.25">
      <c r="A31" s="2" t="s">
        <v>15</v>
      </c>
      <c r="B31" s="4">
        <v>45973</v>
      </c>
      <c r="C31" s="5">
        <v>0.36234953703703704</v>
      </c>
      <c r="D31" s="9" t="s">
        <v>4</v>
      </c>
      <c r="E31" s="9" t="s">
        <v>8</v>
      </c>
      <c r="F31" s="9"/>
      <c r="H31" s="9" t="s">
        <v>5</v>
      </c>
      <c r="I31" s="9" t="s">
        <v>393</v>
      </c>
      <c r="J31" s="9" t="s">
        <v>2937</v>
      </c>
      <c r="K31" t="s">
        <v>394</v>
      </c>
      <c r="L31" t="s">
        <v>395</v>
      </c>
      <c r="M31" s="3" t="str">
        <f>HYPERLINK(склад2въезд1319[[#This Row],[RelativePath]])</f>
        <v>5 Крыльцо общага\K07156189_22_20251112T084147Z.jpg</v>
      </c>
    </row>
    <row r="32" spans="1:13" x14ac:dyDescent="0.25">
      <c r="A32" s="2" t="s">
        <v>15</v>
      </c>
      <c r="B32" s="4">
        <v>45973</v>
      </c>
      <c r="C32" s="5">
        <v>0.50559027777777776</v>
      </c>
      <c r="D32" s="9" t="s">
        <v>4</v>
      </c>
      <c r="E32" s="9" t="s">
        <v>8</v>
      </c>
      <c r="F32" s="9"/>
      <c r="H32" s="9"/>
      <c r="I32" s="9" t="s">
        <v>396</v>
      </c>
      <c r="J32" s="9" t="s">
        <v>2937</v>
      </c>
      <c r="K32" t="s">
        <v>397</v>
      </c>
      <c r="L32" t="s">
        <v>398</v>
      </c>
      <c r="M32" s="3" t="str">
        <f>HYPERLINK(склад2въезд1319[[#This Row],[RelativePath]])</f>
        <v>5 Крыльцо общага\K07156189_22_20251112T120803Z.jpg</v>
      </c>
    </row>
    <row r="33" spans="1:13" x14ac:dyDescent="0.25">
      <c r="A33" s="2" t="s">
        <v>15</v>
      </c>
      <c r="B33" s="4">
        <v>45973</v>
      </c>
      <c r="C33" s="5">
        <v>0.69714120370370369</v>
      </c>
      <c r="D33" s="9" t="s">
        <v>4</v>
      </c>
      <c r="E33" s="9" t="s">
        <v>449</v>
      </c>
      <c r="F33" s="9"/>
      <c r="H33" s="9" t="s">
        <v>450</v>
      </c>
      <c r="I33" s="9" t="s">
        <v>399</v>
      </c>
      <c r="J33" s="9" t="s">
        <v>2937</v>
      </c>
      <c r="K33" t="s">
        <v>400</v>
      </c>
      <c r="L33" t="s">
        <v>401</v>
      </c>
      <c r="M33" s="3" t="str">
        <f>HYPERLINK(склад2въезд1319[[#This Row],[RelativePath]])</f>
        <v>5 Крыльцо общага\K07156189_22_20251112T164353Z.jpg</v>
      </c>
    </row>
    <row r="34" spans="1:13" x14ac:dyDescent="0.25">
      <c r="A34" s="2" t="s">
        <v>16</v>
      </c>
      <c r="B34" s="4">
        <v>45974</v>
      </c>
      <c r="C34" s="5">
        <v>0.36880787037037038</v>
      </c>
      <c r="D34" s="9" t="s">
        <v>4</v>
      </c>
      <c r="E34" s="9" t="s">
        <v>8</v>
      </c>
      <c r="F34" s="9"/>
      <c r="H34" s="9" t="s">
        <v>5</v>
      </c>
      <c r="I34" s="9" t="s">
        <v>402</v>
      </c>
      <c r="J34" s="9" t="s">
        <v>2937</v>
      </c>
      <c r="K34" t="s">
        <v>403</v>
      </c>
      <c r="L34" t="s">
        <v>404</v>
      </c>
      <c r="M34" s="3" t="str">
        <f>HYPERLINK(склад2въезд1319[[#This Row],[RelativePath]])</f>
        <v>5 Крыльцо общага\K07156189_22_20251113T085105Z.jpg</v>
      </c>
    </row>
    <row r="35" spans="1:13" x14ac:dyDescent="0.25">
      <c r="A35" s="2" t="s">
        <v>16</v>
      </c>
      <c r="B35" s="4">
        <v>45974</v>
      </c>
      <c r="C35" s="5">
        <v>0.41435185185185186</v>
      </c>
      <c r="D35" s="9" t="s">
        <v>4</v>
      </c>
      <c r="E35" s="9" t="s">
        <v>8</v>
      </c>
      <c r="F35" s="9"/>
      <c r="H35" s="9" t="s">
        <v>446</v>
      </c>
      <c r="I35" s="9" t="s">
        <v>405</v>
      </c>
      <c r="J35" s="9" t="s">
        <v>2937</v>
      </c>
      <c r="K35" t="s">
        <v>406</v>
      </c>
      <c r="L35" t="s">
        <v>407</v>
      </c>
      <c r="M35" s="3" t="str">
        <f>HYPERLINK(склад2въезд1319[[#This Row],[RelativePath]])</f>
        <v>5 Крыльцо общага\K07156189_22_20251113T095640Z.jpg</v>
      </c>
    </row>
    <row r="36" spans="1:13" x14ac:dyDescent="0.25">
      <c r="A36" s="2" t="s">
        <v>16</v>
      </c>
      <c r="B36" s="4">
        <v>45974</v>
      </c>
      <c r="C36" s="5">
        <v>0.61059027777777775</v>
      </c>
      <c r="D36" s="9" t="s">
        <v>4</v>
      </c>
      <c r="E36" s="9" t="s">
        <v>8</v>
      </c>
      <c r="F36" s="9"/>
      <c r="H36" s="9"/>
      <c r="I36" s="9" t="s">
        <v>408</v>
      </c>
      <c r="J36" s="9" t="s">
        <v>2937</v>
      </c>
      <c r="K36" t="s">
        <v>409</v>
      </c>
      <c r="L36" t="s">
        <v>410</v>
      </c>
      <c r="M36" s="3" t="str">
        <f>HYPERLINK(склад2въезд1319[[#This Row],[RelativePath]])</f>
        <v>5 Крыльцо общага\K07156189_22_20251113T143915Z.jpg</v>
      </c>
    </row>
    <row r="37" spans="1:13" x14ac:dyDescent="0.25">
      <c r="A37" s="2" t="s">
        <v>16</v>
      </c>
      <c r="B37" s="4">
        <v>45974</v>
      </c>
      <c r="C37" s="5">
        <v>0.71030092592592597</v>
      </c>
      <c r="D37" s="9" t="s">
        <v>4</v>
      </c>
      <c r="E37" s="9" t="s">
        <v>8</v>
      </c>
      <c r="F37" s="9"/>
      <c r="H37" s="9" t="s">
        <v>6</v>
      </c>
      <c r="I37" s="9" t="s">
        <v>411</v>
      </c>
      <c r="J37" s="9" t="s">
        <v>2937</v>
      </c>
      <c r="K37" t="s">
        <v>412</v>
      </c>
      <c r="L37" t="s">
        <v>413</v>
      </c>
      <c r="M37" s="3" t="str">
        <f>HYPERLINK(склад2въезд1319[[#This Row],[RelativePath]])</f>
        <v>5 Крыльцо общага\K07156189_22_20251113T170250Z.jpg</v>
      </c>
    </row>
    <row r="38" spans="1:13" x14ac:dyDescent="0.25">
      <c r="A38" s="2" t="s">
        <v>17</v>
      </c>
      <c r="B38" s="4">
        <v>45975</v>
      </c>
      <c r="C38" s="5">
        <v>0.38307870370370373</v>
      </c>
      <c r="D38" s="9" t="s">
        <v>4</v>
      </c>
      <c r="E38" s="9" t="s">
        <v>8</v>
      </c>
      <c r="F38" s="9"/>
      <c r="H38" s="9" t="s">
        <v>5</v>
      </c>
      <c r="I38" s="9" t="s">
        <v>414</v>
      </c>
      <c r="J38" s="9" t="s">
        <v>2937</v>
      </c>
      <c r="K38" t="s">
        <v>415</v>
      </c>
      <c r="L38" t="s">
        <v>416</v>
      </c>
      <c r="M38" s="3" t="str">
        <f>HYPERLINK(склад2въезд1319[[#This Row],[RelativePath]])</f>
        <v>5 Крыльцо общага\K07156189_22_20251114T091138Z.jpg</v>
      </c>
    </row>
    <row r="39" spans="1:13" x14ac:dyDescent="0.25">
      <c r="A39" s="2" t="s">
        <v>17</v>
      </c>
      <c r="B39" s="4">
        <v>45975</v>
      </c>
      <c r="C39" s="5">
        <v>0.39901620370370372</v>
      </c>
      <c r="D39" s="9" t="s">
        <v>4</v>
      </c>
      <c r="E39" s="9" t="s">
        <v>447</v>
      </c>
      <c r="F39" s="9"/>
      <c r="H39" s="9"/>
      <c r="I39" s="9" t="s">
        <v>417</v>
      </c>
      <c r="J39" s="9" t="s">
        <v>2937</v>
      </c>
      <c r="K39" t="s">
        <v>418</v>
      </c>
      <c r="L39" t="s">
        <v>419</v>
      </c>
      <c r="M39" s="3" t="str">
        <f>HYPERLINK(склад2въезд1319[[#This Row],[RelativePath]])</f>
        <v>5 Крыльцо общага\K07156189_22_20251114T093435Z.jpg</v>
      </c>
    </row>
    <row r="40" spans="1:13" x14ac:dyDescent="0.25">
      <c r="A40" s="2" t="s">
        <v>17</v>
      </c>
      <c r="B40" s="4">
        <v>45975</v>
      </c>
      <c r="C40" s="5">
        <v>0.42150462962962965</v>
      </c>
      <c r="D40" s="9" t="s">
        <v>4</v>
      </c>
      <c r="E40" s="9" t="s">
        <v>447</v>
      </c>
      <c r="F40" s="9"/>
      <c r="H40" s="9"/>
      <c r="I40" s="9" t="s">
        <v>420</v>
      </c>
      <c r="J40" s="9" t="s">
        <v>2937</v>
      </c>
      <c r="K40" t="s">
        <v>421</v>
      </c>
      <c r="L40" t="s">
        <v>422</v>
      </c>
      <c r="M40" s="3" t="str">
        <f>HYPERLINK(склад2въезд1319[[#This Row],[RelativePath]])</f>
        <v>5 Крыльцо общага\K07156189_22_20251114T100658Z.jpg</v>
      </c>
    </row>
    <row r="41" spans="1:13" x14ac:dyDescent="0.25">
      <c r="A41" s="2" t="s">
        <v>17</v>
      </c>
      <c r="B41" s="4">
        <v>45975</v>
      </c>
      <c r="C41" s="5">
        <v>0.48582175925925924</v>
      </c>
      <c r="D41" s="9" t="s">
        <v>4</v>
      </c>
      <c r="E41" s="9" t="s">
        <v>451</v>
      </c>
      <c r="F41" s="9"/>
      <c r="H41" s="9" t="s">
        <v>448</v>
      </c>
      <c r="I41" s="9" t="s">
        <v>423</v>
      </c>
      <c r="J41" s="9" t="s">
        <v>2937</v>
      </c>
      <c r="K41" t="s">
        <v>424</v>
      </c>
      <c r="L41" t="s">
        <v>425</v>
      </c>
      <c r="M41" s="3" t="str">
        <f>HYPERLINK(склад2въезд1319[[#This Row],[RelativePath]])</f>
        <v>5 Крыльцо общага\K07156189_22_20251114T113935Z.jpg</v>
      </c>
    </row>
    <row r="42" spans="1:13" x14ac:dyDescent="0.25">
      <c r="A42" s="2" t="s">
        <v>17</v>
      </c>
      <c r="B42" s="4">
        <v>45975</v>
      </c>
      <c r="C42" s="5">
        <v>0.59027777777777779</v>
      </c>
      <c r="D42" s="9" t="s">
        <v>4</v>
      </c>
      <c r="E42" s="9" t="s">
        <v>8</v>
      </c>
      <c r="F42" s="9"/>
      <c r="H42" s="9"/>
      <c r="I42" s="9" t="s">
        <v>426</v>
      </c>
      <c r="J42" s="9" t="s">
        <v>2937</v>
      </c>
      <c r="K42" t="s">
        <v>427</v>
      </c>
      <c r="L42" t="s">
        <v>428</v>
      </c>
      <c r="M42" s="3" t="str">
        <f>HYPERLINK(склад2въезд1319[[#This Row],[RelativePath]])</f>
        <v>5 Крыльцо общага\K07156189_22_20251114T141000Z.jpg</v>
      </c>
    </row>
    <row r="43" spans="1:13" x14ac:dyDescent="0.25">
      <c r="A43" s="2" t="s">
        <v>17</v>
      </c>
      <c r="B43" s="4">
        <v>45975</v>
      </c>
      <c r="C43" s="5">
        <v>0.73313657407407407</v>
      </c>
      <c r="D43" s="9" t="s">
        <v>4</v>
      </c>
      <c r="E43" s="9" t="s">
        <v>8</v>
      </c>
      <c r="F43" s="9"/>
      <c r="H43" s="9" t="s">
        <v>6</v>
      </c>
      <c r="I43" s="9" t="s">
        <v>429</v>
      </c>
      <c r="J43" s="9" t="s">
        <v>2937</v>
      </c>
      <c r="K43" t="s">
        <v>430</v>
      </c>
      <c r="L43" t="s">
        <v>431</v>
      </c>
      <c r="M43" s="3" t="str">
        <f>HYPERLINK(склад2въезд1319[[#This Row],[RelativePath]])</f>
        <v>5 Крыльцо общага\K07156189_22_20251114T173543Z.jpg</v>
      </c>
    </row>
    <row r="44" spans="1:13" x14ac:dyDescent="0.25">
      <c r="A44" s="2" t="s">
        <v>18</v>
      </c>
      <c r="B44" s="4">
        <v>45976</v>
      </c>
      <c r="C44" s="5">
        <v>0.35337962962962965</v>
      </c>
      <c r="D44" s="9" t="s">
        <v>4</v>
      </c>
      <c r="E44" s="9" t="s">
        <v>8</v>
      </c>
      <c r="F44" s="9"/>
      <c r="H44" s="9" t="s">
        <v>1588</v>
      </c>
      <c r="I44" s="9" t="s">
        <v>1258</v>
      </c>
      <c r="J44" s="9" t="s">
        <v>2937</v>
      </c>
      <c r="K44" t="s">
        <v>1259</v>
      </c>
      <c r="L44" t="s">
        <v>1260</v>
      </c>
      <c r="M44" s="3" t="str">
        <f>HYPERLINK(склад2въезд1319[[#This Row],[RelativePath]])</f>
        <v>5 Крыльцо общага\K07156189_22_20251115T082852Z.jpg</v>
      </c>
    </row>
    <row r="45" spans="1:13" x14ac:dyDescent="0.25">
      <c r="A45" s="2" t="s">
        <v>18</v>
      </c>
      <c r="B45" s="4">
        <v>45976</v>
      </c>
      <c r="C45" s="5">
        <v>0.72494212962962967</v>
      </c>
      <c r="D45" s="9" t="s">
        <v>4</v>
      </c>
      <c r="E45" s="9" t="s">
        <v>8</v>
      </c>
      <c r="F45" s="9"/>
      <c r="H45" s="9" t="s">
        <v>1972</v>
      </c>
      <c r="I45" s="9" t="s">
        <v>1261</v>
      </c>
      <c r="J45" s="9" t="s">
        <v>2937</v>
      </c>
      <c r="K45" t="s">
        <v>1262</v>
      </c>
      <c r="L45" t="s">
        <v>1263</v>
      </c>
      <c r="M45" s="3" t="str">
        <f>HYPERLINK(склад2въезд1319[[#This Row],[RelativePath]])</f>
        <v>5 Крыльцо общага\K07156189_22_20251115T172355Z.jpg</v>
      </c>
    </row>
    <row r="46" spans="1:13" x14ac:dyDescent="0.25">
      <c r="A46" s="2" t="s">
        <v>22</v>
      </c>
      <c r="B46" s="4">
        <v>45977</v>
      </c>
      <c r="C46" s="5">
        <v>0.7407407407407407</v>
      </c>
      <c r="D46" s="9" t="s">
        <v>4</v>
      </c>
      <c r="E46" s="9" t="s">
        <v>1977</v>
      </c>
      <c r="F46" s="9"/>
      <c r="H46" s="9" t="s">
        <v>1588</v>
      </c>
      <c r="I46" s="9" t="s">
        <v>1264</v>
      </c>
      <c r="J46" s="9" t="s">
        <v>2937</v>
      </c>
      <c r="K46" t="s">
        <v>1265</v>
      </c>
      <c r="L46" t="s">
        <v>1266</v>
      </c>
      <c r="M46" s="3" t="str">
        <f>HYPERLINK(склад2въезд1319[[#This Row],[RelativePath]])</f>
        <v>5 Крыльцо общага\K07156189_22_20251116T174640Z.jpg</v>
      </c>
    </row>
    <row r="47" spans="1:13" x14ac:dyDescent="0.25">
      <c r="A47" s="2" t="s">
        <v>13</v>
      </c>
      <c r="B47" s="4">
        <v>45978</v>
      </c>
      <c r="C47" s="5">
        <v>0.73482638888888885</v>
      </c>
      <c r="D47" s="9" t="s">
        <v>4</v>
      </c>
      <c r="E47" s="9" t="s">
        <v>8</v>
      </c>
      <c r="F47" s="9"/>
      <c r="H47" s="9"/>
      <c r="I47" s="9" t="s">
        <v>2049</v>
      </c>
      <c r="J47" s="9" t="s">
        <v>2937</v>
      </c>
      <c r="K47" t="s">
        <v>2050</v>
      </c>
      <c r="L47" t="s">
        <v>2051</v>
      </c>
      <c r="M47" s="3" t="str">
        <f>HYPERLINK(склад2въезд1319[[#This Row],[RelativePath]])</f>
        <v>5 Крыльцо общага\K07156189_22_20251117T173809Z.jpg</v>
      </c>
    </row>
    <row r="48" spans="1:13" x14ac:dyDescent="0.25">
      <c r="A48" s="2" t="s">
        <v>14</v>
      </c>
      <c r="B48" s="4">
        <v>45979</v>
      </c>
      <c r="C48" s="5">
        <v>0.43456018518518519</v>
      </c>
      <c r="D48" s="9" t="s">
        <v>4</v>
      </c>
      <c r="E48" s="9" t="s">
        <v>8</v>
      </c>
      <c r="F48" s="9"/>
      <c r="H48" s="9"/>
      <c r="I48" s="9" t="s">
        <v>2052</v>
      </c>
      <c r="J48" s="9" t="s">
        <v>2937</v>
      </c>
      <c r="K48" t="s">
        <v>2053</v>
      </c>
      <c r="L48" t="s">
        <v>2054</v>
      </c>
      <c r="M48" s="3" t="str">
        <f>HYPERLINK(склад2въезд1319[[#This Row],[RelativePath]])</f>
        <v>5 Крыльцо общага\K07156189_22_20251118T102546Z.jpg</v>
      </c>
    </row>
    <row r="49" spans="1:13" x14ac:dyDescent="0.25">
      <c r="A49" s="2" t="s">
        <v>15</v>
      </c>
      <c r="B49" s="4">
        <v>45980</v>
      </c>
      <c r="C49" s="5">
        <v>0.47320601851851851</v>
      </c>
      <c r="D49" s="9" t="s">
        <v>4</v>
      </c>
      <c r="E49" s="9" t="s">
        <v>8</v>
      </c>
      <c r="F49" s="9"/>
      <c r="H49" s="9"/>
      <c r="I49" s="9" t="s">
        <v>2055</v>
      </c>
      <c r="J49" s="9" t="s">
        <v>2937</v>
      </c>
      <c r="K49" t="s">
        <v>2056</v>
      </c>
      <c r="L49" t="s">
        <v>2057</v>
      </c>
      <c r="M49" s="3" t="str">
        <f>HYPERLINK(склад2въезд1319[[#This Row],[RelativePath]])</f>
        <v>5 Крыльцо общага\K07156189_22_20251119T112125Z.jpg</v>
      </c>
    </row>
    <row r="50" spans="1:13" x14ac:dyDescent="0.25">
      <c r="A50" s="2" t="s">
        <v>16</v>
      </c>
      <c r="B50" s="4">
        <v>45981</v>
      </c>
      <c r="C50" s="5">
        <v>0.3652199074074074</v>
      </c>
      <c r="D50" s="9" t="s">
        <v>4</v>
      </c>
      <c r="E50" s="9" t="s">
        <v>8</v>
      </c>
      <c r="F50" s="9"/>
      <c r="H50" s="9"/>
      <c r="I50" s="9" t="s">
        <v>2058</v>
      </c>
      <c r="J50" s="9" t="s">
        <v>2937</v>
      </c>
      <c r="K50" t="s">
        <v>2059</v>
      </c>
      <c r="L50" t="s">
        <v>2060</v>
      </c>
      <c r="M50" s="3" t="str">
        <f>HYPERLINK(склад2въезд1319[[#This Row],[RelativePath]])</f>
        <v>5 Крыльцо общага\K07156189_22_20251120T084555Z.jpg</v>
      </c>
    </row>
    <row r="51" spans="1:13" x14ac:dyDescent="0.25">
      <c r="A51" s="2" t="s">
        <v>17</v>
      </c>
      <c r="B51" s="4">
        <v>45982</v>
      </c>
      <c r="C51" s="5">
        <v>0.72293981481481484</v>
      </c>
      <c r="D51" s="9" t="s">
        <v>4</v>
      </c>
      <c r="E51" s="9" t="s">
        <v>8</v>
      </c>
      <c r="F51" s="9"/>
      <c r="H51" s="9"/>
      <c r="I51" s="9" t="s">
        <v>2061</v>
      </c>
      <c r="J51" s="9" t="s">
        <v>2937</v>
      </c>
      <c r="K51" t="s">
        <v>2062</v>
      </c>
      <c r="L51" t="s">
        <v>2063</v>
      </c>
      <c r="M51" s="3" t="str">
        <f>HYPERLINK(склад2въезд1319[[#This Row],[RelativePath]])</f>
        <v>5 Крыльцо общага\K07156189_22_20251121T172102Z.jpg</v>
      </c>
    </row>
    <row r="52" spans="1:13" x14ac:dyDescent="0.25">
      <c r="A52" s="2" t="s">
        <v>18</v>
      </c>
      <c r="B52" s="4">
        <v>45983</v>
      </c>
      <c r="C52" s="5">
        <v>0.72091435185185182</v>
      </c>
      <c r="D52" s="9" t="s">
        <v>4</v>
      </c>
      <c r="E52" s="9" t="s">
        <v>8</v>
      </c>
      <c r="F52" s="9"/>
      <c r="H52" s="9"/>
      <c r="I52" s="9" t="s">
        <v>2064</v>
      </c>
      <c r="J52" s="9" t="s">
        <v>2937</v>
      </c>
      <c r="K52" t="s">
        <v>2065</v>
      </c>
      <c r="L52" t="s">
        <v>2066</v>
      </c>
      <c r="M52" s="3" t="str">
        <f>HYPERLINK(склад2въезд1319[[#This Row],[RelativePath]])</f>
        <v>5 Крыльцо общага\K07156189_22_20251122T171807Z.jpg</v>
      </c>
    </row>
    <row r="53" spans="1:13" x14ac:dyDescent="0.25">
      <c r="A53" s="2" t="s">
        <v>22</v>
      </c>
      <c r="B53" s="4">
        <v>45984</v>
      </c>
      <c r="C53" s="5">
        <v>0.42737268518518517</v>
      </c>
      <c r="D53" s="9" t="s">
        <v>4</v>
      </c>
      <c r="E53" s="9" t="s">
        <v>8</v>
      </c>
      <c r="F53" s="9"/>
      <c r="H53" s="9"/>
      <c r="I53" s="9" t="s">
        <v>2067</v>
      </c>
      <c r="J53" s="9" t="s">
        <v>2937</v>
      </c>
      <c r="K53" t="s">
        <v>2068</v>
      </c>
      <c r="L53" t="s">
        <v>2069</v>
      </c>
      <c r="M53" s="3" t="str">
        <f>HYPERLINK(склад2въезд1319[[#This Row],[RelativePath]])</f>
        <v>5 Крыльцо общага\K07156189_22_20251123T101525Z.jpg</v>
      </c>
    </row>
    <row r="54" spans="1:13" x14ac:dyDescent="0.25">
      <c r="A54" s="2" t="s">
        <v>13</v>
      </c>
      <c r="B54" s="4">
        <v>45985</v>
      </c>
      <c r="C54" s="5">
        <v>0.67232638888888885</v>
      </c>
      <c r="D54" s="9" t="s">
        <v>4</v>
      </c>
      <c r="E54" s="9" t="s">
        <v>8</v>
      </c>
      <c r="F54" s="9"/>
      <c r="H54" s="9"/>
      <c r="I54" s="9" t="s">
        <v>3034</v>
      </c>
      <c r="J54" s="9" t="s">
        <v>2937</v>
      </c>
      <c r="K54" t="s">
        <v>3035</v>
      </c>
      <c r="L54" t="s">
        <v>3036</v>
      </c>
      <c r="M54" s="3" t="str">
        <f>HYPERLINK(склад2въезд1319[[#This Row],[RelativePath]])</f>
        <v>5 Крыльцо общага\K07156189_22_20251124T160809Z.jpg</v>
      </c>
    </row>
    <row r="55" spans="1:13" x14ac:dyDescent="0.25">
      <c r="A55" s="2" t="s">
        <v>13</v>
      </c>
      <c r="B55" s="4">
        <v>45985</v>
      </c>
      <c r="C55" s="5">
        <v>0.69039351851851849</v>
      </c>
      <c r="D55" s="9" t="s">
        <v>4</v>
      </c>
      <c r="E55" s="9" t="s">
        <v>8</v>
      </c>
      <c r="F55" s="9"/>
      <c r="H55" s="9"/>
      <c r="I55" s="9" t="s">
        <v>3037</v>
      </c>
      <c r="J55" s="9" t="s">
        <v>2937</v>
      </c>
      <c r="K55" t="s">
        <v>3038</v>
      </c>
      <c r="L55" t="s">
        <v>3039</v>
      </c>
      <c r="M55" s="3" t="str">
        <f>HYPERLINK(склад2въезд1319[[#This Row],[RelativePath]])</f>
        <v>5 Крыльцо общага\K07156189_22_20251124T163410Z.jpg</v>
      </c>
    </row>
    <row r="56" spans="1:13" x14ac:dyDescent="0.25">
      <c r="A56" s="2" t="s">
        <v>14</v>
      </c>
      <c r="B56" s="4">
        <v>45986</v>
      </c>
      <c r="C56" s="5">
        <v>0.61163194444444446</v>
      </c>
      <c r="D56" s="9" t="s">
        <v>4</v>
      </c>
      <c r="E56" s="9" t="s">
        <v>8</v>
      </c>
      <c r="F56" s="9"/>
      <c r="H56" s="9"/>
      <c r="I56" s="9" t="s">
        <v>3040</v>
      </c>
      <c r="J56" s="9" t="s">
        <v>2937</v>
      </c>
      <c r="K56" t="s">
        <v>3041</v>
      </c>
      <c r="L56" t="s">
        <v>3042</v>
      </c>
      <c r="M56" s="3" t="str">
        <f>HYPERLINK(склад2въезд1319[[#This Row],[RelativePath]])</f>
        <v>5 Крыльцо общага\K07156189_22_20251125T144045Z.jpg</v>
      </c>
    </row>
    <row r="57" spans="1:13" x14ac:dyDescent="0.25">
      <c r="A57" s="2" t="s">
        <v>14</v>
      </c>
      <c r="B57" s="4">
        <v>45986</v>
      </c>
      <c r="C57" s="5">
        <v>0.71024305555555556</v>
      </c>
      <c r="D57" s="9" t="s">
        <v>4</v>
      </c>
      <c r="E57" s="9" t="s">
        <v>8</v>
      </c>
      <c r="F57" s="9"/>
      <c r="H57" s="9"/>
      <c r="I57" s="9" t="s">
        <v>3043</v>
      </c>
      <c r="J57" s="9" t="s">
        <v>2937</v>
      </c>
      <c r="K57" t="s">
        <v>3044</v>
      </c>
      <c r="L57" t="s">
        <v>3045</v>
      </c>
      <c r="M57" s="3" t="str">
        <f>HYPERLINK(склад2въезд1319[[#This Row],[RelativePath]])</f>
        <v>5 Крыльцо общага\K07156189_22_20251125T170245Z.jpg</v>
      </c>
    </row>
    <row r="58" spans="1:13" x14ac:dyDescent="0.25">
      <c r="A58" s="2" t="s">
        <v>15</v>
      </c>
      <c r="B58" s="4">
        <v>45987</v>
      </c>
      <c r="C58" s="5">
        <v>0.41302083333333334</v>
      </c>
      <c r="D58" s="9" t="s">
        <v>4</v>
      </c>
      <c r="E58" s="9" t="s">
        <v>8</v>
      </c>
      <c r="F58" s="9"/>
      <c r="H58" s="9"/>
      <c r="I58" s="9" t="s">
        <v>3046</v>
      </c>
      <c r="J58" s="9" t="s">
        <v>2937</v>
      </c>
      <c r="K58" t="s">
        <v>3047</v>
      </c>
      <c r="L58" t="s">
        <v>3048</v>
      </c>
      <c r="M58" s="3" t="str">
        <f>HYPERLINK(склад2въезд1319[[#This Row],[RelativePath]])</f>
        <v>5 Крыльцо общага\K07156189_22_20251126T095445Z.jpg</v>
      </c>
    </row>
    <row r="59" spans="1:13" x14ac:dyDescent="0.25">
      <c r="A59" s="2" t="s">
        <v>16</v>
      </c>
      <c r="B59" s="4">
        <v>45988</v>
      </c>
      <c r="C59" s="5">
        <v>0.64124999999999999</v>
      </c>
      <c r="D59" s="9" t="s">
        <v>4</v>
      </c>
      <c r="E59" s="9" t="s">
        <v>8</v>
      </c>
      <c r="F59" s="9"/>
      <c r="H59" s="9"/>
      <c r="I59" s="9" t="s">
        <v>3049</v>
      </c>
      <c r="J59" s="9" t="s">
        <v>2937</v>
      </c>
      <c r="K59" t="s">
        <v>3050</v>
      </c>
      <c r="L59" t="s">
        <v>3051</v>
      </c>
      <c r="M59" s="3" t="str">
        <f>HYPERLINK(склад2въезд1319[[#This Row],[RelativePath]])</f>
        <v>5 Крыльцо общага\K07156189_22_20251127T152324Z.jpg</v>
      </c>
    </row>
    <row r="60" spans="1:13" x14ac:dyDescent="0.25">
      <c r="A60" s="2" t="s">
        <v>17</v>
      </c>
      <c r="B60" s="4">
        <v>45989</v>
      </c>
      <c r="C60" s="5">
        <v>0.71096064814814819</v>
      </c>
      <c r="D60" s="9" t="s">
        <v>4</v>
      </c>
      <c r="E60" s="9" t="s">
        <v>8</v>
      </c>
      <c r="F60" s="9"/>
      <c r="H60" s="9"/>
      <c r="I60" s="9" t="s">
        <v>3052</v>
      </c>
      <c r="J60" s="9" t="s">
        <v>2937</v>
      </c>
      <c r="K60" t="s">
        <v>3053</v>
      </c>
      <c r="L60" t="s">
        <v>3054</v>
      </c>
      <c r="M60" s="3" t="str">
        <f>HYPERLINK(склад2въезд1319[[#This Row],[RelativePath]])</f>
        <v>5 Крыльцо общага\K07156189_22_20251128T170347Z.jpg</v>
      </c>
    </row>
    <row r="61" spans="1:13" x14ac:dyDescent="0.25">
      <c r="A61" s="2" t="s">
        <v>18</v>
      </c>
      <c r="B61" s="4">
        <v>45990</v>
      </c>
      <c r="C61" s="5">
        <v>0.48421296296296296</v>
      </c>
      <c r="D61" s="9" t="s">
        <v>4</v>
      </c>
      <c r="E61" s="9" t="s">
        <v>8</v>
      </c>
      <c r="F61" s="9"/>
      <c r="H61" s="9"/>
      <c r="I61" s="9" t="s">
        <v>3055</v>
      </c>
      <c r="J61" s="9" t="s">
        <v>2937</v>
      </c>
      <c r="K61" t="s">
        <v>3056</v>
      </c>
      <c r="L61" t="s">
        <v>3057</v>
      </c>
      <c r="M61" s="3" t="str">
        <f>HYPERLINK(склад2въезд1319[[#This Row],[RelativePath]])</f>
        <v>5 Крыльцо общага\K07156189_22_20251129T113716Z.jpg</v>
      </c>
    </row>
    <row r="62" spans="1:13" x14ac:dyDescent="0.25">
      <c r="A62" s="2" t="s">
        <v>22</v>
      </c>
      <c r="B62" s="4">
        <v>45991</v>
      </c>
      <c r="C62" s="5">
        <v>0.69702546296296297</v>
      </c>
      <c r="D62" s="9" t="s">
        <v>1967</v>
      </c>
      <c r="E62" s="9"/>
      <c r="F62" s="9"/>
      <c r="H62" s="9"/>
      <c r="I62" s="9" t="s">
        <v>4210</v>
      </c>
      <c r="J62" s="9" t="s">
        <v>2937</v>
      </c>
      <c r="K62" t="s">
        <v>4211</v>
      </c>
      <c r="L62" t="s">
        <v>4212</v>
      </c>
      <c r="M62" s="3" t="str">
        <f>HYPERLINK(склад2въезд1319[[#This Row],[RelativePath]])</f>
        <v>5 Крыльцо общага\K07156189_22_20251130T164343Z.jpg</v>
      </c>
    </row>
    <row r="63" spans="1:13" x14ac:dyDescent="0.25">
      <c r="A63" s="2" t="s">
        <v>13</v>
      </c>
      <c r="B63" s="4">
        <v>45992</v>
      </c>
      <c r="C63" s="5">
        <v>0.49253472222222222</v>
      </c>
      <c r="D63" s="9" t="s">
        <v>1066</v>
      </c>
      <c r="E63" s="9" t="s">
        <v>4188</v>
      </c>
      <c r="F63" s="9" t="s">
        <v>58</v>
      </c>
      <c r="H63" s="9" t="s">
        <v>5036</v>
      </c>
      <c r="I63" s="9" t="s">
        <v>5031</v>
      </c>
      <c r="J63" s="9" t="s">
        <v>2937</v>
      </c>
      <c r="K63" t="s">
        <v>5032</v>
      </c>
      <c r="L63" t="s">
        <v>4257</v>
      </c>
      <c r="M63" s="3" t="str">
        <f>HYPERLINK(склад2въезд1319[[#This Row],[RelativePath]])</f>
        <v>5 Крыльцо общага\K07156189_22_20251201T114915Z.jpg</v>
      </c>
    </row>
    <row r="64" spans="1:13" x14ac:dyDescent="0.25">
      <c r="A64" s="2" t="s">
        <v>13</v>
      </c>
      <c r="B64" s="4">
        <v>45992</v>
      </c>
      <c r="C64" s="5">
        <v>0.71767361111111116</v>
      </c>
      <c r="D64" s="9" t="s">
        <v>4</v>
      </c>
      <c r="E64" s="9" t="s">
        <v>8</v>
      </c>
      <c r="F64" s="9"/>
      <c r="H64" s="9"/>
      <c r="I64" s="9" t="s">
        <v>4429</v>
      </c>
      <c r="J64" s="9" t="s">
        <v>2937</v>
      </c>
      <c r="K64" t="s">
        <v>4430</v>
      </c>
      <c r="L64" t="s">
        <v>4431</v>
      </c>
      <c r="M64" s="3" t="str">
        <f>HYPERLINK(склад2въезд1319[[#This Row],[RelativePath]])</f>
        <v>5 Крыльцо общага\K07156189_22_20251201T171327Z.jpg</v>
      </c>
    </row>
    <row r="65" spans="1:13" x14ac:dyDescent="0.25">
      <c r="A65" s="2" t="s">
        <v>14</v>
      </c>
      <c r="B65" s="4">
        <v>45993</v>
      </c>
      <c r="C65" s="5">
        <v>0.40729166666666666</v>
      </c>
      <c r="D65" s="9" t="s">
        <v>1578</v>
      </c>
      <c r="E65" s="9" t="s">
        <v>86</v>
      </c>
      <c r="F65" s="9" t="s">
        <v>200</v>
      </c>
      <c r="H65" s="9"/>
      <c r="I65" s="9" t="s">
        <v>4432</v>
      </c>
      <c r="J65" s="9" t="s">
        <v>2937</v>
      </c>
      <c r="K65" t="s">
        <v>4433</v>
      </c>
      <c r="L65" t="s">
        <v>4434</v>
      </c>
      <c r="M65" s="3" t="str">
        <f>HYPERLINK(склад2въезд1319[[#This Row],[RelativePath]])</f>
        <v>5 Крыльцо общага\K07156189_22_20251202T094630Z.jpg</v>
      </c>
    </row>
    <row r="66" spans="1:13" x14ac:dyDescent="0.25">
      <c r="A66" s="2" t="s">
        <v>14</v>
      </c>
      <c r="B66" s="4">
        <v>45993</v>
      </c>
      <c r="C66" s="5">
        <v>0.70496527777777773</v>
      </c>
      <c r="D66" s="9" t="s">
        <v>4</v>
      </c>
      <c r="E66" s="9" t="s">
        <v>8</v>
      </c>
      <c r="F66" s="9"/>
      <c r="H66" s="9"/>
      <c r="I66" s="9" t="s">
        <v>4435</v>
      </c>
      <c r="J66" s="9" t="s">
        <v>2937</v>
      </c>
      <c r="K66" t="s">
        <v>4436</v>
      </c>
      <c r="L66" t="s">
        <v>4437</v>
      </c>
      <c r="M66" s="3" t="str">
        <f>HYPERLINK(склад2въезд1319[[#This Row],[RelativePath]])</f>
        <v>5 Крыльцо общага\K07156189_22_20251202T165509Z.jpg</v>
      </c>
    </row>
    <row r="67" spans="1:13" x14ac:dyDescent="0.25">
      <c r="A67" s="2" t="s">
        <v>15</v>
      </c>
      <c r="B67" s="4">
        <v>45994</v>
      </c>
      <c r="C67" s="5">
        <v>0.37664351851851852</v>
      </c>
      <c r="D67" s="9" t="s">
        <v>1578</v>
      </c>
      <c r="E67" s="9" t="s">
        <v>86</v>
      </c>
      <c r="F67" s="9" t="s">
        <v>200</v>
      </c>
      <c r="H67" s="9"/>
      <c r="I67" s="9" t="s">
        <v>4438</v>
      </c>
      <c r="J67" s="9" t="s">
        <v>2937</v>
      </c>
      <c r="K67" t="s">
        <v>4439</v>
      </c>
      <c r="L67" t="s">
        <v>4440</v>
      </c>
      <c r="M67" s="3" t="str">
        <f>HYPERLINK(склад2въезд1319[[#This Row],[RelativePath]])</f>
        <v>5 Крыльцо общага\K07156189_22_20251203T090222Z.jpg</v>
      </c>
    </row>
    <row r="68" spans="1:13" x14ac:dyDescent="0.25">
      <c r="A68" s="2" t="s">
        <v>15</v>
      </c>
      <c r="B68" s="4">
        <v>45994</v>
      </c>
      <c r="C68" s="5">
        <v>0.39550925925925928</v>
      </c>
      <c r="D68" s="9" t="s">
        <v>1578</v>
      </c>
      <c r="E68" s="9" t="s">
        <v>86</v>
      </c>
      <c r="F68" s="9" t="s">
        <v>5037</v>
      </c>
      <c r="H68" s="9" t="s">
        <v>5038</v>
      </c>
      <c r="I68" s="9" t="s">
        <v>4441</v>
      </c>
      <c r="J68" s="9" t="s">
        <v>2937</v>
      </c>
      <c r="K68" t="s">
        <v>4442</v>
      </c>
      <c r="L68" t="s">
        <v>4443</v>
      </c>
      <c r="M68" s="3" t="str">
        <f>HYPERLINK(склад2въезд1319[[#This Row],[RelativePath]])</f>
        <v>5 Крыльцо общага\K07156189_22_20251203T092932Z.jpg</v>
      </c>
    </row>
    <row r="69" spans="1:13" x14ac:dyDescent="0.25">
      <c r="A69" s="2" t="s">
        <v>15</v>
      </c>
      <c r="B69" s="4">
        <v>45994</v>
      </c>
      <c r="C69" s="5">
        <v>0.40258101851851852</v>
      </c>
      <c r="D69" s="9" t="s">
        <v>1578</v>
      </c>
      <c r="E69" s="9" t="s">
        <v>86</v>
      </c>
      <c r="F69" s="9" t="s">
        <v>200</v>
      </c>
      <c r="H69" s="9"/>
      <c r="I69" s="9" t="s">
        <v>4444</v>
      </c>
      <c r="J69" s="9" t="s">
        <v>2937</v>
      </c>
      <c r="K69" t="s">
        <v>4445</v>
      </c>
      <c r="L69" t="s">
        <v>4446</v>
      </c>
      <c r="M69" s="3" t="str">
        <f>HYPERLINK(склад2въезд1319[[#This Row],[RelativePath]])</f>
        <v>5 Крыльцо общага\K07156189_22_20251203T093943Z.jpg</v>
      </c>
    </row>
    <row r="70" spans="1:13" x14ac:dyDescent="0.25">
      <c r="A70" s="2" t="s">
        <v>15</v>
      </c>
      <c r="B70" s="4">
        <v>45994</v>
      </c>
      <c r="C70" s="5">
        <v>0.48115740740740742</v>
      </c>
      <c r="D70" s="9" t="s">
        <v>1066</v>
      </c>
      <c r="E70" s="9" t="s">
        <v>4188</v>
      </c>
      <c r="F70" s="9" t="s">
        <v>60</v>
      </c>
      <c r="H70" s="9" t="s">
        <v>5036</v>
      </c>
      <c r="I70" s="9" t="s">
        <v>4447</v>
      </c>
      <c r="J70" s="9" t="s">
        <v>2937</v>
      </c>
      <c r="K70" t="s">
        <v>4448</v>
      </c>
      <c r="L70" t="s">
        <v>4449</v>
      </c>
      <c r="M70" s="3" t="str">
        <f>HYPERLINK(склад2въезд1319[[#This Row],[RelativePath]])</f>
        <v>5 Крыльцо общага\K07156189_22_20251203T113252Z.jpg</v>
      </c>
    </row>
    <row r="71" spans="1:13" x14ac:dyDescent="0.25">
      <c r="A71" s="2" t="s">
        <v>15</v>
      </c>
      <c r="B71" s="4">
        <v>45994</v>
      </c>
      <c r="C71" s="5">
        <v>0.50178240740740743</v>
      </c>
      <c r="D71" s="9" t="s">
        <v>1066</v>
      </c>
      <c r="E71" s="9" t="s">
        <v>4188</v>
      </c>
      <c r="F71" s="9" t="s">
        <v>60</v>
      </c>
      <c r="H71" s="9" t="s">
        <v>2891</v>
      </c>
      <c r="I71" s="9" t="s">
        <v>4450</v>
      </c>
      <c r="J71" s="9" t="s">
        <v>2937</v>
      </c>
      <c r="K71" t="s">
        <v>4451</v>
      </c>
      <c r="L71" t="s">
        <v>4452</v>
      </c>
      <c r="M71" s="3" t="str">
        <f>HYPERLINK(склад2въезд1319[[#This Row],[RelativePath]])</f>
        <v>5 Крыльцо общага\K07156189_22_20251203T120234Z.jpg</v>
      </c>
    </row>
    <row r="72" spans="1:13" x14ac:dyDescent="0.25">
      <c r="A72" s="2" t="s">
        <v>15</v>
      </c>
      <c r="B72" s="4">
        <v>45994</v>
      </c>
      <c r="C72" s="5">
        <v>0.51067129629629626</v>
      </c>
      <c r="D72" s="9" t="s">
        <v>4</v>
      </c>
      <c r="E72" s="9" t="s">
        <v>8</v>
      </c>
      <c r="F72" s="9"/>
      <c r="H72" s="9" t="s">
        <v>2891</v>
      </c>
      <c r="I72" s="9" t="s">
        <v>4453</v>
      </c>
      <c r="J72" s="9" t="s">
        <v>2937</v>
      </c>
      <c r="K72" t="s">
        <v>4454</v>
      </c>
      <c r="L72" t="s">
        <v>4455</v>
      </c>
      <c r="M72" s="3" t="str">
        <f>HYPERLINK(склад2въезд1319[[#This Row],[RelativePath]])</f>
        <v>5 Крыльцо общага\K07156189_22_20251203T121522Z.jpg</v>
      </c>
    </row>
    <row r="73" spans="1:13" x14ac:dyDescent="0.25">
      <c r="A73" s="2" t="s">
        <v>15</v>
      </c>
      <c r="B73" s="4">
        <v>45994</v>
      </c>
      <c r="C73" s="5">
        <v>0.53923611111111114</v>
      </c>
      <c r="D73" s="9" t="s">
        <v>4</v>
      </c>
      <c r="E73" s="9" t="s">
        <v>8</v>
      </c>
      <c r="F73" s="9"/>
      <c r="H73" s="9" t="s">
        <v>2891</v>
      </c>
      <c r="I73" s="9" t="s">
        <v>4456</v>
      </c>
      <c r="J73" s="9" t="s">
        <v>2937</v>
      </c>
      <c r="K73" t="s">
        <v>4457</v>
      </c>
      <c r="L73" t="s">
        <v>4458</v>
      </c>
      <c r="M73" s="3" t="str">
        <f>HYPERLINK(склад2въезд1319[[#This Row],[RelativePath]])</f>
        <v>5 Крыльцо общага\K07156189_22_20251203T125630Z.jpg</v>
      </c>
    </row>
    <row r="74" spans="1:13" x14ac:dyDescent="0.25">
      <c r="A74" s="2" t="s">
        <v>15</v>
      </c>
      <c r="B74" s="4">
        <v>45994</v>
      </c>
      <c r="C74" s="5">
        <v>0.71689814814814812</v>
      </c>
      <c r="D74" s="9" t="s">
        <v>4</v>
      </c>
      <c r="E74" s="9" t="s">
        <v>8</v>
      </c>
      <c r="F74" s="9"/>
      <c r="H74" s="9" t="s">
        <v>2891</v>
      </c>
      <c r="I74" s="9" t="s">
        <v>4459</v>
      </c>
      <c r="J74" s="9" t="s">
        <v>2937</v>
      </c>
      <c r="K74" t="s">
        <v>4460</v>
      </c>
      <c r="L74" t="s">
        <v>4461</v>
      </c>
      <c r="M74" s="3" t="str">
        <f>HYPERLINK(склад2въезд1319[[#This Row],[RelativePath]])</f>
        <v>5 Крыльцо общага\K07156189_22_20251203T171220Z.jpg</v>
      </c>
    </row>
    <row r="75" spans="1:13" x14ac:dyDescent="0.25">
      <c r="A75" s="2" t="s">
        <v>16</v>
      </c>
      <c r="B75" s="4">
        <v>45995</v>
      </c>
      <c r="C75" s="5">
        <v>0.54202546296296295</v>
      </c>
      <c r="D75" s="9" t="s">
        <v>1569</v>
      </c>
      <c r="E75" s="9" t="s">
        <v>70</v>
      </c>
      <c r="F75" s="9"/>
      <c r="H75" s="9"/>
      <c r="I75" s="9" t="s">
        <v>4462</v>
      </c>
      <c r="J75" s="9" t="s">
        <v>2937</v>
      </c>
      <c r="K75" t="s">
        <v>4463</v>
      </c>
      <c r="L75" t="s">
        <v>4464</v>
      </c>
      <c r="M75" s="3" t="str">
        <f>HYPERLINK(склад2въезд1319[[#This Row],[RelativePath]])</f>
        <v>5 Крыльцо общага\K07156189_22_20251204T130031Z.jpg</v>
      </c>
    </row>
    <row r="76" spans="1:13" x14ac:dyDescent="0.25">
      <c r="A76" s="2" t="s">
        <v>16</v>
      </c>
      <c r="B76" s="4">
        <v>45995</v>
      </c>
      <c r="C76" s="5">
        <v>0.54268518518518516</v>
      </c>
      <c r="D76" s="9" t="s">
        <v>262</v>
      </c>
      <c r="E76" s="9" t="s">
        <v>70</v>
      </c>
      <c r="F76" s="9" t="s">
        <v>5027</v>
      </c>
      <c r="H76" s="9"/>
      <c r="I76" s="9" t="s">
        <v>4465</v>
      </c>
      <c r="J76" s="9" t="s">
        <v>2937</v>
      </c>
      <c r="K76" t="s">
        <v>4466</v>
      </c>
      <c r="L76" t="s">
        <v>4467</v>
      </c>
      <c r="M76" s="3" t="str">
        <f>HYPERLINK(склад2въезд1319[[#This Row],[RelativePath]])</f>
        <v>5 Крыльцо общага\K07156189_22_20251204T130128Z.jpg</v>
      </c>
    </row>
    <row r="77" spans="1:13" x14ac:dyDescent="0.25">
      <c r="A77" s="2" t="s">
        <v>16</v>
      </c>
      <c r="B77" s="4">
        <v>45995</v>
      </c>
      <c r="C77" s="5">
        <v>0.54381944444444441</v>
      </c>
      <c r="D77" s="9" t="s">
        <v>438</v>
      </c>
      <c r="E77" s="9" t="s">
        <v>86</v>
      </c>
      <c r="F77" s="9" t="s">
        <v>5027</v>
      </c>
      <c r="H77" s="9"/>
      <c r="I77" s="9" t="s">
        <v>4468</v>
      </c>
      <c r="J77" s="9" t="s">
        <v>2937</v>
      </c>
      <c r="K77" t="s">
        <v>4469</v>
      </c>
      <c r="L77" t="s">
        <v>4470</v>
      </c>
      <c r="M77" s="3" t="str">
        <f>HYPERLINK(склад2въезд1319[[#This Row],[RelativePath]])</f>
        <v>5 Крыльцо общага\K07156189_22_20251204T130306Z.jpg</v>
      </c>
    </row>
    <row r="78" spans="1:13" x14ac:dyDescent="0.25">
      <c r="A78" s="2" t="s">
        <v>16</v>
      </c>
      <c r="B78" s="4">
        <v>45995</v>
      </c>
      <c r="C78" s="5">
        <v>0.54417824074074073</v>
      </c>
      <c r="D78" s="9" t="s">
        <v>1578</v>
      </c>
      <c r="E78" s="9" t="s">
        <v>86</v>
      </c>
      <c r="F78" s="9" t="s">
        <v>5027</v>
      </c>
      <c r="H78" s="9"/>
      <c r="I78" s="9" t="s">
        <v>4471</v>
      </c>
      <c r="J78" s="9" t="s">
        <v>2937</v>
      </c>
      <c r="K78" t="s">
        <v>4472</v>
      </c>
      <c r="L78" t="s">
        <v>4473</v>
      </c>
      <c r="M78" s="3" t="str">
        <f>HYPERLINK(склад2въезд1319[[#This Row],[RelativePath]])</f>
        <v>5 Крыльцо общага\K07156189_22_20251204T130337Z.jpg</v>
      </c>
    </row>
    <row r="79" spans="1:13" x14ac:dyDescent="0.25">
      <c r="A79" s="2" t="s">
        <v>16</v>
      </c>
      <c r="B79" s="4">
        <v>45995</v>
      </c>
      <c r="C79" s="5">
        <v>0.55098379629629635</v>
      </c>
      <c r="D79" s="9" t="s">
        <v>438</v>
      </c>
      <c r="E79" s="9" t="s">
        <v>86</v>
      </c>
      <c r="F79" s="9" t="s">
        <v>5027</v>
      </c>
      <c r="H79" s="9"/>
      <c r="I79" s="9" t="s">
        <v>5033</v>
      </c>
      <c r="J79" s="9" t="s">
        <v>2937</v>
      </c>
      <c r="K79" t="s">
        <v>5034</v>
      </c>
      <c r="L79" t="s">
        <v>5035</v>
      </c>
      <c r="M79" s="3" t="str">
        <f>HYPERLINK(склад2въезд1319[[#This Row],[RelativePath]])</f>
        <v>5 Крыльцо общага\K07156189_22_20251204T131325Z.jpg</v>
      </c>
    </row>
    <row r="80" spans="1:13" x14ac:dyDescent="0.25">
      <c r="A80" s="2" t="s">
        <v>16</v>
      </c>
      <c r="B80" s="4">
        <v>45995</v>
      </c>
      <c r="C80" s="5">
        <v>0.55311342592592594</v>
      </c>
      <c r="D80" s="9" t="s">
        <v>5039</v>
      </c>
      <c r="E80" s="9"/>
      <c r="F80" s="9"/>
      <c r="H80" s="9"/>
      <c r="I80" s="9" t="s">
        <v>4474</v>
      </c>
      <c r="J80" s="9" t="s">
        <v>2937</v>
      </c>
      <c r="K80" t="s">
        <v>4475</v>
      </c>
      <c r="L80" t="s">
        <v>4476</v>
      </c>
      <c r="M80" s="3" t="str">
        <f>HYPERLINK(склад2въезд1319[[#This Row],[RelativePath]])</f>
        <v>5 Крыльцо общага\K07156189_22_20251204T131629Z.jpg</v>
      </c>
    </row>
    <row r="81" spans="1:13" x14ac:dyDescent="0.25">
      <c r="A81" s="2" t="s">
        <v>16</v>
      </c>
      <c r="B81" s="4">
        <v>45995</v>
      </c>
      <c r="C81" s="5">
        <v>0.55371527777777774</v>
      </c>
      <c r="D81" s="9" t="s">
        <v>1578</v>
      </c>
      <c r="E81" s="9" t="s">
        <v>86</v>
      </c>
      <c r="F81" s="9" t="s">
        <v>5027</v>
      </c>
      <c r="H81" s="9"/>
      <c r="I81" s="9" t="s">
        <v>4477</v>
      </c>
      <c r="J81" s="9" t="s">
        <v>2937</v>
      </c>
      <c r="K81" t="s">
        <v>4478</v>
      </c>
      <c r="L81" t="s">
        <v>4479</v>
      </c>
      <c r="M81" s="3" t="str">
        <f>HYPERLINK(склад2въезд1319[[#This Row],[RelativePath]])</f>
        <v>5 Крыльцо общага\K07156189_22_20251204T131721Z.jpg</v>
      </c>
    </row>
    <row r="82" spans="1:13" x14ac:dyDescent="0.25">
      <c r="A82" s="2" t="s">
        <v>16</v>
      </c>
      <c r="B82" s="4">
        <v>45995</v>
      </c>
      <c r="C82" s="5">
        <v>0.72380787037037042</v>
      </c>
      <c r="D82" s="9" t="s">
        <v>4</v>
      </c>
      <c r="E82" s="9" t="s">
        <v>8</v>
      </c>
      <c r="F82" s="9"/>
      <c r="H82" s="9"/>
      <c r="I82" s="9" t="s">
        <v>4480</v>
      </c>
      <c r="J82" s="9" t="s">
        <v>2937</v>
      </c>
      <c r="K82" t="s">
        <v>4481</v>
      </c>
      <c r="L82" t="s">
        <v>4482</v>
      </c>
      <c r="M82" s="3" t="str">
        <f>HYPERLINK(склад2въезд1319[[#This Row],[RelativePath]])</f>
        <v>5 Крыльцо общага\K07156189_22_20251204T172217Z.jpg</v>
      </c>
    </row>
    <row r="83" spans="1:13" x14ac:dyDescent="0.25">
      <c r="A83" s="2" t="s">
        <v>17</v>
      </c>
      <c r="B83" s="4">
        <v>45996</v>
      </c>
      <c r="C83" s="5">
        <v>0.58357638888888885</v>
      </c>
      <c r="D83" s="9" t="s">
        <v>1569</v>
      </c>
      <c r="E83" s="9" t="s">
        <v>70</v>
      </c>
      <c r="F83" s="9"/>
      <c r="H83" s="9"/>
      <c r="I83" s="9" t="s">
        <v>4483</v>
      </c>
      <c r="J83" s="9" t="s">
        <v>2937</v>
      </c>
      <c r="K83" t="s">
        <v>4484</v>
      </c>
      <c r="L83" t="s">
        <v>4485</v>
      </c>
      <c r="M83" s="3" t="str">
        <f>HYPERLINK(склад2въезд1319[[#This Row],[RelativePath]])</f>
        <v>5 Крыльцо общага\K07156189_22_20251205T140021Z.jpg</v>
      </c>
    </row>
    <row r="84" spans="1:13" x14ac:dyDescent="0.25">
      <c r="A84" s="2" t="s">
        <v>17</v>
      </c>
      <c r="B84" s="4">
        <v>45996</v>
      </c>
      <c r="C84" s="5">
        <v>0.58858796296296301</v>
      </c>
      <c r="D84" s="9" t="s">
        <v>1569</v>
      </c>
      <c r="E84" s="9" t="s">
        <v>55</v>
      </c>
      <c r="F84" s="9"/>
      <c r="H84" s="9"/>
      <c r="I84" s="9" t="s">
        <v>4486</v>
      </c>
      <c r="J84" s="9" t="s">
        <v>2937</v>
      </c>
      <c r="K84" t="s">
        <v>4487</v>
      </c>
      <c r="L84" t="s">
        <v>4488</v>
      </c>
      <c r="M84" s="3" t="str">
        <f>HYPERLINK(склад2въезд1319[[#This Row],[RelativePath]])</f>
        <v>5 Крыльцо общага\K07156189_22_20251205T140734Z.jpg</v>
      </c>
    </row>
    <row r="85" spans="1:13" x14ac:dyDescent="0.25">
      <c r="A85" s="2" t="s">
        <v>17</v>
      </c>
      <c r="B85" s="4">
        <v>45996</v>
      </c>
      <c r="C85" s="5">
        <v>0.59570601851851857</v>
      </c>
      <c r="D85" s="9" t="s">
        <v>262</v>
      </c>
      <c r="E85" s="9" t="s">
        <v>70</v>
      </c>
      <c r="F85" s="9" t="s">
        <v>5027</v>
      </c>
      <c r="H85" s="9"/>
      <c r="I85" s="9" t="s">
        <v>4489</v>
      </c>
      <c r="J85" s="9" t="s">
        <v>2937</v>
      </c>
      <c r="K85" t="s">
        <v>4490</v>
      </c>
      <c r="L85" t="s">
        <v>4491</v>
      </c>
      <c r="M85" s="3" t="str">
        <f>HYPERLINK(склад2въезд1319[[#This Row],[RelativePath]])</f>
        <v>5 Крыльцо общага\K07156189_22_20251205T141749Z.jpg</v>
      </c>
    </row>
    <row r="86" spans="1:13" x14ac:dyDescent="0.25">
      <c r="A86" s="2" t="s">
        <v>17</v>
      </c>
      <c r="B86" s="4">
        <v>45996</v>
      </c>
      <c r="C86" s="5">
        <v>0.67054398148148153</v>
      </c>
      <c r="D86" s="9" t="s">
        <v>4</v>
      </c>
      <c r="E86" s="9" t="s">
        <v>8</v>
      </c>
      <c r="F86" s="9"/>
      <c r="H86" s="9"/>
      <c r="I86" s="9" t="s">
        <v>4492</v>
      </c>
      <c r="J86" s="9" t="s">
        <v>2937</v>
      </c>
      <c r="K86" t="s">
        <v>4493</v>
      </c>
      <c r="L86" t="s">
        <v>4494</v>
      </c>
      <c r="M86" s="3" t="str">
        <f>HYPERLINK(склад2въезд1319[[#This Row],[RelativePath]])</f>
        <v>5 Крыльцо общага\K07156189_22_20251205T160535Z.jpg</v>
      </c>
    </row>
    <row r="87" spans="1:13" x14ac:dyDescent="0.25">
      <c r="A87" s="2" t="s">
        <v>18</v>
      </c>
      <c r="B87" s="4">
        <v>45997</v>
      </c>
      <c r="C87" s="5">
        <v>0.69755787037037043</v>
      </c>
      <c r="D87" s="9" t="s">
        <v>1967</v>
      </c>
      <c r="E87" s="9"/>
      <c r="F87" s="9"/>
      <c r="H87" s="9"/>
      <c r="I87" s="9" t="s">
        <v>4495</v>
      </c>
      <c r="J87" s="9" t="s">
        <v>2937</v>
      </c>
      <c r="K87" t="s">
        <v>4496</v>
      </c>
      <c r="L87" t="s">
        <v>4497</v>
      </c>
      <c r="M87" s="3" t="str">
        <f>HYPERLINK(склад2въезд1319[[#This Row],[RelativePath]])</f>
        <v>5 Крыльцо общага\K07156189_22_20251206T164429Z.jpg</v>
      </c>
    </row>
    <row r="88" spans="1:13" x14ac:dyDescent="0.25">
      <c r="A88" s="2" t="s">
        <v>22</v>
      </c>
      <c r="B88" s="4">
        <v>45998</v>
      </c>
      <c r="C88" s="5">
        <v>0.61542824074074076</v>
      </c>
      <c r="D88" s="9" t="s">
        <v>1569</v>
      </c>
      <c r="E88" s="9" t="s">
        <v>5196</v>
      </c>
      <c r="F88" s="9" t="s">
        <v>4174</v>
      </c>
      <c r="H88" s="9"/>
      <c r="I88" s="9" t="s">
        <v>5081</v>
      </c>
      <c r="J88" s="9" t="s">
        <v>2937</v>
      </c>
      <c r="K88" t="s">
        <v>5082</v>
      </c>
      <c r="L88" t="s">
        <v>5083</v>
      </c>
      <c r="M88" s="3" t="str">
        <f>HYPERLINK(склад2въезд1319[[#This Row],[RelativePath]])</f>
        <v>5 Крыльцо общага\K07156189_22_20251207T144613Z.jpg</v>
      </c>
    </row>
    <row r="89" spans="1:13" x14ac:dyDescent="0.25">
      <c r="A89" s="2" t="s">
        <v>22</v>
      </c>
      <c r="B89" s="4">
        <v>45998</v>
      </c>
      <c r="C89" s="5">
        <v>0.61756944444444439</v>
      </c>
      <c r="D89" s="9" t="s">
        <v>261</v>
      </c>
      <c r="E89" s="9" t="s">
        <v>5196</v>
      </c>
      <c r="F89" s="9" t="s">
        <v>5027</v>
      </c>
      <c r="H89" s="9"/>
      <c r="I89" s="9" t="s">
        <v>5084</v>
      </c>
      <c r="J89" s="9" t="s">
        <v>2937</v>
      </c>
      <c r="K89" t="s">
        <v>5085</v>
      </c>
      <c r="L89" t="s">
        <v>5086</v>
      </c>
      <c r="M89" s="3" t="str">
        <f>HYPERLINK(склад2въезд1319[[#This Row],[RelativePath]])</f>
        <v>5 Крыльцо общага\K07156189_22_20251207T144918Z.jpg</v>
      </c>
    </row>
    <row r="90" spans="1:13" x14ac:dyDescent="0.25">
      <c r="A90" s="2" t="s">
        <v>22</v>
      </c>
      <c r="B90" s="4">
        <v>45998</v>
      </c>
      <c r="C90" s="5">
        <v>0.62070601851851848</v>
      </c>
      <c r="D90" s="9" t="s">
        <v>261</v>
      </c>
      <c r="E90" s="9" t="s">
        <v>5196</v>
      </c>
      <c r="F90" s="9" t="s">
        <v>5027</v>
      </c>
      <c r="H90" s="9" t="s">
        <v>2891</v>
      </c>
      <c r="I90" s="9" t="s">
        <v>5087</v>
      </c>
      <c r="J90" s="9" t="s">
        <v>2937</v>
      </c>
      <c r="K90" t="s">
        <v>5088</v>
      </c>
      <c r="L90" t="s">
        <v>5089</v>
      </c>
      <c r="M90" s="3" t="str">
        <f>HYPERLINK(склад2въезд1319[[#This Row],[RelativePath]])</f>
        <v>5 Крыльцо общага\K07156189_22_20251207T145349Z.jpg</v>
      </c>
    </row>
    <row r="91" spans="1:13" x14ac:dyDescent="0.25">
      <c r="A91" s="2" t="s">
        <v>22</v>
      </c>
      <c r="B91" s="4">
        <v>45998</v>
      </c>
      <c r="C91" s="5">
        <v>0.62306712962962962</v>
      </c>
      <c r="D91" s="9" t="s">
        <v>261</v>
      </c>
      <c r="E91" s="9" t="s">
        <v>5196</v>
      </c>
      <c r="F91" s="9" t="s">
        <v>5027</v>
      </c>
      <c r="H91" s="9" t="s">
        <v>2891</v>
      </c>
      <c r="I91" s="9" t="s">
        <v>5090</v>
      </c>
      <c r="J91" s="9" t="s">
        <v>2937</v>
      </c>
      <c r="K91" t="s">
        <v>5091</v>
      </c>
      <c r="L91" t="s">
        <v>5092</v>
      </c>
      <c r="M91" s="3" t="str">
        <f>HYPERLINK(склад2въезд1319[[#This Row],[RelativePath]])</f>
        <v>5 Крыльцо общага\K07156189_22_20251207T145713Z.jpg</v>
      </c>
    </row>
    <row r="92" spans="1:13" x14ac:dyDescent="0.25">
      <c r="A92" s="2" t="s">
        <v>22</v>
      </c>
      <c r="B92" s="4">
        <v>45998</v>
      </c>
      <c r="C92" s="5">
        <v>0.62668981481481478</v>
      </c>
      <c r="D92" s="9" t="s">
        <v>261</v>
      </c>
      <c r="E92" s="9" t="s">
        <v>5196</v>
      </c>
      <c r="F92" s="9" t="s">
        <v>5027</v>
      </c>
      <c r="H92" s="9" t="s">
        <v>2891</v>
      </c>
      <c r="I92" s="9" t="s">
        <v>5093</v>
      </c>
      <c r="J92" s="9" t="s">
        <v>2937</v>
      </c>
      <c r="K92" t="s">
        <v>5094</v>
      </c>
      <c r="L92" t="s">
        <v>5095</v>
      </c>
      <c r="M92" s="3" t="str">
        <f>HYPERLINK(склад2въезд1319[[#This Row],[RelativePath]])</f>
        <v>5 Крыльцо общага\K07156189_22_20251207T150226Z.jpg</v>
      </c>
    </row>
    <row r="93" spans="1:13" x14ac:dyDescent="0.25">
      <c r="A93" s="2" t="s">
        <v>22</v>
      </c>
      <c r="B93" s="4">
        <v>45998</v>
      </c>
      <c r="C93" s="5">
        <v>0.62921296296296292</v>
      </c>
      <c r="D93" s="9" t="s">
        <v>261</v>
      </c>
      <c r="E93" s="9" t="s">
        <v>5196</v>
      </c>
      <c r="F93" s="9" t="s">
        <v>5027</v>
      </c>
      <c r="H93" s="9" t="s">
        <v>2891</v>
      </c>
      <c r="I93" s="9" t="s">
        <v>5096</v>
      </c>
      <c r="J93" s="9" t="s">
        <v>2937</v>
      </c>
      <c r="K93" t="s">
        <v>5097</v>
      </c>
      <c r="L93" t="s">
        <v>5098</v>
      </c>
      <c r="M93" s="3" t="str">
        <f>HYPERLINK(склад2въезд1319[[#This Row],[RelativePath]])</f>
        <v>5 Крыльцо общага\K07156189_22_20251207T150604Z.jpg</v>
      </c>
    </row>
    <row r="94" spans="1:13" x14ac:dyDescent="0.25">
      <c r="A94" s="2" t="s">
        <v>22</v>
      </c>
      <c r="B94" s="4">
        <v>45998</v>
      </c>
      <c r="C94" s="5">
        <v>0.63689814814814816</v>
      </c>
      <c r="D94" s="9" t="s">
        <v>261</v>
      </c>
      <c r="E94" s="9" t="s">
        <v>5196</v>
      </c>
      <c r="F94" s="9" t="s">
        <v>5027</v>
      </c>
      <c r="H94" s="9" t="s">
        <v>2891</v>
      </c>
      <c r="I94" s="9" t="s">
        <v>5099</v>
      </c>
      <c r="J94" s="9" t="s">
        <v>2937</v>
      </c>
      <c r="K94" t="s">
        <v>5100</v>
      </c>
      <c r="L94" t="s">
        <v>5101</v>
      </c>
      <c r="M94" s="3" t="str">
        <f>HYPERLINK(склад2въезд1319[[#This Row],[RelativePath]])</f>
        <v>5 Крыльцо общага\K07156189_22_20251207T151708Z.jpg</v>
      </c>
    </row>
    <row r="95" spans="1:13" x14ac:dyDescent="0.25">
      <c r="A95" s="2" t="s">
        <v>22</v>
      </c>
      <c r="B95" s="4">
        <v>45998</v>
      </c>
      <c r="C95" s="5">
        <v>0.6521527777777778</v>
      </c>
      <c r="D95" s="9" t="s">
        <v>4173</v>
      </c>
      <c r="E95" s="9" t="s">
        <v>5196</v>
      </c>
      <c r="F95" s="9" t="s">
        <v>1572</v>
      </c>
      <c r="H95" s="9"/>
      <c r="I95" s="9" t="s">
        <v>5102</v>
      </c>
      <c r="J95" s="9" t="s">
        <v>2937</v>
      </c>
      <c r="K95" t="s">
        <v>5103</v>
      </c>
      <c r="L95" t="s">
        <v>5104</v>
      </c>
      <c r="M95" s="3" t="str">
        <f>HYPERLINK(склад2въезд1319[[#This Row],[RelativePath]])</f>
        <v>5 Крыльцо общага\K07156189_22_20251207T153906Z.jpg</v>
      </c>
    </row>
    <row r="96" spans="1:13" x14ac:dyDescent="0.25">
      <c r="A96" s="2" t="s">
        <v>22</v>
      </c>
      <c r="B96" s="4">
        <v>45998</v>
      </c>
      <c r="C96" s="5">
        <v>0.67266203703703709</v>
      </c>
      <c r="D96" s="9" t="s">
        <v>622</v>
      </c>
      <c r="E96" s="9" t="s">
        <v>5196</v>
      </c>
      <c r="F96" s="9" t="s">
        <v>1572</v>
      </c>
      <c r="H96" s="9"/>
      <c r="I96" s="9" t="s">
        <v>5105</v>
      </c>
      <c r="J96" s="9" t="s">
        <v>2937</v>
      </c>
      <c r="K96" t="s">
        <v>5106</v>
      </c>
      <c r="L96" t="s">
        <v>5107</v>
      </c>
      <c r="M96" s="3" t="str">
        <f>HYPERLINK(склад2въезд1319[[#This Row],[RelativePath]])</f>
        <v>5 Крыльцо общага\K07156189_22_20251207T160838Z.jpg</v>
      </c>
    </row>
    <row r="97" spans="1:13" x14ac:dyDescent="0.25">
      <c r="A97" s="2" t="s">
        <v>13</v>
      </c>
      <c r="B97" s="4">
        <v>45999</v>
      </c>
      <c r="C97" s="5">
        <v>0.55046296296296293</v>
      </c>
      <c r="D97" s="9" t="s">
        <v>4</v>
      </c>
      <c r="E97" s="9" t="s">
        <v>8</v>
      </c>
      <c r="F97" s="9"/>
      <c r="H97" s="9"/>
      <c r="I97" s="9" t="s">
        <v>5235</v>
      </c>
      <c r="J97" s="9" t="s">
        <v>2937</v>
      </c>
      <c r="K97" t="s">
        <v>5236</v>
      </c>
      <c r="L97" t="s">
        <v>5237</v>
      </c>
      <c r="M97" s="3" t="str">
        <f>HYPERLINK(склад2въезд1319[[#This Row],[RelativePath]])</f>
        <v>5 Крыльцо общага\K07156189_22_20251208T131240Z.jpg</v>
      </c>
    </row>
    <row r="98" spans="1:13" x14ac:dyDescent="0.25">
      <c r="A98" s="2" t="s">
        <v>13</v>
      </c>
      <c r="B98" s="4">
        <v>45999</v>
      </c>
      <c r="C98" s="5">
        <v>0.73291666666666666</v>
      </c>
      <c r="D98" s="9" t="s">
        <v>1967</v>
      </c>
      <c r="E98" s="9" t="s">
        <v>8</v>
      </c>
      <c r="F98" s="9"/>
      <c r="H98" s="9"/>
      <c r="I98" s="9" t="s">
        <v>5238</v>
      </c>
      <c r="J98" s="9" t="s">
        <v>2937</v>
      </c>
      <c r="K98" t="s">
        <v>5239</v>
      </c>
      <c r="L98" t="s">
        <v>5240</v>
      </c>
      <c r="M98" s="3" t="str">
        <f>HYPERLINK(склад2въезд1319[[#This Row],[RelativePath]])</f>
        <v>5 Крыльцо общага\K07156189_22_20251208T173524Z.jpg</v>
      </c>
    </row>
    <row r="99" spans="1:13" x14ac:dyDescent="0.25">
      <c r="A99" s="2" t="s">
        <v>14</v>
      </c>
      <c r="B99" s="4">
        <v>46000</v>
      </c>
      <c r="C99" s="5">
        <v>0.67679398148148151</v>
      </c>
      <c r="D99" s="9" t="s">
        <v>1967</v>
      </c>
      <c r="E99" s="9" t="s">
        <v>8</v>
      </c>
      <c r="F99" s="9"/>
      <c r="H99" s="9"/>
      <c r="I99" s="9" t="s">
        <v>5635</v>
      </c>
      <c r="J99" s="9" t="s">
        <v>2937</v>
      </c>
      <c r="K99" t="s">
        <v>5636</v>
      </c>
      <c r="L99" t="s">
        <v>5637</v>
      </c>
      <c r="M99" s="3" t="str">
        <f>HYPERLINK(склад2въезд1319[[#This Row],[RelativePath]])</f>
        <v>5 Крыльцо общага\K07156189_22_20251209T161435Z.jpg</v>
      </c>
    </row>
    <row r="100" spans="1:13" x14ac:dyDescent="0.25">
      <c r="A100" s="2" t="s">
        <v>15</v>
      </c>
      <c r="B100" s="4">
        <v>46001</v>
      </c>
      <c r="C100" s="5">
        <v>0.46962962962962962</v>
      </c>
      <c r="D100" s="9" t="s">
        <v>4</v>
      </c>
      <c r="E100" s="9" t="s">
        <v>1570</v>
      </c>
      <c r="F100" s="9" t="s">
        <v>6096</v>
      </c>
      <c r="H100" s="9"/>
      <c r="I100" s="9" t="s">
        <v>5638</v>
      </c>
      <c r="J100" s="9" t="s">
        <v>2937</v>
      </c>
      <c r="K100" t="s">
        <v>5639</v>
      </c>
      <c r="L100" t="s">
        <v>5640</v>
      </c>
      <c r="M100" s="3" t="str">
        <f>HYPERLINK(склад2въезд1319[[#This Row],[RelativePath]])</f>
        <v>5 Крыльцо общага\K07156189_22_20251210T111616Z.jpg</v>
      </c>
    </row>
    <row r="101" spans="1:13" x14ac:dyDescent="0.25">
      <c r="A101" s="2" t="s">
        <v>15</v>
      </c>
      <c r="B101" s="4">
        <v>46001</v>
      </c>
      <c r="C101" s="5">
        <v>0.67755787037037041</v>
      </c>
      <c r="D101" s="9" t="s">
        <v>1967</v>
      </c>
      <c r="E101" s="9" t="s">
        <v>8</v>
      </c>
      <c r="F101" s="9"/>
      <c r="H101" s="9"/>
      <c r="I101" s="9" t="s">
        <v>5641</v>
      </c>
      <c r="J101" s="9" t="s">
        <v>2937</v>
      </c>
      <c r="K101" t="s">
        <v>5642</v>
      </c>
      <c r="L101" t="s">
        <v>5643</v>
      </c>
      <c r="M101" s="3" t="str">
        <f>HYPERLINK(склад2въезд1319[[#This Row],[RelativePath]])</f>
        <v>5 Крыльцо общага\K07156189_22_20251210T161541Z.jpg</v>
      </c>
    </row>
    <row r="102" spans="1:13" x14ac:dyDescent="0.25">
      <c r="A102" s="2" t="s">
        <v>16</v>
      </c>
      <c r="B102" s="4">
        <v>46002</v>
      </c>
      <c r="C102" s="5">
        <v>0.71579861111111109</v>
      </c>
      <c r="D102" s="9" t="s">
        <v>1967</v>
      </c>
      <c r="E102" s="9" t="s">
        <v>8</v>
      </c>
      <c r="F102" s="9"/>
      <c r="H102" s="9"/>
      <c r="I102" s="9" t="s">
        <v>5779</v>
      </c>
      <c r="J102" s="9" t="s">
        <v>2937</v>
      </c>
      <c r="K102" t="s">
        <v>5780</v>
      </c>
      <c r="L102" t="s">
        <v>5781</v>
      </c>
      <c r="M102" s="3" t="str">
        <f>HYPERLINK(склад2въезд1319[[#This Row],[RelativePath]])</f>
        <v>5 Крыльцо общага\K07156189_22_20251211T171045Z.jpg</v>
      </c>
    </row>
    <row r="103" spans="1:13" x14ac:dyDescent="0.25">
      <c r="A103" s="2" t="s">
        <v>17</v>
      </c>
      <c r="B103" s="4">
        <v>46003</v>
      </c>
      <c r="C103" s="5">
        <v>0.42681712962962964</v>
      </c>
      <c r="D103" s="9" t="s">
        <v>4</v>
      </c>
      <c r="E103" s="9" t="s">
        <v>55</v>
      </c>
      <c r="F103" s="9" t="s">
        <v>51</v>
      </c>
      <c r="H103" s="9"/>
      <c r="I103" s="9" t="s">
        <v>5782</v>
      </c>
      <c r="J103" s="9" t="s">
        <v>2937</v>
      </c>
      <c r="K103" t="s">
        <v>5783</v>
      </c>
      <c r="L103" t="s">
        <v>5784</v>
      </c>
      <c r="M103" s="3" t="str">
        <f>HYPERLINK(склад2въезд1319[[#This Row],[RelativePath]])</f>
        <v>5 Крыльцо общага\K07156189_22_20251212T101437Z.jpg</v>
      </c>
    </row>
    <row r="104" spans="1:13" x14ac:dyDescent="0.25">
      <c r="A104" s="2" t="s">
        <v>17</v>
      </c>
      <c r="B104" s="4">
        <v>46003</v>
      </c>
      <c r="C104" s="5">
        <v>0.44232638888888887</v>
      </c>
      <c r="D104" s="9" t="s">
        <v>622</v>
      </c>
      <c r="E104" s="9" t="s">
        <v>55</v>
      </c>
      <c r="F104" s="9" t="s">
        <v>51</v>
      </c>
      <c r="H104" s="9" t="s">
        <v>6097</v>
      </c>
      <c r="I104" s="9" t="s">
        <v>5785</v>
      </c>
      <c r="J104" s="9" t="s">
        <v>2937</v>
      </c>
      <c r="K104" t="s">
        <v>5786</v>
      </c>
      <c r="L104" t="s">
        <v>5787</v>
      </c>
      <c r="M104" s="3" t="str">
        <f>HYPERLINK(склад2въезд1319[[#This Row],[RelativePath]])</f>
        <v>5 Крыльцо общага\K07156189_22_20251212T103657Z.jpg</v>
      </c>
    </row>
    <row r="105" spans="1:13" x14ac:dyDescent="0.25">
      <c r="A105" s="2" t="s">
        <v>17</v>
      </c>
      <c r="B105" s="4">
        <v>46003</v>
      </c>
      <c r="C105" s="5">
        <v>0.70789351851851856</v>
      </c>
      <c r="D105" s="9" t="s">
        <v>4</v>
      </c>
      <c r="E105" s="9" t="s">
        <v>8</v>
      </c>
      <c r="F105" s="9"/>
      <c r="H105" s="9"/>
      <c r="I105" s="9" t="s">
        <v>5788</v>
      </c>
      <c r="J105" s="9" t="s">
        <v>2937</v>
      </c>
      <c r="K105" t="s">
        <v>5789</v>
      </c>
      <c r="L105" t="s">
        <v>5790</v>
      </c>
      <c r="M105" s="3" t="str">
        <f>HYPERLINK(склад2въезд1319[[#This Row],[RelativePath]])</f>
        <v>5 Крыльцо общага\K07156189_22_20251212T165922Z.jpg</v>
      </c>
    </row>
    <row r="106" spans="1:13" x14ac:dyDescent="0.25">
      <c r="A106" s="2" t="s">
        <v>18</v>
      </c>
      <c r="B106" s="4">
        <v>46004</v>
      </c>
      <c r="C106" s="5">
        <v>0.72607638888888892</v>
      </c>
      <c r="D106" s="9" t="s">
        <v>1967</v>
      </c>
      <c r="E106" s="9" t="s">
        <v>8</v>
      </c>
      <c r="F106" s="9"/>
      <c r="H106" s="9"/>
      <c r="I106" s="9" t="s">
        <v>5995</v>
      </c>
      <c r="J106" s="9" t="s">
        <v>2937</v>
      </c>
      <c r="K106" t="s">
        <v>5996</v>
      </c>
      <c r="L106" t="s">
        <v>5997</v>
      </c>
      <c r="M106" s="3" t="str">
        <f>HYPERLINK(склад2въезд1319[[#This Row],[RelativePath]])</f>
        <v>5 Крыльцо общага\K07156189_22_20251213T172533Z.jpg</v>
      </c>
    </row>
    <row r="107" spans="1:13" x14ac:dyDescent="0.25">
      <c r="A107" s="2" t="s">
        <v>22</v>
      </c>
      <c r="B107" s="4">
        <v>46005</v>
      </c>
      <c r="C107" s="5">
        <v>0.69568287037037035</v>
      </c>
      <c r="D107" s="9" t="s">
        <v>1967</v>
      </c>
      <c r="E107" s="9" t="s">
        <v>8</v>
      </c>
      <c r="F107" s="9"/>
      <c r="H107" s="9"/>
      <c r="I107" s="9" t="s">
        <v>6124</v>
      </c>
      <c r="J107" s="9" t="s">
        <v>2937</v>
      </c>
      <c r="K107" t="s">
        <v>6125</v>
      </c>
      <c r="L107" t="s">
        <v>6126</v>
      </c>
      <c r="M107" s="3" t="str">
        <f>HYPERLINK(склад2въезд1319[[#This Row],[RelativePath]])</f>
        <v>5 Крыльцо общага\K07156189_22_20251214T164147Z.jpg</v>
      </c>
    </row>
    <row r="108" spans="1:13" x14ac:dyDescent="0.25">
      <c r="A108" s="2" t="s">
        <v>13</v>
      </c>
      <c r="B108" s="4">
        <v>46006</v>
      </c>
      <c r="C108" s="5">
        <v>0.53778935185185184</v>
      </c>
      <c r="D108" s="9" t="s">
        <v>1569</v>
      </c>
      <c r="E108" s="9" t="s">
        <v>70</v>
      </c>
      <c r="F108" s="9"/>
      <c r="H108" s="9"/>
      <c r="I108" s="9" t="s">
        <v>6233</v>
      </c>
      <c r="J108" s="9" t="s">
        <v>2937</v>
      </c>
      <c r="K108" t="s">
        <v>6234</v>
      </c>
      <c r="L108" t="s">
        <v>6235</v>
      </c>
      <c r="M108" s="3" t="str">
        <f>HYPERLINK(склад2въезд1319[[#This Row],[RelativePath]])</f>
        <v>5 Крыльцо общага\K07156189_22_20251215T125425Z.jpg</v>
      </c>
    </row>
    <row r="109" spans="1:13" x14ac:dyDescent="0.25">
      <c r="A109" s="2" t="s">
        <v>13</v>
      </c>
      <c r="B109" s="4">
        <v>46006</v>
      </c>
      <c r="C109" s="5">
        <v>0.54005787037037034</v>
      </c>
      <c r="D109" s="9" t="s">
        <v>4</v>
      </c>
      <c r="E109" s="9" t="s">
        <v>6260</v>
      </c>
      <c r="F109" s="9"/>
      <c r="H109" s="9"/>
      <c r="I109" s="9" t="s">
        <v>6236</v>
      </c>
      <c r="J109" s="9" t="s">
        <v>2937</v>
      </c>
      <c r="K109" t="s">
        <v>6237</v>
      </c>
      <c r="L109" t="s">
        <v>6238</v>
      </c>
      <c r="M109" s="3" t="str">
        <f>HYPERLINK(склад2въезд1319[[#This Row],[RelativePath]])</f>
        <v>5 Крыльцо общага\K07156189_22_20251215T125741Z.jpg</v>
      </c>
    </row>
    <row r="110" spans="1:13" x14ac:dyDescent="0.25">
      <c r="A110" s="2" t="s">
        <v>14</v>
      </c>
      <c r="B110" s="4">
        <v>46007</v>
      </c>
      <c r="C110" s="5">
        <v>0.73010416666666667</v>
      </c>
      <c r="D110" s="9" t="s">
        <v>1967</v>
      </c>
      <c r="E110" s="9" t="s">
        <v>8</v>
      </c>
      <c r="F110" s="9"/>
      <c r="H110" s="9"/>
      <c r="I110" s="9" t="s">
        <v>6481</v>
      </c>
      <c r="J110" s="9" t="s">
        <v>2937</v>
      </c>
      <c r="K110" t="s">
        <v>6482</v>
      </c>
      <c r="L110" t="s">
        <v>6483</v>
      </c>
      <c r="M110" s="3" t="str">
        <f>HYPERLINK(склад2въезд1319[[#This Row],[RelativePath]])</f>
        <v>5 Крыльцо общага\K07156189_22_20251216T173121Z.jpg</v>
      </c>
    </row>
    <row r="111" spans="1:13" x14ac:dyDescent="0.25">
      <c r="A111" s="2" t="s">
        <v>15</v>
      </c>
      <c r="B111" s="4">
        <v>46008</v>
      </c>
      <c r="C111" s="5">
        <v>0.67895833333333333</v>
      </c>
      <c r="D111" s="9" t="s">
        <v>1967</v>
      </c>
      <c r="E111" s="9" t="s">
        <v>8</v>
      </c>
      <c r="F111" s="9"/>
      <c r="H111" s="9"/>
      <c r="I111" s="9" t="s">
        <v>6628</v>
      </c>
      <c r="J111" s="9" t="s">
        <v>2937</v>
      </c>
      <c r="K111" t="s">
        <v>6629</v>
      </c>
      <c r="L111" t="s">
        <v>6630</v>
      </c>
      <c r="M111" s="3" t="str">
        <f>HYPERLINK(склад2въезд1319[[#This Row],[RelativePath]])</f>
        <v>5 Крыльцо общага\K07156189_22_20251217T161742Z.jpg</v>
      </c>
    </row>
    <row r="112" spans="1:13" x14ac:dyDescent="0.25">
      <c r="A112" s="2" t="s">
        <v>16</v>
      </c>
      <c r="B112" s="4">
        <v>46009</v>
      </c>
      <c r="C112" s="5">
        <v>0.4611574074074074</v>
      </c>
      <c r="D112" s="9" t="s">
        <v>4</v>
      </c>
      <c r="E112" s="9" t="s">
        <v>8</v>
      </c>
      <c r="F112" s="9"/>
      <c r="H112" s="9"/>
      <c r="I112" s="9" t="s">
        <v>7053</v>
      </c>
      <c r="J112" s="9" t="s">
        <v>2937</v>
      </c>
      <c r="K112" t="s">
        <v>7054</v>
      </c>
      <c r="L112" t="s">
        <v>7055</v>
      </c>
      <c r="M112" s="3" t="str">
        <f>HYPERLINK(склад2въезд1319[[#This Row],[RelativePath]])</f>
        <v>5 Крыльцо общага\K07156189_22_20251218T110404Z.jpg</v>
      </c>
    </row>
    <row r="113" spans="1:13" x14ac:dyDescent="0.25">
      <c r="A113" s="2" t="s">
        <v>16</v>
      </c>
      <c r="B113" s="4">
        <v>46009</v>
      </c>
      <c r="C113" s="5">
        <v>0.57344907407407408</v>
      </c>
      <c r="D113" s="9" t="s">
        <v>623</v>
      </c>
      <c r="E113" s="9" t="s">
        <v>4188</v>
      </c>
      <c r="F113" s="9"/>
      <c r="H113" s="9"/>
      <c r="I113" s="9" t="s">
        <v>7056</v>
      </c>
      <c r="J113" s="9" t="s">
        <v>2937</v>
      </c>
      <c r="K113" t="s">
        <v>7057</v>
      </c>
      <c r="L113" t="s">
        <v>7058</v>
      </c>
      <c r="M113" s="3" t="str">
        <f>HYPERLINK(склад2въезд1319[[#This Row],[RelativePath]])</f>
        <v>5 Крыльцо общага\K07156189_22_20251218T134546Z.jpg</v>
      </c>
    </row>
    <row r="114" spans="1:13" x14ac:dyDescent="0.25">
      <c r="A114" s="2" t="s">
        <v>16</v>
      </c>
      <c r="B114" s="4">
        <v>46009</v>
      </c>
      <c r="C114" s="5">
        <v>0.63399305555555552</v>
      </c>
      <c r="D114" s="9" t="s">
        <v>12</v>
      </c>
      <c r="E114" s="9" t="s">
        <v>1570</v>
      </c>
      <c r="F114" s="9"/>
      <c r="H114" s="9"/>
      <c r="I114" s="9" t="s">
        <v>7059</v>
      </c>
      <c r="J114" s="9" t="s">
        <v>2937</v>
      </c>
      <c r="K114" t="s">
        <v>7060</v>
      </c>
      <c r="L114" t="s">
        <v>7061</v>
      </c>
      <c r="M114" s="3" t="str">
        <f>HYPERLINK(склад2въезд1319[[#This Row],[RelativePath]])</f>
        <v>5 Крыльцо общага\K07156189_22_20251218T151257Z.jpg</v>
      </c>
    </row>
    <row r="115" spans="1:13" x14ac:dyDescent="0.25">
      <c r="A115" s="2" t="s">
        <v>16</v>
      </c>
      <c r="B115" s="4">
        <v>46009</v>
      </c>
      <c r="C115" s="5">
        <v>0.70430555555555552</v>
      </c>
      <c r="D115" s="9" t="s">
        <v>4</v>
      </c>
      <c r="E115" s="9" t="s">
        <v>8</v>
      </c>
      <c r="F115" s="9"/>
      <c r="H115" s="9"/>
      <c r="I115" s="9" t="s">
        <v>7062</v>
      </c>
      <c r="J115" s="9" t="s">
        <v>2937</v>
      </c>
      <c r="K115" t="s">
        <v>7063</v>
      </c>
      <c r="L115" t="s">
        <v>7064</v>
      </c>
      <c r="M115" s="3" t="str">
        <f>HYPERLINK(склад2въезд1319[[#This Row],[RelativePath]])</f>
        <v>5 Крыльцо общага\K07156189_22_20251218T165412Z.jpg</v>
      </c>
    </row>
    <row r="116" spans="1:13" x14ac:dyDescent="0.25">
      <c r="A116" s="2" t="s">
        <v>17</v>
      </c>
      <c r="B116" s="4">
        <v>46010</v>
      </c>
      <c r="C116" s="5">
        <v>0.74128472222222219</v>
      </c>
      <c r="D116" s="9" t="s">
        <v>1967</v>
      </c>
      <c r="E116" s="9" t="s">
        <v>8</v>
      </c>
      <c r="F116" s="9"/>
      <c r="H116" s="9"/>
      <c r="I116" s="9" t="s">
        <v>7065</v>
      </c>
      <c r="J116" s="9" t="s">
        <v>2937</v>
      </c>
      <c r="K116" t="s">
        <v>7066</v>
      </c>
      <c r="L116" t="s">
        <v>7067</v>
      </c>
      <c r="M116" s="3" t="str">
        <f>HYPERLINK(склад2въезд1319[[#This Row],[RelativePath]])</f>
        <v>5 Крыльцо общага\K07156189_22_20251219T174727Z.jpg</v>
      </c>
    </row>
    <row r="117" spans="1:13" x14ac:dyDescent="0.25">
      <c r="A117" s="2" t="s">
        <v>18</v>
      </c>
      <c r="B117" s="4">
        <v>46011</v>
      </c>
      <c r="C117" s="5">
        <v>0.61216435185185181</v>
      </c>
      <c r="D117" s="9" t="s">
        <v>1967</v>
      </c>
      <c r="E117" s="9" t="s">
        <v>8</v>
      </c>
      <c r="F117" s="9"/>
      <c r="H117" s="9"/>
      <c r="I117" s="9" t="s">
        <v>7068</v>
      </c>
      <c r="J117" s="9" t="s">
        <v>2937</v>
      </c>
      <c r="K117" t="s">
        <v>7069</v>
      </c>
      <c r="L117" t="s">
        <v>7070</v>
      </c>
      <c r="M117" s="3" t="str">
        <f>HYPERLINK(склад2въезд1319[[#This Row],[RelativePath]])</f>
        <v>5 Крыльцо общага\K07156189_22_20251220T144131Z.jpg</v>
      </c>
    </row>
    <row r="118" spans="1:13" x14ac:dyDescent="0.25">
      <c r="A118" s="2" t="s">
        <v>22</v>
      </c>
      <c r="B118" s="4">
        <v>46012</v>
      </c>
      <c r="C118" s="5">
        <v>0.72064814814814815</v>
      </c>
      <c r="D118" s="9" t="s">
        <v>1967</v>
      </c>
      <c r="E118" s="9" t="s">
        <v>8</v>
      </c>
      <c r="F118" s="9"/>
      <c r="H118" s="9"/>
      <c r="I118" s="9" t="s">
        <v>7086</v>
      </c>
      <c r="J118" s="9" t="s">
        <v>2937</v>
      </c>
      <c r="K118" t="s">
        <v>7087</v>
      </c>
      <c r="L118" t="s">
        <v>7088</v>
      </c>
      <c r="M118" s="3" t="str">
        <f>HYPERLINK(склад2въезд1319[[#This Row],[RelativePath]])</f>
        <v>5 Крыльцо общага\K07156189_22_20251221T171744Z.jpg</v>
      </c>
    </row>
    <row r="119" spans="1:13" x14ac:dyDescent="0.25">
      <c r="A119" s="2" t="s">
        <v>13</v>
      </c>
      <c r="B119" s="4">
        <v>46013</v>
      </c>
      <c r="C119" s="5">
        <v>0.56562500000000004</v>
      </c>
      <c r="D119" s="9" t="s">
        <v>12</v>
      </c>
      <c r="E119" s="9" t="s">
        <v>1570</v>
      </c>
      <c r="F119" s="9"/>
      <c r="H119" s="9"/>
      <c r="I119" s="9" t="s">
        <v>7227</v>
      </c>
      <c r="J119" s="9" t="s">
        <v>2937</v>
      </c>
      <c r="K119" t="s">
        <v>7228</v>
      </c>
      <c r="L119" t="s">
        <v>7229</v>
      </c>
      <c r="M119" s="3" t="str">
        <f>HYPERLINK(склад2въезд1319[[#This Row],[RelativePath]])</f>
        <v>5 Крыльцо общага\K07156189_22_20251222T133430Z.jpg</v>
      </c>
    </row>
    <row r="120" spans="1:13" x14ac:dyDescent="0.25">
      <c r="A120" s="2" t="s">
        <v>13</v>
      </c>
      <c r="B120" s="4">
        <v>46013</v>
      </c>
      <c r="C120" s="5">
        <v>0.73623842592592592</v>
      </c>
      <c r="D120" s="9" t="s">
        <v>1967</v>
      </c>
      <c r="E120" s="9" t="s">
        <v>8</v>
      </c>
      <c r="F120" s="9"/>
      <c r="H120" s="9"/>
      <c r="I120" s="9" t="s">
        <v>7230</v>
      </c>
      <c r="J120" s="9" t="s">
        <v>2937</v>
      </c>
      <c r="K120" t="s">
        <v>7231</v>
      </c>
      <c r="L120" t="s">
        <v>7232</v>
      </c>
      <c r="M120" s="3" t="str">
        <f>HYPERLINK(склад2въезд1319[[#This Row],[RelativePath]])</f>
        <v>5 Крыльцо общага\K07156189_22_20251222T174011Z.jpg</v>
      </c>
    </row>
    <row r="121" spans="1:13" x14ac:dyDescent="0.25">
      <c r="A121" s="2" t="s">
        <v>14</v>
      </c>
      <c r="B121" s="4">
        <v>46014</v>
      </c>
      <c r="C121" s="5">
        <v>0.71311342592592597</v>
      </c>
      <c r="D121" s="9" t="s">
        <v>1967</v>
      </c>
      <c r="E121" s="9" t="s">
        <v>8</v>
      </c>
      <c r="F121" s="9"/>
      <c r="H121" s="9"/>
      <c r="I121" s="9" t="s">
        <v>7233</v>
      </c>
      <c r="J121" s="9" t="s">
        <v>2937</v>
      </c>
      <c r="K121" t="s">
        <v>7234</v>
      </c>
      <c r="L121" t="s">
        <v>7235</v>
      </c>
      <c r="M121" s="3" t="str">
        <f>HYPERLINK(склад2въезд1319[[#This Row],[RelativePath]])</f>
        <v>5 Крыльцо общага\K07156189_22_20251223T170653Z.jpg</v>
      </c>
    </row>
    <row r="122" spans="1:13" x14ac:dyDescent="0.25">
      <c r="A122" s="2" t="s">
        <v>14</v>
      </c>
      <c r="B122" s="4">
        <v>46014</v>
      </c>
      <c r="C122" s="5">
        <v>0.76155092592592588</v>
      </c>
      <c r="D122" s="9" t="s">
        <v>4157</v>
      </c>
      <c r="E122" s="9" t="s">
        <v>7320</v>
      </c>
      <c r="F122" s="9" t="s">
        <v>60</v>
      </c>
      <c r="H122" s="9"/>
      <c r="I122" s="9" t="s">
        <v>7236</v>
      </c>
      <c r="J122" s="9" t="s">
        <v>2937</v>
      </c>
      <c r="K122" t="s">
        <v>7237</v>
      </c>
      <c r="L122" t="s">
        <v>7238</v>
      </c>
      <c r="M122" s="3" t="str">
        <f>HYPERLINK(склад2въезд1319[[#This Row],[RelativePath]])</f>
        <v>5 Крыльцо общага\K07156189_22_20251223T181638Z.jpg</v>
      </c>
    </row>
    <row r="123" spans="1:13" x14ac:dyDescent="0.25">
      <c r="A123" s="2" t="s">
        <v>14</v>
      </c>
      <c r="B123" s="4">
        <v>46014</v>
      </c>
      <c r="C123" s="5">
        <v>0.7619097222222222</v>
      </c>
      <c r="D123" s="9" t="s">
        <v>4157</v>
      </c>
      <c r="E123" s="9" t="s">
        <v>7320</v>
      </c>
      <c r="F123" s="9" t="s">
        <v>60</v>
      </c>
      <c r="H123" s="9"/>
      <c r="I123" s="9" t="s">
        <v>7239</v>
      </c>
      <c r="J123" s="9" t="s">
        <v>2937</v>
      </c>
      <c r="K123" t="s">
        <v>7240</v>
      </c>
      <c r="L123" t="s">
        <v>7241</v>
      </c>
      <c r="M123" s="3" t="str">
        <f>HYPERLINK(склад2въезд1319[[#This Row],[RelativePath]])</f>
        <v>5 Крыльцо общага\K07156189_22_20251223T181709Z.jpg</v>
      </c>
    </row>
    <row r="124" spans="1:13" x14ac:dyDescent="0.25">
      <c r="A124" s="2" t="s">
        <v>14</v>
      </c>
      <c r="B124" s="4">
        <v>46014</v>
      </c>
      <c r="C124" s="5">
        <v>0.77127314814814818</v>
      </c>
      <c r="D124" s="9" t="s">
        <v>262</v>
      </c>
      <c r="E124" s="9" t="s">
        <v>86</v>
      </c>
      <c r="F124" s="9" t="s">
        <v>60</v>
      </c>
      <c r="G124">
        <v>4</v>
      </c>
      <c r="H124" s="9"/>
      <c r="I124" s="9" t="s">
        <v>7242</v>
      </c>
      <c r="J124" s="9" t="s">
        <v>2937</v>
      </c>
      <c r="K124" t="s">
        <v>7243</v>
      </c>
      <c r="L124" t="s">
        <v>7244</v>
      </c>
      <c r="M124" s="3" t="str">
        <f>HYPERLINK(склад2въезд1319[[#This Row],[RelativePath]])</f>
        <v>5 Крыльцо общага\K07156189_22_20251223T183038Z.jpg</v>
      </c>
    </row>
    <row r="125" spans="1:13" x14ac:dyDescent="0.25">
      <c r="A125" s="2" t="s">
        <v>14</v>
      </c>
      <c r="B125" s="4">
        <v>46014</v>
      </c>
      <c r="C125" s="5">
        <v>0.77180555555555552</v>
      </c>
      <c r="D125" s="9" t="s">
        <v>1066</v>
      </c>
      <c r="E125" s="9" t="s">
        <v>86</v>
      </c>
      <c r="F125" s="9" t="s">
        <v>60</v>
      </c>
      <c r="H125" s="9" t="s">
        <v>448</v>
      </c>
      <c r="I125" s="9" t="s">
        <v>7245</v>
      </c>
      <c r="J125" s="9" t="s">
        <v>2937</v>
      </c>
      <c r="K125" t="s">
        <v>7246</v>
      </c>
      <c r="L125" t="s">
        <v>7247</v>
      </c>
      <c r="M125" s="3" t="str">
        <f>HYPERLINK(склад2въезд1319[[#This Row],[RelativePath]])</f>
        <v>5 Крыльцо общага\K07156189_22_20251223T183124Z.jpg</v>
      </c>
    </row>
    <row r="126" spans="1:13" x14ac:dyDescent="0.25">
      <c r="A126" s="2" t="s">
        <v>14</v>
      </c>
      <c r="B126" s="4">
        <v>46014</v>
      </c>
      <c r="C126" s="5">
        <v>0.77366898148148144</v>
      </c>
      <c r="D126" s="9" t="s">
        <v>262</v>
      </c>
      <c r="E126" s="9" t="s">
        <v>86</v>
      </c>
      <c r="F126" s="9" t="s">
        <v>60</v>
      </c>
      <c r="G126">
        <v>1</v>
      </c>
      <c r="H126" s="9"/>
      <c r="I126" s="9" t="s">
        <v>7248</v>
      </c>
      <c r="J126" s="9" t="s">
        <v>2937</v>
      </c>
      <c r="K126" t="s">
        <v>7249</v>
      </c>
      <c r="L126" t="s">
        <v>7250</v>
      </c>
      <c r="M126" s="3" t="str">
        <f>HYPERLINK(склад2въезд1319[[#This Row],[RelativePath]])</f>
        <v>5 Крыльцо общага\K07156189_22_20251223T183405Z.jpg</v>
      </c>
    </row>
    <row r="127" spans="1:13" x14ac:dyDescent="0.25">
      <c r="A127" s="2" t="s">
        <v>14</v>
      </c>
      <c r="B127" s="4">
        <v>46014</v>
      </c>
      <c r="C127" s="5">
        <v>0.77568287037037043</v>
      </c>
      <c r="D127" s="9" t="s">
        <v>262</v>
      </c>
      <c r="E127" s="9" t="s">
        <v>86</v>
      </c>
      <c r="F127" s="9" t="s">
        <v>60</v>
      </c>
      <c r="G127">
        <v>4</v>
      </c>
      <c r="H127" s="9"/>
      <c r="I127" s="9" t="s">
        <v>7251</v>
      </c>
      <c r="J127" s="9" t="s">
        <v>2937</v>
      </c>
      <c r="K127" t="s">
        <v>7252</v>
      </c>
      <c r="L127" t="s">
        <v>7253</v>
      </c>
      <c r="M127" s="3" t="str">
        <f>HYPERLINK(склад2въезд1319[[#This Row],[RelativePath]])</f>
        <v>5 Крыльцо общага\K07156189_22_20251223T183659Z.jpg</v>
      </c>
    </row>
    <row r="128" spans="1:13" x14ac:dyDescent="0.25">
      <c r="A128" s="2" t="s">
        <v>14</v>
      </c>
      <c r="B128" s="4">
        <v>46014</v>
      </c>
      <c r="C128" s="5">
        <v>0.77767361111111111</v>
      </c>
      <c r="D128" s="9" t="s">
        <v>262</v>
      </c>
      <c r="E128" s="9" t="s">
        <v>86</v>
      </c>
      <c r="F128" s="9" t="s">
        <v>60</v>
      </c>
      <c r="G128">
        <v>2</v>
      </c>
      <c r="H128" s="9"/>
      <c r="I128" s="9" t="s">
        <v>7254</v>
      </c>
      <c r="J128" s="9" t="s">
        <v>2937</v>
      </c>
      <c r="K128" t="s">
        <v>7255</v>
      </c>
      <c r="L128" t="s">
        <v>7256</v>
      </c>
      <c r="M128" s="3" t="str">
        <f>HYPERLINK(склад2въезд1319[[#This Row],[RelativePath]])</f>
        <v>5 Крыльцо общага\K07156189_22_20251223T183951Z.jpg</v>
      </c>
    </row>
    <row r="129" spans="1:13" x14ac:dyDescent="0.25">
      <c r="A129" s="2" t="s">
        <v>14</v>
      </c>
      <c r="B129" s="4">
        <v>46014</v>
      </c>
      <c r="C129" s="5">
        <v>0.77987268518518515</v>
      </c>
      <c r="D129" s="9" t="s">
        <v>262</v>
      </c>
      <c r="E129" s="9" t="s">
        <v>86</v>
      </c>
      <c r="F129" s="9" t="s">
        <v>60</v>
      </c>
      <c r="G129">
        <v>3</v>
      </c>
      <c r="H129" s="9"/>
      <c r="I129" s="9" t="s">
        <v>7257</v>
      </c>
      <c r="J129" s="9" t="s">
        <v>2937</v>
      </c>
      <c r="K129" t="s">
        <v>7258</v>
      </c>
      <c r="L129" t="s">
        <v>7259</v>
      </c>
      <c r="M129" s="3" t="str">
        <f>HYPERLINK(склад2въезд1319[[#This Row],[RelativePath]])</f>
        <v>5 Крыльцо общага\K07156189_22_20251223T184301Z.jpg</v>
      </c>
    </row>
    <row r="130" spans="1:13" x14ac:dyDescent="0.25">
      <c r="A130" s="2" t="s">
        <v>14</v>
      </c>
      <c r="B130" s="4">
        <v>46014</v>
      </c>
      <c r="C130" s="5">
        <v>0.7815509259259259</v>
      </c>
      <c r="D130" s="9" t="s">
        <v>262</v>
      </c>
      <c r="E130" s="9" t="s">
        <v>86</v>
      </c>
      <c r="F130" s="9" t="s">
        <v>60</v>
      </c>
      <c r="G130">
        <v>3</v>
      </c>
      <c r="H130" s="9"/>
      <c r="I130" s="9" t="s">
        <v>7260</v>
      </c>
      <c r="J130" s="9" t="s">
        <v>2937</v>
      </c>
      <c r="K130" t="s">
        <v>7261</v>
      </c>
      <c r="L130" t="s">
        <v>7262</v>
      </c>
      <c r="M130" s="3" t="str">
        <f>HYPERLINK(склад2въезд1319[[#This Row],[RelativePath]])</f>
        <v>5 Крыльцо общага\K07156189_22_20251223T184526Z.jpg</v>
      </c>
    </row>
    <row r="131" spans="1:13" x14ac:dyDescent="0.25">
      <c r="A131" s="2" t="s">
        <v>14</v>
      </c>
      <c r="B131" s="4">
        <v>46014</v>
      </c>
      <c r="C131" s="5">
        <v>0.78365740740740741</v>
      </c>
      <c r="D131" s="9" t="s">
        <v>262</v>
      </c>
      <c r="E131" s="9" t="s">
        <v>86</v>
      </c>
      <c r="F131" s="9" t="s">
        <v>60</v>
      </c>
      <c r="G131">
        <v>2</v>
      </c>
      <c r="H131" s="9"/>
      <c r="I131" s="9" t="s">
        <v>7263</v>
      </c>
      <c r="J131" s="9" t="s">
        <v>2937</v>
      </c>
      <c r="K131" t="s">
        <v>7264</v>
      </c>
      <c r="L131" t="s">
        <v>7265</v>
      </c>
      <c r="M131" s="3" t="str">
        <f>HYPERLINK(склад2въезд1319[[#This Row],[RelativePath]])</f>
        <v>5 Крыльцо общага\K07156189_22_20251223T184828Z.jpg</v>
      </c>
    </row>
    <row r="132" spans="1:13" x14ac:dyDescent="0.25">
      <c r="A132" s="2" t="s">
        <v>14</v>
      </c>
      <c r="B132" s="4">
        <v>46014</v>
      </c>
      <c r="C132" s="5">
        <v>0.78548611111111111</v>
      </c>
      <c r="D132" s="9" t="s">
        <v>262</v>
      </c>
      <c r="E132" s="9" t="s">
        <v>86</v>
      </c>
      <c r="F132" s="9" t="s">
        <v>60</v>
      </c>
      <c r="G132">
        <v>2</v>
      </c>
      <c r="H132" s="9"/>
      <c r="I132" s="9" t="s">
        <v>7266</v>
      </c>
      <c r="J132" s="9" t="s">
        <v>2937</v>
      </c>
      <c r="K132" t="s">
        <v>7267</v>
      </c>
      <c r="L132" t="s">
        <v>7268</v>
      </c>
      <c r="M132" s="3" t="str">
        <f>HYPERLINK(склад2въезд1319[[#This Row],[RelativePath]])</f>
        <v>5 Крыльцо общага\K07156189_22_20251223T185106Z.jpg</v>
      </c>
    </row>
    <row r="133" spans="1:13" x14ac:dyDescent="0.25">
      <c r="A133" s="2" t="s">
        <v>14</v>
      </c>
      <c r="B133" s="4">
        <v>46014</v>
      </c>
      <c r="C133" s="5">
        <v>0.78778935185185184</v>
      </c>
      <c r="D133" s="9" t="s">
        <v>262</v>
      </c>
      <c r="E133" s="9" t="s">
        <v>86</v>
      </c>
      <c r="F133" s="9" t="s">
        <v>60</v>
      </c>
      <c r="G133">
        <v>2</v>
      </c>
      <c r="H133" s="9"/>
      <c r="I133" s="9" t="s">
        <v>7269</v>
      </c>
      <c r="J133" s="9" t="s">
        <v>2937</v>
      </c>
      <c r="K133" t="s">
        <v>7270</v>
      </c>
      <c r="L133" t="s">
        <v>7271</v>
      </c>
      <c r="M133" s="3" t="str">
        <f>HYPERLINK(склад2въезд1319[[#This Row],[RelativePath]])</f>
        <v>5 Крыльцо общага\K07156189_22_20251223T185425Z.jpg</v>
      </c>
    </row>
    <row r="134" spans="1:13" x14ac:dyDescent="0.25">
      <c r="A134" s="2" t="s">
        <v>14</v>
      </c>
      <c r="B134" s="4">
        <v>46014</v>
      </c>
      <c r="C134" s="5">
        <v>0.78930555555555559</v>
      </c>
      <c r="D134" s="9" t="s">
        <v>262</v>
      </c>
      <c r="E134" s="9" t="s">
        <v>86</v>
      </c>
      <c r="F134" s="9" t="s">
        <v>60</v>
      </c>
      <c r="G134">
        <v>1</v>
      </c>
      <c r="H134" s="9"/>
      <c r="I134" s="9" t="s">
        <v>7272</v>
      </c>
      <c r="J134" s="9" t="s">
        <v>2937</v>
      </c>
      <c r="K134" t="s">
        <v>7273</v>
      </c>
      <c r="L134" t="s">
        <v>7274</v>
      </c>
      <c r="M134" s="3" t="str">
        <f>HYPERLINK(склад2въезд1319[[#This Row],[RelativePath]])</f>
        <v>5 Крыльцо общага\K07156189_22_20251223T185636Z.jpg</v>
      </c>
    </row>
    <row r="135" spans="1:13" x14ac:dyDescent="0.25">
      <c r="A135" s="2" t="s">
        <v>14</v>
      </c>
      <c r="B135" s="4">
        <v>46014</v>
      </c>
      <c r="C135" s="5">
        <v>0.79090277777777773</v>
      </c>
      <c r="D135" s="9" t="s">
        <v>262</v>
      </c>
      <c r="E135" s="9" t="s">
        <v>86</v>
      </c>
      <c r="F135" s="9" t="s">
        <v>60</v>
      </c>
      <c r="G135">
        <v>2</v>
      </c>
      <c r="H135" s="9"/>
      <c r="I135" s="9" t="s">
        <v>7275</v>
      </c>
      <c r="J135" s="9" t="s">
        <v>2937</v>
      </c>
      <c r="K135" t="s">
        <v>7276</v>
      </c>
      <c r="L135" t="s">
        <v>7277</v>
      </c>
      <c r="M135" s="3" t="str">
        <f>HYPERLINK(склад2въезд1319[[#This Row],[RelativePath]])</f>
        <v>5 Крыльцо общага\K07156189_22_20251223T185854Z.jpg</v>
      </c>
    </row>
    <row r="136" spans="1:13" x14ac:dyDescent="0.25">
      <c r="A136" s="2" t="s">
        <v>14</v>
      </c>
      <c r="B136" s="4">
        <v>46014</v>
      </c>
      <c r="C136" s="5">
        <v>0.79326388888888888</v>
      </c>
      <c r="D136" s="9" t="s">
        <v>262</v>
      </c>
      <c r="E136" s="9" t="s">
        <v>86</v>
      </c>
      <c r="F136" s="9" t="s">
        <v>60</v>
      </c>
      <c r="G136">
        <v>4</v>
      </c>
      <c r="H136" s="9"/>
      <c r="I136" s="9" t="s">
        <v>7278</v>
      </c>
      <c r="J136" s="9" t="s">
        <v>2937</v>
      </c>
      <c r="K136" t="s">
        <v>7279</v>
      </c>
      <c r="L136" t="s">
        <v>7280</v>
      </c>
      <c r="M136" s="3" t="str">
        <f>HYPERLINK(склад2въезд1319[[#This Row],[RelativePath]])</f>
        <v>5 Крыльцо общага\K07156189_22_20251223T190218Z.jpg</v>
      </c>
    </row>
    <row r="137" spans="1:13" x14ac:dyDescent="0.25">
      <c r="A137" s="2" t="s">
        <v>14</v>
      </c>
      <c r="B137" s="4">
        <v>46014</v>
      </c>
      <c r="C137" s="5">
        <v>0.79494212962962962</v>
      </c>
      <c r="D137" s="9" t="s">
        <v>262</v>
      </c>
      <c r="E137" s="9" t="s">
        <v>86</v>
      </c>
      <c r="F137" s="9" t="s">
        <v>60</v>
      </c>
      <c r="G137">
        <v>2</v>
      </c>
      <c r="H137" s="9"/>
      <c r="I137" s="9" t="s">
        <v>7281</v>
      </c>
      <c r="J137" s="9" t="s">
        <v>2937</v>
      </c>
      <c r="K137" t="s">
        <v>7282</v>
      </c>
      <c r="L137" t="s">
        <v>7283</v>
      </c>
      <c r="M137" s="3" t="str">
        <f>HYPERLINK(склад2въезд1319[[#This Row],[RelativePath]])</f>
        <v>5 Крыльцо общага\K07156189_22_20251223T190443Z.jpg</v>
      </c>
    </row>
    <row r="138" spans="1:13" x14ac:dyDescent="0.25">
      <c r="A138" s="2" t="s">
        <v>14</v>
      </c>
      <c r="B138" s="4">
        <v>46014</v>
      </c>
      <c r="C138" s="5">
        <v>0.79706018518518518</v>
      </c>
      <c r="D138" s="9" t="s">
        <v>262</v>
      </c>
      <c r="E138" s="9" t="s">
        <v>86</v>
      </c>
      <c r="F138" s="9" t="s">
        <v>60</v>
      </c>
      <c r="G138">
        <v>2</v>
      </c>
      <c r="H138" s="9"/>
      <c r="I138" s="9" t="s">
        <v>7284</v>
      </c>
      <c r="J138" s="9" t="s">
        <v>2937</v>
      </c>
      <c r="K138" t="s">
        <v>7285</v>
      </c>
      <c r="L138" t="s">
        <v>7286</v>
      </c>
      <c r="M138" s="3" t="str">
        <f>HYPERLINK(склад2въезд1319[[#This Row],[RelativePath]])</f>
        <v>5 Крыльцо общага\K07156189_22_20251223T190746Z.jpg</v>
      </c>
    </row>
    <row r="139" spans="1:13" x14ac:dyDescent="0.25">
      <c r="A139" s="2" t="s">
        <v>14</v>
      </c>
      <c r="B139" s="4">
        <v>46014</v>
      </c>
      <c r="C139" s="5">
        <v>0.79859953703703701</v>
      </c>
      <c r="D139" s="9" t="s">
        <v>262</v>
      </c>
      <c r="E139" s="9" t="s">
        <v>86</v>
      </c>
      <c r="F139" s="9" t="s">
        <v>60</v>
      </c>
      <c r="G139">
        <v>3</v>
      </c>
      <c r="H139" s="9"/>
      <c r="I139" s="9" t="s">
        <v>7287</v>
      </c>
      <c r="J139" s="9" t="s">
        <v>2937</v>
      </c>
      <c r="K139" t="s">
        <v>7288</v>
      </c>
      <c r="L139" t="s">
        <v>7289</v>
      </c>
      <c r="M139" s="3" t="str">
        <f>HYPERLINK(склад2въезд1319[[#This Row],[RelativePath]])</f>
        <v>5 Крыльцо общага\K07156189_22_20251223T190959Z.jpg</v>
      </c>
    </row>
    <row r="140" spans="1:13" x14ac:dyDescent="0.25">
      <c r="A140" s="2" t="s">
        <v>14</v>
      </c>
      <c r="B140" s="4">
        <v>46014</v>
      </c>
      <c r="C140" s="5">
        <v>0.80021990740740745</v>
      </c>
      <c r="D140" s="9" t="s">
        <v>262</v>
      </c>
      <c r="E140" s="9" t="s">
        <v>86</v>
      </c>
      <c r="F140" s="9" t="s">
        <v>60</v>
      </c>
      <c r="G140">
        <v>3</v>
      </c>
      <c r="H140" s="9"/>
      <c r="I140" s="9" t="s">
        <v>7290</v>
      </c>
      <c r="J140" s="9" t="s">
        <v>2937</v>
      </c>
      <c r="K140" t="s">
        <v>7291</v>
      </c>
      <c r="L140" t="s">
        <v>7292</v>
      </c>
      <c r="M140" s="3" t="str">
        <f>HYPERLINK(склад2въезд1319[[#This Row],[RelativePath]])</f>
        <v>5 Крыльцо общага\K07156189_22_20251223T191219Z.jpg</v>
      </c>
    </row>
    <row r="141" spans="1:13" x14ac:dyDescent="0.25">
      <c r="A141" s="2" t="s">
        <v>14</v>
      </c>
      <c r="B141" s="4">
        <v>46014</v>
      </c>
      <c r="C141" s="5">
        <v>0.80193287037037042</v>
      </c>
      <c r="D141" s="9" t="s">
        <v>262</v>
      </c>
      <c r="E141" s="9" t="s">
        <v>86</v>
      </c>
      <c r="F141" s="9" t="s">
        <v>60</v>
      </c>
      <c r="G141">
        <v>2</v>
      </c>
      <c r="H141" s="9"/>
      <c r="I141" s="9" t="s">
        <v>7293</v>
      </c>
      <c r="J141" s="9" t="s">
        <v>2937</v>
      </c>
      <c r="K141" t="s">
        <v>7294</v>
      </c>
      <c r="L141" t="s">
        <v>7295</v>
      </c>
      <c r="M141" s="3" t="str">
        <f>HYPERLINK(склад2въезд1319[[#This Row],[RelativePath]])</f>
        <v>5 Крыльцо общага\K07156189_22_20251223T191447Z.jpg</v>
      </c>
    </row>
    <row r="142" spans="1:13" x14ac:dyDescent="0.25">
      <c r="A142" s="2" t="s">
        <v>14</v>
      </c>
      <c r="B142" s="4">
        <v>46014</v>
      </c>
      <c r="C142" s="5">
        <v>0.80354166666666671</v>
      </c>
      <c r="D142" s="9" t="s">
        <v>262</v>
      </c>
      <c r="E142" s="9" t="s">
        <v>86</v>
      </c>
      <c r="F142" s="9" t="s">
        <v>60</v>
      </c>
      <c r="G142">
        <v>4</v>
      </c>
      <c r="H142" s="9"/>
      <c r="I142" s="9" t="s">
        <v>7296</v>
      </c>
      <c r="J142" s="9" t="s">
        <v>2937</v>
      </c>
      <c r="K142" t="s">
        <v>7297</v>
      </c>
      <c r="L142" t="s">
        <v>7298</v>
      </c>
      <c r="M142" s="3" t="str">
        <f>HYPERLINK(склад2въезд1319[[#This Row],[RelativePath]])</f>
        <v>5 Крыльцо общага\K07156189_22_20251223T191706Z.jpg</v>
      </c>
    </row>
    <row r="143" spans="1:13" x14ac:dyDescent="0.25">
      <c r="A143" s="2" t="s">
        <v>14</v>
      </c>
      <c r="B143" s="4">
        <v>46014</v>
      </c>
      <c r="C143" s="5">
        <v>0.80531249999999999</v>
      </c>
      <c r="D143" s="9" t="s">
        <v>262</v>
      </c>
      <c r="E143" s="9" t="s">
        <v>86</v>
      </c>
      <c r="F143" s="9" t="s">
        <v>60</v>
      </c>
      <c r="G143">
        <v>3</v>
      </c>
      <c r="H143" s="9"/>
      <c r="I143" s="9" t="s">
        <v>7299</v>
      </c>
      <c r="J143" s="9" t="s">
        <v>2937</v>
      </c>
      <c r="K143" t="s">
        <v>7300</v>
      </c>
      <c r="L143" t="s">
        <v>7301</v>
      </c>
      <c r="M143" s="3" t="str">
        <f>HYPERLINK(склад2въезд1319[[#This Row],[RelativePath]])</f>
        <v>5 Крыльцо общага\K07156189_22_20251223T191939Z.jpg</v>
      </c>
    </row>
    <row r="144" spans="1:13" x14ac:dyDescent="0.25">
      <c r="A144" s="2" t="s">
        <v>14</v>
      </c>
      <c r="B144" s="4">
        <v>46014</v>
      </c>
      <c r="C144" s="5">
        <v>0.80717592592592591</v>
      </c>
      <c r="D144" s="9" t="s">
        <v>262</v>
      </c>
      <c r="E144" s="9" t="s">
        <v>86</v>
      </c>
      <c r="F144" s="9" t="s">
        <v>60</v>
      </c>
      <c r="G144">
        <v>2</v>
      </c>
      <c r="H144" s="9"/>
      <c r="I144" s="9" t="s">
        <v>7302</v>
      </c>
      <c r="J144" s="9" t="s">
        <v>2937</v>
      </c>
      <c r="K144" t="s">
        <v>7303</v>
      </c>
      <c r="L144" t="s">
        <v>7304</v>
      </c>
      <c r="M144" s="3" t="str">
        <f>HYPERLINK(склад2въезд1319[[#This Row],[RelativePath]])</f>
        <v>5 Крыльцо общага\K07156189_22_20251223T192220Z.jpg</v>
      </c>
    </row>
    <row r="145" spans="1:13" x14ac:dyDescent="0.25">
      <c r="A145" s="2" t="s">
        <v>15</v>
      </c>
      <c r="B145" s="4">
        <v>46015</v>
      </c>
      <c r="C145" s="5">
        <v>0.6544444444444445</v>
      </c>
      <c r="D145" s="9" t="s">
        <v>1578</v>
      </c>
      <c r="E145" s="9" t="s">
        <v>86</v>
      </c>
      <c r="F145" s="9" t="s">
        <v>60</v>
      </c>
      <c r="H145" s="9" t="s">
        <v>7613</v>
      </c>
      <c r="I145" s="9" t="s">
        <v>7501</v>
      </c>
      <c r="J145" s="9" t="s">
        <v>2937</v>
      </c>
      <c r="K145" t="s">
        <v>7502</v>
      </c>
      <c r="L145" t="s">
        <v>7503</v>
      </c>
      <c r="M145" s="3" t="str">
        <f>HYPERLINK(склад2въезд1319[[#This Row],[RelativePath]])</f>
        <v>5 Крыльцо общага\K07156189_22_20251224T154224Z.jpg</v>
      </c>
    </row>
    <row r="146" spans="1:13" x14ac:dyDescent="0.25">
      <c r="A146" s="2" t="s">
        <v>15</v>
      </c>
      <c r="B146" s="4">
        <v>46015</v>
      </c>
      <c r="C146" s="5">
        <v>0.69649305555555552</v>
      </c>
      <c r="D146" s="9" t="s">
        <v>1578</v>
      </c>
      <c r="E146" s="9" t="s">
        <v>86</v>
      </c>
      <c r="F146" s="9" t="s">
        <v>60</v>
      </c>
      <c r="H146" s="9" t="s">
        <v>7614</v>
      </c>
      <c r="I146" s="9" t="s">
        <v>7504</v>
      </c>
      <c r="J146" s="9" t="s">
        <v>2937</v>
      </c>
      <c r="K146" t="s">
        <v>7505</v>
      </c>
      <c r="L146" t="s">
        <v>7506</v>
      </c>
      <c r="M146" s="3" t="str">
        <f>HYPERLINK(склад2въезд1319[[#This Row],[RelativePath]])</f>
        <v>5 Крыльцо общага\K07156189_22_20251224T164257Z.jpg</v>
      </c>
    </row>
    <row r="147" spans="1:13" x14ac:dyDescent="0.25">
      <c r="A147" s="2" t="s">
        <v>15</v>
      </c>
      <c r="B147" s="4">
        <v>46015</v>
      </c>
      <c r="C147" s="5">
        <v>0.90302083333333338</v>
      </c>
      <c r="D147" s="9" t="s">
        <v>4</v>
      </c>
      <c r="E147" s="9" t="s">
        <v>7612</v>
      </c>
      <c r="F147" s="9" t="s">
        <v>60</v>
      </c>
      <c r="H147" s="9"/>
      <c r="I147" s="9" t="s">
        <v>7507</v>
      </c>
      <c r="J147" s="9" t="s">
        <v>2937</v>
      </c>
      <c r="K147" t="s">
        <v>7508</v>
      </c>
      <c r="L147" t="s">
        <v>7509</v>
      </c>
      <c r="M147" s="3" t="str">
        <f>HYPERLINK(склад2въезд1319[[#This Row],[RelativePath]])</f>
        <v>5 Крыльцо общага\K07156189_22_20251224T214021Z.jpg</v>
      </c>
    </row>
    <row r="148" spans="1:13" x14ac:dyDescent="0.25">
      <c r="A148" s="2" t="s">
        <v>16</v>
      </c>
      <c r="B148" s="4">
        <v>46016</v>
      </c>
      <c r="C148" s="5">
        <v>0.39548611111111109</v>
      </c>
      <c r="D148" s="9" t="s">
        <v>262</v>
      </c>
      <c r="E148" s="9" t="s">
        <v>86</v>
      </c>
      <c r="F148" s="9" t="s">
        <v>60</v>
      </c>
      <c r="G148">
        <v>3</v>
      </c>
      <c r="H148" s="9"/>
      <c r="I148" s="9" t="s">
        <v>7510</v>
      </c>
      <c r="J148" s="9" t="s">
        <v>2937</v>
      </c>
      <c r="K148" t="s">
        <v>7511</v>
      </c>
      <c r="L148" t="s">
        <v>7512</v>
      </c>
      <c r="M148" s="3" t="str">
        <f>HYPERLINK(склад2въезд1319[[#This Row],[RelativePath]])</f>
        <v>5 Крыльцо общага\K07156189_22_20251225T092930Z.jpg</v>
      </c>
    </row>
    <row r="149" spans="1:13" x14ac:dyDescent="0.25">
      <c r="A149" s="2" t="s">
        <v>16</v>
      </c>
      <c r="B149" s="4">
        <v>46016</v>
      </c>
      <c r="C149" s="5">
        <v>0.39778935185185182</v>
      </c>
      <c r="D149" s="9" t="s">
        <v>262</v>
      </c>
      <c r="E149" s="9" t="s">
        <v>86</v>
      </c>
      <c r="F149" s="9" t="s">
        <v>60</v>
      </c>
      <c r="G149">
        <v>2</v>
      </c>
      <c r="H149" s="9"/>
      <c r="I149" s="9" t="s">
        <v>7513</v>
      </c>
      <c r="J149" s="9" t="s">
        <v>2937</v>
      </c>
      <c r="K149" t="s">
        <v>7514</v>
      </c>
      <c r="L149" t="s">
        <v>7515</v>
      </c>
      <c r="M149" s="3" t="str">
        <f>HYPERLINK(склад2въезд1319[[#This Row],[RelativePath]])</f>
        <v>5 Крыльцо общага\K07156189_22_20251225T093249Z.jpg</v>
      </c>
    </row>
    <row r="150" spans="1:13" x14ac:dyDescent="0.25">
      <c r="A150" s="2" t="s">
        <v>16</v>
      </c>
      <c r="B150" s="4">
        <v>46016</v>
      </c>
      <c r="C150" s="5">
        <v>0.39927083333333335</v>
      </c>
      <c r="D150" s="9" t="s">
        <v>262</v>
      </c>
      <c r="E150" s="9" t="s">
        <v>86</v>
      </c>
      <c r="F150" s="9" t="s">
        <v>60</v>
      </c>
      <c r="G150">
        <v>2</v>
      </c>
      <c r="H150" s="9"/>
      <c r="I150" s="9" t="s">
        <v>7516</v>
      </c>
      <c r="J150" s="9" t="s">
        <v>2937</v>
      </c>
      <c r="K150" t="s">
        <v>7517</v>
      </c>
      <c r="L150" t="s">
        <v>7518</v>
      </c>
      <c r="M150" s="3" t="str">
        <f>HYPERLINK(склад2въезд1319[[#This Row],[RelativePath]])</f>
        <v>5 Крыльцо общага\K07156189_22_20251225T093457Z.jpg</v>
      </c>
    </row>
    <row r="151" spans="1:13" x14ac:dyDescent="0.25">
      <c r="A151" s="2" t="s">
        <v>16</v>
      </c>
      <c r="B151" s="4">
        <v>46016</v>
      </c>
      <c r="C151" s="5">
        <v>0.40122685185185186</v>
      </c>
      <c r="D151" s="9" t="s">
        <v>262</v>
      </c>
      <c r="E151" s="9" t="s">
        <v>86</v>
      </c>
      <c r="F151" s="9" t="s">
        <v>60</v>
      </c>
      <c r="G151">
        <v>3</v>
      </c>
      <c r="H151" s="9"/>
      <c r="I151" s="9" t="s">
        <v>7519</v>
      </c>
      <c r="J151" s="9" t="s">
        <v>2937</v>
      </c>
      <c r="K151" t="s">
        <v>7520</v>
      </c>
      <c r="L151" t="s">
        <v>7521</v>
      </c>
      <c r="M151" s="3" t="str">
        <f>HYPERLINK(склад2въезд1319[[#This Row],[RelativePath]])</f>
        <v>5 Крыльцо общага\K07156189_22_20251225T093746Z.jpg</v>
      </c>
    </row>
    <row r="152" spans="1:13" x14ac:dyDescent="0.25">
      <c r="A152" s="2" t="s">
        <v>16</v>
      </c>
      <c r="B152" s="4">
        <v>46016</v>
      </c>
      <c r="C152" s="5">
        <v>0.40324074074074073</v>
      </c>
      <c r="D152" s="9" t="s">
        <v>262</v>
      </c>
      <c r="E152" s="9" t="s">
        <v>86</v>
      </c>
      <c r="F152" s="9" t="s">
        <v>60</v>
      </c>
      <c r="G152">
        <v>4</v>
      </c>
      <c r="H152" s="9"/>
      <c r="I152" s="9" t="s">
        <v>7522</v>
      </c>
      <c r="J152" s="9" t="s">
        <v>2937</v>
      </c>
      <c r="K152" t="s">
        <v>7523</v>
      </c>
      <c r="L152" t="s">
        <v>7524</v>
      </c>
      <c r="M152" s="3" t="str">
        <f>HYPERLINK(склад2въезд1319[[#This Row],[RelativePath]])</f>
        <v>5 Крыльцо общага\K07156189_22_20251225T094040Z.jpg</v>
      </c>
    </row>
    <row r="153" spans="1:13" x14ac:dyDescent="0.25">
      <c r="A153" s="2" t="s">
        <v>16</v>
      </c>
      <c r="B153" s="4">
        <v>46016</v>
      </c>
      <c r="C153" s="5">
        <v>0.40547453703703706</v>
      </c>
      <c r="D153" s="9" t="s">
        <v>262</v>
      </c>
      <c r="E153" s="9" t="s">
        <v>86</v>
      </c>
      <c r="F153" s="9" t="s">
        <v>60</v>
      </c>
      <c r="G153">
        <v>3</v>
      </c>
      <c r="H153" s="9"/>
      <c r="I153" s="9" t="s">
        <v>7525</v>
      </c>
      <c r="J153" s="9" t="s">
        <v>2937</v>
      </c>
      <c r="K153" t="s">
        <v>7526</v>
      </c>
      <c r="L153" t="s">
        <v>7527</v>
      </c>
      <c r="M153" s="3" t="str">
        <f>HYPERLINK(склад2въезд1319[[#This Row],[RelativePath]])</f>
        <v>5 Крыльцо общага\K07156189_22_20251225T094353Z.jpg</v>
      </c>
    </row>
    <row r="154" spans="1:13" x14ac:dyDescent="0.25">
      <c r="A154" s="2" t="s">
        <v>16</v>
      </c>
      <c r="B154" s="4">
        <v>46016</v>
      </c>
      <c r="C154" s="5">
        <v>0.40827546296296297</v>
      </c>
      <c r="D154" s="9" t="s">
        <v>262</v>
      </c>
      <c r="E154" s="9" t="s">
        <v>86</v>
      </c>
      <c r="F154" s="9" t="s">
        <v>60</v>
      </c>
      <c r="G154">
        <v>3</v>
      </c>
      <c r="H154" s="9"/>
      <c r="I154" s="9" t="s">
        <v>7528</v>
      </c>
      <c r="J154" s="9" t="s">
        <v>2937</v>
      </c>
      <c r="K154" t="s">
        <v>7529</v>
      </c>
      <c r="L154" t="s">
        <v>7530</v>
      </c>
      <c r="M154" s="3" t="str">
        <f>HYPERLINK(склад2въезд1319[[#This Row],[RelativePath]])</f>
        <v>5 Крыльцо общага\K07156189_22_20251225T094755Z.jpg</v>
      </c>
    </row>
    <row r="155" spans="1:13" x14ac:dyDescent="0.25">
      <c r="A155" s="2" t="s">
        <v>16</v>
      </c>
      <c r="B155" s="4">
        <v>46016</v>
      </c>
      <c r="C155" s="5">
        <v>0.41019675925925925</v>
      </c>
      <c r="D155" s="9" t="s">
        <v>262</v>
      </c>
      <c r="E155" s="9" t="s">
        <v>86</v>
      </c>
      <c r="F155" s="9" t="s">
        <v>60</v>
      </c>
      <c r="G155">
        <v>2</v>
      </c>
      <c r="H155" s="9"/>
      <c r="I155" s="9" t="s">
        <v>7531</v>
      </c>
      <c r="J155" s="9" t="s">
        <v>2937</v>
      </c>
      <c r="K155" t="s">
        <v>7532</v>
      </c>
      <c r="L155" t="s">
        <v>7533</v>
      </c>
      <c r="M155" s="3" t="str">
        <f>HYPERLINK(склад2въезд1319[[#This Row],[RelativePath]])</f>
        <v>5 Крыльцо общага\K07156189_22_20251225T095041Z.jpg</v>
      </c>
    </row>
    <row r="156" spans="1:13" x14ac:dyDescent="0.25">
      <c r="A156" s="2" t="s">
        <v>16</v>
      </c>
      <c r="B156" s="4">
        <v>46016</v>
      </c>
      <c r="C156" s="5">
        <v>0.41210648148148149</v>
      </c>
      <c r="D156" s="9" t="s">
        <v>262</v>
      </c>
      <c r="E156" s="9" t="s">
        <v>86</v>
      </c>
      <c r="F156" s="9" t="s">
        <v>60</v>
      </c>
      <c r="G156">
        <v>2</v>
      </c>
      <c r="H156" s="9"/>
      <c r="I156" s="9" t="s">
        <v>7534</v>
      </c>
      <c r="J156" s="9" t="s">
        <v>2937</v>
      </c>
      <c r="K156" t="s">
        <v>7535</v>
      </c>
      <c r="L156" t="s">
        <v>7536</v>
      </c>
      <c r="M156" s="3" t="str">
        <f>HYPERLINK(склад2въезд1319[[#This Row],[RelativePath]])</f>
        <v>5 Крыльцо общага\K07156189_22_20251225T095326Z.jpg</v>
      </c>
    </row>
    <row r="157" spans="1:13" x14ac:dyDescent="0.25">
      <c r="A157" s="2" t="s">
        <v>16</v>
      </c>
      <c r="B157" s="4">
        <v>46016</v>
      </c>
      <c r="C157" s="5">
        <v>0.41430555555555554</v>
      </c>
      <c r="D157" s="9" t="s">
        <v>262</v>
      </c>
      <c r="E157" s="9" t="s">
        <v>86</v>
      </c>
      <c r="F157" s="9" t="s">
        <v>60</v>
      </c>
      <c r="G157">
        <v>3</v>
      </c>
      <c r="H157" s="9"/>
      <c r="I157" s="9" t="s">
        <v>7537</v>
      </c>
      <c r="J157" s="9" t="s">
        <v>2937</v>
      </c>
      <c r="K157" t="s">
        <v>7538</v>
      </c>
      <c r="L157" t="s">
        <v>7539</v>
      </c>
      <c r="M157" s="3" t="str">
        <f>HYPERLINK(склад2въезд1319[[#This Row],[RelativePath]])</f>
        <v>5 Крыльцо общага\K07156189_22_20251225T095636Z.jpg</v>
      </c>
    </row>
    <row r="158" spans="1:13" x14ac:dyDescent="0.25">
      <c r="A158" s="2" t="s">
        <v>16</v>
      </c>
      <c r="B158" s="4">
        <v>46016</v>
      </c>
      <c r="C158" s="5">
        <v>0.41651620370370368</v>
      </c>
      <c r="D158" s="9" t="s">
        <v>262</v>
      </c>
      <c r="E158" s="9" t="s">
        <v>86</v>
      </c>
      <c r="F158" s="9" t="s">
        <v>60</v>
      </c>
      <c r="G158">
        <v>3</v>
      </c>
      <c r="H158" s="9"/>
      <c r="I158" s="9" t="s">
        <v>7540</v>
      </c>
      <c r="J158" s="9" t="s">
        <v>2937</v>
      </c>
      <c r="K158" t="s">
        <v>7541</v>
      </c>
      <c r="L158" t="s">
        <v>7542</v>
      </c>
      <c r="M158" s="3" t="str">
        <f>HYPERLINK(склад2въезд1319[[#This Row],[RelativePath]])</f>
        <v>5 Крыльцо общага\K07156189_22_20251225T095947Z.jpg</v>
      </c>
    </row>
    <row r="159" spans="1:13" x14ac:dyDescent="0.25">
      <c r="A159" s="2" t="s">
        <v>16</v>
      </c>
      <c r="B159" s="4">
        <v>46016</v>
      </c>
      <c r="C159" s="5">
        <v>0.41837962962962966</v>
      </c>
      <c r="D159" s="9" t="s">
        <v>262</v>
      </c>
      <c r="E159" s="9" t="s">
        <v>86</v>
      </c>
      <c r="F159" s="9" t="s">
        <v>60</v>
      </c>
      <c r="G159">
        <v>2</v>
      </c>
      <c r="H159" s="9"/>
      <c r="I159" s="9" t="s">
        <v>7543</v>
      </c>
      <c r="J159" s="9" t="s">
        <v>2937</v>
      </c>
      <c r="K159" t="s">
        <v>7544</v>
      </c>
      <c r="L159" t="s">
        <v>7545</v>
      </c>
      <c r="M159" s="3" t="str">
        <f>HYPERLINK(склад2въезд1319[[#This Row],[RelativePath]])</f>
        <v>5 Крыльцо общага\K07156189_22_20251225T100228Z.jpg</v>
      </c>
    </row>
    <row r="160" spans="1:13" x14ac:dyDescent="0.25">
      <c r="A160" s="2" t="s">
        <v>16</v>
      </c>
      <c r="B160" s="4">
        <v>46016</v>
      </c>
      <c r="C160" s="5">
        <v>0.42305555555555557</v>
      </c>
      <c r="D160" s="9" t="s">
        <v>262</v>
      </c>
      <c r="E160" s="9" t="s">
        <v>86</v>
      </c>
      <c r="F160" s="9" t="s">
        <v>60</v>
      </c>
      <c r="G160">
        <v>1</v>
      </c>
      <c r="H160" s="9"/>
      <c r="I160" s="9" t="s">
        <v>7546</v>
      </c>
      <c r="J160" s="9" t="s">
        <v>2937</v>
      </c>
      <c r="K160" t="s">
        <v>7547</v>
      </c>
      <c r="L160" t="s">
        <v>7548</v>
      </c>
      <c r="M160" s="3" t="str">
        <f>HYPERLINK(склад2въезд1319[[#This Row],[RelativePath]])</f>
        <v>5 Крыльцо общага\K07156189_22_20251225T100912Z.jpg</v>
      </c>
    </row>
    <row r="161" spans="1:13" x14ac:dyDescent="0.25">
      <c r="A161" s="2" t="s">
        <v>16</v>
      </c>
      <c r="B161" s="4">
        <v>46016</v>
      </c>
      <c r="C161" s="5">
        <v>0.42482638888888891</v>
      </c>
      <c r="D161" s="9" t="s">
        <v>262</v>
      </c>
      <c r="E161" s="9" t="s">
        <v>86</v>
      </c>
      <c r="F161" s="9" t="s">
        <v>60</v>
      </c>
      <c r="G161">
        <v>4</v>
      </c>
      <c r="H161" s="9"/>
      <c r="I161" s="9" t="s">
        <v>7549</v>
      </c>
      <c r="J161" s="9" t="s">
        <v>2937</v>
      </c>
      <c r="K161" t="s">
        <v>7550</v>
      </c>
      <c r="L161" t="s">
        <v>7551</v>
      </c>
      <c r="M161" s="3" t="str">
        <f>HYPERLINK(склад2въезд1319[[#This Row],[RelativePath]])</f>
        <v>5 Крыльцо общага\K07156189_22_20251225T101145Z.jpg</v>
      </c>
    </row>
    <row r="162" spans="1:13" x14ac:dyDescent="0.25">
      <c r="A162" s="2" t="s">
        <v>16</v>
      </c>
      <c r="B162" s="4">
        <v>46016</v>
      </c>
      <c r="C162" s="5">
        <v>0.42672453703703705</v>
      </c>
      <c r="D162" s="9" t="s">
        <v>262</v>
      </c>
      <c r="E162" s="9" t="s">
        <v>86</v>
      </c>
      <c r="F162" s="9" t="s">
        <v>60</v>
      </c>
      <c r="G162">
        <v>3</v>
      </c>
      <c r="H162" s="9"/>
      <c r="I162" s="9" t="s">
        <v>7552</v>
      </c>
      <c r="J162" s="9" t="s">
        <v>2937</v>
      </c>
      <c r="K162" t="s">
        <v>7553</v>
      </c>
      <c r="L162" t="s">
        <v>7554</v>
      </c>
      <c r="M162" s="3" t="str">
        <f>HYPERLINK(склад2въезд1319[[#This Row],[RelativePath]])</f>
        <v>5 Крыльцо общага\K07156189_22_20251225T101429Z.jpg</v>
      </c>
    </row>
    <row r="163" spans="1:13" x14ac:dyDescent="0.25">
      <c r="A163" s="2" t="s">
        <v>16</v>
      </c>
      <c r="B163" s="4">
        <v>46016</v>
      </c>
      <c r="C163" s="5">
        <v>0.42837962962962961</v>
      </c>
      <c r="D163" s="9" t="s">
        <v>262</v>
      </c>
      <c r="E163" s="9" t="s">
        <v>86</v>
      </c>
      <c r="F163" s="9" t="s">
        <v>60</v>
      </c>
      <c r="G163">
        <v>3</v>
      </c>
      <c r="H163" s="9"/>
      <c r="I163" s="9" t="s">
        <v>7555</v>
      </c>
      <c r="J163" s="9" t="s">
        <v>2937</v>
      </c>
      <c r="K163" t="s">
        <v>7556</v>
      </c>
      <c r="L163" t="s">
        <v>7557</v>
      </c>
      <c r="M163" s="3" t="str">
        <f>HYPERLINK(склад2въезд1319[[#This Row],[RelativePath]])</f>
        <v>5 Крыльцо общага\K07156189_22_20251225T101652Z.jpg</v>
      </c>
    </row>
    <row r="164" spans="1:13" x14ac:dyDescent="0.25">
      <c r="A164" s="2" t="s">
        <v>16</v>
      </c>
      <c r="B164" s="4">
        <v>46016</v>
      </c>
      <c r="C164" s="5">
        <v>0.43023148148148149</v>
      </c>
      <c r="D164" s="9" t="s">
        <v>262</v>
      </c>
      <c r="E164" s="9" t="s">
        <v>86</v>
      </c>
      <c r="F164" s="9" t="s">
        <v>60</v>
      </c>
      <c r="G164">
        <v>3</v>
      </c>
      <c r="H164" s="9"/>
      <c r="I164" s="9" t="s">
        <v>7558</v>
      </c>
      <c r="J164" s="9" t="s">
        <v>2937</v>
      </c>
      <c r="K164" t="s">
        <v>7559</v>
      </c>
      <c r="L164" t="s">
        <v>7560</v>
      </c>
      <c r="M164" s="3" t="str">
        <f>HYPERLINK(склад2въезд1319[[#This Row],[RelativePath]])</f>
        <v>5 Крыльцо общага\K07156189_22_20251225T101932Z.jpg</v>
      </c>
    </row>
    <row r="165" spans="1:13" x14ac:dyDescent="0.25">
      <c r="A165" s="2" t="s">
        <v>16</v>
      </c>
      <c r="B165" s="4">
        <v>46016</v>
      </c>
      <c r="C165" s="5">
        <v>0.43208333333333332</v>
      </c>
      <c r="D165" s="9" t="s">
        <v>262</v>
      </c>
      <c r="E165" s="9" t="s">
        <v>86</v>
      </c>
      <c r="F165" s="9" t="s">
        <v>60</v>
      </c>
      <c r="G165">
        <v>2</v>
      </c>
      <c r="H165" s="9"/>
      <c r="I165" s="9" t="s">
        <v>7561</v>
      </c>
      <c r="J165" s="9" t="s">
        <v>2937</v>
      </c>
      <c r="K165" t="s">
        <v>7562</v>
      </c>
      <c r="L165" t="s">
        <v>7563</v>
      </c>
      <c r="M165" s="3" t="str">
        <f>HYPERLINK(склад2въезд1319[[#This Row],[RelativePath]])</f>
        <v>5 Крыльцо общага\K07156189_22_20251225T102212Z.jpg</v>
      </c>
    </row>
    <row r="166" spans="1:13" x14ac:dyDescent="0.25">
      <c r="A166" s="2" t="s">
        <v>16</v>
      </c>
      <c r="B166" s="4">
        <v>46016</v>
      </c>
      <c r="C166" s="5">
        <v>0.43396990740740743</v>
      </c>
      <c r="D166" s="9" t="s">
        <v>262</v>
      </c>
      <c r="E166" s="9" t="s">
        <v>86</v>
      </c>
      <c r="F166" s="9" t="s">
        <v>60</v>
      </c>
      <c r="G166">
        <v>3</v>
      </c>
      <c r="H166" s="9"/>
      <c r="I166" s="9" t="s">
        <v>7564</v>
      </c>
      <c r="J166" s="9" t="s">
        <v>2937</v>
      </c>
      <c r="K166" t="s">
        <v>7565</v>
      </c>
      <c r="L166" t="s">
        <v>7566</v>
      </c>
      <c r="M166" s="3" t="str">
        <f>HYPERLINK(склад2въезд1319[[#This Row],[RelativePath]])</f>
        <v>5 Крыльцо общага\K07156189_22_20251225T102455Z.jpg</v>
      </c>
    </row>
    <row r="167" spans="1:13" x14ac:dyDescent="0.25">
      <c r="A167" s="2" t="s">
        <v>16</v>
      </c>
      <c r="B167" s="4">
        <v>46016</v>
      </c>
      <c r="C167" s="5">
        <v>0.43603009259259257</v>
      </c>
      <c r="D167" s="9" t="s">
        <v>262</v>
      </c>
      <c r="E167" s="9" t="s">
        <v>86</v>
      </c>
      <c r="F167" s="9" t="s">
        <v>60</v>
      </c>
      <c r="G167">
        <v>3</v>
      </c>
      <c r="H167" s="9"/>
      <c r="I167" s="9" t="s">
        <v>7567</v>
      </c>
      <c r="J167" s="9" t="s">
        <v>2937</v>
      </c>
      <c r="K167" t="s">
        <v>7568</v>
      </c>
      <c r="L167" t="s">
        <v>7569</v>
      </c>
      <c r="M167" s="3" t="str">
        <f>HYPERLINK(склад2въезд1319[[#This Row],[RelativePath]])</f>
        <v>5 Крыльцо общага\K07156189_22_20251225T102753Z.jpg</v>
      </c>
    </row>
    <row r="168" spans="1:13" x14ac:dyDescent="0.25">
      <c r="A168" s="2" t="s">
        <v>16</v>
      </c>
      <c r="B168" s="4">
        <v>46016</v>
      </c>
      <c r="C168" s="5">
        <v>0.43815972222222221</v>
      </c>
      <c r="D168" s="9" t="s">
        <v>262</v>
      </c>
      <c r="E168" s="9" t="s">
        <v>86</v>
      </c>
      <c r="F168" s="9" t="s">
        <v>60</v>
      </c>
      <c r="G168">
        <v>3</v>
      </c>
      <c r="H168" s="9"/>
      <c r="I168" s="9" t="s">
        <v>7570</v>
      </c>
      <c r="J168" s="9" t="s">
        <v>2937</v>
      </c>
      <c r="K168" t="s">
        <v>7571</v>
      </c>
      <c r="L168" t="s">
        <v>7572</v>
      </c>
      <c r="M168" s="3" t="str">
        <f>HYPERLINK(склад2въезд1319[[#This Row],[RelativePath]])</f>
        <v>5 Крыльцо общага\K07156189_22_20251225T103057Z.jpg</v>
      </c>
    </row>
    <row r="169" spans="1:13" x14ac:dyDescent="0.25">
      <c r="A169" s="2" t="s">
        <v>16</v>
      </c>
      <c r="B169" s="4">
        <v>46016</v>
      </c>
      <c r="C169" s="5">
        <v>0.44004629629629627</v>
      </c>
      <c r="D169" s="9" t="s">
        <v>262</v>
      </c>
      <c r="E169" s="9" t="s">
        <v>86</v>
      </c>
      <c r="F169" s="9" t="s">
        <v>60</v>
      </c>
      <c r="G169">
        <v>4</v>
      </c>
      <c r="H169" s="9"/>
      <c r="I169" s="9" t="s">
        <v>7573</v>
      </c>
      <c r="J169" s="9" t="s">
        <v>2937</v>
      </c>
      <c r="K169" t="s">
        <v>7574</v>
      </c>
      <c r="L169" t="s">
        <v>7575</v>
      </c>
      <c r="M169" s="3" t="str">
        <f>HYPERLINK(склад2въезд1319[[#This Row],[RelativePath]])</f>
        <v>5 Крыльцо общага\K07156189_22_20251225T103340Z.jpg</v>
      </c>
    </row>
    <row r="170" spans="1:13" x14ac:dyDescent="0.25">
      <c r="A170" s="2" t="s">
        <v>16</v>
      </c>
      <c r="B170" s="4">
        <v>46016</v>
      </c>
      <c r="C170" s="5">
        <v>0.44195601851851851</v>
      </c>
      <c r="D170" s="9" t="s">
        <v>262</v>
      </c>
      <c r="E170" s="9" t="s">
        <v>86</v>
      </c>
      <c r="F170" s="9" t="s">
        <v>60</v>
      </c>
      <c r="G170">
        <v>2</v>
      </c>
      <c r="H170" s="9"/>
      <c r="I170" s="9" t="s">
        <v>7576</v>
      </c>
      <c r="J170" s="9" t="s">
        <v>2937</v>
      </c>
      <c r="K170" t="s">
        <v>7577</v>
      </c>
      <c r="L170" t="s">
        <v>7578</v>
      </c>
      <c r="M170" s="3" t="str">
        <f>HYPERLINK(склад2въезд1319[[#This Row],[RelativePath]])</f>
        <v>5 Крыльцо общага\K07156189_22_20251225T103625Z.jpg</v>
      </c>
    </row>
    <row r="171" spans="1:13" x14ac:dyDescent="0.25">
      <c r="A171" s="2" t="s">
        <v>16</v>
      </c>
      <c r="B171" s="4">
        <v>46016</v>
      </c>
      <c r="C171" s="5">
        <v>0.51192129629629635</v>
      </c>
      <c r="D171" s="9" t="s">
        <v>4</v>
      </c>
      <c r="E171" s="9" t="s">
        <v>4134</v>
      </c>
      <c r="F171" s="9"/>
      <c r="H171" s="9"/>
      <c r="I171" s="9" t="s">
        <v>7579</v>
      </c>
      <c r="J171" s="9" t="s">
        <v>2937</v>
      </c>
      <c r="K171" t="s">
        <v>7580</v>
      </c>
      <c r="L171" t="s">
        <v>7581</v>
      </c>
      <c r="M171" s="3" t="str">
        <f>HYPERLINK(склад2въезд1319[[#This Row],[RelativePath]])</f>
        <v>5 Крыльцо общага\K07156189_22_20251225T121710Z.jpg</v>
      </c>
    </row>
    <row r="172" spans="1:13" x14ac:dyDescent="0.25">
      <c r="A172" s="2" t="s">
        <v>16</v>
      </c>
      <c r="B172" s="4">
        <v>46016</v>
      </c>
      <c r="C172" s="5">
        <v>0.7239930555555556</v>
      </c>
      <c r="D172" s="9" t="s">
        <v>1967</v>
      </c>
      <c r="E172" s="9" t="s">
        <v>8</v>
      </c>
      <c r="F172" s="9"/>
      <c r="H172" s="9"/>
      <c r="I172" s="9" t="s">
        <v>7582</v>
      </c>
      <c r="J172" s="9" t="s">
        <v>2937</v>
      </c>
      <c r="K172" t="s">
        <v>7583</v>
      </c>
      <c r="L172" t="s">
        <v>7584</v>
      </c>
      <c r="M172" s="3" t="str">
        <f>HYPERLINK(склад2въезд1319[[#This Row],[RelativePath]])</f>
        <v>5 Крыльцо общага\K07156189_22_20251225T172233Z.jpg</v>
      </c>
    </row>
    <row r="173" spans="1:13" x14ac:dyDescent="0.25">
      <c r="A173" s="2" t="s">
        <v>17</v>
      </c>
      <c r="B173" s="4">
        <v>46017</v>
      </c>
      <c r="C173" s="5">
        <v>0.44422453703703701</v>
      </c>
      <c r="D173" s="9" t="s">
        <v>1066</v>
      </c>
      <c r="E173" s="9" t="s">
        <v>86</v>
      </c>
      <c r="F173" s="9" t="s">
        <v>60</v>
      </c>
      <c r="H173" s="9" t="s">
        <v>7776</v>
      </c>
      <c r="I173" s="9" t="s">
        <v>7737</v>
      </c>
      <c r="J173" s="9" t="s">
        <v>2937</v>
      </c>
      <c r="K173" t="s">
        <v>7738</v>
      </c>
      <c r="L173" t="s">
        <v>7739</v>
      </c>
      <c r="M173" s="3" t="str">
        <f>HYPERLINK(склад2въезд1319[[#This Row],[RelativePath]])</f>
        <v>5 Крыльцо общага\K07156189_22_20251226T103941Z.jpg</v>
      </c>
    </row>
    <row r="174" spans="1:13" x14ac:dyDescent="0.25">
      <c r="A174" s="2" t="s">
        <v>17</v>
      </c>
      <c r="B174" s="4">
        <v>46017</v>
      </c>
      <c r="C174" s="5">
        <v>0.44770833333333332</v>
      </c>
      <c r="D174" s="9" t="s">
        <v>1066</v>
      </c>
      <c r="E174" s="9" t="s">
        <v>86</v>
      </c>
      <c r="F174" s="9" t="s">
        <v>60</v>
      </c>
      <c r="H174" s="9" t="s">
        <v>7776</v>
      </c>
      <c r="I174" s="9" t="s">
        <v>7740</v>
      </c>
      <c r="J174" s="9" t="s">
        <v>2937</v>
      </c>
      <c r="K174" t="s">
        <v>7741</v>
      </c>
      <c r="L174" t="s">
        <v>7742</v>
      </c>
      <c r="M174" s="3" t="str">
        <f>HYPERLINK(склад2въезд1319[[#This Row],[RelativePath]])</f>
        <v>5 Крыльцо общага\K07156189_22_20251226T104442Z.jpg</v>
      </c>
    </row>
    <row r="175" spans="1:13" x14ac:dyDescent="0.25">
      <c r="A175" s="2" t="s">
        <v>17</v>
      </c>
      <c r="B175" s="4">
        <v>46017</v>
      </c>
      <c r="C175" s="5">
        <v>0.44888888888888889</v>
      </c>
      <c r="D175" s="9" t="s">
        <v>1066</v>
      </c>
      <c r="E175" s="9" t="s">
        <v>86</v>
      </c>
      <c r="F175" s="9" t="s">
        <v>60</v>
      </c>
      <c r="H175" s="9" t="s">
        <v>7776</v>
      </c>
      <c r="I175" s="9" t="s">
        <v>7743</v>
      </c>
      <c r="J175" s="9" t="s">
        <v>2937</v>
      </c>
      <c r="K175" t="s">
        <v>7744</v>
      </c>
      <c r="L175" t="s">
        <v>7745</v>
      </c>
      <c r="M175" s="3" t="str">
        <f>HYPERLINK(склад2въезд1319[[#This Row],[RelativePath]])</f>
        <v>5 Крыльцо общага\K07156189_22_20251226T104624Z.jpg</v>
      </c>
    </row>
    <row r="176" spans="1:13" x14ac:dyDescent="0.25">
      <c r="A176" s="2" t="s">
        <v>17</v>
      </c>
      <c r="B176" s="4">
        <v>46017</v>
      </c>
      <c r="C176" s="5">
        <v>0.44906249999999998</v>
      </c>
      <c r="D176" s="9" t="s">
        <v>1066</v>
      </c>
      <c r="E176" s="9" t="s">
        <v>86</v>
      </c>
      <c r="F176" s="9" t="s">
        <v>60</v>
      </c>
      <c r="H176" s="9" t="s">
        <v>7776</v>
      </c>
      <c r="I176" s="9" t="s">
        <v>7746</v>
      </c>
      <c r="J176" s="9" t="s">
        <v>2937</v>
      </c>
      <c r="K176" t="s">
        <v>7747</v>
      </c>
      <c r="L176" t="s">
        <v>7748</v>
      </c>
      <c r="M176" s="3" t="str">
        <f>HYPERLINK(склад2въезд1319[[#This Row],[RelativePath]])</f>
        <v>5 Крыльцо общага\K07156189_22_20251226T104639Z.jpg</v>
      </c>
    </row>
    <row r="177" spans="1:13" x14ac:dyDescent="0.25">
      <c r="A177" s="2" t="s">
        <v>17</v>
      </c>
      <c r="B177" s="4">
        <v>46017</v>
      </c>
      <c r="C177" s="5">
        <v>0.4495601851851852</v>
      </c>
      <c r="D177" s="9" t="s">
        <v>1066</v>
      </c>
      <c r="E177" s="9" t="s">
        <v>86</v>
      </c>
      <c r="F177" s="9" t="s">
        <v>60</v>
      </c>
      <c r="H177" s="9" t="s">
        <v>7776</v>
      </c>
      <c r="I177" s="9" t="s">
        <v>7749</v>
      </c>
      <c r="J177" s="9" t="s">
        <v>2937</v>
      </c>
      <c r="K177" t="s">
        <v>7750</v>
      </c>
      <c r="L177" t="s">
        <v>7751</v>
      </c>
      <c r="M177" s="3" t="str">
        <f>HYPERLINK(склад2въезд1319[[#This Row],[RelativePath]])</f>
        <v>5 Крыльцо общага\K07156189_22_20251226T104722Z.jpg</v>
      </c>
    </row>
    <row r="178" spans="1:13" x14ac:dyDescent="0.25">
      <c r="A178" s="2" t="s">
        <v>17</v>
      </c>
      <c r="B178" s="4">
        <v>46017</v>
      </c>
      <c r="C178" s="5">
        <v>0.50839120370370372</v>
      </c>
      <c r="D178" s="9" t="s">
        <v>1066</v>
      </c>
      <c r="E178" s="9" t="s">
        <v>86</v>
      </c>
      <c r="F178" s="9" t="s">
        <v>60</v>
      </c>
      <c r="H178" s="9" t="s">
        <v>7776</v>
      </c>
      <c r="I178" s="9" t="s">
        <v>7752</v>
      </c>
      <c r="J178" s="9" t="s">
        <v>2937</v>
      </c>
      <c r="K178" t="s">
        <v>7753</v>
      </c>
      <c r="L178" t="s">
        <v>7754</v>
      </c>
      <c r="M178" s="3" t="str">
        <f>HYPERLINK(склад2въезд1319[[#This Row],[RelativePath]])</f>
        <v>5 Крыльцо общага\K07156189_22_20251226T121205Z.jpg</v>
      </c>
    </row>
    <row r="179" spans="1:13" x14ac:dyDescent="0.25">
      <c r="A179" s="2" t="s">
        <v>17</v>
      </c>
      <c r="B179" s="4">
        <v>46017</v>
      </c>
      <c r="C179" s="5">
        <v>0.52350694444444446</v>
      </c>
      <c r="D179" s="9" t="s">
        <v>1066</v>
      </c>
      <c r="E179" s="9" t="s">
        <v>86</v>
      </c>
      <c r="F179" s="9" t="s">
        <v>60</v>
      </c>
      <c r="H179" s="9" t="s">
        <v>7776</v>
      </c>
      <c r="I179" s="9" t="s">
        <v>7755</v>
      </c>
      <c r="J179" s="9" t="s">
        <v>2937</v>
      </c>
      <c r="K179" t="s">
        <v>7756</v>
      </c>
      <c r="L179" t="s">
        <v>7757</v>
      </c>
      <c r="M179" s="3" t="str">
        <f>HYPERLINK(склад2въезд1319[[#This Row],[RelativePath]])</f>
        <v>5 Крыльцо общага\K07156189_22_20251226T123351Z.jpg</v>
      </c>
    </row>
    <row r="180" spans="1:13" x14ac:dyDescent="0.25">
      <c r="A180" s="2" t="s">
        <v>17</v>
      </c>
      <c r="B180" s="4">
        <v>46017</v>
      </c>
      <c r="C180" s="5">
        <v>0.62630787037037039</v>
      </c>
      <c r="D180" s="9" t="s">
        <v>1967</v>
      </c>
      <c r="E180" s="9" t="s">
        <v>8</v>
      </c>
      <c r="F180" s="9"/>
      <c r="H180" s="9"/>
      <c r="I180" s="9" t="s">
        <v>7758</v>
      </c>
      <c r="J180" s="9" t="s">
        <v>2937</v>
      </c>
      <c r="K180" t="s">
        <v>7759</v>
      </c>
      <c r="L180" t="s">
        <v>7760</v>
      </c>
      <c r="M180" s="3" t="str">
        <f>HYPERLINK(склад2въезд1319[[#This Row],[RelativePath]])</f>
        <v>5 Крыльцо общага\K07156189_22_20251226T150153Z.jpg</v>
      </c>
    </row>
    <row r="181" spans="1:13" x14ac:dyDescent="0.25">
      <c r="A181" s="2" t="s">
        <v>18</v>
      </c>
      <c r="B181" s="4">
        <v>46018</v>
      </c>
      <c r="C181" s="5">
        <v>0.41405092592592591</v>
      </c>
      <c r="D181" s="9" t="s">
        <v>1967</v>
      </c>
      <c r="E181" s="9" t="s">
        <v>8</v>
      </c>
      <c r="F181" s="9"/>
      <c r="H181" s="9"/>
      <c r="I181" s="9" t="s">
        <v>7835</v>
      </c>
      <c r="J181" s="9" t="s">
        <v>2937</v>
      </c>
      <c r="K181" t="s">
        <v>7836</v>
      </c>
      <c r="L181" t="s">
        <v>7837</v>
      </c>
      <c r="M181" s="3" t="str">
        <f>HYPERLINK(склад2въезд1319[[#This Row],[RelativePath]])</f>
        <v>5 Крыльцо общага\K07156189_22_20251227T095614Z.jpg</v>
      </c>
    </row>
    <row r="182" spans="1:13" x14ac:dyDescent="0.25">
      <c r="A182" s="2" t="s">
        <v>18</v>
      </c>
      <c r="B182" s="4">
        <v>46018</v>
      </c>
      <c r="C182" s="5">
        <v>0.59212962962962967</v>
      </c>
      <c r="D182" s="9" t="s">
        <v>7944</v>
      </c>
      <c r="E182" s="9" t="s">
        <v>6574</v>
      </c>
      <c r="F182" s="9"/>
      <c r="H182" s="9"/>
      <c r="I182" s="9" t="s">
        <v>7838</v>
      </c>
      <c r="J182" s="9" t="s">
        <v>2937</v>
      </c>
      <c r="K182" t="s">
        <v>7839</v>
      </c>
      <c r="L182" t="s">
        <v>7840</v>
      </c>
      <c r="M182" s="3" t="str">
        <f>HYPERLINK(склад2въезд1319[[#This Row],[RelativePath]])</f>
        <v>5 Крыльцо общага\K07156189_22_20251227T141240Z.jpg</v>
      </c>
    </row>
    <row r="183" spans="1:13" x14ac:dyDescent="0.25">
      <c r="A183" s="2" t="s">
        <v>18</v>
      </c>
      <c r="B183" s="4">
        <v>46018</v>
      </c>
      <c r="C183" s="5">
        <v>0.67885416666666665</v>
      </c>
      <c r="D183" s="9" t="s">
        <v>4</v>
      </c>
      <c r="E183" s="9" t="s">
        <v>7947</v>
      </c>
      <c r="F183" s="9"/>
      <c r="H183" s="9"/>
      <c r="I183" s="9" t="s">
        <v>7841</v>
      </c>
      <c r="J183" s="9" t="s">
        <v>2937</v>
      </c>
      <c r="K183" t="s">
        <v>7842</v>
      </c>
      <c r="L183" t="s">
        <v>7843</v>
      </c>
      <c r="M183" s="3" t="str">
        <f>HYPERLINK(склад2въезд1319[[#This Row],[RelativePath]])</f>
        <v>5 Крыльцо общага\K07156189_22_20251227T161733Z.jpg</v>
      </c>
    </row>
    <row r="184" spans="1:13" x14ac:dyDescent="0.25">
      <c r="A184" s="2" t="s">
        <v>22</v>
      </c>
      <c r="B184" s="4">
        <v>46019</v>
      </c>
      <c r="C184" s="5">
        <v>0.53042824074074069</v>
      </c>
      <c r="D184" s="9" t="s">
        <v>4</v>
      </c>
      <c r="E184" s="9" t="s">
        <v>7947</v>
      </c>
      <c r="F184" s="9"/>
      <c r="H184" s="9"/>
      <c r="I184" s="9" t="s">
        <v>7844</v>
      </c>
      <c r="J184" s="9" t="s">
        <v>2937</v>
      </c>
      <c r="K184" t="s">
        <v>7845</v>
      </c>
      <c r="L184" t="s">
        <v>7846</v>
      </c>
      <c r="M184" s="3" t="str">
        <f>HYPERLINK(склад2въезд1319[[#This Row],[RelativePath]])</f>
        <v>5 Крыльцо общага\K07156189_22_20251228T124349Z.jpg</v>
      </c>
    </row>
    <row r="185" spans="1:13" x14ac:dyDescent="0.25">
      <c r="A185" s="2" t="s">
        <v>22</v>
      </c>
      <c r="B185" s="4">
        <v>46019</v>
      </c>
      <c r="C185" s="5">
        <v>0.6691435185185185</v>
      </c>
      <c r="D185" s="9" t="s">
        <v>4</v>
      </c>
      <c r="E185" s="9" t="s">
        <v>7947</v>
      </c>
      <c r="F185" s="9"/>
      <c r="H185" s="9"/>
      <c r="I185" s="9" t="s">
        <v>7847</v>
      </c>
      <c r="J185" s="9" t="s">
        <v>2937</v>
      </c>
      <c r="K185" t="s">
        <v>7848</v>
      </c>
      <c r="L185" t="s">
        <v>7849</v>
      </c>
      <c r="M185" s="3" t="str">
        <f>HYPERLINK(склад2въезд1319[[#This Row],[RelativePath]])</f>
        <v>5 Крыльцо общага\K07156189_22_20251228T160334Z.jpg</v>
      </c>
    </row>
    <row r="186" spans="1:13" x14ac:dyDescent="0.25">
      <c r="A186" s="2" t="s">
        <v>13</v>
      </c>
      <c r="B186" s="4">
        <v>46020</v>
      </c>
      <c r="C186" s="5">
        <v>0.61700231481481482</v>
      </c>
      <c r="D186" s="9" t="s">
        <v>4</v>
      </c>
      <c r="E186" s="9" t="s">
        <v>8229</v>
      </c>
      <c r="F186" s="9"/>
      <c r="H186" s="9"/>
      <c r="I186" s="9" t="s">
        <v>8183</v>
      </c>
      <c r="J186" s="9" t="s">
        <v>2937</v>
      </c>
      <c r="K186" t="s">
        <v>8184</v>
      </c>
      <c r="L186" t="s">
        <v>8185</v>
      </c>
      <c r="M186" s="3" t="str">
        <f>HYPERLINK(склад2въезд1319[[#This Row],[RelativePath]])</f>
        <v>5 Крыльцо общага\K07156189_22_20251229T144829Z.jpg</v>
      </c>
    </row>
    <row r="187" spans="1:13" x14ac:dyDescent="0.25">
      <c r="A187" s="2" t="s">
        <v>13</v>
      </c>
      <c r="B187" s="4">
        <v>46020</v>
      </c>
      <c r="C187" s="5">
        <v>0.65125</v>
      </c>
      <c r="D187" s="9" t="s">
        <v>4</v>
      </c>
      <c r="E187" s="9" t="s">
        <v>8229</v>
      </c>
      <c r="F187" s="9"/>
      <c r="H187" s="9"/>
      <c r="I187" s="9" t="s">
        <v>8186</v>
      </c>
      <c r="J187" s="9" t="s">
        <v>2937</v>
      </c>
      <c r="K187" t="s">
        <v>8187</v>
      </c>
      <c r="L187" t="s">
        <v>8188</v>
      </c>
      <c r="M187" s="3" t="str">
        <f>HYPERLINK(склад2въезд1319[[#This Row],[RelativePath]])</f>
        <v>5 Крыльцо общага\K07156189_22_20251229T153748Z.jpg</v>
      </c>
    </row>
    <row r="188" spans="1:13" x14ac:dyDescent="0.25">
      <c r="A188" s="2" t="s">
        <v>14</v>
      </c>
      <c r="B188" s="4">
        <v>46021</v>
      </c>
      <c r="C188" s="5">
        <v>0.73622685185185188</v>
      </c>
      <c r="D188" s="9" t="s">
        <v>1967</v>
      </c>
      <c r="E188" s="9" t="s">
        <v>8</v>
      </c>
      <c r="F188" s="9"/>
      <c r="H188" s="9"/>
      <c r="I188" s="9" t="s">
        <v>8189</v>
      </c>
      <c r="J188" s="9" t="s">
        <v>2937</v>
      </c>
      <c r="K188" t="s">
        <v>8190</v>
      </c>
      <c r="L188" t="s">
        <v>8191</v>
      </c>
      <c r="M188" s="3" t="str">
        <f>HYPERLINK(склад2въезд1319[[#This Row],[RelativePath]])</f>
        <v>5 Крыльцо общага\K07156189_22_20251230T174010Z.jpg</v>
      </c>
    </row>
    <row r="189" spans="1:13" x14ac:dyDescent="0.25">
      <c r="A189" s="2" t="s">
        <v>15</v>
      </c>
      <c r="B189" s="4">
        <v>46022</v>
      </c>
      <c r="C189" s="5">
        <v>0.62612268518518521</v>
      </c>
      <c r="D189" s="9" t="s">
        <v>4</v>
      </c>
      <c r="E189" s="9" t="s">
        <v>1570</v>
      </c>
      <c r="F189" s="9" t="s">
        <v>7083</v>
      </c>
      <c r="H189" s="9"/>
      <c r="I189" s="9" t="s">
        <v>8192</v>
      </c>
      <c r="J189" s="9" t="s">
        <v>2937</v>
      </c>
      <c r="K189" t="s">
        <v>8193</v>
      </c>
      <c r="L189" t="s">
        <v>8194</v>
      </c>
      <c r="M189" s="3" t="str">
        <f>HYPERLINK(склад2въезд1319[[#This Row],[RelativePath]])</f>
        <v>5 Крыльцо общага\K07156189_22_20251231T150137Z.jpg</v>
      </c>
    </row>
    <row r="190" spans="1:13" x14ac:dyDescent="0.25">
      <c r="A190" s="2" t="s">
        <v>15</v>
      </c>
      <c r="B190" s="4">
        <v>46022</v>
      </c>
      <c r="C190" s="5">
        <v>0.69601851851851848</v>
      </c>
      <c r="D190" s="9" t="s">
        <v>1967</v>
      </c>
      <c r="E190" s="9" t="s">
        <v>8</v>
      </c>
      <c r="F190" s="9"/>
      <c r="H190" s="9"/>
      <c r="I190" s="9" t="s">
        <v>8195</v>
      </c>
      <c r="J190" s="9" t="s">
        <v>2937</v>
      </c>
      <c r="K190" t="s">
        <v>8196</v>
      </c>
      <c r="L190" t="s">
        <v>8197</v>
      </c>
      <c r="M190" s="3" t="str">
        <f>HYPERLINK(склад2въезд1319[[#This Row],[RelativePath]])</f>
        <v>5 Крыльцо общага\K07156189_22_20251231T164216Z.jpg</v>
      </c>
    </row>
    <row r="191" spans="1:13" x14ac:dyDescent="0.25">
      <c r="A191" s="2" t="s">
        <v>16</v>
      </c>
      <c r="B191" s="4">
        <v>46023</v>
      </c>
      <c r="C191" s="5">
        <v>0.75586805555555558</v>
      </c>
      <c r="D191" s="9" t="s">
        <v>1967</v>
      </c>
      <c r="E191" s="9" t="s">
        <v>8</v>
      </c>
      <c r="F191" s="9"/>
      <c r="H191" s="9"/>
      <c r="I191" s="9" t="s">
        <v>8198</v>
      </c>
      <c r="J191" s="9" t="s">
        <v>2937</v>
      </c>
      <c r="K191" t="s">
        <v>8199</v>
      </c>
      <c r="L191" t="s">
        <v>8200</v>
      </c>
      <c r="M191" s="3" t="str">
        <f>HYPERLINK(склад2въезд1319[[#This Row],[RelativePath]])</f>
        <v>5 Крыльцо общага\K07156189_22_20260101T180827Z.jpg</v>
      </c>
    </row>
    <row r="192" spans="1:13" x14ac:dyDescent="0.25">
      <c r="A192" s="2" t="s">
        <v>17</v>
      </c>
      <c r="B192" s="4">
        <v>46024</v>
      </c>
      <c r="C192" s="5">
        <v>0.67988425925925922</v>
      </c>
      <c r="D192" s="9" t="s">
        <v>1967</v>
      </c>
      <c r="E192" s="9" t="s">
        <v>8</v>
      </c>
      <c r="F192" s="9"/>
      <c r="H192" s="9"/>
      <c r="I192" s="9" t="s">
        <v>8324</v>
      </c>
      <c r="J192" s="9" t="s">
        <v>2937</v>
      </c>
      <c r="K192" t="s">
        <v>8325</v>
      </c>
      <c r="L192" t="s">
        <v>8326</v>
      </c>
      <c r="M192" s="3" t="str">
        <f>HYPERLINK(склад2въезд1319[[#This Row],[RelativePath]])</f>
        <v>5 Крыльцо общага\K07156189_22_20260102T161902Z.jpg</v>
      </c>
    </row>
    <row r="193" spans="1:13" x14ac:dyDescent="0.25">
      <c r="A193" s="2" t="s">
        <v>18</v>
      </c>
      <c r="B193" s="4">
        <v>46025</v>
      </c>
      <c r="C193" s="5">
        <v>0.68650462962962966</v>
      </c>
      <c r="D193" s="9" t="s">
        <v>4</v>
      </c>
      <c r="E193" s="9" t="s">
        <v>8378</v>
      </c>
      <c r="F193" s="9"/>
      <c r="H193" s="9" t="s">
        <v>7944</v>
      </c>
      <c r="I193" s="9" t="s">
        <v>8327</v>
      </c>
      <c r="J193" s="9" t="s">
        <v>2937</v>
      </c>
      <c r="K193" t="s">
        <v>8328</v>
      </c>
      <c r="L193" t="s">
        <v>8329</v>
      </c>
      <c r="M193" s="3" t="str">
        <f>HYPERLINK(склад2въезд1319[[#This Row],[RelativePath]])</f>
        <v>5 Крыльцо общага\K07156189_22_20260103T162834Z.jpg</v>
      </c>
    </row>
    <row r="194" spans="1:13" x14ac:dyDescent="0.25">
      <c r="A194" s="2" t="s">
        <v>22</v>
      </c>
      <c r="B194" s="4">
        <v>46026</v>
      </c>
      <c r="C194" s="5">
        <v>0.71475694444444449</v>
      </c>
      <c r="D194" s="9" t="s">
        <v>1967</v>
      </c>
      <c r="E194" s="9" t="s">
        <v>8</v>
      </c>
      <c r="F194" s="9"/>
      <c r="H194" s="9"/>
      <c r="I194" s="9" t="s">
        <v>8330</v>
      </c>
      <c r="J194" s="9" t="s">
        <v>2937</v>
      </c>
      <c r="K194" t="s">
        <v>8331</v>
      </c>
      <c r="L194" t="s">
        <v>8332</v>
      </c>
      <c r="M194" s="3" t="str">
        <f>HYPERLINK(склад2въезд1319[[#This Row],[RelativePath]])</f>
        <v>5 Крыльцо общага\K07156189_22_20260104T170915Z.jpg</v>
      </c>
    </row>
    <row r="195" spans="1:13" x14ac:dyDescent="0.25">
      <c r="A195" s="2" t="s">
        <v>13</v>
      </c>
      <c r="B195" s="4">
        <v>46027</v>
      </c>
      <c r="C195" s="5">
        <v>0.71888888888888891</v>
      </c>
      <c r="D195" s="9" t="s">
        <v>1967</v>
      </c>
      <c r="E195" s="9" t="s">
        <v>8</v>
      </c>
      <c r="F195" s="9"/>
      <c r="H195" s="9"/>
      <c r="I195" s="9" t="s">
        <v>8451</v>
      </c>
      <c r="J195" s="9" t="s">
        <v>2937</v>
      </c>
      <c r="K195" t="s">
        <v>8452</v>
      </c>
      <c r="L195" t="s">
        <v>8453</v>
      </c>
      <c r="M195" s="3" t="str">
        <f>HYPERLINK(склад2въезд1319[[#This Row],[RelativePath]])</f>
        <v>5 Крыльцо общага\K07156189_22_20260105T171512Z.jpg</v>
      </c>
    </row>
    <row r="196" spans="1:13" x14ac:dyDescent="0.25">
      <c r="A196" s="2" t="s">
        <v>14</v>
      </c>
      <c r="B196" s="4">
        <v>46028</v>
      </c>
      <c r="C196" s="5">
        <v>0.72142361111111108</v>
      </c>
      <c r="D196" s="9" t="s">
        <v>4</v>
      </c>
      <c r="E196" s="9" t="s">
        <v>8693</v>
      </c>
      <c r="F196" s="9"/>
      <c r="H196" s="9"/>
      <c r="I196" s="9" t="s">
        <v>8454</v>
      </c>
      <c r="J196" s="9" t="s">
        <v>2937</v>
      </c>
      <c r="K196" t="s">
        <v>8455</v>
      </c>
      <c r="L196" t="s">
        <v>8456</v>
      </c>
      <c r="M196" s="3" t="str">
        <f>HYPERLINK(склад2въезд1319[[#This Row],[RelativePath]])</f>
        <v>5 Крыльцо общага\K07156189_22_20260106T171851Z.jpg</v>
      </c>
    </row>
    <row r="197" spans="1:13" x14ac:dyDescent="0.25">
      <c r="A197" s="2" t="s">
        <v>15</v>
      </c>
      <c r="B197" s="4">
        <v>46029</v>
      </c>
      <c r="C197" s="5">
        <v>0.65956018518518522</v>
      </c>
      <c r="D197" s="9" t="s">
        <v>1967</v>
      </c>
      <c r="E197" s="9" t="s">
        <v>8</v>
      </c>
      <c r="F197" s="9"/>
      <c r="H197" s="9"/>
      <c r="I197" s="9" t="s">
        <v>8457</v>
      </c>
      <c r="J197" s="9" t="s">
        <v>2937</v>
      </c>
      <c r="K197" t="s">
        <v>8458</v>
      </c>
      <c r="L197" t="s">
        <v>8459</v>
      </c>
      <c r="M197" s="3" t="str">
        <f>HYPERLINK(склад2въезд1319[[#This Row],[RelativePath]])</f>
        <v>5 Крыльцо общага\K07156189_22_20260107T154946Z.jpg</v>
      </c>
    </row>
    <row r="198" spans="1:13" x14ac:dyDescent="0.25">
      <c r="A198" s="2" t="s">
        <v>16</v>
      </c>
      <c r="B198" s="4">
        <v>46030</v>
      </c>
      <c r="C198" s="5">
        <v>0.68600694444444443</v>
      </c>
      <c r="D198" s="9" t="s">
        <v>1967</v>
      </c>
      <c r="E198" s="9" t="s">
        <v>8</v>
      </c>
      <c r="F198" s="9"/>
      <c r="H198" s="9"/>
      <c r="I198" s="9" t="s">
        <v>8460</v>
      </c>
      <c r="J198" s="9" t="s">
        <v>2937</v>
      </c>
      <c r="K198" t="s">
        <v>8461</v>
      </c>
      <c r="L198" t="s">
        <v>8462</v>
      </c>
      <c r="M198" s="3" t="str">
        <f>HYPERLINK(склад2въезд1319[[#This Row],[RelativePath]])</f>
        <v>5 Крыльцо общага\K07156189_22_20260108T162751Z.jpg</v>
      </c>
    </row>
    <row r="199" spans="1:13" x14ac:dyDescent="0.25">
      <c r="A199" s="2" t="s">
        <v>17</v>
      </c>
      <c r="B199" s="4">
        <v>46031</v>
      </c>
      <c r="C199" s="5">
        <v>0.66623842592592597</v>
      </c>
      <c r="D199" s="9" t="s">
        <v>1967</v>
      </c>
      <c r="E199" s="9" t="s">
        <v>8</v>
      </c>
      <c r="F199" s="9"/>
      <c r="H199" s="9"/>
      <c r="I199" s="9" t="s">
        <v>8463</v>
      </c>
      <c r="J199" s="9" t="s">
        <v>2937</v>
      </c>
      <c r="K199" t="s">
        <v>8464</v>
      </c>
      <c r="L199" t="s">
        <v>8465</v>
      </c>
      <c r="M199" s="3" t="str">
        <f>HYPERLINK(склад2въезд1319[[#This Row],[RelativePath]])</f>
        <v>5 Крыльцо общага\K07156189_22_20260109T155923Z.jpg</v>
      </c>
    </row>
    <row r="200" spans="1:13" x14ac:dyDescent="0.25">
      <c r="A200" s="2" t="s">
        <v>18</v>
      </c>
      <c r="B200" s="4">
        <v>46032</v>
      </c>
      <c r="C200" s="5">
        <v>0.74467592592592591</v>
      </c>
      <c r="D200" s="9" t="s">
        <v>1967</v>
      </c>
      <c r="E200" s="9" t="s">
        <v>8</v>
      </c>
      <c r="F200" s="9"/>
      <c r="H200" s="9"/>
      <c r="I200" s="9" t="s">
        <v>8466</v>
      </c>
      <c r="J200" s="9" t="s">
        <v>2937</v>
      </c>
      <c r="K200" t="s">
        <v>8467</v>
      </c>
      <c r="L200" t="s">
        <v>8468</v>
      </c>
      <c r="M200" s="3" t="str">
        <f>HYPERLINK(склад2въезд1319[[#This Row],[RelativePath]])</f>
        <v>5 Крыльцо общага\K07156189_22_20260110T175220Z.jpg</v>
      </c>
    </row>
    <row r="201" spans="1:13" x14ac:dyDescent="0.25">
      <c r="A201" s="2" t="s">
        <v>22</v>
      </c>
      <c r="B201" s="4">
        <v>46033</v>
      </c>
      <c r="C201" s="5">
        <v>0.70839120370370368</v>
      </c>
      <c r="D201" s="9" t="s">
        <v>1967</v>
      </c>
      <c r="E201" s="9" t="s">
        <v>8</v>
      </c>
      <c r="F201" s="9"/>
      <c r="H201" s="9"/>
      <c r="I201" s="9" t="s">
        <v>8469</v>
      </c>
      <c r="J201" s="9" t="s">
        <v>2937</v>
      </c>
      <c r="K201" t="s">
        <v>8470</v>
      </c>
      <c r="L201" t="s">
        <v>8471</v>
      </c>
      <c r="M201" s="3" t="str">
        <f>HYPERLINK(склад2въезд1319[[#This Row],[RelativePath]])</f>
        <v>5 Крыльцо общага\K07156189_22_20260111T170005Z.jpg</v>
      </c>
    </row>
    <row r="202" spans="1:13" x14ac:dyDescent="0.25">
      <c r="A202" s="2" t="s">
        <v>14</v>
      </c>
      <c r="B202" s="4">
        <v>45972</v>
      </c>
      <c r="C202" s="5">
        <v>0.39533564814814814</v>
      </c>
      <c r="D202" s="9" t="s">
        <v>1967</v>
      </c>
      <c r="E202" s="9" t="s">
        <v>8</v>
      </c>
      <c r="F202" s="9"/>
      <c r="H202" s="9"/>
      <c r="I202" s="9" t="s">
        <v>336</v>
      </c>
      <c r="J202" s="9" t="s">
        <v>2937</v>
      </c>
      <c r="K202" t="s">
        <v>337</v>
      </c>
      <c r="L202" t="s">
        <v>338</v>
      </c>
      <c r="M202" s="3" t="str">
        <f>HYPERLINK(склад2въезд1319[[#This Row],[RelativePath]])</f>
        <v>5 Крыльцо общага\K07156189_22_20251111T092917Z.jpg</v>
      </c>
    </row>
    <row r="203" spans="1:13" x14ac:dyDescent="0.25">
      <c r="A203" s="2" t="s">
        <v>14</v>
      </c>
      <c r="B203" s="4">
        <v>45972</v>
      </c>
      <c r="C203" s="5">
        <v>0.39787037037037037</v>
      </c>
      <c r="D203" s="9" t="s">
        <v>1967</v>
      </c>
      <c r="E203" s="9" t="s">
        <v>8</v>
      </c>
      <c r="F203" s="9"/>
      <c r="H203" s="9"/>
      <c r="I203" s="9" t="s">
        <v>339</v>
      </c>
      <c r="J203" s="9" t="s">
        <v>2937</v>
      </c>
      <c r="K203" t="s">
        <v>340</v>
      </c>
      <c r="L203" t="s">
        <v>341</v>
      </c>
      <c r="M203" s="3" t="str">
        <f>HYPERLINK(склад2въезд1319[[#This Row],[RelativePath]])</f>
        <v>5 Крыльцо общага\K07156189_22_20251111T093256Z.jpg</v>
      </c>
    </row>
    <row r="204" spans="1:13" x14ac:dyDescent="0.25">
      <c r="A204" s="2" t="s">
        <v>14</v>
      </c>
      <c r="B204" s="4">
        <v>45972</v>
      </c>
      <c r="C204" s="5">
        <v>0.40370370370370373</v>
      </c>
      <c r="D204" s="9" t="s">
        <v>1967</v>
      </c>
      <c r="E204" s="9" t="s">
        <v>8</v>
      </c>
      <c r="F204" s="9"/>
      <c r="H204" s="9"/>
      <c r="I204" s="9" t="s">
        <v>342</v>
      </c>
      <c r="J204" s="9" t="s">
        <v>2937</v>
      </c>
      <c r="K204" t="s">
        <v>343</v>
      </c>
      <c r="L204" t="s">
        <v>344</v>
      </c>
      <c r="M204" s="3" t="str">
        <f>HYPERLINK(склад2въезд1319[[#This Row],[RelativePath]])</f>
        <v>5 Крыльцо общага\K07156189_22_20251111T094120Z.jpg</v>
      </c>
    </row>
    <row r="205" spans="1:13" x14ac:dyDescent="0.25">
      <c r="A205" s="2" t="s">
        <v>14</v>
      </c>
      <c r="B205" s="4">
        <v>45972</v>
      </c>
      <c r="C205" s="5">
        <v>0.40377314814814813</v>
      </c>
      <c r="D205" s="9" t="s">
        <v>1967</v>
      </c>
      <c r="E205" s="9" t="s">
        <v>8</v>
      </c>
      <c r="F205" s="9"/>
      <c r="H205" s="9"/>
      <c r="I205" s="9" t="s">
        <v>345</v>
      </c>
      <c r="J205" s="9" t="s">
        <v>2937</v>
      </c>
      <c r="K205" t="s">
        <v>346</v>
      </c>
      <c r="L205" t="s">
        <v>347</v>
      </c>
      <c r="M205" s="3" t="str">
        <f>HYPERLINK(склад2въезд1319[[#This Row],[RelativePath]])</f>
        <v>5 Крыльцо общага\K07156189_22_20251111T094126Z.jpg</v>
      </c>
    </row>
    <row r="206" spans="1:13" x14ac:dyDescent="0.25">
      <c r="A206" s="2" t="s">
        <v>14</v>
      </c>
      <c r="B206" s="4">
        <v>45972</v>
      </c>
      <c r="C206" s="5">
        <v>0.40597222222222223</v>
      </c>
      <c r="D206" s="9" t="s">
        <v>1967</v>
      </c>
      <c r="E206" s="9" t="s">
        <v>8</v>
      </c>
      <c r="F206" s="9"/>
      <c r="H206" s="9"/>
      <c r="I206" s="9" t="s">
        <v>348</v>
      </c>
      <c r="J206" s="9" t="s">
        <v>2937</v>
      </c>
      <c r="K206" t="s">
        <v>349</v>
      </c>
      <c r="L206" t="s">
        <v>350</v>
      </c>
      <c r="M206" s="3" t="str">
        <f>HYPERLINK(склад2въезд1319[[#This Row],[RelativePath]])</f>
        <v>5 Крыльцо общага\K07156189_22_20251111T094436Z.jpg</v>
      </c>
    </row>
    <row r="207" spans="1:13" x14ac:dyDescent="0.25">
      <c r="A207" s="2" t="s">
        <v>13</v>
      </c>
      <c r="B207" s="4">
        <v>46034</v>
      </c>
      <c r="C207" s="5">
        <v>0.45627314814814812</v>
      </c>
      <c r="D207" s="9" t="s">
        <v>6112</v>
      </c>
      <c r="E207" s="9" t="s">
        <v>5411</v>
      </c>
      <c r="F207" s="9" t="s">
        <v>9076</v>
      </c>
      <c r="H207" s="9"/>
      <c r="I207" s="9" t="s">
        <v>8749</v>
      </c>
      <c r="J207" s="9" t="s">
        <v>2937</v>
      </c>
      <c r="K207" t="s">
        <v>8750</v>
      </c>
      <c r="L207" t="s">
        <v>8751</v>
      </c>
      <c r="M207" s="3" t="str">
        <f>HYPERLINK(склад2въезд1319[[#This Row],[RelativePath]])</f>
        <v>5 Крыльцо общага\K07156189_22_20260112T105702Z.jpg</v>
      </c>
    </row>
    <row r="208" spans="1:13" x14ac:dyDescent="0.25">
      <c r="A208" s="2" t="s">
        <v>13</v>
      </c>
      <c r="B208" s="4">
        <v>46034</v>
      </c>
      <c r="C208" s="5">
        <v>0.45644675925925926</v>
      </c>
      <c r="D208" s="9" t="s">
        <v>6112</v>
      </c>
      <c r="E208" s="9" t="s">
        <v>5411</v>
      </c>
      <c r="F208" s="9" t="s">
        <v>9076</v>
      </c>
      <c r="H208" s="9" t="s">
        <v>2891</v>
      </c>
      <c r="I208" s="9" t="s">
        <v>8752</v>
      </c>
      <c r="J208" s="9" t="s">
        <v>2937</v>
      </c>
      <c r="K208" t="s">
        <v>8753</v>
      </c>
      <c r="L208" t="s">
        <v>8754</v>
      </c>
      <c r="M208" s="3" t="str">
        <f>HYPERLINK(склад2въезд1319[[#This Row],[RelativePath]])</f>
        <v>5 Крыльцо общага\K07156189_22_20260112T105717Z.jpg</v>
      </c>
    </row>
    <row r="209" spans="1:13" x14ac:dyDescent="0.25">
      <c r="A209" s="2" t="s">
        <v>13</v>
      </c>
      <c r="B209" s="4">
        <v>46034</v>
      </c>
      <c r="C209" s="5">
        <v>0.60359953703703706</v>
      </c>
      <c r="D209" s="9" t="s">
        <v>1066</v>
      </c>
      <c r="E209" s="9" t="s">
        <v>86</v>
      </c>
      <c r="F209" s="9" t="s">
        <v>60</v>
      </c>
      <c r="H209" s="9"/>
      <c r="I209" s="9" t="s">
        <v>8755</v>
      </c>
      <c r="J209" s="9" t="s">
        <v>2937</v>
      </c>
      <c r="K209" t="s">
        <v>8756</v>
      </c>
      <c r="L209" t="s">
        <v>8757</v>
      </c>
      <c r="M209" s="3" t="str">
        <f>HYPERLINK(склад2въезд1319[[#This Row],[RelativePath]])</f>
        <v>5 Крыльцо общага\K07156189_22_20260112T142911Z.jpg</v>
      </c>
    </row>
    <row r="210" spans="1:13" x14ac:dyDescent="0.25">
      <c r="A210" s="2" t="s">
        <v>13</v>
      </c>
      <c r="B210" s="4">
        <v>46034</v>
      </c>
      <c r="C210" s="5">
        <v>0.60393518518518519</v>
      </c>
      <c r="D210" s="9" t="s">
        <v>1066</v>
      </c>
      <c r="E210" s="9" t="s">
        <v>86</v>
      </c>
      <c r="F210" s="9" t="s">
        <v>60</v>
      </c>
      <c r="H210" s="9" t="s">
        <v>2891</v>
      </c>
      <c r="I210" s="9" t="s">
        <v>8758</v>
      </c>
      <c r="J210" s="9" t="s">
        <v>2937</v>
      </c>
      <c r="K210" t="s">
        <v>8759</v>
      </c>
      <c r="L210" t="s">
        <v>8760</v>
      </c>
      <c r="M210" s="3" t="str">
        <f>HYPERLINK(склад2въезд1319[[#This Row],[RelativePath]])</f>
        <v>5 Крыльцо общага\K07156189_22_20260112T142940Z.jpg</v>
      </c>
    </row>
    <row r="211" spans="1:13" x14ac:dyDescent="0.25">
      <c r="A211" s="2" t="s">
        <v>13</v>
      </c>
      <c r="B211" s="4">
        <v>46034</v>
      </c>
      <c r="C211" s="5">
        <v>0.62201388888888887</v>
      </c>
      <c r="D211" s="9" t="s">
        <v>1066</v>
      </c>
      <c r="E211" s="9" t="s">
        <v>86</v>
      </c>
      <c r="F211" s="9" t="s">
        <v>60</v>
      </c>
      <c r="H211" s="9" t="s">
        <v>2891</v>
      </c>
      <c r="I211" s="9" t="s">
        <v>8761</v>
      </c>
      <c r="J211" s="9" t="s">
        <v>2937</v>
      </c>
      <c r="K211" t="s">
        <v>8762</v>
      </c>
      <c r="L211" t="s">
        <v>8763</v>
      </c>
      <c r="M211" s="3" t="str">
        <f>HYPERLINK(склад2въезд1319[[#This Row],[RelativePath]])</f>
        <v>5 Крыльцо общага\K07156189_22_20260112T145542Z.jpg</v>
      </c>
    </row>
    <row r="212" spans="1:13" x14ac:dyDescent="0.25">
      <c r="A212" s="2" t="s">
        <v>13</v>
      </c>
      <c r="B212" s="4">
        <v>46034</v>
      </c>
      <c r="C212" s="5">
        <v>0.6477546296296296</v>
      </c>
      <c r="D212" s="9" t="s">
        <v>1066</v>
      </c>
      <c r="E212" s="9" t="s">
        <v>4188</v>
      </c>
      <c r="F212" s="9" t="s">
        <v>60</v>
      </c>
      <c r="H212" s="9"/>
      <c r="I212" s="9" t="s">
        <v>8764</v>
      </c>
      <c r="J212" s="9" t="s">
        <v>2937</v>
      </c>
      <c r="K212" t="s">
        <v>8765</v>
      </c>
      <c r="L212" t="s">
        <v>8766</v>
      </c>
      <c r="M212" s="3" t="str">
        <f>HYPERLINK(склад2въезд1319[[#This Row],[RelativePath]])</f>
        <v>5 Крыльцо общага\K07156189_22_20260112T153246Z.jpg</v>
      </c>
    </row>
    <row r="213" spans="1:13" x14ac:dyDescent="0.25">
      <c r="A213" s="2" t="s">
        <v>13</v>
      </c>
      <c r="B213" s="4">
        <v>46034</v>
      </c>
      <c r="C213" s="5">
        <v>0.6633796296296296</v>
      </c>
      <c r="D213" s="9" t="s">
        <v>1066</v>
      </c>
      <c r="E213" s="9" t="s">
        <v>4188</v>
      </c>
      <c r="F213" s="9" t="s">
        <v>60</v>
      </c>
      <c r="H213" s="9" t="s">
        <v>2891</v>
      </c>
      <c r="I213" s="9" t="s">
        <v>8767</v>
      </c>
      <c r="J213" s="9" t="s">
        <v>2937</v>
      </c>
      <c r="K213" t="s">
        <v>8768</v>
      </c>
      <c r="L213" t="s">
        <v>8769</v>
      </c>
      <c r="M213" s="3" t="str">
        <f>HYPERLINK(склад2въезд1319[[#This Row],[RelativePath]])</f>
        <v>5 Крыльцо общага\K07156189_22_20260112T155516Z.jpg</v>
      </c>
    </row>
    <row r="214" spans="1:13" x14ac:dyDescent="0.25">
      <c r="A214" s="2" t="s">
        <v>13</v>
      </c>
      <c r="B214" s="4">
        <v>46034</v>
      </c>
      <c r="C214" s="5">
        <v>0.67013888888888884</v>
      </c>
      <c r="D214" s="9" t="s">
        <v>1066</v>
      </c>
      <c r="E214" s="9" t="s">
        <v>4188</v>
      </c>
      <c r="F214" s="9" t="s">
        <v>60</v>
      </c>
      <c r="H214" s="9" t="s">
        <v>2891</v>
      </c>
      <c r="I214" s="9" t="s">
        <v>8770</v>
      </c>
      <c r="J214" s="9" t="s">
        <v>2937</v>
      </c>
      <c r="K214" t="s">
        <v>8771</v>
      </c>
      <c r="L214" t="s">
        <v>8772</v>
      </c>
      <c r="M214" s="3" t="str">
        <f>HYPERLINK(склад2въезд1319[[#This Row],[RelativePath]])</f>
        <v>5 Крыльцо общага\K07156189_22_20260112T160500Z.jpg</v>
      </c>
    </row>
    <row r="215" spans="1:13" x14ac:dyDescent="0.25">
      <c r="A215" s="2" t="s">
        <v>14</v>
      </c>
      <c r="B215" s="4">
        <v>46035</v>
      </c>
      <c r="C215" s="5">
        <v>0.39398148148148149</v>
      </c>
      <c r="D215" s="9" t="s">
        <v>4</v>
      </c>
      <c r="E215" s="9" t="s">
        <v>8</v>
      </c>
      <c r="F215" s="9"/>
      <c r="H215" s="9"/>
      <c r="I215" s="9" t="s">
        <v>8773</v>
      </c>
      <c r="J215" s="9" t="s">
        <v>2937</v>
      </c>
      <c r="K215" t="s">
        <v>8774</v>
      </c>
      <c r="L215" t="s">
        <v>8775</v>
      </c>
      <c r="M215" s="3" t="str">
        <f>HYPERLINK(склад2въезд1319[[#This Row],[RelativePath]])</f>
        <v>5 Крыльцо общага\K07156189_22_20260113T092720Z.jpg</v>
      </c>
    </row>
    <row r="216" spans="1:13" x14ac:dyDescent="0.25">
      <c r="A216" s="2" t="s">
        <v>14</v>
      </c>
      <c r="B216" s="4">
        <v>46035</v>
      </c>
      <c r="C216" s="5">
        <v>0.42083333333333334</v>
      </c>
      <c r="D216" s="9" t="s">
        <v>4</v>
      </c>
      <c r="E216" s="9" t="s">
        <v>7947</v>
      </c>
      <c r="F216" s="9"/>
      <c r="H216" s="9"/>
      <c r="I216" s="9" t="s">
        <v>8776</v>
      </c>
      <c r="J216" s="9" t="s">
        <v>2937</v>
      </c>
      <c r="K216" t="s">
        <v>8777</v>
      </c>
      <c r="L216" t="s">
        <v>8778</v>
      </c>
      <c r="M216" s="3" t="str">
        <f>HYPERLINK(склад2въезд1319[[#This Row],[RelativePath]])</f>
        <v>5 Крыльцо общага\K07156189_22_20260113T100600Z.jpg</v>
      </c>
    </row>
    <row r="217" spans="1:13" x14ac:dyDescent="0.25">
      <c r="A217" s="2" t="s">
        <v>14</v>
      </c>
      <c r="B217" s="4">
        <v>46035</v>
      </c>
      <c r="C217" s="5">
        <v>0.5883680555555556</v>
      </c>
      <c r="D217" s="9" t="s">
        <v>4</v>
      </c>
      <c r="E217" s="9" t="s">
        <v>7947</v>
      </c>
      <c r="F217" s="9"/>
      <c r="H217" s="9"/>
      <c r="I217" s="9" t="s">
        <v>8779</v>
      </c>
      <c r="J217" s="9" t="s">
        <v>2937</v>
      </c>
      <c r="K217" t="s">
        <v>8780</v>
      </c>
      <c r="L217" t="s">
        <v>8781</v>
      </c>
      <c r="M217" s="3" t="str">
        <f>HYPERLINK(склад2въезд1319[[#This Row],[RelativePath]])</f>
        <v>5 Крыльцо общага\K07156189_22_20260113T140715Z.jpg</v>
      </c>
    </row>
    <row r="218" spans="1:13" x14ac:dyDescent="0.25">
      <c r="A218" s="2" t="s">
        <v>14</v>
      </c>
      <c r="B218" s="4">
        <v>46035</v>
      </c>
      <c r="C218" s="5">
        <v>0.71750000000000003</v>
      </c>
      <c r="D218" s="9" t="s">
        <v>4</v>
      </c>
      <c r="E218" s="9" t="s">
        <v>8</v>
      </c>
      <c r="F218" s="9"/>
      <c r="H218" s="9"/>
      <c r="I218" s="9" t="s">
        <v>8782</v>
      </c>
      <c r="J218" s="9" t="s">
        <v>2937</v>
      </c>
      <c r="K218" t="s">
        <v>8783</v>
      </c>
      <c r="L218" t="s">
        <v>8784</v>
      </c>
      <c r="M218" s="3" t="str">
        <f>HYPERLINK(склад2въезд1319[[#This Row],[RelativePath]])</f>
        <v>5 Крыльцо общага\K07156189_22_20260113T171312Z.jpg</v>
      </c>
    </row>
    <row r="219" spans="1:13" x14ac:dyDescent="0.25">
      <c r="A219" s="2" t="s">
        <v>15</v>
      </c>
      <c r="B219" s="4">
        <v>46036</v>
      </c>
      <c r="C219" s="5">
        <v>0.4422800925925926</v>
      </c>
      <c r="D219" s="9" t="s">
        <v>4</v>
      </c>
      <c r="E219" s="9" t="s">
        <v>7947</v>
      </c>
      <c r="F219" s="9"/>
      <c r="H219" s="9"/>
      <c r="I219" s="9" t="s">
        <v>9143</v>
      </c>
      <c r="J219" s="9" t="s">
        <v>2937</v>
      </c>
      <c r="K219" t="s">
        <v>9144</v>
      </c>
      <c r="L219" t="s">
        <v>9145</v>
      </c>
      <c r="M219" s="3" t="str">
        <f>HYPERLINK(склад2въезд1319[[#This Row],[RelativePath]])</f>
        <v>5 Крыльцо общага\K07156189_22_20260114T103653Z.jpg</v>
      </c>
    </row>
    <row r="220" spans="1:13" x14ac:dyDescent="0.25">
      <c r="A220" s="2" t="s">
        <v>15</v>
      </c>
      <c r="B220" s="4">
        <v>46036</v>
      </c>
      <c r="C220" s="5">
        <v>0.60677083333333337</v>
      </c>
      <c r="D220" s="9" t="s">
        <v>4</v>
      </c>
      <c r="E220" s="9" t="s">
        <v>7947</v>
      </c>
      <c r="F220" s="9"/>
      <c r="H220" s="9" t="s">
        <v>2891</v>
      </c>
      <c r="I220" s="9" t="s">
        <v>9146</v>
      </c>
      <c r="J220" s="9" t="s">
        <v>2937</v>
      </c>
      <c r="K220" t="s">
        <v>9147</v>
      </c>
      <c r="L220" t="s">
        <v>9148</v>
      </c>
      <c r="M220" s="3" t="str">
        <f>HYPERLINK(склад2въезд1319[[#This Row],[RelativePath]])</f>
        <v>5 Крыльцо общага\K07156189_22_20260114T143345Z.jpg</v>
      </c>
    </row>
    <row r="221" spans="1:13" x14ac:dyDescent="0.25">
      <c r="A221" s="2" t="s">
        <v>15</v>
      </c>
      <c r="B221" s="4">
        <v>46036</v>
      </c>
      <c r="C221" s="5">
        <v>0.69315972222222222</v>
      </c>
      <c r="D221" s="9" t="s">
        <v>4</v>
      </c>
      <c r="E221" s="9" t="s">
        <v>7947</v>
      </c>
      <c r="F221" s="9"/>
      <c r="H221" s="9" t="s">
        <v>2891</v>
      </c>
      <c r="I221" s="9" t="s">
        <v>9149</v>
      </c>
      <c r="J221" s="9" t="s">
        <v>2937</v>
      </c>
      <c r="K221" t="s">
        <v>9150</v>
      </c>
      <c r="L221" t="s">
        <v>9151</v>
      </c>
      <c r="M221" s="3" t="str">
        <f>HYPERLINK(склад2въезд1319[[#This Row],[RelativePath]])</f>
        <v>5 Крыльцо общага\K07156189_22_20260114T163809Z.jpg</v>
      </c>
    </row>
    <row r="222" spans="1:13" x14ac:dyDescent="0.25">
      <c r="A222" s="2" t="s">
        <v>16</v>
      </c>
      <c r="B222" s="4">
        <v>46037</v>
      </c>
      <c r="C222" s="5">
        <v>0.58760416666666671</v>
      </c>
      <c r="D222" s="9" t="s">
        <v>1066</v>
      </c>
      <c r="E222" s="9" t="s">
        <v>4188</v>
      </c>
      <c r="F222" s="9" t="s">
        <v>60</v>
      </c>
      <c r="H222" s="9"/>
      <c r="I222" s="9" t="s">
        <v>9251</v>
      </c>
      <c r="J222" s="9" t="s">
        <v>2937</v>
      </c>
      <c r="K222" t="s">
        <v>9252</v>
      </c>
      <c r="L222" t="s">
        <v>9253</v>
      </c>
      <c r="M222" s="3" t="str">
        <f>HYPERLINK(склад2въезд1319[[#This Row],[RelativePath]])</f>
        <v>5 Крыльцо общага\K07156189_22_20260115T140609Z.jpg</v>
      </c>
    </row>
    <row r="223" spans="1:13" x14ac:dyDescent="0.25">
      <c r="A223" s="2" t="s">
        <v>16</v>
      </c>
      <c r="B223" s="4">
        <v>46037</v>
      </c>
      <c r="C223" s="5">
        <v>0.66956018518518523</v>
      </c>
      <c r="D223" s="9" t="s">
        <v>4</v>
      </c>
      <c r="E223" s="9" t="s">
        <v>7947</v>
      </c>
      <c r="F223" s="9"/>
      <c r="H223" s="9"/>
      <c r="I223" s="9" t="s">
        <v>9254</v>
      </c>
      <c r="J223" s="9" t="s">
        <v>2937</v>
      </c>
      <c r="K223" t="s">
        <v>9255</v>
      </c>
      <c r="L223" t="s">
        <v>9256</v>
      </c>
      <c r="M223" s="3" t="str">
        <f>HYPERLINK(склад2въезд1319[[#This Row],[RelativePath]])</f>
        <v>5 Крыльцо общага\K07156189_22_20260115T160410Z.jpg</v>
      </c>
    </row>
    <row r="224" spans="1:13" x14ac:dyDescent="0.25">
      <c r="A224" s="2" t="s">
        <v>16</v>
      </c>
      <c r="B224" s="4">
        <v>46037</v>
      </c>
      <c r="C224" s="5">
        <v>0.69589120370370372</v>
      </c>
      <c r="D224" s="9" t="s">
        <v>4</v>
      </c>
      <c r="E224" s="9" t="s">
        <v>7947</v>
      </c>
      <c r="F224" s="9"/>
      <c r="H224" s="9"/>
      <c r="I224" s="9" t="s">
        <v>9257</v>
      </c>
      <c r="J224" s="9" t="s">
        <v>2937</v>
      </c>
      <c r="K224" t="s">
        <v>9258</v>
      </c>
      <c r="L224" t="s">
        <v>9259</v>
      </c>
      <c r="M224" s="3" t="str">
        <f>HYPERLINK(склад2въезд1319[[#This Row],[RelativePath]])</f>
        <v>5 Крыльцо общага\K07156189_22_20260115T164205Z.jpg</v>
      </c>
    </row>
    <row r="225" spans="1:13" x14ac:dyDescent="0.25">
      <c r="A225" s="2" t="s">
        <v>17</v>
      </c>
      <c r="B225" s="4">
        <v>46038</v>
      </c>
      <c r="C225" s="5">
        <v>0.52035879629629633</v>
      </c>
      <c r="D225" s="9" t="s">
        <v>4</v>
      </c>
      <c r="E225" s="9" t="s">
        <v>7947</v>
      </c>
      <c r="F225" s="9"/>
      <c r="H225" s="9"/>
      <c r="I225" s="9" t="s">
        <v>9260</v>
      </c>
      <c r="J225" s="9" t="s">
        <v>2937</v>
      </c>
      <c r="K225" t="s">
        <v>9261</v>
      </c>
      <c r="L225" t="s">
        <v>9262</v>
      </c>
      <c r="M225" s="3" t="str">
        <f>HYPERLINK(склад2въезд1319[[#This Row],[RelativePath]])</f>
        <v>5 Крыльцо общага\K07156189_22_20260116T122919Z.jpg</v>
      </c>
    </row>
    <row r="226" spans="1:13" x14ac:dyDescent="0.25">
      <c r="A226" s="2" t="s">
        <v>17</v>
      </c>
      <c r="B226" s="4">
        <v>46038</v>
      </c>
      <c r="C226" s="5">
        <v>0.59358796296296301</v>
      </c>
      <c r="D226" s="9" t="s">
        <v>4</v>
      </c>
      <c r="E226" s="9" t="s">
        <v>7947</v>
      </c>
      <c r="F226" s="9"/>
      <c r="H226" s="9"/>
      <c r="I226" s="9" t="s">
        <v>9263</v>
      </c>
      <c r="J226" s="9" t="s">
        <v>2937</v>
      </c>
      <c r="K226" t="s">
        <v>9264</v>
      </c>
      <c r="L226" t="s">
        <v>9265</v>
      </c>
      <c r="M226" s="3" t="str">
        <f>HYPERLINK(склад2въезд1319[[#This Row],[RelativePath]])</f>
        <v>5 Крыльцо общага\K07156189_22_20260116T141446Z.jpg</v>
      </c>
    </row>
    <row r="227" spans="1:13" x14ac:dyDescent="0.25">
      <c r="A227" s="2" t="s">
        <v>17</v>
      </c>
      <c r="B227" s="4">
        <v>46038</v>
      </c>
      <c r="C227" s="5">
        <v>0.70381944444444444</v>
      </c>
      <c r="D227" s="9" t="s">
        <v>4</v>
      </c>
      <c r="E227" s="9" t="s">
        <v>8</v>
      </c>
      <c r="F227" s="9"/>
      <c r="H227" s="9"/>
      <c r="I227" s="9" t="s">
        <v>9266</v>
      </c>
      <c r="J227" s="9" t="s">
        <v>2937</v>
      </c>
      <c r="K227" t="s">
        <v>9267</v>
      </c>
      <c r="L227" t="s">
        <v>9268</v>
      </c>
      <c r="M227" s="3" t="str">
        <f>HYPERLINK(склад2въезд1319[[#This Row],[RelativePath]])</f>
        <v>5 Крыльцо общага\K07156189_22_20260116T165330Z.jpg</v>
      </c>
    </row>
    <row r="228" spans="1:13" x14ac:dyDescent="0.25">
      <c r="A228" s="2" t="s">
        <v>18</v>
      </c>
      <c r="B228" s="4">
        <v>46039</v>
      </c>
      <c r="C228" s="5">
        <v>0.71035879629629628</v>
      </c>
      <c r="D228" s="9" t="s">
        <v>4</v>
      </c>
      <c r="E228" s="9" t="s">
        <v>7947</v>
      </c>
      <c r="F228" s="9"/>
      <c r="H228" s="9"/>
      <c r="I228" s="9" t="s">
        <v>9519</v>
      </c>
      <c r="J228" s="9" t="s">
        <v>2937</v>
      </c>
      <c r="K228" t="s">
        <v>9520</v>
      </c>
      <c r="L228" t="s">
        <v>9521</v>
      </c>
      <c r="M228" s="3" t="str">
        <f>HYPERLINK(склад2въезд1319[[#This Row],[RelativePath]])</f>
        <v>5 Крыльцо общага\K07156189_22_20260117T170255Z.jpg</v>
      </c>
    </row>
    <row r="229" spans="1:13" x14ac:dyDescent="0.25">
      <c r="A229" s="2" t="s">
        <v>22</v>
      </c>
      <c r="B229" s="4">
        <v>46040</v>
      </c>
      <c r="C229" s="5">
        <v>0.56443287037037038</v>
      </c>
      <c r="D229" s="9" t="s">
        <v>4</v>
      </c>
      <c r="E229" s="9" t="s">
        <v>7947</v>
      </c>
      <c r="F229" s="9"/>
      <c r="H229" s="9"/>
      <c r="I229" s="9" t="s">
        <v>9522</v>
      </c>
      <c r="J229" s="9" t="s">
        <v>2937</v>
      </c>
      <c r="K229" t="s">
        <v>9523</v>
      </c>
      <c r="L229" t="s">
        <v>9524</v>
      </c>
      <c r="M229" s="3" t="str">
        <f>HYPERLINK(склад2въезд1319[[#This Row],[RelativePath]])</f>
        <v>5 Крыльцо общага\K07156189_22_20260118T133247Z.jpg</v>
      </c>
    </row>
    <row r="230" spans="1:13" x14ac:dyDescent="0.25">
      <c r="A230" s="2" t="s">
        <v>22</v>
      </c>
      <c r="B230" s="4">
        <v>46040</v>
      </c>
      <c r="C230" s="5">
        <v>0.70335648148148144</v>
      </c>
      <c r="D230" s="9" t="s">
        <v>4</v>
      </c>
      <c r="E230" s="9" t="s">
        <v>7947</v>
      </c>
      <c r="F230" s="9"/>
      <c r="H230" s="9"/>
      <c r="I230" s="9" t="s">
        <v>9525</v>
      </c>
      <c r="J230" s="9" t="s">
        <v>2937</v>
      </c>
      <c r="K230" t="s">
        <v>9526</v>
      </c>
      <c r="L230" t="s">
        <v>9527</v>
      </c>
      <c r="M230" s="3" t="str">
        <f>HYPERLINK(склад2въезд1319[[#This Row],[RelativePath]])</f>
        <v>5 Крыльцо общага\K07156189_22_20260118T165250Z.jpg</v>
      </c>
    </row>
    <row r="231" spans="1:13" x14ac:dyDescent="0.25">
      <c r="A231" s="2" t="s">
        <v>13</v>
      </c>
      <c r="B231" s="4">
        <v>46041</v>
      </c>
      <c r="C231" s="5">
        <v>0.44562499999999999</v>
      </c>
      <c r="D231" s="9" t="s">
        <v>4</v>
      </c>
      <c r="E231" s="9" t="s">
        <v>9754</v>
      </c>
      <c r="F231" s="9"/>
      <c r="H231" s="9"/>
      <c r="I231" s="9" t="s">
        <v>9573</v>
      </c>
      <c r="J231" s="9" t="s">
        <v>2937</v>
      </c>
      <c r="K231" t="s">
        <v>9574</v>
      </c>
      <c r="L231" t="s">
        <v>9575</v>
      </c>
      <c r="M231" s="3" t="str">
        <f>HYPERLINK(склад2въезд1319[[#This Row],[RelativePath]])</f>
        <v>5 Крыльцо общага\K07156189_22_20260119T104142Z.jpg</v>
      </c>
    </row>
    <row r="232" spans="1:13" x14ac:dyDescent="0.25">
      <c r="A232" s="2" t="s">
        <v>13</v>
      </c>
      <c r="B232" s="4">
        <v>46041</v>
      </c>
      <c r="C232" s="5">
        <v>0.50770833333333332</v>
      </c>
      <c r="D232" s="9" t="s">
        <v>4</v>
      </c>
      <c r="E232" s="9" t="s">
        <v>9754</v>
      </c>
      <c r="F232" s="9"/>
      <c r="H232" s="9"/>
      <c r="I232" s="9" t="s">
        <v>9576</v>
      </c>
      <c r="J232" s="9" t="s">
        <v>2937</v>
      </c>
      <c r="K232" t="s">
        <v>9577</v>
      </c>
      <c r="L232" t="s">
        <v>9578</v>
      </c>
      <c r="M232" s="3" t="str">
        <f>HYPERLINK(склад2въезд1319[[#This Row],[RelativePath]])</f>
        <v>5 Крыльцо общага\K07156189_22_20260119T121106Z.jpg</v>
      </c>
    </row>
    <row r="233" spans="1:13" x14ac:dyDescent="0.25">
      <c r="A233" s="2" t="s">
        <v>13</v>
      </c>
      <c r="B233" s="4">
        <v>46041</v>
      </c>
      <c r="C233" s="5">
        <v>0.69420138888888894</v>
      </c>
      <c r="D233" s="9" t="s">
        <v>4</v>
      </c>
      <c r="E233" s="9" t="s">
        <v>9754</v>
      </c>
      <c r="F233" s="9"/>
      <c r="H233" s="9"/>
      <c r="I233" s="9" t="s">
        <v>9579</v>
      </c>
      <c r="J233" s="9" t="s">
        <v>2937</v>
      </c>
      <c r="K233" t="s">
        <v>9580</v>
      </c>
      <c r="L233" t="s">
        <v>9581</v>
      </c>
      <c r="M233" s="3" t="str">
        <f>HYPERLINK(склад2въезд1319[[#This Row],[RelativePath]])</f>
        <v>5 Крыльцо общага\K07156189_22_20260119T163939Z.jpg</v>
      </c>
    </row>
    <row r="234" spans="1:13" x14ac:dyDescent="0.25">
      <c r="A234" s="2" t="s">
        <v>14</v>
      </c>
      <c r="B234" s="4">
        <v>46042</v>
      </c>
      <c r="C234" s="5">
        <v>0.49988425925925928</v>
      </c>
      <c r="D234" s="9" t="s">
        <v>4</v>
      </c>
      <c r="E234" s="9" t="s">
        <v>9754</v>
      </c>
      <c r="F234" s="9"/>
      <c r="H234" s="9"/>
      <c r="I234" s="9" t="s">
        <v>9582</v>
      </c>
      <c r="J234" s="9" t="s">
        <v>2937</v>
      </c>
      <c r="K234" t="s">
        <v>9583</v>
      </c>
      <c r="L234" t="s">
        <v>9584</v>
      </c>
      <c r="M234" s="3" t="str">
        <f>HYPERLINK(склад2въезд1319[[#This Row],[RelativePath]])</f>
        <v>5 Крыльцо общага\K07156189_22_20260120T115950Z.jpg</v>
      </c>
    </row>
    <row r="235" spans="1:13" x14ac:dyDescent="0.25">
      <c r="A235" s="2" t="s">
        <v>14</v>
      </c>
      <c r="B235" s="4">
        <v>46042</v>
      </c>
      <c r="C235" s="5">
        <v>0.62523148148148144</v>
      </c>
      <c r="D235" s="9" t="s">
        <v>4</v>
      </c>
      <c r="E235" s="9" t="s">
        <v>9754</v>
      </c>
      <c r="F235" s="9"/>
      <c r="H235" s="9"/>
      <c r="I235" s="9" t="s">
        <v>9585</v>
      </c>
      <c r="J235" s="9" t="s">
        <v>2937</v>
      </c>
      <c r="K235" t="s">
        <v>9586</v>
      </c>
      <c r="L235" t="s">
        <v>9587</v>
      </c>
      <c r="M235" s="3" t="str">
        <f>HYPERLINK(склад2въезд1319[[#This Row],[RelativePath]])</f>
        <v>5 Крыльцо общага\K07156189_22_20260120T150020Z.jpg</v>
      </c>
    </row>
    <row r="236" spans="1:13" x14ac:dyDescent="0.25">
      <c r="A236" s="2" t="s">
        <v>15</v>
      </c>
      <c r="B236" s="4">
        <v>46043</v>
      </c>
      <c r="C236" s="5">
        <v>0.37590277777777775</v>
      </c>
      <c r="D236" s="9" t="s">
        <v>4</v>
      </c>
      <c r="E236" s="9" t="s">
        <v>9754</v>
      </c>
      <c r="F236" s="9"/>
      <c r="H236" s="9"/>
      <c r="I236" s="9" t="s">
        <v>9814</v>
      </c>
      <c r="J236" s="9" t="s">
        <v>2937</v>
      </c>
      <c r="K236" t="s">
        <v>9815</v>
      </c>
      <c r="L236" t="s">
        <v>9816</v>
      </c>
      <c r="M236" s="3" t="str">
        <f>HYPERLINK(склад2въезд1319[[#This Row],[RelativePath]])</f>
        <v>5 Крыльцо общага\K07156189_22_20260121T090118Z.jpg</v>
      </c>
    </row>
    <row r="237" spans="1:13" x14ac:dyDescent="0.25">
      <c r="A237" s="2" t="s">
        <v>15</v>
      </c>
      <c r="B237" s="4">
        <v>46043</v>
      </c>
      <c r="C237" s="5">
        <v>0.6726388888888889</v>
      </c>
      <c r="D237" s="9" t="s">
        <v>4</v>
      </c>
      <c r="E237" s="9" t="s">
        <v>9754</v>
      </c>
      <c r="F237" s="9"/>
      <c r="H237" s="9"/>
      <c r="I237" s="9" t="s">
        <v>9817</v>
      </c>
      <c r="J237" s="9" t="s">
        <v>2937</v>
      </c>
      <c r="K237" t="s">
        <v>9818</v>
      </c>
      <c r="L237" t="s">
        <v>9819</v>
      </c>
      <c r="M237" s="3" t="str">
        <f>HYPERLINK(склад2въезд1319[[#This Row],[RelativePath]])</f>
        <v>5 Крыльцо общага\K07156189_22_20260121T160836Z.jpg</v>
      </c>
    </row>
    <row r="238" spans="1:13" x14ac:dyDescent="0.25">
      <c r="A238" s="2" t="s">
        <v>16</v>
      </c>
      <c r="B238" s="4">
        <v>46044</v>
      </c>
      <c r="C238" s="5">
        <v>0.4626851851851852</v>
      </c>
      <c r="D238" s="9" t="s">
        <v>4</v>
      </c>
      <c r="E238" s="9" t="s">
        <v>9754</v>
      </c>
      <c r="F238" s="9"/>
      <c r="H238" s="9"/>
      <c r="I238" s="9" t="s">
        <v>9820</v>
      </c>
      <c r="J238" s="9" t="s">
        <v>2937</v>
      </c>
      <c r="K238" t="s">
        <v>9821</v>
      </c>
      <c r="L238" t="s">
        <v>9822</v>
      </c>
      <c r="M238" s="3" t="str">
        <f>HYPERLINK(склад2въезд1319[[#This Row],[RelativePath]])</f>
        <v>5 Крыльцо общага\K07156189_22_20260122T110616Z.jpg</v>
      </c>
    </row>
    <row r="239" spans="1:13" x14ac:dyDescent="0.25">
      <c r="A239" s="2" t="s">
        <v>16</v>
      </c>
      <c r="B239" s="4">
        <v>46044</v>
      </c>
      <c r="C239" s="5">
        <v>0.50471064814814814</v>
      </c>
      <c r="D239" s="9" t="s">
        <v>4</v>
      </c>
      <c r="E239" s="9" t="s">
        <v>9754</v>
      </c>
      <c r="F239" s="9"/>
      <c r="H239" s="9"/>
      <c r="I239" s="9" t="s">
        <v>9823</v>
      </c>
      <c r="J239" s="9" t="s">
        <v>2937</v>
      </c>
      <c r="K239" t="s">
        <v>9824</v>
      </c>
      <c r="L239" t="s">
        <v>9825</v>
      </c>
      <c r="M239" s="3" t="str">
        <f>HYPERLINK(склад2въезд1319[[#This Row],[RelativePath]])</f>
        <v>5 Крыльцо общага\K07156189_22_20260122T120647Z.jpg</v>
      </c>
    </row>
    <row r="240" spans="1:13" x14ac:dyDescent="0.25">
      <c r="A240" s="2" t="s">
        <v>16</v>
      </c>
      <c r="B240" s="4">
        <v>46044</v>
      </c>
      <c r="C240" s="5">
        <v>0.71368055555555554</v>
      </c>
      <c r="D240" s="9" t="s">
        <v>4</v>
      </c>
      <c r="E240" s="9" t="s">
        <v>8</v>
      </c>
      <c r="F240" s="9"/>
      <c r="H240" s="9"/>
      <c r="I240" s="9" t="s">
        <v>9826</v>
      </c>
      <c r="J240" s="9" t="s">
        <v>2937</v>
      </c>
      <c r="K240" t="s">
        <v>9827</v>
      </c>
      <c r="L240" t="s">
        <v>9828</v>
      </c>
      <c r="M240" s="3" t="str">
        <f>HYPERLINK(склад2въезд1319[[#This Row],[RelativePath]])</f>
        <v>5 Крыльцо общага\K07156189_22_20260122T170742Z.jpg</v>
      </c>
    </row>
    <row r="241" spans="1:13" x14ac:dyDescent="0.25">
      <c r="A241" s="2" t="s">
        <v>16</v>
      </c>
      <c r="B241" s="4">
        <v>46044</v>
      </c>
      <c r="C241" s="5">
        <v>0.97</v>
      </c>
      <c r="D241" s="9" t="s">
        <v>262</v>
      </c>
      <c r="E241" s="9" t="s">
        <v>86</v>
      </c>
      <c r="F241" s="9" t="s">
        <v>60</v>
      </c>
      <c r="G241">
        <v>2</v>
      </c>
      <c r="H241" s="9" t="s">
        <v>10084</v>
      </c>
      <c r="I241" s="9" t="s">
        <v>10054</v>
      </c>
      <c r="J241" s="9" t="s">
        <v>2937</v>
      </c>
      <c r="K241" t="s">
        <v>10055</v>
      </c>
      <c r="L241" t="s">
        <v>10056</v>
      </c>
      <c r="M241" s="3" t="str">
        <f>HYPERLINK(склад2въезд1319[[#This Row],[RelativePath]])</f>
        <v>5 Крыльцо общага\K07156189_22_20260122T231648Z.jpg</v>
      </c>
    </row>
    <row r="242" spans="1:13" x14ac:dyDescent="0.25">
      <c r="A242" s="2" t="s">
        <v>16</v>
      </c>
      <c r="B242" s="4">
        <v>46044</v>
      </c>
      <c r="C242" s="5">
        <v>0.971099537037037</v>
      </c>
      <c r="D242" s="9" t="s">
        <v>262</v>
      </c>
      <c r="E242" s="9" t="s">
        <v>86</v>
      </c>
      <c r="F242" s="9" t="s">
        <v>60</v>
      </c>
      <c r="G242">
        <v>4</v>
      </c>
      <c r="H242" s="9"/>
      <c r="I242" s="9" t="s">
        <v>10057</v>
      </c>
      <c r="J242" s="9" t="s">
        <v>2937</v>
      </c>
      <c r="K242" t="s">
        <v>10058</v>
      </c>
      <c r="L242" t="s">
        <v>10059</v>
      </c>
      <c r="M242" s="3" t="str">
        <f>HYPERLINK(склад2въезд1319[[#This Row],[RelativePath]])</f>
        <v>5 Крыльцо общага\K07156189_22_20260122T231823Z.jpg</v>
      </c>
    </row>
    <row r="243" spans="1:13" x14ac:dyDescent="0.25">
      <c r="A243" s="2" t="s">
        <v>16</v>
      </c>
      <c r="B243" s="4">
        <v>46044</v>
      </c>
      <c r="C243" s="5">
        <v>0.97232638888888889</v>
      </c>
      <c r="D243" s="9" t="s">
        <v>262</v>
      </c>
      <c r="E243" s="9" t="s">
        <v>86</v>
      </c>
      <c r="F243" s="9" t="s">
        <v>60</v>
      </c>
      <c r="G243">
        <v>3</v>
      </c>
      <c r="H243" s="9"/>
      <c r="I243" s="9" t="s">
        <v>10063</v>
      </c>
      <c r="J243" s="9" t="s">
        <v>2937</v>
      </c>
      <c r="K243" t="s">
        <v>10064</v>
      </c>
      <c r="L243" t="s">
        <v>10065</v>
      </c>
      <c r="M243" s="3" t="str">
        <f>HYPERLINK(склад2въезд1319[[#This Row],[RelativePath]])</f>
        <v>5 Крыльцо общага\K07156189_22_20260122T232009Z.jpg</v>
      </c>
    </row>
    <row r="244" spans="1:13" x14ac:dyDescent="0.25">
      <c r="A244" s="2" t="s">
        <v>16</v>
      </c>
      <c r="B244" s="4">
        <v>46044</v>
      </c>
      <c r="C244" s="5">
        <v>0.97355324074074079</v>
      </c>
      <c r="D244" s="9" t="s">
        <v>262</v>
      </c>
      <c r="E244" s="9" t="s">
        <v>86</v>
      </c>
      <c r="F244" s="9" t="s">
        <v>60</v>
      </c>
      <c r="G244">
        <v>4</v>
      </c>
      <c r="H244" s="9"/>
      <c r="I244" s="9" t="s">
        <v>10066</v>
      </c>
      <c r="J244" s="9" t="s">
        <v>2937</v>
      </c>
      <c r="K244" t="s">
        <v>10067</v>
      </c>
      <c r="L244" t="s">
        <v>10068</v>
      </c>
      <c r="M244" s="3" t="str">
        <f>HYPERLINK(склад2въезд1319[[#This Row],[RelativePath]])</f>
        <v>5 Крыльцо общага\K07156189_22_20260122T232155Z.jpg</v>
      </c>
    </row>
    <row r="245" spans="1:13" x14ac:dyDescent="0.25">
      <c r="A245" s="2" t="s">
        <v>16</v>
      </c>
      <c r="B245" s="4">
        <v>46044</v>
      </c>
      <c r="C245" s="5">
        <v>0.97495370370370371</v>
      </c>
      <c r="D245" s="9" t="s">
        <v>262</v>
      </c>
      <c r="E245" s="9" t="s">
        <v>86</v>
      </c>
      <c r="F245" s="9" t="s">
        <v>60</v>
      </c>
      <c r="G245">
        <v>3</v>
      </c>
      <c r="H245" s="9"/>
      <c r="I245" s="9" t="s">
        <v>10069</v>
      </c>
      <c r="J245" s="9" t="s">
        <v>2937</v>
      </c>
      <c r="K245" t="s">
        <v>10070</v>
      </c>
      <c r="L245" t="s">
        <v>10071</v>
      </c>
      <c r="M245" s="3" t="str">
        <f>HYPERLINK(склад2въезд1319[[#This Row],[RelativePath]])</f>
        <v>5 Крыльцо общага\K07156189_22_20260122T232356Z.jpg</v>
      </c>
    </row>
    <row r="246" spans="1:13" x14ac:dyDescent="0.25">
      <c r="A246" s="2" t="s">
        <v>16</v>
      </c>
      <c r="B246" s="4">
        <v>46044</v>
      </c>
      <c r="C246" s="5">
        <v>0.97534722222222225</v>
      </c>
      <c r="D246" s="9" t="s">
        <v>262</v>
      </c>
      <c r="E246" s="9" t="s">
        <v>86</v>
      </c>
      <c r="F246" s="9" t="s">
        <v>60</v>
      </c>
      <c r="H246" s="9" t="s">
        <v>2891</v>
      </c>
      <c r="I246" s="9" t="s">
        <v>10072</v>
      </c>
      <c r="J246" s="9" t="s">
        <v>2937</v>
      </c>
      <c r="K246" t="s">
        <v>10073</v>
      </c>
      <c r="L246" t="s">
        <v>10074</v>
      </c>
      <c r="M246" s="3" t="str">
        <f>HYPERLINK(склад2въезд1319[[#This Row],[RelativePath]])</f>
        <v>5 Крыльцо общага\K07156189_22_20260122T232430Z.jpg</v>
      </c>
    </row>
    <row r="247" spans="1:13" x14ac:dyDescent="0.25">
      <c r="A247" s="2" t="s">
        <v>16</v>
      </c>
      <c r="B247" s="4">
        <v>46044</v>
      </c>
      <c r="C247" s="5">
        <v>0.97916666666666663</v>
      </c>
      <c r="D247" s="9" t="s">
        <v>262</v>
      </c>
      <c r="E247" s="9" t="s">
        <v>86</v>
      </c>
      <c r="F247" s="9" t="s">
        <v>60</v>
      </c>
      <c r="G247">
        <v>3</v>
      </c>
      <c r="H247" s="9"/>
      <c r="I247" s="9" t="s">
        <v>10078</v>
      </c>
      <c r="J247" s="9" t="s">
        <v>2937</v>
      </c>
      <c r="K247" t="s">
        <v>10079</v>
      </c>
      <c r="L247" t="s">
        <v>10080</v>
      </c>
      <c r="M247" s="3" t="str">
        <f>HYPERLINK(склад2въезд1319[[#This Row],[RelativePath]])</f>
        <v>5 Крыльцо общага\K07156189_22_20260122T233000Z.jpg</v>
      </c>
    </row>
    <row r="248" spans="1:13" x14ac:dyDescent="0.25">
      <c r="A248" s="2" t="s">
        <v>16</v>
      </c>
      <c r="B248" s="4">
        <v>46044</v>
      </c>
      <c r="C248" s="5">
        <v>0.97717592592592595</v>
      </c>
      <c r="D248" s="9" t="s">
        <v>262</v>
      </c>
      <c r="E248" s="9" t="s">
        <v>86</v>
      </c>
      <c r="F248" s="9" t="s">
        <v>60</v>
      </c>
      <c r="G248">
        <v>1</v>
      </c>
      <c r="H248" s="9"/>
      <c r="I248" s="9" t="s">
        <v>10075</v>
      </c>
      <c r="J248" s="9" t="s">
        <v>2937</v>
      </c>
      <c r="K248" t="s">
        <v>10076</v>
      </c>
      <c r="L248" t="s">
        <v>10077</v>
      </c>
      <c r="M248" s="3" t="str">
        <f>HYPERLINK(склад2въезд1319[[#This Row],[RelativePath]])</f>
        <v>5 Крыльцо общага\K07156189_22_20260122T232708Z.jpg</v>
      </c>
    </row>
    <row r="249" spans="1:13" x14ac:dyDescent="0.25">
      <c r="A249" s="2" t="s">
        <v>16</v>
      </c>
      <c r="B249" s="4">
        <v>46044</v>
      </c>
      <c r="C249" s="5">
        <v>0.9808217592592593</v>
      </c>
      <c r="D249" s="9" t="s">
        <v>262</v>
      </c>
      <c r="E249" s="9" t="s">
        <v>86</v>
      </c>
      <c r="F249" s="9" t="s">
        <v>60</v>
      </c>
      <c r="G249">
        <v>3</v>
      </c>
      <c r="H249" s="9"/>
      <c r="I249" s="9" t="s">
        <v>10081</v>
      </c>
      <c r="J249" s="9" t="s">
        <v>2937</v>
      </c>
      <c r="K249" t="s">
        <v>10082</v>
      </c>
      <c r="L249" t="s">
        <v>10083</v>
      </c>
      <c r="M249" s="3" t="str">
        <f>HYPERLINK(склад2въезд1319[[#This Row],[RelativePath]])</f>
        <v>5 Крыльцо общага\K07156189_22_20260122T233223Z.jpg</v>
      </c>
    </row>
    <row r="250" spans="1:13" x14ac:dyDescent="0.25">
      <c r="A250" s="2" t="s">
        <v>16</v>
      </c>
      <c r="B250" s="4">
        <v>46044</v>
      </c>
      <c r="C250" s="5">
        <v>0.98320601851851852</v>
      </c>
      <c r="D250" s="9" t="s">
        <v>262</v>
      </c>
      <c r="E250" s="9" t="s">
        <v>86</v>
      </c>
      <c r="F250" s="9" t="s">
        <v>60</v>
      </c>
      <c r="G250">
        <v>2</v>
      </c>
      <c r="H250" s="9"/>
      <c r="I250" s="9" t="s">
        <v>10085</v>
      </c>
      <c r="J250" s="9" t="s">
        <v>2937</v>
      </c>
      <c r="K250" t="s">
        <v>10086</v>
      </c>
      <c r="L250" t="s">
        <v>10087</v>
      </c>
      <c r="M250" s="3" t="str">
        <f>HYPERLINK(склад2въезд1319[[#This Row],[RelativePath]])</f>
        <v>5 Крыльцо общага\K07156189_22_20260122T233549Z.jpg</v>
      </c>
    </row>
    <row r="251" spans="1:13" x14ac:dyDescent="0.25">
      <c r="A251" s="2" t="s">
        <v>16</v>
      </c>
      <c r="B251" s="4">
        <v>46044</v>
      </c>
      <c r="C251" s="5">
        <v>0.98479166666666662</v>
      </c>
      <c r="D251" s="9" t="s">
        <v>262</v>
      </c>
      <c r="E251" s="9" t="s">
        <v>86</v>
      </c>
      <c r="F251" s="9" t="s">
        <v>60</v>
      </c>
      <c r="G251">
        <v>3</v>
      </c>
      <c r="H251" s="9"/>
      <c r="I251" s="9" t="s">
        <v>10088</v>
      </c>
      <c r="J251" s="9" t="s">
        <v>2937</v>
      </c>
      <c r="K251" t="s">
        <v>10089</v>
      </c>
      <c r="L251" t="s">
        <v>10090</v>
      </c>
      <c r="M251" s="3" t="str">
        <f>HYPERLINK(склад2въезд1319[[#This Row],[RelativePath]])</f>
        <v>5 Крыльцо общага\K07156189_22_20260122T233806Z.jpg</v>
      </c>
    </row>
    <row r="252" spans="1:13" x14ac:dyDescent="0.25">
      <c r="A252" s="2" t="s">
        <v>16</v>
      </c>
      <c r="B252" s="4">
        <v>46044</v>
      </c>
      <c r="C252" s="5">
        <v>0.98523148148148143</v>
      </c>
      <c r="D252" s="9" t="s">
        <v>262</v>
      </c>
      <c r="E252" s="9" t="s">
        <v>86</v>
      </c>
      <c r="F252" s="9" t="s">
        <v>60</v>
      </c>
      <c r="H252" s="9" t="s">
        <v>2891</v>
      </c>
      <c r="I252" s="9" t="s">
        <v>10091</v>
      </c>
      <c r="J252" s="9" t="s">
        <v>2937</v>
      </c>
      <c r="K252" t="s">
        <v>10092</v>
      </c>
      <c r="L252" t="s">
        <v>10093</v>
      </c>
      <c r="M252" s="3" t="str">
        <f>HYPERLINK(склад2въезд1319[[#This Row],[RelativePath]])</f>
        <v>5 Крыльцо общага\K07156189_22_20260122T233844Z.jpg</v>
      </c>
    </row>
    <row r="253" spans="1:13" x14ac:dyDescent="0.25">
      <c r="A253" s="2" t="s">
        <v>16</v>
      </c>
      <c r="B253" s="4">
        <v>46044</v>
      </c>
      <c r="C253" s="5">
        <v>0.98657407407407405</v>
      </c>
      <c r="D253" s="9" t="s">
        <v>262</v>
      </c>
      <c r="E253" s="9" t="s">
        <v>86</v>
      </c>
      <c r="F253" s="9" t="s">
        <v>60</v>
      </c>
      <c r="G253">
        <v>2</v>
      </c>
      <c r="H253" s="9"/>
      <c r="I253" s="9" t="s">
        <v>10094</v>
      </c>
      <c r="J253" s="9" t="s">
        <v>2937</v>
      </c>
      <c r="K253" t="s">
        <v>10095</v>
      </c>
      <c r="L253" t="s">
        <v>10096</v>
      </c>
      <c r="M253" s="3" t="str">
        <f>HYPERLINK(склад2въезд1319[[#This Row],[RelativePath]])</f>
        <v>5 Крыльцо общага\K07156189_22_20260122T234040Z.jpg</v>
      </c>
    </row>
    <row r="254" spans="1:13" x14ac:dyDescent="0.25">
      <c r="A254" s="2" t="s">
        <v>16</v>
      </c>
      <c r="B254" s="4">
        <v>46044</v>
      </c>
      <c r="C254" s="5">
        <v>0.98972222222222217</v>
      </c>
      <c r="D254" s="9" t="s">
        <v>262</v>
      </c>
      <c r="E254" s="9" t="s">
        <v>86</v>
      </c>
      <c r="F254" s="9" t="s">
        <v>60</v>
      </c>
      <c r="G254">
        <v>4</v>
      </c>
      <c r="H254" s="9"/>
      <c r="I254" s="9" t="s">
        <v>10097</v>
      </c>
      <c r="J254" s="9" t="s">
        <v>2937</v>
      </c>
      <c r="K254" t="s">
        <v>10098</v>
      </c>
      <c r="L254" t="s">
        <v>10099</v>
      </c>
      <c r="M254" s="3" t="str">
        <f>HYPERLINK(склад2въезд1319[[#This Row],[RelativePath]])</f>
        <v>5 Крыльцо общага\K07156189_22_20260122T234512Z.jpg</v>
      </c>
    </row>
    <row r="255" spans="1:13" x14ac:dyDescent="0.25">
      <c r="A255" s="2" t="s">
        <v>16</v>
      </c>
      <c r="B255" s="4">
        <v>46044</v>
      </c>
      <c r="C255" s="5">
        <v>0.99143518518518514</v>
      </c>
      <c r="D255" s="9" t="s">
        <v>262</v>
      </c>
      <c r="E255" s="9" t="s">
        <v>86</v>
      </c>
      <c r="F255" s="9" t="s">
        <v>60</v>
      </c>
      <c r="G255">
        <v>1</v>
      </c>
      <c r="H255" s="9"/>
      <c r="I255" s="9" t="s">
        <v>10100</v>
      </c>
      <c r="J255" s="9" t="s">
        <v>2937</v>
      </c>
      <c r="K255" t="s">
        <v>10101</v>
      </c>
      <c r="L255" t="s">
        <v>10102</v>
      </c>
      <c r="M255" s="3" t="str">
        <f>HYPERLINK(склад2въезд1319[[#This Row],[RelativePath]])</f>
        <v>5 Крыльцо общага\K07156189_22_20260122T234740Z.jpg</v>
      </c>
    </row>
    <row r="256" spans="1:13" x14ac:dyDescent="0.25">
      <c r="A256" s="2" t="s">
        <v>16</v>
      </c>
      <c r="B256" s="4">
        <v>46044</v>
      </c>
      <c r="C256" s="5">
        <v>0.99332175925925925</v>
      </c>
      <c r="D256" s="9" t="s">
        <v>262</v>
      </c>
      <c r="E256" s="9" t="s">
        <v>86</v>
      </c>
      <c r="F256" s="9" t="s">
        <v>60</v>
      </c>
      <c r="G256">
        <v>3</v>
      </c>
      <c r="H256" s="9"/>
      <c r="I256" s="9" t="s">
        <v>10103</v>
      </c>
      <c r="J256" s="9" t="s">
        <v>2937</v>
      </c>
      <c r="K256" t="s">
        <v>10104</v>
      </c>
      <c r="L256" t="s">
        <v>10105</v>
      </c>
      <c r="M256" s="3" t="str">
        <f>HYPERLINK(склад2въезд1319[[#This Row],[RelativePath]])</f>
        <v>5 Крыльцо общага\K07156189_22_20260122T235023Z.jpg</v>
      </c>
    </row>
    <row r="257" spans="1:13" x14ac:dyDescent="0.25">
      <c r="A257" s="2" t="s">
        <v>16</v>
      </c>
      <c r="B257" s="4">
        <v>46044</v>
      </c>
      <c r="C257" s="5">
        <v>0.99512731481481487</v>
      </c>
      <c r="D257" s="9" t="s">
        <v>262</v>
      </c>
      <c r="E257" s="9" t="s">
        <v>86</v>
      </c>
      <c r="F257" s="9" t="s">
        <v>60</v>
      </c>
      <c r="G257">
        <v>3</v>
      </c>
      <c r="H257" s="9"/>
      <c r="I257" s="9" t="s">
        <v>10106</v>
      </c>
      <c r="J257" s="9" t="s">
        <v>2937</v>
      </c>
      <c r="K257" t="s">
        <v>10107</v>
      </c>
      <c r="L257" t="s">
        <v>10108</v>
      </c>
      <c r="M257" s="3" t="str">
        <f>HYPERLINK(склад2въезд1319[[#This Row],[RelativePath]])</f>
        <v>5 Крыльцо общага\K07156189_22_20260122T235259Z.jpg</v>
      </c>
    </row>
    <row r="258" spans="1:13" x14ac:dyDescent="0.25">
      <c r="A258" s="2" t="s">
        <v>16</v>
      </c>
      <c r="B258" s="4">
        <v>46044</v>
      </c>
      <c r="C258" s="5">
        <v>0.99630787037037039</v>
      </c>
      <c r="D258" s="9" t="s">
        <v>262</v>
      </c>
      <c r="E258" s="9" t="s">
        <v>86</v>
      </c>
      <c r="F258" s="9" t="s">
        <v>60</v>
      </c>
      <c r="G258">
        <v>2</v>
      </c>
      <c r="H258" s="9"/>
      <c r="I258" s="9" t="s">
        <v>10109</v>
      </c>
      <c r="J258" s="9" t="s">
        <v>2937</v>
      </c>
      <c r="K258" t="s">
        <v>10110</v>
      </c>
      <c r="L258" t="s">
        <v>10111</v>
      </c>
      <c r="M258" s="3" t="str">
        <f>HYPERLINK(склад2въезд1319[[#This Row],[RelativePath]])</f>
        <v>5 Крыльцо общага\K07156189_22_20260122T235441Z.jpg</v>
      </c>
    </row>
    <row r="259" spans="1:13" x14ac:dyDescent="0.25">
      <c r="A259" s="2" t="s">
        <v>16</v>
      </c>
      <c r="B259" s="4">
        <v>46044</v>
      </c>
      <c r="C259" s="5">
        <v>0.9975694444444444</v>
      </c>
      <c r="D259" s="9" t="s">
        <v>262</v>
      </c>
      <c r="E259" s="9" t="s">
        <v>86</v>
      </c>
      <c r="F259" s="9" t="s">
        <v>60</v>
      </c>
      <c r="G259">
        <v>2</v>
      </c>
      <c r="H259" s="9"/>
      <c r="I259" s="9" t="s">
        <v>10112</v>
      </c>
      <c r="J259" s="9" t="s">
        <v>2937</v>
      </c>
      <c r="K259" t="s">
        <v>10113</v>
      </c>
      <c r="L259" t="s">
        <v>10114</v>
      </c>
      <c r="M259" s="3" t="str">
        <f>HYPERLINK(склад2въезд1319[[#This Row],[RelativePath]])</f>
        <v>5 Крыльцо общага\K07156189_22_20260122T235630Z.jpg</v>
      </c>
    </row>
    <row r="260" spans="1:13" x14ac:dyDescent="0.25">
      <c r="A260" s="2" t="s">
        <v>16</v>
      </c>
      <c r="B260" s="4">
        <v>46044</v>
      </c>
      <c r="C260" s="5">
        <v>0.99890046296296298</v>
      </c>
      <c r="D260" s="9" t="s">
        <v>262</v>
      </c>
      <c r="E260" s="9" t="s">
        <v>86</v>
      </c>
      <c r="F260" s="9" t="s">
        <v>60</v>
      </c>
      <c r="G260">
        <v>3</v>
      </c>
      <c r="H260" s="9"/>
      <c r="I260" s="9" t="s">
        <v>10115</v>
      </c>
      <c r="J260" s="9" t="s">
        <v>2937</v>
      </c>
      <c r="K260" t="s">
        <v>10116</v>
      </c>
      <c r="L260" t="s">
        <v>10117</v>
      </c>
      <c r="M260" s="3" t="str">
        <f>HYPERLINK(склад2въезд1319[[#This Row],[RelativePath]])</f>
        <v>5 Крыльцо общага\K07156189_22_20260122T235825Z.jpg</v>
      </c>
    </row>
    <row r="261" spans="1:13" x14ac:dyDescent="0.25">
      <c r="A261" s="2" t="s">
        <v>17</v>
      </c>
      <c r="B261" s="4">
        <v>46045</v>
      </c>
      <c r="C261" s="5">
        <v>6.9444444444444447E-4</v>
      </c>
      <c r="D261" s="9" t="s">
        <v>262</v>
      </c>
      <c r="E261" s="9" t="s">
        <v>86</v>
      </c>
      <c r="F261" s="9" t="s">
        <v>60</v>
      </c>
      <c r="G261">
        <v>2</v>
      </c>
      <c r="H261" s="9"/>
      <c r="I261" s="9" t="s">
        <v>10118</v>
      </c>
      <c r="J261" s="9" t="s">
        <v>2937</v>
      </c>
      <c r="K261" t="s">
        <v>10119</v>
      </c>
      <c r="L261" t="s">
        <v>10120</v>
      </c>
      <c r="M261" s="3" t="str">
        <f>HYPERLINK(склад2въезд1319[[#This Row],[RelativePath]])</f>
        <v>5 Крыльцо общага\K07156189_22_20260123T000100Z.jpg</v>
      </c>
    </row>
    <row r="262" spans="1:13" x14ac:dyDescent="0.25">
      <c r="A262" s="2" t="s">
        <v>17</v>
      </c>
      <c r="B262" s="4">
        <v>46045</v>
      </c>
      <c r="C262" s="5">
        <v>2.0601851851851853E-3</v>
      </c>
      <c r="D262" s="9" t="s">
        <v>262</v>
      </c>
      <c r="E262" s="9" t="s">
        <v>86</v>
      </c>
      <c r="F262" s="9" t="s">
        <v>60</v>
      </c>
      <c r="G262">
        <v>2</v>
      </c>
      <c r="H262" s="9"/>
      <c r="I262" s="9" t="s">
        <v>10121</v>
      </c>
      <c r="J262" s="9" t="s">
        <v>2937</v>
      </c>
      <c r="K262" t="s">
        <v>10122</v>
      </c>
      <c r="L262" t="s">
        <v>10123</v>
      </c>
      <c r="M262" s="3" t="str">
        <f>HYPERLINK(склад2въезд1319[[#This Row],[RelativePath]])</f>
        <v>5 Крыльцо общага\K07156189_22_20260123T000258Z.jpg</v>
      </c>
    </row>
    <row r="263" spans="1:13" x14ac:dyDescent="0.25">
      <c r="A263" s="2" t="s">
        <v>17</v>
      </c>
      <c r="B263" s="4">
        <v>46045</v>
      </c>
      <c r="C263" s="5">
        <v>3.5648148148148149E-3</v>
      </c>
      <c r="D263" s="9" t="s">
        <v>262</v>
      </c>
      <c r="E263" s="9" t="s">
        <v>86</v>
      </c>
      <c r="F263" s="9" t="s">
        <v>60</v>
      </c>
      <c r="G263">
        <v>3</v>
      </c>
      <c r="H263" s="9"/>
      <c r="I263" s="9" t="s">
        <v>10124</v>
      </c>
      <c r="J263" s="9" t="s">
        <v>2937</v>
      </c>
      <c r="K263" t="s">
        <v>10125</v>
      </c>
      <c r="L263" t="s">
        <v>10126</v>
      </c>
      <c r="M263" s="3" t="str">
        <f>HYPERLINK(склад2въезд1319[[#This Row],[RelativePath]])</f>
        <v>5 Крыльцо общага\K07156189_22_20260123T000508Z.jpg</v>
      </c>
    </row>
    <row r="264" spans="1:13" x14ac:dyDescent="0.25">
      <c r="A264" s="2" t="s">
        <v>17</v>
      </c>
      <c r="B264" s="4">
        <v>46045</v>
      </c>
      <c r="C264" s="5">
        <v>3.9699074074074072E-3</v>
      </c>
      <c r="D264" s="9" t="s">
        <v>262</v>
      </c>
      <c r="E264" s="9" t="s">
        <v>86</v>
      </c>
      <c r="F264" s="9" t="s">
        <v>60</v>
      </c>
      <c r="H264" s="9" t="s">
        <v>2891</v>
      </c>
      <c r="I264" s="9" t="s">
        <v>10127</v>
      </c>
      <c r="J264" s="9" t="s">
        <v>2937</v>
      </c>
      <c r="K264" t="s">
        <v>10128</v>
      </c>
      <c r="L264" t="s">
        <v>10129</v>
      </c>
      <c r="M264" s="3" t="str">
        <f>HYPERLINK(склад2въезд1319[[#This Row],[RelativePath]])</f>
        <v>5 Крыльцо общага\K07156189_22_20260123T000543Z.jpg</v>
      </c>
    </row>
    <row r="265" spans="1:13" x14ac:dyDescent="0.25">
      <c r="A265" s="2" t="s">
        <v>17</v>
      </c>
      <c r="B265" s="4">
        <v>46045</v>
      </c>
      <c r="C265" s="5">
        <v>4.8958333333333336E-3</v>
      </c>
      <c r="D265" s="9" t="s">
        <v>262</v>
      </c>
      <c r="E265" s="9" t="s">
        <v>86</v>
      </c>
      <c r="F265" s="9" t="s">
        <v>60</v>
      </c>
      <c r="G265">
        <v>4</v>
      </c>
      <c r="H265" s="9"/>
      <c r="I265" s="9" t="s">
        <v>10130</v>
      </c>
      <c r="J265" s="9" t="s">
        <v>2937</v>
      </c>
      <c r="K265" t="s">
        <v>10131</v>
      </c>
      <c r="L265" t="s">
        <v>10132</v>
      </c>
      <c r="M265" s="3" t="str">
        <f>HYPERLINK(склад2въезд1319[[#This Row],[RelativePath]])</f>
        <v>5 Крыльцо общага\K07156189_22_20260123T000703Z.jpg</v>
      </c>
    </row>
    <row r="266" spans="1:13" x14ac:dyDescent="0.25">
      <c r="A266" s="2" t="s">
        <v>17</v>
      </c>
      <c r="B266" s="4">
        <v>46045</v>
      </c>
      <c r="C266" s="5">
        <v>6.4351851851851853E-3</v>
      </c>
      <c r="D266" s="9" t="s">
        <v>262</v>
      </c>
      <c r="E266" s="9" t="s">
        <v>86</v>
      </c>
      <c r="F266" s="9" t="s">
        <v>60</v>
      </c>
      <c r="G266">
        <v>3</v>
      </c>
      <c r="H266" s="9"/>
      <c r="I266" s="9" t="s">
        <v>10133</v>
      </c>
      <c r="J266" s="9" t="s">
        <v>2937</v>
      </c>
      <c r="K266" t="s">
        <v>10134</v>
      </c>
      <c r="L266" t="s">
        <v>10135</v>
      </c>
      <c r="M266" s="3" t="str">
        <f>HYPERLINK(склад2въезд1319[[#This Row],[RelativePath]])</f>
        <v>5 Крыльцо общага\K07156189_22_20260123T000916Z.jpg</v>
      </c>
    </row>
    <row r="267" spans="1:13" x14ac:dyDescent="0.25">
      <c r="A267" s="2" t="s">
        <v>17</v>
      </c>
      <c r="B267" s="4">
        <v>46045</v>
      </c>
      <c r="C267" s="5">
        <v>7.9976851851851858E-3</v>
      </c>
      <c r="D267" s="9" t="s">
        <v>262</v>
      </c>
      <c r="E267" s="9" t="s">
        <v>86</v>
      </c>
      <c r="F267" s="9" t="s">
        <v>60</v>
      </c>
      <c r="G267">
        <v>3</v>
      </c>
      <c r="H267" s="9"/>
      <c r="I267" s="9" t="s">
        <v>10136</v>
      </c>
      <c r="J267" s="9" t="s">
        <v>2937</v>
      </c>
      <c r="K267" t="s">
        <v>10137</v>
      </c>
      <c r="L267" t="s">
        <v>10138</v>
      </c>
      <c r="M267" s="3" t="str">
        <f>HYPERLINK(склад2въезд1319[[#This Row],[RelativePath]])</f>
        <v>5 Крыльцо общага\K07156189_22_20260123T001131Z.jpg</v>
      </c>
    </row>
    <row r="268" spans="1:13" x14ac:dyDescent="0.25">
      <c r="A268" s="2" t="s">
        <v>17</v>
      </c>
      <c r="B268" s="4">
        <v>46045</v>
      </c>
      <c r="C268" s="5">
        <v>9.525462962962963E-3</v>
      </c>
      <c r="D268" s="9" t="s">
        <v>262</v>
      </c>
      <c r="E268" s="9" t="s">
        <v>86</v>
      </c>
      <c r="F268" s="9" t="s">
        <v>60</v>
      </c>
      <c r="G268">
        <v>2</v>
      </c>
      <c r="H268" s="9"/>
      <c r="I268" s="9" t="s">
        <v>10139</v>
      </c>
      <c r="J268" s="9" t="s">
        <v>2937</v>
      </c>
      <c r="K268" t="s">
        <v>10140</v>
      </c>
      <c r="L268" t="s">
        <v>10141</v>
      </c>
      <c r="M268" s="3" t="str">
        <f>HYPERLINK(склад2въезд1319[[#This Row],[RelativePath]])</f>
        <v>5 Крыльцо общага\K07156189_22_20260123T001343Z.jpg</v>
      </c>
    </row>
    <row r="269" spans="1:13" x14ac:dyDescent="0.25">
      <c r="A269" s="2" t="s">
        <v>17</v>
      </c>
      <c r="B269" s="4">
        <v>46045</v>
      </c>
      <c r="C269" s="5">
        <v>0.39523148148148146</v>
      </c>
      <c r="D269" s="9" t="s">
        <v>262</v>
      </c>
      <c r="E269" s="9" t="s">
        <v>86</v>
      </c>
      <c r="F269" s="9" t="s">
        <v>60</v>
      </c>
      <c r="G269">
        <v>2</v>
      </c>
      <c r="H269" s="9" t="s">
        <v>10221</v>
      </c>
      <c r="I269" s="9" t="s">
        <v>10155</v>
      </c>
      <c r="J269" s="9" t="s">
        <v>2937</v>
      </c>
      <c r="K269" t="s">
        <v>10156</v>
      </c>
      <c r="L269" t="s">
        <v>10157</v>
      </c>
      <c r="M269" s="3" t="str">
        <f>HYPERLINK(склад2въезд1319[[#This Row],[RelativePath]])</f>
        <v>5 Крыльцо общага\K07156189_22_20260123T092908Z.jpg</v>
      </c>
    </row>
    <row r="270" spans="1:13" x14ac:dyDescent="0.25">
      <c r="A270" s="2" t="s">
        <v>17</v>
      </c>
      <c r="B270" s="4">
        <v>46045</v>
      </c>
      <c r="C270" s="5">
        <v>0.39759259259259261</v>
      </c>
      <c r="D270" s="9" t="s">
        <v>262</v>
      </c>
      <c r="E270" s="9" t="s">
        <v>86</v>
      </c>
      <c r="F270" s="9" t="s">
        <v>60</v>
      </c>
      <c r="G270">
        <v>3</v>
      </c>
      <c r="H270" s="9" t="s">
        <v>10221</v>
      </c>
      <c r="I270" s="9" t="s">
        <v>10158</v>
      </c>
      <c r="J270" s="9" t="s">
        <v>2937</v>
      </c>
      <c r="K270" t="s">
        <v>10159</v>
      </c>
      <c r="L270" t="s">
        <v>10160</v>
      </c>
      <c r="M270" s="3" t="str">
        <f>HYPERLINK(склад2въезд1319[[#This Row],[RelativePath]])</f>
        <v>5 Крыльцо общага\K07156189_22_20260123T093232Z.jpg</v>
      </c>
    </row>
    <row r="271" spans="1:13" x14ac:dyDescent="0.25">
      <c r="A271" s="2" t="s">
        <v>17</v>
      </c>
      <c r="B271" s="4">
        <v>46045</v>
      </c>
      <c r="C271" s="5">
        <v>0.40006944444444442</v>
      </c>
      <c r="D271" s="9" t="s">
        <v>262</v>
      </c>
      <c r="E271" s="9" t="s">
        <v>86</v>
      </c>
      <c r="F271" s="9" t="s">
        <v>60</v>
      </c>
      <c r="G271">
        <v>3</v>
      </c>
      <c r="H271" s="9" t="s">
        <v>10221</v>
      </c>
      <c r="I271" s="9" t="s">
        <v>10161</v>
      </c>
      <c r="J271" s="9" t="s">
        <v>2937</v>
      </c>
      <c r="K271" t="s">
        <v>10162</v>
      </c>
      <c r="L271" t="s">
        <v>10163</v>
      </c>
      <c r="M271" s="3" t="str">
        <f>HYPERLINK(склад2въезд1319[[#This Row],[RelativePath]])</f>
        <v>5 Крыльцо общага\K07156189_22_20260123T093606Z.jpg</v>
      </c>
    </row>
    <row r="272" spans="1:13" x14ac:dyDescent="0.25">
      <c r="A272" s="2" t="s">
        <v>17</v>
      </c>
      <c r="B272" s="4">
        <v>46045</v>
      </c>
      <c r="C272" s="5">
        <v>0.40269675925925924</v>
      </c>
      <c r="D272" s="9" t="s">
        <v>262</v>
      </c>
      <c r="E272" s="9" t="s">
        <v>86</v>
      </c>
      <c r="F272" s="9" t="s">
        <v>60</v>
      </c>
      <c r="G272">
        <v>4</v>
      </c>
      <c r="H272" s="9" t="s">
        <v>10221</v>
      </c>
      <c r="I272" s="9" t="s">
        <v>10164</v>
      </c>
      <c r="J272" s="9" t="s">
        <v>2937</v>
      </c>
      <c r="K272" t="s">
        <v>10165</v>
      </c>
      <c r="L272" t="s">
        <v>10166</v>
      </c>
      <c r="M272" s="3" t="str">
        <f>HYPERLINK(склад2въезд1319[[#This Row],[RelativePath]])</f>
        <v>5 Крыльцо общага\K07156189_22_20260123T093953Z.jpg</v>
      </c>
    </row>
    <row r="273" spans="1:13" x14ac:dyDescent="0.25">
      <c r="A273" s="2" t="s">
        <v>17</v>
      </c>
      <c r="B273" s="4">
        <v>46045</v>
      </c>
      <c r="C273" s="5">
        <v>0.40763888888888888</v>
      </c>
      <c r="D273" s="9" t="s">
        <v>262</v>
      </c>
      <c r="E273" s="9" t="s">
        <v>86</v>
      </c>
      <c r="F273" s="9" t="s">
        <v>60</v>
      </c>
      <c r="G273">
        <v>4</v>
      </c>
      <c r="H273" s="9" t="s">
        <v>10221</v>
      </c>
      <c r="I273" s="9" t="s">
        <v>10167</v>
      </c>
      <c r="J273" s="9" t="s">
        <v>2937</v>
      </c>
      <c r="K273" t="s">
        <v>10168</v>
      </c>
      <c r="L273" t="s">
        <v>10169</v>
      </c>
      <c r="M273" s="3" t="str">
        <f>HYPERLINK(склад2въезд1319[[#This Row],[RelativePath]])</f>
        <v>5 Крыльцо общага\K07156189_22_20260123T094700Z.jpg</v>
      </c>
    </row>
    <row r="274" spans="1:13" x14ac:dyDescent="0.25">
      <c r="A274" s="2" t="s">
        <v>17</v>
      </c>
      <c r="B274" s="4">
        <v>46045</v>
      </c>
      <c r="C274" s="5">
        <v>0.41028935185185184</v>
      </c>
      <c r="D274" s="9" t="s">
        <v>262</v>
      </c>
      <c r="E274" s="9" t="s">
        <v>86</v>
      </c>
      <c r="F274" s="9" t="s">
        <v>60</v>
      </c>
      <c r="G274">
        <v>4</v>
      </c>
      <c r="H274" s="9" t="s">
        <v>10221</v>
      </c>
      <c r="I274" s="9" t="s">
        <v>10170</v>
      </c>
      <c r="J274" s="9" t="s">
        <v>2937</v>
      </c>
      <c r="K274" t="s">
        <v>10171</v>
      </c>
      <c r="L274" t="s">
        <v>10172</v>
      </c>
      <c r="M274" s="3" t="str">
        <f>HYPERLINK(склад2въезд1319[[#This Row],[RelativePath]])</f>
        <v>5 Крыльцо общага\K07156189_22_20260123T095049Z.jpg</v>
      </c>
    </row>
    <row r="275" spans="1:13" x14ac:dyDescent="0.25">
      <c r="A275" s="2" t="s">
        <v>17</v>
      </c>
      <c r="B275" s="4">
        <v>46045</v>
      </c>
      <c r="C275" s="5">
        <v>0.41259259259259257</v>
      </c>
      <c r="D275" s="9" t="s">
        <v>262</v>
      </c>
      <c r="E275" s="9" t="s">
        <v>86</v>
      </c>
      <c r="F275" s="9" t="s">
        <v>60</v>
      </c>
      <c r="G275">
        <v>5</v>
      </c>
      <c r="H275" s="9" t="s">
        <v>10221</v>
      </c>
      <c r="I275" s="9" t="s">
        <v>10173</v>
      </c>
      <c r="J275" s="9" t="s">
        <v>2937</v>
      </c>
      <c r="K275" t="s">
        <v>10174</v>
      </c>
      <c r="L275" t="s">
        <v>10175</v>
      </c>
      <c r="M275" s="3" t="str">
        <f>HYPERLINK(склад2въезд1319[[#This Row],[RelativePath]])</f>
        <v>5 Крыльцо общага\K07156189_22_20260123T095408Z.jpg</v>
      </c>
    </row>
    <row r="276" spans="1:13" x14ac:dyDescent="0.25">
      <c r="A276" s="2" t="s">
        <v>17</v>
      </c>
      <c r="B276" s="4">
        <v>46045</v>
      </c>
      <c r="C276" s="5">
        <v>0.41501157407407407</v>
      </c>
      <c r="D276" s="9" t="s">
        <v>262</v>
      </c>
      <c r="E276" s="9" t="s">
        <v>86</v>
      </c>
      <c r="F276" s="9" t="s">
        <v>60</v>
      </c>
      <c r="G276">
        <v>2</v>
      </c>
      <c r="H276" s="9" t="s">
        <v>10221</v>
      </c>
      <c r="I276" s="9" t="s">
        <v>10176</v>
      </c>
      <c r="J276" s="9" t="s">
        <v>2937</v>
      </c>
      <c r="K276" t="s">
        <v>10177</v>
      </c>
      <c r="L276" t="s">
        <v>10178</v>
      </c>
      <c r="M276" s="3" t="str">
        <f>HYPERLINK(склад2въезд1319[[#This Row],[RelativePath]])</f>
        <v>5 Крыльцо общага\K07156189_22_20260123T095737Z.jpg</v>
      </c>
    </row>
    <row r="277" spans="1:13" x14ac:dyDescent="0.25">
      <c r="A277" s="2" t="s">
        <v>17</v>
      </c>
      <c r="B277" s="4">
        <v>46045</v>
      </c>
      <c r="C277" s="5">
        <v>0.41718749999999999</v>
      </c>
      <c r="D277" s="9" t="s">
        <v>262</v>
      </c>
      <c r="E277" s="9" t="s">
        <v>86</v>
      </c>
      <c r="F277" s="9" t="s">
        <v>60</v>
      </c>
      <c r="G277">
        <v>3</v>
      </c>
      <c r="H277" s="9" t="s">
        <v>10221</v>
      </c>
      <c r="I277" s="9" t="s">
        <v>10179</v>
      </c>
      <c r="J277" s="9" t="s">
        <v>2937</v>
      </c>
      <c r="K277" t="s">
        <v>10180</v>
      </c>
      <c r="L277" t="s">
        <v>10181</v>
      </c>
      <c r="M277" s="3" t="str">
        <f>HYPERLINK(склад2въезд1319[[#This Row],[RelativePath]])</f>
        <v>5 Крыльцо общага\K07156189_22_20260123T100045Z.jpg</v>
      </c>
    </row>
    <row r="278" spans="1:13" x14ac:dyDescent="0.25">
      <c r="A278" s="2" t="s">
        <v>17</v>
      </c>
      <c r="B278" s="4">
        <v>46045</v>
      </c>
      <c r="C278" s="5">
        <v>0.42162037037037037</v>
      </c>
      <c r="D278" s="9" t="s">
        <v>262</v>
      </c>
      <c r="E278" s="9" t="s">
        <v>86</v>
      </c>
      <c r="F278" s="9" t="s">
        <v>60</v>
      </c>
      <c r="G278">
        <v>3</v>
      </c>
      <c r="H278" s="9" t="s">
        <v>10221</v>
      </c>
      <c r="I278" s="9" t="s">
        <v>10182</v>
      </c>
      <c r="J278" s="9" t="s">
        <v>2937</v>
      </c>
      <c r="K278" t="s">
        <v>10183</v>
      </c>
      <c r="L278" t="s">
        <v>10184</v>
      </c>
      <c r="M278" s="3" t="str">
        <f>HYPERLINK(склад2въезд1319[[#This Row],[RelativePath]])</f>
        <v>5 Крыльцо общага\K07156189_22_20260123T100708Z.jpg</v>
      </c>
    </row>
    <row r="279" spans="1:13" x14ac:dyDescent="0.25">
      <c r="A279" s="2" t="s">
        <v>17</v>
      </c>
      <c r="B279" s="4">
        <v>46045</v>
      </c>
      <c r="C279" s="5">
        <v>0.42399305555555555</v>
      </c>
      <c r="D279" s="9" t="s">
        <v>262</v>
      </c>
      <c r="E279" s="9" t="s">
        <v>86</v>
      </c>
      <c r="F279" s="9" t="s">
        <v>60</v>
      </c>
      <c r="G279">
        <v>3</v>
      </c>
      <c r="H279" s="9" t="s">
        <v>10221</v>
      </c>
      <c r="I279" s="9" t="s">
        <v>10185</v>
      </c>
      <c r="J279" s="9" t="s">
        <v>2937</v>
      </c>
      <c r="K279" t="s">
        <v>10186</v>
      </c>
      <c r="L279" t="s">
        <v>10187</v>
      </c>
      <c r="M279" s="3" t="str">
        <f>HYPERLINK(склад2въезд1319[[#This Row],[RelativePath]])</f>
        <v>5 Крыльцо общага\K07156189_22_20260123T101033Z.jpg</v>
      </c>
    </row>
    <row r="280" spans="1:13" x14ac:dyDescent="0.25">
      <c r="A280" s="2" t="s">
        <v>17</v>
      </c>
      <c r="B280" s="4">
        <v>46045</v>
      </c>
      <c r="C280" s="5">
        <v>0.42623842592592592</v>
      </c>
      <c r="D280" s="9" t="s">
        <v>262</v>
      </c>
      <c r="E280" s="9" t="s">
        <v>86</v>
      </c>
      <c r="F280" s="9" t="s">
        <v>60</v>
      </c>
      <c r="G280">
        <v>2</v>
      </c>
      <c r="H280" s="9" t="s">
        <v>10221</v>
      </c>
      <c r="I280" s="9" t="s">
        <v>10188</v>
      </c>
      <c r="J280" s="9" t="s">
        <v>2937</v>
      </c>
      <c r="K280" t="s">
        <v>10189</v>
      </c>
      <c r="L280" t="s">
        <v>10190</v>
      </c>
      <c r="M280" s="3" t="str">
        <f>HYPERLINK(склад2въезд1319[[#This Row],[RelativePath]])</f>
        <v>5 Крыльцо общага\K07156189_22_20260123T101347Z.jpg</v>
      </c>
    </row>
    <row r="281" spans="1:13" x14ac:dyDescent="0.25">
      <c r="A281" s="2" t="s">
        <v>17</v>
      </c>
      <c r="B281" s="4">
        <v>46045</v>
      </c>
      <c r="C281" s="5">
        <v>0.4287037037037037</v>
      </c>
      <c r="D281" s="9" t="s">
        <v>262</v>
      </c>
      <c r="E281" s="9" t="s">
        <v>86</v>
      </c>
      <c r="F281" s="9" t="s">
        <v>60</v>
      </c>
      <c r="G281">
        <v>2</v>
      </c>
      <c r="H281" s="9" t="s">
        <v>10221</v>
      </c>
      <c r="I281" s="9" t="s">
        <v>10191</v>
      </c>
      <c r="J281" s="9" t="s">
        <v>2937</v>
      </c>
      <c r="K281" t="s">
        <v>10192</v>
      </c>
      <c r="L281" t="s">
        <v>10193</v>
      </c>
      <c r="M281" s="3" t="str">
        <f>HYPERLINK(склад2въезд1319[[#This Row],[RelativePath]])</f>
        <v>5 Крыльцо общага\K07156189_22_20260123T101720Z.jpg</v>
      </c>
    </row>
    <row r="282" spans="1:13" x14ac:dyDescent="0.25">
      <c r="A282" s="2" t="s">
        <v>17</v>
      </c>
      <c r="B282" s="4">
        <v>46045</v>
      </c>
      <c r="C282" s="5">
        <v>0.43062499999999998</v>
      </c>
      <c r="D282" s="9" t="s">
        <v>262</v>
      </c>
      <c r="E282" s="9" t="s">
        <v>86</v>
      </c>
      <c r="F282" s="9" t="s">
        <v>60</v>
      </c>
      <c r="G282">
        <v>3</v>
      </c>
      <c r="H282" s="9" t="s">
        <v>10221</v>
      </c>
      <c r="I282" s="9" t="s">
        <v>10194</v>
      </c>
      <c r="J282" s="9" t="s">
        <v>2937</v>
      </c>
      <c r="K282" t="s">
        <v>10195</v>
      </c>
      <c r="L282" t="s">
        <v>10196</v>
      </c>
      <c r="M282" s="3" t="str">
        <f>HYPERLINK(склад2въезд1319[[#This Row],[RelativePath]])</f>
        <v>5 Крыльцо общага\K07156189_22_20260123T102006Z.jpg</v>
      </c>
    </row>
    <row r="283" spans="1:13" x14ac:dyDescent="0.25">
      <c r="A283" s="2" t="s">
        <v>17</v>
      </c>
      <c r="B283" s="4">
        <v>46045</v>
      </c>
      <c r="C283" s="5">
        <v>0.43278935185185186</v>
      </c>
      <c r="D283" s="9" t="s">
        <v>262</v>
      </c>
      <c r="E283" s="9" t="s">
        <v>86</v>
      </c>
      <c r="F283" s="9" t="s">
        <v>60</v>
      </c>
      <c r="G283">
        <v>3</v>
      </c>
      <c r="H283" s="9" t="s">
        <v>10221</v>
      </c>
      <c r="I283" s="9" t="s">
        <v>10197</v>
      </c>
      <c r="J283" s="9" t="s">
        <v>2937</v>
      </c>
      <c r="K283" t="s">
        <v>10198</v>
      </c>
      <c r="L283" t="s">
        <v>10199</v>
      </c>
      <c r="M283" s="3" t="str">
        <f>HYPERLINK(склад2въезд1319[[#This Row],[RelativePath]])</f>
        <v>5 Крыльцо общага\K07156189_22_20260123T102313Z.jpg</v>
      </c>
    </row>
    <row r="284" spans="1:13" x14ac:dyDescent="0.25">
      <c r="A284" s="2" t="s">
        <v>17</v>
      </c>
      <c r="B284" s="4">
        <v>46045</v>
      </c>
      <c r="C284" s="5">
        <v>0.4349884259259259</v>
      </c>
      <c r="D284" s="9" t="s">
        <v>262</v>
      </c>
      <c r="E284" s="9" t="s">
        <v>86</v>
      </c>
      <c r="F284" s="9" t="s">
        <v>60</v>
      </c>
      <c r="G284">
        <v>3</v>
      </c>
      <c r="H284" s="9" t="s">
        <v>10221</v>
      </c>
      <c r="I284" s="9" t="s">
        <v>10200</v>
      </c>
      <c r="J284" s="9" t="s">
        <v>2937</v>
      </c>
      <c r="K284" t="s">
        <v>10201</v>
      </c>
      <c r="L284" t="s">
        <v>10202</v>
      </c>
      <c r="M284" s="3" t="str">
        <f>HYPERLINK(склад2въезд1319[[#This Row],[RelativePath]])</f>
        <v>5 Крыльцо общага\K07156189_22_20260123T102623Z.jpg</v>
      </c>
    </row>
    <row r="285" spans="1:13" x14ac:dyDescent="0.25">
      <c r="A285" s="2" t="s">
        <v>17</v>
      </c>
      <c r="B285" s="4">
        <v>46045</v>
      </c>
      <c r="C285" s="5">
        <v>0.43710648148148146</v>
      </c>
      <c r="D285" s="9" t="s">
        <v>262</v>
      </c>
      <c r="E285" s="9" t="s">
        <v>86</v>
      </c>
      <c r="F285" s="9" t="s">
        <v>60</v>
      </c>
      <c r="G285">
        <v>2</v>
      </c>
      <c r="H285" s="9" t="s">
        <v>10221</v>
      </c>
      <c r="I285" s="9" t="s">
        <v>10203</v>
      </c>
      <c r="J285" s="9" t="s">
        <v>2937</v>
      </c>
      <c r="K285" t="s">
        <v>10204</v>
      </c>
      <c r="L285" t="s">
        <v>10205</v>
      </c>
      <c r="M285" s="3" t="str">
        <f>HYPERLINK(склад2въезд1319[[#This Row],[RelativePath]])</f>
        <v>5 Крыльцо общага\K07156189_22_20260123T102926Z.jpg</v>
      </c>
    </row>
    <row r="286" spans="1:13" x14ac:dyDescent="0.25">
      <c r="A286" s="2" t="s">
        <v>17</v>
      </c>
      <c r="B286" s="4">
        <v>46045</v>
      </c>
      <c r="C286" s="5">
        <v>0.43928240740740743</v>
      </c>
      <c r="D286" s="9" t="s">
        <v>262</v>
      </c>
      <c r="E286" s="9" t="s">
        <v>86</v>
      </c>
      <c r="F286" s="9" t="s">
        <v>60</v>
      </c>
      <c r="G286">
        <v>2</v>
      </c>
      <c r="H286" s="9" t="s">
        <v>10221</v>
      </c>
      <c r="I286" s="9" t="s">
        <v>10206</v>
      </c>
      <c r="J286" s="9" t="s">
        <v>2937</v>
      </c>
      <c r="K286" t="s">
        <v>10207</v>
      </c>
      <c r="L286" t="s">
        <v>10208</v>
      </c>
      <c r="M286" s="3" t="str">
        <f>HYPERLINK(склад2въезд1319[[#This Row],[RelativePath]])</f>
        <v>5 Крыльцо общага\K07156189_22_20260123T103234Z.jpg</v>
      </c>
    </row>
    <row r="287" spans="1:13" x14ac:dyDescent="0.25">
      <c r="A287" s="2" t="s">
        <v>17</v>
      </c>
      <c r="B287" s="4">
        <v>46045</v>
      </c>
      <c r="C287" s="5">
        <v>0.44248842592592591</v>
      </c>
      <c r="D287" s="9" t="s">
        <v>262</v>
      </c>
      <c r="E287" s="9" t="s">
        <v>86</v>
      </c>
      <c r="F287" s="9" t="s">
        <v>60</v>
      </c>
      <c r="G287">
        <v>2</v>
      </c>
      <c r="H287" s="9" t="s">
        <v>10221</v>
      </c>
      <c r="I287" s="9" t="s">
        <v>10209</v>
      </c>
      <c r="J287" s="9" t="s">
        <v>2937</v>
      </c>
      <c r="K287" t="s">
        <v>10210</v>
      </c>
      <c r="L287" t="s">
        <v>10211</v>
      </c>
      <c r="M287" s="3" t="str">
        <f>HYPERLINK(склад2въезд1319[[#This Row],[RelativePath]])</f>
        <v>5 Крыльцо общага\K07156189_22_20260123T103711Z.jpg</v>
      </c>
    </row>
    <row r="288" spans="1:13" x14ac:dyDescent="0.25">
      <c r="A288" s="2" t="s">
        <v>17</v>
      </c>
      <c r="B288" s="4">
        <v>46045</v>
      </c>
      <c r="C288" s="5">
        <v>0.44937500000000002</v>
      </c>
      <c r="D288" s="9" t="s">
        <v>10222</v>
      </c>
      <c r="E288" s="9" t="s">
        <v>86</v>
      </c>
      <c r="F288" s="9" t="s">
        <v>10042</v>
      </c>
      <c r="G288">
        <v>1</v>
      </c>
      <c r="H288" s="9" t="s">
        <v>10223</v>
      </c>
      <c r="I288" s="9" t="s">
        <v>10212</v>
      </c>
      <c r="J288" s="9" t="s">
        <v>2937</v>
      </c>
      <c r="K288" t="s">
        <v>10213</v>
      </c>
      <c r="L288" t="s">
        <v>10214</v>
      </c>
      <c r="M288" s="3" t="str">
        <f>HYPERLINK(склад2въезд1319[[#This Row],[RelativePath]])</f>
        <v>5 Крыльцо общага\K07156189_22_20260123T104706Z.jpg</v>
      </c>
    </row>
    <row r="289" spans="1:13" x14ac:dyDescent="0.25">
      <c r="A289" s="2" t="s">
        <v>17</v>
      </c>
      <c r="B289" s="4">
        <v>46045</v>
      </c>
      <c r="C289" s="5">
        <v>0.6310648148148148</v>
      </c>
      <c r="D289" s="9" t="s">
        <v>4</v>
      </c>
      <c r="E289" s="9" t="s">
        <v>9754</v>
      </c>
      <c r="F289" s="9"/>
      <c r="H289" s="9"/>
      <c r="I289" s="9" t="s">
        <v>10215</v>
      </c>
      <c r="J289" s="9" t="s">
        <v>2937</v>
      </c>
      <c r="K289" t="s">
        <v>10216</v>
      </c>
      <c r="L289" t="s">
        <v>10217</v>
      </c>
      <c r="M289" s="3" t="str">
        <f>HYPERLINK(склад2въезд1319[[#This Row],[RelativePath]])</f>
        <v>5 Крыльцо общага\K07156189_22_20260123T150844Z.jpg</v>
      </c>
    </row>
    <row r="290" spans="1:13" x14ac:dyDescent="0.25">
      <c r="A290" s="2" t="s">
        <v>17</v>
      </c>
      <c r="B290" s="4">
        <v>46045</v>
      </c>
      <c r="C290" s="5">
        <v>0.7228472222222222</v>
      </c>
      <c r="D290" s="9" t="s">
        <v>4</v>
      </c>
      <c r="E290" s="9" t="s">
        <v>2887</v>
      </c>
      <c r="F290" s="9"/>
      <c r="H290" s="9"/>
      <c r="I290" s="9" t="s">
        <v>10218</v>
      </c>
      <c r="J290" s="9" t="s">
        <v>2937</v>
      </c>
      <c r="K290" t="s">
        <v>10219</v>
      </c>
      <c r="L290" t="s">
        <v>10220</v>
      </c>
      <c r="M290" s="3" t="str">
        <f>HYPERLINK(склад2въезд1319[[#This Row],[RelativePath]])</f>
        <v>5 Крыльцо общага\K07156189_22_20260123T172054Z.jpg</v>
      </c>
    </row>
    <row r="291" spans="1:13" x14ac:dyDescent="0.25">
      <c r="A291" s="2" t="s">
        <v>18</v>
      </c>
      <c r="B291" s="4">
        <v>46046</v>
      </c>
      <c r="C291" s="5">
        <v>0.7195138888888889</v>
      </c>
      <c r="D291" s="9" t="s">
        <v>1967</v>
      </c>
      <c r="E291" s="9" t="s">
        <v>8</v>
      </c>
      <c r="F291" s="9"/>
      <c r="H291" s="9"/>
      <c r="I291" s="9" t="s">
        <v>10373</v>
      </c>
      <c r="J291" s="9" t="s">
        <v>2937</v>
      </c>
      <c r="K291" t="s">
        <v>10374</v>
      </c>
      <c r="L291" t="s">
        <v>10375</v>
      </c>
      <c r="M291" s="3" t="str">
        <f>HYPERLINK(склад2въезд1319[[#This Row],[RelativePath]])</f>
        <v>5 Крыльцо общага\K07156189_22_20260124T171606Z.jpg</v>
      </c>
    </row>
    <row r="292" spans="1:13" x14ac:dyDescent="0.25">
      <c r="A292" s="2" t="s">
        <v>22</v>
      </c>
      <c r="B292" s="4">
        <v>46047</v>
      </c>
      <c r="C292" s="5">
        <v>0.71619212962962964</v>
      </c>
      <c r="D292" s="9" t="s">
        <v>1967</v>
      </c>
      <c r="E292" s="9" t="s">
        <v>8</v>
      </c>
      <c r="F292" s="9"/>
      <c r="H292" s="9"/>
      <c r="I292" s="9" t="s">
        <v>10376</v>
      </c>
      <c r="J292" s="9" t="s">
        <v>2937</v>
      </c>
      <c r="K292" t="s">
        <v>10377</v>
      </c>
      <c r="L292" t="s">
        <v>10378</v>
      </c>
      <c r="M292" s="3" t="str">
        <f>HYPERLINK(склад2въезд1319[[#This Row],[RelativePath]])</f>
        <v>5 Крыльцо общага\K07156189_22_20260125T171119Z.jpg</v>
      </c>
    </row>
    <row r="293" spans="1:13" x14ac:dyDescent="0.25">
      <c r="A293" s="2" t="s">
        <v>13</v>
      </c>
      <c r="B293" s="4">
        <v>46048</v>
      </c>
      <c r="C293" s="5">
        <v>0.71994212962962967</v>
      </c>
      <c r="D293" s="9" t="s">
        <v>4</v>
      </c>
      <c r="E293" s="9" t="s">
        <v>2887</v>
      </c>
      <c r="F293" s="9"/>
      <c r="H293" s="9"/>
      <c r="I293" s="9" t="s">
        <v>10418</v>
      </c>
      <c r="J293" s="9" t="s">
        <v>2937</v>
      </c>
      <c r="K293" t="s">
        <v>10419</v>
      </c>
      <c r="L293" t="s">
        <v>10420</v>
      </c>
      <c r="M293" s="3" t="str">
        <f>HYPERLINK(склад2въезд1319[[#This Row],[RelativePath]])</f>
        <v>5 Крыльцо общага\K07156189_22_20260126T171643Z.jpg</v>
      </c>
    </row>
    <row r="294" spans="1:13" x14ac:dyDescent="0.25">
      <c r="A294" s="2" t="s">
        <v>14</v>
      </c>
      <c r="B294" s="4">
        <v>46049</v>
      </c>
      <c r="C294" s="5">
        <v>0.62032407407407408</v>
      </c>
      <c r="D294" s="9" t="s">
        <v>4</v>
      </c>
      <c r="E294" s="9" t="s">
        <v>10500</v>
      </c>
      <c r="F294" s="9"/>
      <c r="H294" s="9"/>
      <c r="I294" s="9" t="s">
        <v>10421</v>
      </c>
      <c r="J294" s="9" t="s">
        <v>2937</v>
      </c>
      <c r="K294" t="s">
        <v>10422</v>
      </c>
      <c r="L294" t="s">
        <v>10423</v>
      </c>
      <c r="M294" s="3" t="str">
        <f>HYPERLINK(склад2въезд1319[[#This Row],[RelativePath]])</f>
        <v>5 Крыльцо общага\K07156189_22_20260127T145316Z.jpg</v>
      </c>
    </row>
    <row r="295" spans="1:13" x14ac:dyDescent="0.25">
      <c r="A295" s="2" t="s">
        <v>15</v>
      </c>
      <c r="B295" s="4">
        <v>46050</v>
      </c>
      <c r="C295" s="5">
        <v>0.41630787037037037</v>
      </c>
      <c r="D295" s="9" t="s">
        <v>4</v>
      </c>
      <c r="E295" s="9" t="s">
        <v>9754</v>
      </c>
      <c r="F295" s="9"/>
      <c r="H295" s="9"/>
      <c r="I295" s="9" t="s">
        <v>10592</v>
      </c>
      <c r="J295" s="9" t="s">
        <v>2937</v>
      </c>
      <c r="K295" t="s">
        <v>10593</v>
      </c>
      <c r="L295" t="s">
        <v>10594</v>
      </c>
      <c r="M295" s="3" t="str">
        <f>HYPERLINK(склад2въезд1319[[#This Row],[RelativePath]])</f>
        <v>5 Крыльцо общага\K07156189_22_20260128T095929Z.jpg</v>
      </c>
    </row>
    <row r="296" spans="1:13" x14ac:dyDescent="0.25">
      <c r="A296" s="2" t="s">
        <v>15</v>
      </c>
      <c r="B296" s="4">
        <v>46050</v>
      </c>
      <c r="C296" s="5">
        <v>0.66324074074074069</v>
      </c>
      <c r="D296" s="9" t="s">
        <v>158</v>
      </c>
      <c r="E296" s="9" t="s">
        <v>86</v>
      </c>
      <c r="F296" s="9" t="s">
        <v>60</v>
      </c>
      <c r="H296" s="9" t="s">
        <v>10755</v>
      </c>
      <c r="I296" s="9" t="s">
        <v>10595</v>
      </c>
      <c r="J296" s="9" t="s">
        <v>2937</v>
      </c>
      <c r="K296" t="s">
        <v>10596</v>
      </c>
      <c r="L296" t="s">
        <v>10597</v>
      </c>
      <c r="M296" s="3" t="str">
        <f>HYPERLINK(склад2въезд1319[[#This Row],[RelativePath]])</f>
        <v>5 Крыльцо общага\K07156189_22_20260128T155504Z.jpg</v>
      </c>
    </row>
    <row r="297" spans="1:13" x14ac:dyDescent="0.25">
      <c r="A297" s="2" t="s">
        <v>15</v>
      </c>
      <c r="B297" s="4">
        <v>46050</v>
      </c>
      <c r="C297" s="5">
        <v>0.70317129629629627</v>
      </c>
      <c r="D297" s="9" t="s">
        <v>4</v>
      </c>
      <c r="E297" s="9" t="s">
        <v>2887</v>
      </c>
      <c r="F297" s="9"/>
      <c r="H297" s="9"/>
      <c r="I297" s="9" t="s">
        <v>10598</v>
      </c>
      <c r="J297" s="9" t="s">
        <v>2937</v>
      </c>
      <c r="K297" t="s">
        <v>10599</v>
      </c>
      <c r="L297" t="s">
        <v>10600</v>
      </c>
      <c r="M297" s="3" t="str">
        <f>HYPERLINK(склад2въезд1319[[#This Row],[RelativePath]])</f>
        <v>5 Крыльцо общага\K07156189_22_20260128T165234Z.jpg</v>
      </c>
    </row>
    <row r="298" spans="1:13" x14ac:dyDescent="0.25">
      <c r="A298" s="2" t="s">
        <v>16</v>
      </c>
      <c r="B298" s="4">
        <v>46051</v>
      </c>
      <c r="C298" s="5">
        <v>0.51928240740740739</v>
      </c>
      <c r="D298" s="9" t="s">
        <v>4</v>
      </c>
      <c r="E298" s="9" t="s">
        <v>9754</v>
      </c>
      <c r="F298" s="9"/>
      <c r="H298" s="9"/>
      <c r="I298" s="9" t="s">
        <v>10601</v>
      </c>
      <c r="J298" s="9" t="s">
        <v>2937</v>
      </c>
      <c r="K298" t="s">
        <v>10602</v>
      </c>
      <c r="L298" t="s">
        <v>10603</v>
      </c>
      <c r="M298" s="3" t="str">
        <f>HYPERLINK(склад2въезд1319[[#This Row],[RelativePath]])</f>
        <v>5 Крыльцо общага\K07156189_22_20260129T122746Z.jpg</v>
      </c>
    </row>
    <row r="299" spans="1:13" x14ac:dyDescent="0.25">
      <c r="A299" s="2" t="s">
        <v>16</v>
      </c>
      <c r="B299" s="4">
        <v>46051</v>
      </c>
      <c r="C299" s="5">
        <v>0.74149305555555556</v>
      </c>
      <c r="D299" s="9" t="s">
        <v>4</v>
      </c>
      <c r="E299" s="9" t="s">
        <v>9754</v>
      </c>
      <c r="F299" s="9"/>
      <c r="H299" s="9"/>
      <c r="I299" s="9" t="s">
        <v>10604</v>
      </c>
      <c r="J299" s="9" t="s">
        <v>2937</v>
      </c>
      <c r="K299" t="s">
        <v>10605</v>
      </c>
      <c r="L299" t="s">
        <v>10606</v>
      </c>
      <c r="M299" s="3" t="str">
        <f>HYPERLINK(склад2въезд1319[[#This Row],[RelativePath]])</f>
        <v>5 Крыльцо общага\K07156189_22_20260129T174745Z.jpg</v>
      </c>
    </row>
    <row r="300" spans="1:13" x14ac:dyDescent="0.25">
      <c r="A300" s="2" t="s">
        <v>17</v>
      </c>
      <c r="B300" s="4">
        <v>46052</v>
      </c>
      <c r="C300" s="5">
        <v>0.42017361111111112</v>
      </c>
      <c r="D300" s="9" t="s">
        <v>4</v>
      </c>
      <c r="E300" s="9" t="s">
        <v>7947</v>
      </c>
      <c r="F300" s="9"/>
      <c r="H300" s="9"/>
      <c r="I300" s="9" t="s">
        <v>10780</v>
      </c>
      <c r="J300" s="9" t="s">
        <v>2937</v>
      </c>
      <c r="K300" t="s">
        <v>10781</v>
      </c>
      <c r="L300" t="s">
        <v>10782</v>
      </c>
      <c r="M300" s="3" t="str">
        <f>HYPERLINK(склад2въезд1319[[#This Row],[RelativePath]])</f>
        <v>5 Крыльцо общага\K07156189_22_20260130T100503Z.jpg</v>
      </c>
    </row>
    <row r="301" spans="1:13" x14ac:dyDescent="0.25">
      <c r="A301" s="2" t="s">
        <v>17</v>
      </c>
      <c r="B301" s="4">
        <v>46052</v>
      </c>
      <c r="C301" s="5">
        <v>0.60381944444444446</v>
      </c>
      <c r="D301" s="9" t="s">
        <v>4</v>
      </c>
      <c r="E301" s="9" t="s">
        <v>7947</v>
      </c>
      <c r="F301" s="9"/>
      <c r="H301" s="9"/>
      <c r="I301" s="9" t="s">
        <v>10783</v>
      </c>
      <c r="J301" s="9" t="s">
        <v>2937</v>
      </c>
      <c r="K301" t="s">
        <v>10784</v>
      </c>
      <c r="L301" t="s">
        <v>10785</v>
      </c>
      <c r="M301" s="3" t="str">
        <f>HYPERLINK(склад2въезд1319[[#This Row],[RelativePath]])</f>
        <v>5 Крыльцо общага\K07156189_22_20260130T142930Z.jpg</v>
      </c>
    </row>
    <row r="302" spans="1:13" x14ac:dyDescent="0.25">
      <c r="A302" s="2" t="s">
        <v>18</v>
      </c>
      <c r="B302" s="4">
        <v>46053</v>
      </c>
      <c r="C302" s="5">
        <v>0.72431712962962957</v>
      </c>
      <c r="D302" s="9" t="s">
        <v>4</v>
      </c>
      <c r="E302" s="9" t="s">
        <v>8</v>
      </c>
      <c r="F302" s="9"/>
      <c r="H302" s="9"/>
      <c r="I302" s="9" t="s">
        <v>10931</v>
      </c>
      <c r="J302" s="9" t="s">
        <v>2937</v>
      </c>
      <c r="K302" t="s">
        <v>10932</v>
      </c>
      <c r="L302" t="s">
        <v>10933</v>
      </c>
      <c r="M302" s="3" t="str">
        <f>HYPERLINK(склад2въезд1319[[#This Row],[RelativePath]])</f>
        <v>5 Крыльцо общага\K07156189_22_20260131T172301Z.jpg</v>
      </c>
    </row>
    <row r="303" spans="1:13" x14ac:dyDescent="0.25">
      <c r="A303" s="2" t="s">
        <v>18</v>
      </c>
      <c r="B303" s="4">
        <v>46053</v>
      </c>
      <c r="C303" s="5">
        <v>0.72693287037037035</v>
      </c>
      <c r="D303" s="9" t="s">
        <v>622</v>
      </c>
      <c r="E303" s="9" t="s">
        <v>10989</v>
      </c>
      <c r="F303" s="9"/>
      <c r="H303" s="9" t="s">
        <v>10990</v>
      </c>
      <c r="I303" s="9" t="s">
        <v>10934</v>
      </c>
      <c r="J303" s="9" t="s">
        <v>2937</v>
      </c>
      <c r="K303" t="s">
        <v>10935</v>
      </c>
      <c r="L303" t="s">
        <v>10936</v>
      </c>
      <c r="M303" s="3" t="str">
        <f>HYPERLINK(склад2въезд1319[[#This Row],[RelativePath]])</f>
        <v>5 Крыльцо общага\K07156189_22_20260131T172647Z.jpg</v>
      </c>
    </row>
    <row r="304" spans="1:13" x14ac:dyDescent="0.25">
      <c r="A304" s="2" t="s">
        <v>22</v>
      </c>
      <c r="B304" s="4">
        <v>46054</v>
      </c>
      <c r="C304" s="5">
        <v>0.46425925925925926</v>
      </c>
      <c r="D304" s="9" t="s">
        <v>4</v>
      </c>
      <c r="E304" s="9" t="s">
        <v>9754</v>
      </c>
      <c r="F304" s="9"/>
      <c r="H304" s="9"/>
      <c r="I304" s="9" t="s">
        <v>10937</v>
      </c>
      <c r="J304" s="9" t="s">
        <v>2937</v>
      </c>
      <c r="K304" t="s">
        <v>10938</v>
      </c>
      <c r="L304" t="s">
        <v>10939</v>
      </c>
      <c r="M304" s="3" t="str">
        <f>HYPERLINK(склад2въезд1319[[#This Row],[RelativePath]])</f>
        <v>5 Крыльцо общага\K07156189_22_20260201T110832Z.jpg</v>
      </c>
    </row>
    <row r="305" spans="1:13" x14ac:dyDescent="0.25">
      <c r="A305" s="2" t="s">
        <v>13</v>
      </c>
      <c r="B305" s="4">
        <v>46055</v>
      </c>
      <c r="C305" s="5">
        <v>0.44791666666666669</v>
      </c>
      <c r="D305" s="9" t="s">
        <v>4</v>
      </c>
      <c r="E305" s="9" t="s">
        <v>9754</v>
      </c>
      <c r="F305" s="9"/>
      <c r="H305" s="9"/>
      <c r="I305" s="9" t="s">
        <v>11024</v>
      </c>
      <c r="J305" s="9" t="s">
        <v>2937</v>
      </c>
      <c r="K305" t="s">
        <v>11025</v>
      </c>
      <c r="L305" t="s">
        <v>11026</v>
      </c>
      <c r="M305" s="3" t="str">
        <f>HYPERLINK(склад2въезд1319[[#This Row],[RelativePath]])</f>
        <v>5 Крыльцо общага\K07156189_22_20260202T104500Z.jpg</v>
      </c>
    </row>
    <row r="306" spans="1:13" x14ac:dyDescent="0.25">
      <c r="A306" s="2" t="s">
        <v>13</v>
      </c>
      <c r="B306" s="4">
        <v>46055</v>
      </c>
      <c r="C306" s="5">
        <v>0.74973379629629633</v>
      </c>
      <c r="D306" s="9" t="s">
        <v>4</v>
      </c>
      <c r="E306" s="9" t="s">
        <v>9754</v>
      </c>
      <c r="F306" s="9"/>
      <c r="H306" s="9"/>
      <c r="I306" s="9" t="s">
        <v>11027</v>
      </c>
      <c r="J306" s="9" t="s">
        <v>2937</v>
      </c>
      <c r="K306" t="s">
        <v>11028</v>
      </c>
      <c r="L306" t="s">
        <v>11029</v>
      </c>
      <c r="M306" s="3" t="str">
        <f>HYPERLINK(склад2въезд1319[[#This Row],[RelativePath]])</f>
        <v>5 Крыльцо общага\K07156189_22_20260202T175937Z.jpg</v>
      </c>
    </row>
    <row r="307" spans="1:13" x14ac:dyDescent="0.25">
      <c r="A307" s="2" t="s">
        <v>14</v>
      </c>
      <c r="B307" s="4">
        <v>46056</v>
      </c>
      <c r="C307" s="5">
        <v>0.39356481481481481</v>
      </c>
      <c r="D307" s="9" t="s">
        <v>4</v>
      </c>
      <c r="E307" s="9" t="s">
        <v>9754</v>
      </c>
      <c r="F307" s="9"/>
      <c r="H307" s="9"/>
      <c r="I307" s="9" t="s">
        <v>11030</v>
      </c>
      <c r="J307" s="9" t="s">
        <v>2937</v>
      </c>
      <c r="K307" t="s">
        <v>11031</v>
      </c>
      <c r="L307" t="s">
        <v>11032</v>
      </c>
      <c r="M307" s="3" t="str">
        <f>HYPERLINK(склад2въезд1319[[#This Row],[RelativePath]])</f>
        <v>5 Крыльцо общага\K07156189_22_20260203T092644Z.jpg</v>
      </c>
    </row>
    <row r="308" spans="1:13" x14ac:dyDescent="0.25">
      <c r="A308" s="2" t="s">
        <v>14</v>
      </c>
      <c r="B308" s="4">
        <v>46056</v>
      </c>
      <c r="C308" s="5">
        <v>0.68864583333333329</v>
      </c>
      <c r="D308" s="9" t="s">
        <v>4</v>
      </c>
      <c r="E308" s="9" t="s">
        <v>9754</v>
      </c>
      <c r="F308" s="9"/>
      <c r="H308" s="9"/>
      <c r="I308" s="9" t="s">
        <v>11033</v>
      </c>
      <c r="J308" s="9" t="s">
        <v>2937</v>
      </c>
      <c r="K308" t="s">
        <v>11034</v>
      </c>
      <c r="L308" t="s">
        <v>11035</v>
      </c>
      <c r="M308" s="3" t="str">
        <f>HYPERLINK(склад2въезд1319[[#This Row],[RelativePath]])</f>
        <v>5 Крыльцо общага\K07156189_22_20260203T163139Z.jpg</v>
      </c>
    </row>
    <row r="309" spans="1:13" x14ac:dyDescent="0.25">
      <c r="A309" s="2" t="s">
        <v>15</v>
      </c>
      <c r="B309" s="4">
        <v>46057</v>
      </c>
      <c r="C309" s="5">
        <v>0.66666666666666663</v>
      </c>
      <c r="D309" s="9" t="s">
        <v>4</v>
      </c>
      <c r="E309" s="9" t="s">
        <v>8</v>
      </c>
      <c r="F309" s="9"/>
      <c r="H309" s="9"/>
      <c r="I309" s="9" t="s">
        <v>11456</v>
      </c>
      <c r="J309" s="9" t="s">
        <v>2937</v>
      </c>
      <c r="K309" t="s">
        <v>11457</v>
      </c>
      <c r="L309" t="s">
        <v>11458</v>
      </c>
      <c r="M309" s="3" t="str">
        <f>HYPERLINK(склад2въезд1319[[#This Row],[RelativePath]])</f>
        <v>5 Крыльцо общага\K07156189_22_20260204T160000Z.jpg</v>
      </c>
    </row>
    <row r="310" spans="1:13" x14ac:dyDescent="0.25">
      <c r="A310" s="2" t="s">
        <v>16</v>
      </c>
      <c r="B310" s="4">
        <v>46058</v>
      </c>
      <c r="C310" s="5">
        <v>0.69664351851851847</v>
      </c>
      <c r="D310" s="9" t="s">
        <v>4</v>
      </c>
      <c r="E310" s="9" t="s">
        <v>11490</v>
      </c>
      <c r="F310" s="9"/>
      <c r="H310" s="9"/>
      <c r="I310" s="9" t="s">
        <v>11459</v>
      </c>
      <c r="J310" s="9" t="s">
        <v>2937</v>
      </c>
      <c r="K310" t="s">
        <v>11460</v>
      </c>
      <c r="L310" t="s">
        <v>11461</v>
      </c>
      <c r="M310" s="3" t="str">
        <f>HYPERLINK(склад2въезд1319[[#This Row],[RelativePath]])</f>
        <v>5 Крыльцо общага\K07156189_22_20260205T164310Z.jpg</v>
      </c>
    </row>
    <row r="311" spans="1:13" x14ac:dyDescent="0.25">
      <c r="A311" s="2" t="s">
        <v>17</v>
      </c>
      <c r="B311" s="4">
        <v>46059</v>
      </c>
      <c r="C311" s="5">
        <v>0.68755787037037042</v>
      </c>
      <c r="D311" s="9" t="s">
        <v>4</v>
      </c>
      <c r="E311" s="9" t="s">
        <v>8</v>
      </c>
      <c r="F311" s="9"/>
      <c r="H311" s="9"/>
      <c r="I311" s="9" t="s">
        <v>11462</v>
      </c>
      <c r="J311" s="9" t="s">
        <v>2937</v>
      </c>
      <c r="K311" t="s">
        <v>11463</v>
      </c>
      <c r="L311" t="s">
        <v>11464</v>
      </c>
      <c r="M311" s="3" t="str">
        <f>HYPERLINK(склад2въезд1319[[#This Row],[RelativePath]])</f>
        <v>5 Крыльцо общага\K07156189_22_20260206T163005Z.jpg</v>
      </c>
    </row>
    <row r="312" spans="1:13" x14ac:dyDescent="0.25">
      <c r="A312" s="2" t="s">
        <v>18</v>
      </c>
      <c r="B312" s="4">
        <v>46060</v>
      </c>
      <c r="C312" s="5">
        <v>0.68214120370370368</v>
      </c>
      <c r="D312" s="9" t="s">
        <v>1967</v>
      </c>
      <c r="E312" s="9" t="s">
        <v>8</v>
      </c>
      <c r="F312" s="9"/>
      <c r="H312" s="9"/>
      <c r="I312" s="9" t="s">
        <v>11526</v>
      </c>
      <c r="J312" s="9" t="s">
        <v>2937</v>
      </c>
      <c r="K312" t="s">
        <v>11527</v>
      </c>
      <c r="L312" t="s">
        <v>11528</v>
      </c>
      <c r="M312" s="3" t="str">
        <f>HYPERLINK(склад2въезд1319[[#This Row],[RelativePath]])</f>
        <v>5 Крыльцо общага\K07156189_22_20260207T162217Z.jpg</v>
      </c>
    </row>
    <row r="313" spans="1:13" x14ac:dyDescent="0.25">
      <c r="A313" s="2" t="s">
        <v>22</v>
      </c>
      <c r="B313" s="4">
        <v>46061</v>
      </c>
      <c r="C313" s="5">
        <v>0.71369212962962958</v>
      </c>
      <c r="D313" s="9" t="s">
        <v>4</v>
      </c>
      <c r="E313" s="9" t="s">
        <v>2887</v>
      </c>
      <c r="F313" s="9"/>
      <c r="H313" s="9"/>
      <c r="I313" s="9" t="s">
        <v>11529</v>
      </c>
      <c r="J313" s="9" t="s">
        <v>2937</v>
      </c>
      <c r="K313" t="s">
        <v>11530</v>
      </c>
      <c r="L313" t="s">
        <v>11531</v>
      </c>
      <c r="M313" s="3" t="str">
        <f>HYPERLINK(склад2въезд1319[[#This Row],[RelativePath]])</f>
        <v>5 Крыльцо общага\K07156189_22_20260208T170743Z.jpg</v>
      </c>
    </row>
    <row r="314" spans="1:13" x14ac:dyDescent="0.25">
      <c r="A314" s="2" t="s">
        <v>13</v>
      </c>
      <c r="B314" s="4">
        <v>46062</v>
      </c>
      <c r="C314" s="5">
        <v>0.38737268518518519</v>
      </c>
      <c r="D314" s="9" t="s">
        <v>4</v>
      </c>
      <c r="E314" s="9" t="s">
        <v>2887</v>
      </c>
      <c r="F314" s="9"/>
      <c r="H314" s="9"/>
      <c r="I314" s="9" t="s">
        <v>11753</v>
      </c>
      <c r="J314" s="9" t="s">
        <v>2937</v>
      </c>
      <c r="K314" t="s">
        <v>11754</v>
      </c>
      <c r="L314" t="s">
        <v>11755</v>
      </c>
      <c r="M314" s="3" t="str">
        <f>HYPERLINK(склад2въезд1319[[#This Row],[RelativePath]])</f>
        <v>5 Крыльцо общага\K07156189_22_20260209T091749Z.jpg</v>
      </c>
    </row>
    <row r="315" spans="1:13" x14ac:dyDescent="0.25">
      <c r="A315" s="2" t="s">
        <v>14</v>
      </c>
      <c r="B315" s="4">
        <v>46063</v>
      </c>
      <c r="C315" s="5">
        <v>0.35336805555555556</v>
      </c>
      <c r="D315" s="9" t="s">
        <v>6092</v>
      </c>
      <c r="E315" s="9" t="s">
        <v>11808</v>
      </c>
      <c r="F315" s="9"/>
      <c r="H315" s="9"/>
      <c r="I315" s="9" t="s">
        <v>11756</v>
      </c>
      <c r="J315" s="9" t="s">
        <v>2937</v>
      </c>
      <c r="K315" t="s">
        <v>11757</v>
      </c>
      <c r="L315" t="s">
        <v>11758</v>
      </c>
      <c r="M315" s="3" t="str">
        <f>HYPERLINK(склад2въезд1319[[#This Row],[RelativePath]])</f>
        <v>5 Крыльцо общага\K07156189_22_20260210T082851Z.jpg</v>
      </c>
    </row>
    <row r="316" spans="1:13" x14ac:dyDescent="0.25">
      <c r="A316" s="2" t="s">
        <v>14</v>
      </c>
      <c r="B316" s="4">
        <v>46063</v>
      </c>
      <c r="C316" s="5">
        <v>0.35630787037037037</v>
      </c>
      <c r="D316" s="9" t="s">
        <v>159</v>
      </c>
      <c r="E316" s="9" t="s">
        <v>11808</v>
      </c>
      <c r="F316" s="9"/>
      <c r="H316" s="9"/>
      <c r="I316" s="9" t="s">
        <v>11759</v>
      </c>
      <c r="J316" s="9" t="s">
        <v>2937</v>
      </c>
      <c r="K316" t="s">
        <v>11760</v>
      </c>
      <c r="L316" t="s">
        <v>11761</v>
      </c>
      <c r="M316" s="3" t="str">
        <f>HYPERLINK(склад2въезд1319[[#This Row],[RelativePath]])</f>
        <v>5 Крыльцо общага\K07156189_22_20260210T083305Z.jpg</v>
      </c>
    </row>
    <row r="317" spans="1:13" x14ac:dyDescent="0.25">
      <c r="A317" s="2" t="s">
        <v>14</v>
      </c>
      <c r="B317" s="4">
        <v>46063</v>
      </c>
      <c r="C317" s="5">
        <v>0.37211805555555555</v>
      </c>
      <c r="D317" s="9" t="s">
        <v>201</v>
      </c>
      <c r="E317" s="9" t="s">
        <v>11808</v>
      </c>
      <c r="F317" s="9"/>
      <c r="H317" s="9"/>
      <c r="I317" s="9" t="s">
        <v>11762</v>
      </c>
      <c r="J317" s="9" t="s">
        <v>2937</v>
      </c>
      <c r="K317" t="s">
        <v>11763</v>
      </c>
      <c r="L317" t="s">
        <v>11764</v>
      </c>
      <c r="M317" s="3" t="str">
        <f>HYPERLINK(склад2въезд1319[[#This Row],[RelativePath]])</f>
        <v>5 Крыльцо общага\K07156189_22_20260210T085551Z.jpg</v>
      </c>
    </row>
    <row r="318" spans="1:13" x14ac:dyDescent="0.25">
      <c r="A318" s="2" t="s">
        <v>14</v>
      </c>
      <c r="B318" s="4">
        <v>46063</v>
      </c>
      <c r="C318" s="5">
        <v>0.61754629629629632</v>
      </c>
      <c r="D318" s="9" t="s">
        <v>4</v>
      </c>
      <c r="E318" s="9" t="s">
        <v>8</v>
      </c>
      <c r="F318" s="9"/>
      <c r="H318" s="9"/>
      <c r="I318" s="9" t="s">
        <v>11765</v>
      </c>
      <c r="J318" s="9" t="s">
        <v>2937</v>
      </c>
      <c r="K318" t="s">
        <v>11766</v>
      </c>
      <c r="L318" t="s">
        <v>11767</v>
      </c>
      <c r="M318" s="3" t="str">
        <f>HYPERLINK(склад2въезд1319[[#This Row],[RelativePath]])</f>
        <v>5 Крыльцо общага\K07156189_22_20260210T144916Z.jpg</v>
      </c>
    </row>
    <row r="319" spans="1:13" x14ac:dyDescent="0.25">
      <c r="A319" s="2" t="s">
        <v>15</v>
      </c>
      <c r="B319" s="4">
        <v>46064</v>
      </c>
      <c r="C319" s="5">
        <v>0.45370370370370372</v>
      </c>
      <c r="D319" s="9" t="s">
        <v>159</v>
      </c>
      <c r="E319" s="9" t="s">
        <v>4134</v>
      </c>
      <c r="F319" s="9"/>
      <c r="H319" s="9"/>
      <c r="I319" s="9" t="s">
        <v>11768</v>
      </c>
      <c r="J319" s="9" t="s">
        <v>2937</v>
      </c>
      <c r="K319" t="s">
        <v>11769</v>
      </c>
      <c r="L319" t="s">
        <v>11770</v>
      </c>
      <c r="M319" s="3" t="str">
        <f>HYPERLINK(склад2въезд1319[[#This Row],[RelativePath]])</f>
        <v>5 Крыльцо общага\K07156189_22_20260211T105320Z.jpg</v>
      </c>
    </row>
    <row r="320" spans="1:13" x14ac:dyDescent="0.25">
      <c r="A320" s="2" t="s">
        <v>15</v>
      </c>
      <c r="B320" s="4">
        <v>46064</v>
      </c>
      <c r="C320" s="5">
        <v>0.57721064814814815</v>
      </c>
      <c r="D320" s="9" t="s">
        <v>201</v>
      </c>
      <c r="E320" s="9" t="s">
        <v>4134</v>
      </c>
      <c r="F320" s="9"/>
      <c r="H320" s="9"/>
      <c r="I320" s="9" t="s">
        <v>11771</v>
      </c>
      <c r="J320" s="9" t="s">
        <v>2937</v>
      </c>
      <c r="K320" t="s">
        <v>11772</v>
      </c>
      <c r="L320" t="s">
        <v>11773</v>
      </c>
      <c r="M320" s="3" t="str">
        <f>HYPERLINK(склад2въезд1319[[#This Row],[RelativePath]])</f>
        <v>5 Крыльцо общага\K07156189_22_20260211T135111Z.jpg</v>
      </c>
    </row>
    <row r="321" spans="1:13" x14ac:dyDescent="0.25">
      <c r="A321" s="2" t="s">
        <v>15</v>
      </c>
      <c r="B321" s="4">
        <v>46064</v>
      </c>
      <c r="C321" s="5">
        <v>0.71149305555555553</v>
      </c>
      <c r="D321" s="9" t="s">
        <v>4</v>
      </c>
      <c r="E321" s="9" t="s">
        <v>8</v>
      </c>
      <c r="F321" s="9"/>
      <c r="H321" s="9"/>
      <c r="I321" s="9" t="s">
        <v>11774</v>
      </c>
      <c r="J321" s="9" t="s">
        <v>2937</v>
      </c>
      <c r="K321" t="s">
        <v>11775</v>
      </c>
      <c r="L321" t="s">
        <v>11776</v>
      </c>
      <c r="M321" s="3" t="str">
        <f>HYPERLINK(склад2въезд1319[[#This Row],[RelativePath]])</f>
        <v>5 Крыльцо общага\K07156189_22_20260211T170433Z.jpg</v>
      </c>
    </row>
    <row r="322" spans="1:13" x14ac:dyDescent="0.25">
      <c r="A322" s="2" t="s">
        <v>16</v>
      </c>
      <c r="B322" s="4">
        <v>46065</v>
      </c>
      <c r="C322" s="5">
        <v>0.38642361111111112</v>
      </c>
      <c r="D322" s="9" t="s">
        <v>159</v>
      </c>
      <c r="E322" s="9" t="s">
        <v>70</v>
      </c>
      <c r="F322" s="9"/>
      <c r="H322" s="9"/>
      <c r="I322" s="9" t="s">
        <v>11777</v>
      </c>
      <c r="J322" s="9" t="s">
        <v>2937</v>
      </c>
      <c r="K322" t="s">
        <v>11778</v>
      </c>
      <c r="L322" t="s">
        <v>11779</v>
      </c>
      <c r="M322" s="3" t="str">
        <f>HYPERLINK(склад2въезд1319[[#This Row],[RelativePath]])</f>
        <v>5 Крыльцо общага\K07156189_22_20260212T091627Z.jpg</v>
      </c>
    </row>
    <row r="323" spans="1:13" x14ac:dyDescent="0.25">
      <c r="A323" s="2" t="s">
        <v>16</v>
      </c>
      <c r="B323" s="4">
        <v>46065</v>
      </c>
      <c r="C323" s="5">
        <v>0.69628472222222226</v>
      </c>
      <c r="D323" s="9" t="s">
        <v>4</v>
      </c>
      <c r="E323" s="9" t="s">
        <v>8</v>
      </c>
      <c r="F323" s="9"/>
      <c r="H323" s="9"/>
      <c r="I323" s="9" t="s">
        <v>11780</v>
      </c>
      <c r="J323" s="9" t="s">
        <v>2937</v>
      </c>
      <c r="K323" t="s">
        <v>11781</v>
      </c>
      <c r="L323" t="s">
        <v>11782</v>
      </c>
      <c r="M323" s="3" t="str">
        <f>HYPERLINK(склад2въезд1319[[#This Row],[RelativePath]])</f>
        <v>5 Крыльцо общага\K07156189_22_20260212T164239Z.jpg</v>
      </c>
    </row>
    <row r="324" spans="1:13" x14ac:dyDescent="0.25">
      <c r="A324" s="2" t="s">
        <v>17</v>
      </c>
      <c r="B324" s="4">
        <v>46066</v>
      </c>
      <c r="C324" s="5">
        <v>0.48028935185185184</v>
      </c>
      <c r="D324" s="9" t="s">
        <v>623</v>
      </c>
      <c r="E324" s="9" t="s">
        <v>86</v>
      </c>
      <c r="F324" s="9"/>
      <c r="H324" s="9"/>
      <c r="I324" s="9" t="s">
        <v>11845</v>
      </c>
      <c r="J324" s="9" t="s">
        <v>2937</v>
      </c>
      <c r="K324" t="s">
        <v>11846</v>
      </c>
      <c r="L324" t="s">
        <v>11847</v>
      </c>
      <c r="M324" s="3" t="str">
        <f>HYPERLINK(склад2въезд1319[[#This Row],[RelativePath]])</f>
        <v>5 Крыльцо общага\K07156189_22_20260213T113137Z.jpg</v>
      </c>
    </row>
    <row r="325" spans="1:13" x14ac:dyDescent="0.25">
      <c r="A325" s="2" t="s">
        <v>17</v>
      </c>
      <c r="B325" s="4">
        <v>46066</v>
      </c>
      <c r="C325" s="5">
        <v>0.69491898148148146</v>
      </c>
      <c r="D325" s="9" t="s">
        <v>11807</v>
      </c>
      <c r="E325" s="9" t="s">
        <v>11864</v>
      </c>
      <c r="F325" s="9"/>
      <c r="H325" s="9"/>
      <c r="I325" s="9" t="s">
        <v>11848</v>
      </c>
      <c r="J325" s="9" t="s">
        <v>2937</v>
      </c>
      <c r="K325" t="s">
        <v>11849</v>
      </c>
      <c r="L325" t="s">
        <v>11850</v>
      </c>
      <c r="M325" s="3" t="str">
        <f>HYPERLINK(склад2въезд1319[[#This Row],[RelativePath]])</f>
        <v>5 Крыльцо общага\K07156189_22_20260213T164041Z.jpg</v>
      </c>
    </row>
    <row r="326" spans="1:13" x14ac:dyDescent="0.25">
      <c r="A326" s="2" t="s">
        <v>17</v>
      </c>
      <c r="B326" s="4">
        <v>46066</v>
      </c>
      <c r="C326" s="5">
        <v>0.70405092592592589</v>
      </c>
      <c r="D326" s="9" t="s">
        <v>201</v>
      </c>
      <c r="E326" s="9" t="s">
        <v>11864</v>
      </c>
      <c r="F326" s="9"/>
      <c r="H326" s="9"/>
      <c r="I326" s="9" t="s">
        <v>11851</v>
      </c>
      <c r="J326" s="9" t="s">
        <v>2937</v>
      </c>
      <c r="K326" t="s">
        <v>11852</v>
      </c>
      <c r="L326" t="s">
        <v>11853</v>
      </c>
      <c r="M326" s="3" t="str">
        <f>HYPERLINK(склад2въезд1319[[#This Row],[RelativePath]])</f>
        <v>5 Крыльцо общага\K07156189_22_20260213T165350Z.jpg</v>
      </c>
    </row>
    <row r="327" spans="1:13" x14ac:dyDescent="0.25">
      <c r="A327" s="2" t="s">
        <v>18</v>
      </c>
      <c r="B327" s="4">
        <v>46067</v>
      </c>
      <c r="C327" s="5">
        <v>0.64</v>
      </c>
      <c r="D327" s="9" t="s">
        <v>1967</v>
      </c>
      <c r="E327" s="9" t="s">
        <v>8</v>
      </c>
      <c r="F327" s="9"/>
      <c r="H327" s="9"/>
      <c r="I327" s="9" t="s">
        <v>11878</v>
      </c>
      <c r="J327" s="9" t="s">
        <v>2937</v>
      </c>
      <c r="K327" t="s">
        <v>11879</v>
      </c>
      <c r="L327" t="s">
        <v>11880</v>
      </c>
      <c r="M327" s="3" t="str">
        <f>HYPERLINK(склад2въезд1319[[#This Row],[RelativePath]])</f>
        <v>5 Крыльцо общага\K07156189_22_20260214T152136Z.jpg</v>
      </c>
    </row>
    <row r="328" spans="1:13" x14ac:dyDescent="0.25">
      <c r="A328" s="2" t="s">
        <v>22</v>
      </c>
      <c r="B328" s="4">
        <v>46068</v>
      </c>
      <c r="C328" s="5">
        <v>0.50070601851851848</v>
      </c>
      <c r="D328" s="9" t="s">
        <v>4</v>
      </c>
      <c r="E328" s="9" t="s">
        <v>10508</v>
      </c>
      <c r="F328" s="9"/>
      <c r="H328" s="9"/>
      <c r="I328" s="9" t="s">
        <v>11890</v>
      </c>
      <c r="J328" s="9" t="s">
        <v>2937</v>
      </c>
      <c r="K328" t="s">
        <v>11891</v>
      </c>
      <c r="L328" t="s">
        <v>11892</v>
      </c>
      <c r="M328" s="3" t="str">
        <f>HYPERLINK(склад2въезд1319[[#This Row],[RelativePath]])</f>
        <v>5 Крыльцо общага\K07156189_22_20260215T120101Z.jpg</v>
      </c>
    </row>
    <row r="329" spans="1:13" x14ac:dyDescent="0.25">
      <c r="A329" s="2" t="s">
        <v>13</v>
      </c>
      <c r="B329" s="4">
        <v>46069</v>
      </c>
      <c r="C329" s="5">
        <v>0.59663194444444445</v>
      </c>
      <c r="D329" s="9" t="s">
        <v>623</v>
      </c>
      <c r="E329" s="9" t="s">
        <v>86</v>
      </c>
      <c r="F329" s="9"/>
      <c r="H329" s="9"/>
      <c r="I329" s="9" t="s">
        <v>12040</v>
      </c>
      <c r="J329" s="9" t="s">
        <v>2937</v>
      </c>
      <c r="K329" t="s">
        <v>12041</v>
      </c>
      <c r="L329" t="s">
        <v>12042</v>
      </c>
      <c r="M329" s="3" t="str">
        <f>HYPERLINK(склад2въезд1319[[#This Row],[RelativePath]])</f>
        <v>5 Крыльцо общага\K07156189_22_20260216T141909Z.jpg</v>
      </c>
    </row>
    <row r="330" spans="1:13" x14ac:dyDescent="0.25">
      <c r="A330" s="2" t="s">
        <v>14</v>
      </c>
      <c r="B330" s="4">
        <v>46070</v>
      </c>
      <c r="C330" s="5">
        <v>0.60394675925925922</v>
      </c>
      <c r="D330" s="9" t="s">
        <v>12226</v>
      </c>
      <c r="E330" s="9" t="s">
        <v>86</v>
      </c>
      <c r="F330" s="9"/>
      <c r="H330" s="9"/>
      <c r="I330" s="9" t="s">
        <v>12043</v>
      </c>
      <c r="J330" s="9" t="s">
        <v>2937</v>
      </c>
      <c r="K330" t="s">
        <v>12044</v>
      </c>
      <c r="L330" t="s">
        <v>12045</v>
      </c>
      <c r="M330" s="3" t="str">
        <f>HYPERLINK(склад2въезд1319[[#This Row],[RelativePath]])</f>
        <v>5 Крыльцо общага\K07156189_22_20260217T142941Z.jpg</v>
      </c>
    </row>
    <row r="331" spans="1:13" x14ac:dyDescent="0.25">
      <c r="A331" s="2" t="s">
        <v>14</v>
      </c>
      <c r="B331" s="4">
        <v>46070</v>
      </c>
      <c r="C331" s="5">
        <v>0.70093749999999999</v>
      </c>
      <c r="D331" s="9" t="s">
        <v>11811</v>
      </c>
      <c r="E331" s="9"/>
      <c r="F331" s="9"/>
      <c r="H331" s="9"/>
      <c r="I331" s="9" t="s">
        <v>12046</v>
      </c>
      <c r="J331" s="9" t="s">
        <v>2937</v>
      </c>
      <c r="K331" t="s">
        <v>12047</v>
      </c>
      <c r="L331" t="s">
        <v>12048</v>
      </c>
      <c r="M331" s="3" t="str">
        <f>HYPERLINK(склад2въезд1319[[#This Row],[RelativePath]])</f>
        <v>5 Крыльцо общага\K07156189_22_20260217T164921Z.jpg</v>
      </c>
    </row>
    <row r="332" spans="1:13" x14ac:dyDescent="0.25">
      <c r="A332" s="2" t="s">
        <v>15</v>
      </c>
      <c r="B332" s="4">
        <v>46071</v>
      </c>
      <c r="C332" s="5">
        <v>0.39153935185185185</v>
      </c>
      <c r="D332" s="9" t="s">
        <v>11807</v>
      </c>
      <c r="E332" s="9" t="s">
        <v>12227</v>
      </c>
      <c r="F332" s="9"/>
      <c r="H332" s="9"/>
      <c r="I332" s="9" t="s">
        <v>12049</v>
      </c>
      <c r="J332" s="9" t="s">
        <v>2937</v>
      </c>
      <c r="K332" t="s">
        <v>12050</v>
      </c>
      <c r="L332" t="s">
        <v>12051</v>
      </c>
      <c r="M332" s="3" t="str">
        <f>HYPERLINK(склад2въезд1319[[#This Row],[RelativePath]])</f>
        <v>5 Крыльцо общага\K07156189_22_20260218T092349Z.jpg</v>
      </c>
    </row>
    <row r="333" spans="1:13" x14ac:dyDescent="0.25">
      <c r="A333" s="2" t="s">
        <v>15</v>
      </c>
      <c r="B333" s="4">
        <v>46071</v>
      </c>
      <c r="C333" s="5">
        <v>0.39587962962962964</v>
      </c>
      <c r="D333" s="9" t="s">
        <v>62</v>
      </c>
      <c r="E333" s="9" t="s">
        <v>12227</v>
      </c>
      <c r="F333" s="9" t="s">
        <v>12228</v>
      </c>
      <c r="H333" s="9" t="s">
        <v>12229</v>
      </c>
      <c r="I333" s="9" t="s">
        <v>12052</v>
      </c>
      <c r="J333" s="9" t="s">
        <v>2937</v>
      </c>
      <c r="K333" t="s">
        <v>12053</v>
      </c>
      <c r="L333" t="s">
        <v>12054</v>
      </c>
      <c r="M333" s="3" t="str">
        <f>HYPERLINK(склад2въезд1319[[#This Row],[RelativePath]])</f>
        <v>5 Крыльцо общага\K07156189_22_20260218T093004Z.jpg</v>
      </c>
    </row>
    <row r="334" spans="1:13" x14ac:dyDescent="0.25">
      <c r="A334" s="2" t="s">
        <v>15</v>
      </c>
      <c r="B334" s="4">
        <v>46071</v>
      </c>
      <c r="C334" s="5">
        <v>0.40994212962962961</v>
      </c>
      <c r="D334" s="9" t="s">
        <v>159</v>
      </c>
      <c r="E334" s="9" t="s">
        <v>4134</v>
      </c>
      <c r="F334" s="9"/>
      <c r="H334" s="9"/>
      <c r="I334" s="9" t="s">
        <v>12055</v>
      </c>
      <c r="J334" s="9" t="s">
        <v>2937</v>
      </c>
      <c r="K334" t="s">
        <v>12056</v>
      </c>
      <c r="L334" t="s">
        <v>12057</v>
      </c>
      <c r="M334" s="3" t="str">
        <f>HYPERLINK(склад2въезд1319[[#This Row],[RelativePath]])</f>
        <v>5 Крыльцо общага\K07156189_22_20260218T095019Z.jpg</v>
      </c>
    </row>
    <row r="335" spans="1:13" x14ac:dyDescent="0.25">
      <c r="A335" s="2" t="s">
        <v>15</v>
      </c>
      <c r="B335" s="4">
        <v>46071</v>
      </c>
      <c r="C335" s="5">
        <v>0.43244212962962963</v>
      </c>
      <c r="D335" s="9" t="s">
        <v>12230</v>
      </c>
      <c r="E335" s="9" t="s">
        <v>86</v>
      </c>
      <c r="F335" s="9"/>
      <c r="H335" s="9"/>
      <c r="I335" s="9" t="s">
        <v>12058</v>
      </c>
      <c r="J335" s="9" t="s">
        <v>2937</v>
      </c>
      <c r="K335" t="s">
        <v>12059</v>
      </c>
      <c r="L335" t="s">
        <v>12060</v>
      </c>
      <c r="M335" s="3" t="str">
        <f>HYPERLINK(склад2въезд1319[[#This Row],[RelativePath]])</f>
        <v>5 Крыльцо общага\K07156189_22_20260218T102243Z.jpg</v>
      </c>
    </row>
    <row r="336" spans="1:13" x14ac:dyDescent="0.25">
      <c r="A336" s="2" t="s">
        <v>16</v>
      </c>
      <c r="B336" s="4">
        <v>46072</v>
      </c>
      <c r="C336" s="5">
        <v>0.43725694444444446</v>
      </c>
      <c r="D336" s="9" t="s">
        <v>623</v>
      </c>
      <c r="E336" s="9" t="s">
        <v>86</v>
      </c>
      <c r="F336" s="9"/>
      <c r="H336" s="9"/>
      <c r="I336" s="9" t="s">
        <v>12278</v>
      </c>
      <c r="J336" s="9" t="s">
        <v>2937</v>
      </c>
      <c r="K336" t="s">
        <v>12279</v>
      </c>
      <c r="L336" t="s">
        <v>12280</v>
      </c>
      <c r="M336" s="3" t="str">
        <f>HYPERLINK(склад2въезд1319[[#This Row],[RelativePath]])</f>
        <v>5 Крыльцо общага\K07156189_22_20260219T102939Z.jpg</v>
      </c>
    </row>
    <row r="337" spans="1:13" x14ac:dyDescent="0.25">
      <c r="A337" s="2" t="s">
        <v>16</v>
      </c>
      <c r="B337" s="4">
        <v>46072</v>
      </c>
      <c r="C337" s="5">
        <v>0.45667824074074076</v>
      </c>
      <c r="D337" s="9" t="s">
        <v>159</v>
      </c>
      <c r="E337" s="9" t="s">
        <v>4134</v>
      </c>
      <c r="F337" s="9"/>
      <c r="H337" s="9"/>
      <c r="I337" s="9" t="s">
        <v>12281</v>
      </c>
      <c r="J337" s="9" t="s">
        <v>2937</v>
      </c>
      <c r="K337" t="s">
        <v>12282</v>
      </c>
      <c r="L337" t="s">
        <v>12283</v>
      </c>
      <c r="M337" s="3" t="str">
        <f>HYPERLINK(склад2въезд1319[[#This Row],[RelativePath]])</f>
        <v>5 Крыльцо общага\K07156189_22_20260219T105737Z.jpg</v>
      </c>
    </row>
    <row r="338" spans="1:13" x14ac:dyDescent="0.25">
      <c r="A338" s="2" t="s">
        <v>16</v>
      </c>
      <c r="B338" s="4">
        <v>46072</v>
      </c>
      <c r="C338" s="5">
        <v>0.5760763888888889</v>
      </c>
      <c r="D338" s="9" t="s">
        <v>6092</v>
      </c>
      <c r="E338" s="9" t="s">
        <v>4134</v>
      </c>
      <c r="F338" s="9"/>
      <c r="H338" s="9"/>
      <c r="I338" s="9" t="s">
        <v>12284</v>
      </c>
      <c r="J338" s="9" t="s">
        <v>2937</v>
      </c>
      <c r="K338" t="s">
        <v>12285</v>
      </c>
      <c r="L338" t="s">
        <v>12286</v>
      </c>
      <c r="M338" s="3" t="str">
        <f>HYPERLINK(склад2въезд1319[[#This Row],[RelativePath]])</f>
        <v>5 Крыльцо общага\K07156189_22_20260219T134933Z.jpg</v>
      </c>
    </row>
    <row r="339" spans="1:13" x14ac:dyDescent="0.25">
      <c r="A339" s="2" t="s">
        <v>16</v>
      </c>
      <c r="B339" s="4">
        <v>46072</v>
      </c>
      <c r="C339" s="5">
        <v>0.60555555555555551</v>
      </c>
      <c r="D339" s="9" t="s">
        <v>159</v>
      </c>
      <c r="E339" s="9" t="s">
        <v>12343</v>
      </c>
      <c r="F339" s="9"/>
      <c r="H339" s="9"/>
      <c r="I339" s="9" t="s">
        <v>12287</v>
      </c>
      <c r="J339" s="9" t="s">
        <v>2937</v>
      </c>
      <c r="K339" t="s">
        <v>12288</v>
      </c>
      <c r="L339" t="s">
        <v>12289</v>
      </c>
      <c r="M339" s="3" t="str">
        <f>HYPERLINK(склад2въезд1319[[#This Row],[RelativePath]])</f>
        <v>5 Крыльцо общага\K07156189_22_20260219T143200Z.jpg</v>
      </c>
    </row>
    <row r="340" spans="1:13" x14ac:dyDescent="0.25">
      <c r="A340" s="2" t="s">
        <v>16</v>
      </c>
      <c r="B340" s="4">
        <v>46072</v>
      </c>
      <c r="C340" s="5">
        <v>0.70650462962962968</v>
      </c>
      <c r="D340" s="9" t="s">
        <v>62</v>
      </c>
      <c r="E340" s="9" t="s">
        <v>12341</v>
      </c>
      <c r="F340" s="9"/>
      <c r="H340" s="9" t="s">
        <v>12342</v>
      </c>
      <c r="I340" s="9" t="s">
        <v>12290</v>
      </c>
      <c r="J340" s="9" t="s">
        <v>2937</v>
      </c>
      <c r="K340" t="s">
        <v>12291</v>
      </c>
      <c r="L340" t="s">
        <v>12292</v>
      </c>
      <c r="M340" s="3" t="str">
        <f>HYPERLINK(склад2въезд1319[[#This Row],[RelativePath]])</f>
        <v>5 Крыльцо общага\K07156189_22_20260219T165722Z.jpg</v>
      </c>
    </row>
    <row r="341" spans="1:13" x14ac:dyDescent="0.25">
      <c r="A341" s="2" t="s">
        <v>17</v>
      </c>
      <c r="B341" s="4">
        <v>46073</v>
      </c>
      <c r="C341" s="5">
        <v>0.65918981481481487</v>
      </c>
      <c r="D341" s="9" t="s">
        <v>12449</v>
      </c>
      <c r="E341" s="9" t="s">
        <v>12343</v>
      </c>
      <c r="F341" s="9"/>
      <c r="H341" s="9"/>
      <c r="I341" s="9" t="s">
        <v>12375</v>
      </c>
      <c r="J341" s="9" t="s">
        <v>2937</v>
      </c>
      <c r="K341" t="s">
        <v>12376</v>
      </c>
      <c r="L341" t="s">
        <v>12377</v>
      </c>
      <c r="M341" s="3" t="str">
        <f>HYPERLINK(склад2въезд1319[[#This Row],[RelativePath]])</f>
        <v>5 Крыльцо общага\K07156189_22_20260220T154914Z.jpg</v>
      </c>
    </row>
    <row r="342" spans="1:13" x14ac:dyDescent="0.25">
      <c r="A342" s="2" t="s">
        <v>17</v>
      </c>
      <c r="B342" s="4">
        <v>46073</v>
      </c>
      <c r="C342" s="5">
        <v>0.75648148148148153</v>
      </c>
      <c r="D342" s="9" t="s">
        <v>4</v>
      </c>
      <c r="E342" s="9" t="s">
        <v>8</v>
      </c>
      <c r="F342" s="9"/>
      <c r="H342" s="9"/>
      <c r="I342" s="9" t="s">
        <v>12378</v>
      </c>
      <c r="J342" s="9" t="s">
        <v>2937</v>
      </c>
      <c r="K342" t="s">
        <v>12379</v>
      </c>
      <c r="L342" t="s">
        <v>12380</v>
      </c>
      <c r="M342" s="3" t="str">
        <f>HYPERLINK(склад2въезд1319[[#This Row],[RelativePath]])</f>
        <v>5 Крыльцо общага\K07156189_22_20260220T180920Z.jpg</v>
      </c>
    </row>
    <row r="343" spans="1:13" x14ac:dyDescent="0.25">
      <c r="A343" s="2" t="s">
        <v>18</v>
      </c>
      <c r="B343" s="4">
        <v>46074</v>
      </c>
      <c r="C343" s="5">
        <v>0.60451388888888891</v>
      </c>
      <c r="D343" s="9" t="s">
        <v>6092</v>
      </c>
      <c r="E343" s="9" t="s">
        <v>12627</v>
      </c>
      <c r="F343" s="9"/>
      <c r="H343" s="9"/>
      <c r="I343" s="9" t="s">
        <v>12566</v>
      </c>
      <c r="J343" s="9" t="s">
        <v>2937</v>
      </c>
      <c r="K343" t="s">
        <v>12567</v>
      </c>
      <c r="L343" t="s">
        <v>12568</v>
      </c>
      <c r="M343" s="3" t="str">
        <f>HYPERLINK(склад2въезд1319[[#This Row],[RelativePath]])</f>
        <v>5 Крыльцо общага\K07156189_22_20260221T143030Z.jpg</v>
      </c>
    </row>
    <row r="344" spans="1:13" x14ac:dyDescent="0.25">
      <c r="A344" s="2" t="s">
        <v>18</v>
      </c>
      <c r="B344" s="4">
        <v>46074</v>
      </c>
      <c r="C344" s="5">
        <v>0.64409722222222221</v>
      </c>
      <c r="D344" s="9" t="s">
        <v>4</v>
      </c>
      <c r="E344" s="9" t="s">
        <v>8</v>
      </c>
      <c r="F344" s="9"/>
      <c r="H344" s="9"/>
      <c r="I344" s="9" t="s">
        <v>12569</v>
      </c>
      <c r="J344" s="9" t="s">
        <v>2937</v>
      </c>
      <c r="K344" t="s">
        <v>12570</v>
      </c>
      <c r="L344" t="s">
        <v>12571</v>
      </c>
      <c r="M344" s="3" t="str">
        <f>HYPERLINK(склад2въезд1319[[#This Row],[RelativePath]])</f>
        <v>5 Крыльцо общага\K07156189_22_20260221T152730Z.jpg</v>
      </c>
    </row>
    <row r="345" spans="1:13" x14ac:dyDescent="0.25">
      <c r="A345" s="2" t="s">
        <v>22</v>
      </c>
      <c r="B345" s="4">
        <v>46075</v>
      </c>
      <c r="C345" s="5">
        <v>0.71765046296296298</v>
      </c>
      <c r="D345" s="9" t="s">
        <v>1967</v>
      </c>
      <c r="E345" s="9" t="s">
        <v>8</v>
      </c>
      <c r="F345" s="9"/>
      <c r="H345" s="9"/>
      <c r="I345" s="9" t="s">
        <v>12572</v>
      </c>
      <c r="J345" s="9" t="s">
        <v>2937</v>
      </c>
      <c r="K345" t="s">
        <v>12573</v>
      </c>
      <c r="L345" t="s">
        <v>12574</v>
      </c>
      <c r="M345" s="3" t="str">
        <f>HYPERLINK(склад2въезд1319[[#This Row],[RelativePath]])</f>
        <v>5 Крыльцо общага\K07156189_22_20260222T171325Z.jpg</v>
      </c>
    </row>
    <row r="346" spans="1:13" x14ac:dyDescent="0.25">
      <c r="A346" s="2" t="s">
        <v>13</v>
      </c>
      <c r="B346" s="4">
        <v>46076</v>
      </c>
      <c r="C346" s="5">
        <v>0.34070601851851851</v>
      </c>
      <c r="D346" s="9" t="s">
        <v>261</v>
      </c>
      <c r="E346" s="9" t="s">
        <v>12776</v>
      </c>
      <c r="F346" s="9" t="s">
        <v>621</v>
      </c>
      <c r="H346" s="9"/>
      <c r="I346" s="9" t="s">
        <v>12647</v>
      </c>
      <c r="J346" s="9" t="s">
        <v>2937</v>
      </c>
      <c r="K346" t="s">
        <v>12648</v>
      </c>
      <c r="L346" t="s">
        <v>12649</v>
      </c>
      <c r="M346" s="3" t="str">
        <f>HYPERLINK(склад2въезд1319[[#This Row],[RelativePath]])</f>
        <v>5 Крыльцо общага\K07156189_22_20260223T081037Z.jpg</v>
      </c>
    </row>
    <row r="347" spans="1:13" x14ac:dyDescent="0.25">
      <c r="A347" s="2" t="s">
        <v>13</v>
      </c>
      <c r="B347" s="4">
        <v>46076</v>
      </c>
      <c r="C347" s="5">
        <v>0.34180555555555553</v>
      </c>
      <c r="D347" s="9" t="s">
        <v>261</v>
      </c>
      <c r="E347" s="9" t="s">
        <v>12776</v>
      </c>
      <c r="F347" s="9" t="s">
        <v>621</v>
      </c>
      <c r="H347" s="9" t="s">
        <v>2891</v>
      </c>
      <c r="I347" s="9" t="s">
        <v>12650</v>
      </c>
      <c r="J347" s="9" t="s">
        <v>2937</v>
      </c>
      <c r="K347" t="s">
        <v>12651</v>
      </c>
      <c r="L347" t="s">
        <v>12652</v>
      </c>
      <c r="M347" s="3" t="str">
        <f>HYPERLINK(склад2въезд1319[[#This Row],[RelativePath]])</f>
        <v>5 Крыльцо общага\K07156189_22_20260223T081212Z.jpg</v>
      </c>
    </row>
    <row r="348" spans="1:13" x14ac:dyDescent="0.25">
      <c r="A348" s="2" t="s">
        <v>13</v>
      </c>
      <c r="B348" s="4">
        <v>46076</v>
      </c>
      <c r="C348" s="5">
        <v>0.34234953703703702</v>
      </c>
      <c r="D348" s="9" t="s">
        <v>261</v>
      </c>
      <c r="E348" s="9" t="s">
        <v>12776</v>
      </c>
      <c r="F348" s="9" t="s">
        <v>621</v>
      </c>
      <c r="H348" s="9" t="s">
        <v>2891</v>
      </c>
      <c r="I348" s="9" t="s">
        <v>12653</v>
      </c>
      <c r="J348" s="9" t="s">
        <v>2937</v>
      </c>
      <c r="K348" t="s">
        <v>12654</v>
      </c>
      <c r="L348" t="s">
        <v>12655</v>
      </c>
      <c r="M348" s="3" t="str">
        <f>HYPERLINK(склад2въезд1319[[#This Row],[RelativePath]])</f>
        <v>5 Крыльцо общага\K07156189_22_20260223T081259Z.jpg</v>
      </c>
    </row>
    <row r="349" spans="1:13" x14ac:dyDescent="0.25">
      <c r="A349" s="2" t="s">
        <v>13</v>
      </c>
      <c r="B349" s="4">
        <v>46076</v>
      </c>
      <c r="C349" s="5">
        <v>0.3442824074074074</v>
      </c>
      <c r="D349" s="9" t="s">
        <v>12778</v>
      </c>
      <c r="E349" s="9" t="s">
        <v>12776</v>
      </c>
      <c r="F349" s="9" t="s">
        <v>621</v>
      </c>
      <c r="H349" s="9"/>
      <c r="I349" s="9" t="s">
        <v>12656</v>
      </c>
      <c r="J349" s="9" t="s">
        <v>2937</v>
      </c>
      <c r="K349" t="s">
        <v>12657</v>
      </c>
      <c r="L349" t="s">
        <v>12658</v>
      </c>
      <c r="M349" s="3" t="str">
        <f>HYPERLINK(склад2въезд1319[[#This Row],[RelativePath]])</f>
        <v>5 Крыльцо общага\K07156189_22_20260223T081546Z.jpg</v>
      </c>
    </row>
    <row r="350" spans="1:13" x14ac:dyDescent="0.25">
      <c r="A350" s="2" t="s">
        <v>13</v>
      </c>
      <c r="B350" s="4">
        <v>46076</v>
      </c>
      <c r="C350" s="5">
        <v>0.34958333333333336</v>
      </c>
      <c r="D350" s="9" t="s">
        <v>12779</v>
      </c>
      <c r="E350" s="9" t="s">
        <v>12777</v>
      </c>
      <c r="F350" s="9" t="s">
        <v>51</v>
      </c>
      <c r="H350" s="9"/>
      <c r="I350" s="9" t="s">
        <v>12659</v>
      </c>
      <c r="J350" s="9" t="s">
        <v>2937</v>
      </c>
      <c r="K350" t="s">
        <v>12660</v>
      </c>
      <c r="L350" t="s">
        <v>12661</v>
      </c>
      <c r="M350" s="3" t="str">
        <f>HYPERLINK(склад2въезд1319[[#This Row],[RelativePath]])</f>
        <v>5 Крыльцо общага\K07156189_22_20260223T082324Z.jpg</v>
      </c>
    </row>
    <row r="351" spans="1:13" x14ac:dyDescent="0.25">
      <c r="A351" s="2" t="s">
        <v>13</v>
      </c>
      <c r="B351" s="4">
        <v>46076</v>
      </c>
      <c r="C351" s="5">
        <v>0.38269675925925928</v>
      </c>
      <c r="D351" s="9" t="s">
        <v>4</v>
      </c>
      <c r="E351" s="9" t="s">
        <v>12780</v>
      </c>
      <c r="F351" s="9"/>
      <c r="H351" s="9"/>
      <c r="I351" s="9" t="s">
        <v>12662</v>
      </c>
      <c r="J351" s="9" t="s">
        <v>2937</v>
      </c>
      <c r="K351" t="s">
        <v>12663</v>
      </c>
      <c r="L351" t="s">
        <v>12664</v>
      </c>
      <c r="M351" s="3" t="str">
        <f>HYPERLINK(склад2въезд1319[[#This Row],[RelativePath]])</f>
        <v>5 Крыльцо общага\K07156189_22_20260223T091105Z.jpg</v>
      </c>
    </row>
    <row r="352" spans="1:13" x14ac:dyDescent="0.25">
      <c r="A352" s="2" t="s">
        <v>13</v>
      </c>
      <c r="B352" s="4">
        <v>46076</v>
      </c>
      <c r="C352" s="5">
        <v>0.42347222222222225</v>
      </c>
      <c r="D352" s="9" t="s">
        <v>12781</v>
      </c>
      <c r="E352" s="9" t="s">
        <v>12777</v>
      </c>
      <c r="F352" s="9" t="s">
        <v>621</v>
      </c>
      <c r="H352" s="9"/>
      <c r="I352" s="9" t="s">
        <v>12665</v>
      </c>
      <c r="J352" s="9" t="s">
        <v>2937</v>
      </c>
      <c r="K352" t="s">
        <v>12666</v>
      </c>
      <c r="L352" t="s">
        <v>12667</v>
      </c>
      <c r="M352" s="3" t="str">
        <f>HYPERLINK(склад2въезд1319[[#This Row],[RelativePath]])</f>
        <v>5 Крыльцо общага\K07156189_22_20260223T100948Z.jpg</v>
      </c>
    </row>
    <row r="353" spans="1:13" x14ac:dyDescent="0.25">
      <c r="A353" s="2" t="s">
        <v>13</v>
      </c>
      <c r="B353" s="4">
        <v>46076</v>
      </c>
      <c r="C353" s="5">
        <v>0.44113425925925925</v>
      </c>
      <c r="D353" s="9" t="s">
        <v>12781</v>
      </c>
      <c r="E353" s="9" t="s">
        <v>12776</v>
      </c>
      <c r="F353" s="9" t="s">
        <v>621</v>
      </c>
      <c r="H353" s="9"/>
      <c r="I353" s="9" t="s">
        <v>12668</v>
      </c>
      <c r="J353" s="9" t="s">
        <v>2937</v>
      </c>
      <c r="K353" t="s">
        <v>12669</v>
      </c>
      <c r="L353" t="s">
        <v>12670</v>
      </c>
      <c r="M353" s="3" t="str">
        <f>HYPERLINK(склад2въезд1319[[#This Row],[RelativePath]])</f>
        <v>5 Крыльцо общага\K07156189_22_20260223T103514Z.jpg</v>
      </c>
    </row>
    <row r="354" spans="1:13" x14ac:dyDescent="0.25">
      <c r="A354" s="2" t="s">
        <v>14</v>
      </c>
      <c r="B354" s="4">
        <v>46077</v>
      </c>
      <c r="C354" s="5">
        <v>0.41684027777777777</v>
      </c>
      <c r="D354" s="9"/>
      <c r="E354" s="9"/>
      <c r="F354" s="9"/>
      <c r="H354" s="9"/>
      <c r="I354" s="9" t="s">
        <v>12930</v>
      </c>
      <c r="J354" s="9" t="s">
        <v>12646</v>
      </c>
      <c r="K354" t="s">
        <v>12931</v>
      </c>
      <c r="L354" t="s">
        <v>12932</v>
      </c>
      <c r="M354" s="3" t="str">
        <f>HYPERLINK(склад2въезд1319[[#This Row],[RelativePath]])</f>
        <v>5 Крыльцо общага\K07156189_22_20260224T100015Z.jpg</v>
      </c>
    </row>
    <row r="355" spans="1:13" x14ac:dyDescent="0.25">
      <c r="A355" s="2" t="s">
        <v>14</v>
      </c>
      <c r="B355" s="4">
        <v>46077</v>
      </c>
      <c r="C355" s="5">
        <v>0.42184027777777777</v>
      </c>
      <c r="D355" s="9"/>
      <c r="E355" s="9"/>
      <c r="F355" s="9"/>
      <c r="H355" s="9"/>
      <c r="I355" s="9" t="s">
        <v>12933</v>
      </c>
      <c r="J355" s="9" t="s">
        <v>12646</v>
      </c>
      <c r="K355" t="s">
        <v>12934</v>
      </c>
      <c r="L355" t="s">
        <v>12935</v>
      </c>
      <c r="M355" s="3" t="str">
        <f>HYPERLINK(склад2въезд1319[[#This Row],[RelativePath]])</f>
        <v>5 Крыльцо общага\K07156189_22_20260224T100727Z.jpg</v>
      </c>
    </row>
    <row r="356" spans="1:13" x14ac:dyDescent="0.25">
      <c r="A356" s="2" t="s">
        <v>14</v>
      </c>
      <c r="B356" s="4">
        <v>46077</v>
      </c>
      <c r="C356" s="5">
        <v>0.42526620370370372</v>
      </c>
      <c r="D356" s="9"/>
      <c r="E356" s="9"/>
      <c r="F356" s="9"/>
      <c r="H356" s="9"/>
      <c r="I356" s="9" t="s">
        <v>12936</v>
      </c>
      <c r="J356" s="9" t="s">
        <v>12646</v>
      </c>
      <c r="K356" t="s">
        <v>12937</v>
      </c>
      <c r="L356" t="s">
        <v>12938</v>
      </c>
      <c r="M356" s="3" t="str">
        <f>HYPERLINK(склад2въезд1319[[#This Row],[RelativePath]])</f>
        <v>5 Крыльцо общага\K07156189_22_20260224T101223Z.jpg</v>
      </c>
    </row>
    <row r="357" spans="1:13" x14ac:dyDescent="0.25">
      <c r="A357" s="2" t="s">
        <v>15</v>
      </c>
      <c r="B357" s="4">
        <v>46078</v>
      </c>
      <c r="C357" s="5">
        <v>0.35643518518518519</v>
      </c>
      <c r="D357" s="9"/>
      <c r="E357" s="9"/>
      <c r="F357" s="9"/>
      <c r="H357" s="9"/>
      <c r="I357" s="9" t="s">
        <v>12939</v>
      </c>
      <c r="J357" s="9" t="s">
        <v>12646</v>
      </c>
      <c r="K357" t="s">
        <v>12940</v>
      </c>
      <c r="L357" t="s">
        <v>12941</v>
      </c>
      <c r="M357" s="3" t="str">
        <f>HYPERLINK(склад2въезд1319[[#This Row],[RelativePath]])</f>
        <v>5 Крыльцо общага\K07156189_22_20260225T083316Z.jpg</v>
      </c>
    </row>
    <row r="358" spans="1:13" x14ac:dyDescent="0.25">
      <c r="A358" s="2" t="s">
        <v>15</v>
      </c>
      <c r="B358" s="4">
        <v>46078</v>
      </c>
      <c r="C358" s="5">
        <v>0.40229166666666666</v>
      </c>
      <c r="D358" s="9"/>
      <c r="E358" s="9"/>
      <c r="F358" s="9"/>
      <c r="H358" s="9"/>
      <c r="I358" s="9" t="s">
        <v>12942</v>
      </c>
      <c r="J358" s="9" t="s">
        <v>12646</v>
      </c>
      <c r="K358" t="s">
        <v>12943</v>
      </c>
      <c r="L358" t="s">
        <v>12944</v>
      </c>
      <c r="M358" s="3" t="str">
        <f>HYPERLINK(склад2въезд1319[[#This Row],[RelativePath]])</f>
        <v>5 Крыльцо общага\K07156189_22_20260225T093918Z.jpg</v>
      </c>
    </row>
    <row r="359" spans="1:13" x14ac:dyDescent="0.25">
      <c r="A359" s="2" t="s">
        <v>15</v>
      </c>
      <c r="B359" s="4">
        <v>46078</v>
      </c>
      <c r="C359" s="5">
        <v>0.48475694444444445</v>
      </c>
      <c r="D359" s="9"/>
      <c r="E359" s="9"/>
      <c r="F359" s="9"/>
      <c r="H359" s="9"/>
      <c r="I359" s="9" t="s">
        <v>12945</v>
      </c>
      <c r="J359" s="9" t="s">
        <v>12646</v>
      </c>
      <c r="K359" t="s">
        <v>12946</v>
      </c>
      <c r="L359" t="s">
        <v>12947</v>
      </c>
      <c r="M359" s="3" t="str">
        <f>HYPERLINK(склад2въезд1319[[#This Row],[RelativePath]])</f>
        <v>5 Крыльцо общага\K07156189_22_20260225T113803Z.jpg</v>
      </c>
    </row>
    <row r="360" spans="1:13" x14ac:dyDescent="0.25">
      <c r="A360" s="2" t="s">
        <v>15</v>
      </c>
      <c r="B360" s="4">
        <v>46078</v>
      </c>
      <c r="C360" s="5">
        <v>0.72740740740740739</v>
      </c>
      <c r="D360" s="9"/>
      <c r="E360" s="9"/>
      <c r="F360" s="9"/>
      <c r="H360" s="9"/>
      <c r="I360" s="9" t="s">
        <v>12948</v>
      </c>
      <c r="J360" s="9" t="s">
        <v>12646</v>
      </c>
      <c r="K360" t="s">
        <v>12949</v>
      </c>
      <c r="L360" t="s">
        <v>12950</v>
      </c>
      <c r="M360" s="3" t="str">
        <f>HYPERLINK(склад2въезд1319[[#This Row],[RelativePath]])</f>
        <v>5 Крыльцо общага\K07156189_22_20260225T172728Z.jpg</v>
      </c>
    </row>
  </sheetData>
  <conditionalFormatting sqref="E361:E374 D361:D371 G2:H360 D2:E360">
    <cfRule type="containsText" dxfId="347" priority="17" operator="containsText" text="Выезд с территории">
      <formula>NOT(ISERROR(SEARCH("Выезд с территории",D2)))</formula>
    </cfRule>
  </conditionalFormatting>
  <conditionalFormatting sqref="F2:F360">
    <cfRule type="notContainsText" dxfId="346" priority="16" operator="notContains" text="порожний">
      <formula>ISERROR(SEARCH("порожний",F2))</formula>
    </cfRule>
  </conditionalFormatting>
  <conditionalFormatting sqref="E2:E374">
    <cfRule type="containsText" dxfId="345" priority="14" operator="containsText" text="Газель базы">
      <formula>NOT(ISERROR(SEARCH("Газель базы",E2)))</formula>
    </cfRule>
    <cfRule type="containsText" dxfId="344" priority="15" operator="containsText" text="Погрузчик базы">
      <formula>NOT(ISERROR(SEARCH("Погрузчик базы",E2)))</formula>
    </cfRule>
  </conditionalFormatting>
  <conditionalFormatting sqref="E2:E374">
    <cfRule type="containsText" dxfId="343" priority="13" operator="containsText" text="Трактор базы">
      <formula>NOT(ISERROR(SEARCH("Трактор базы",E2)))</formula>
    </cfRule>
  </conditionalFormatting>
  <conditionalFormatting sqref="A2:C360">
    <cfRule type="expression" dxfId="342" priority="12">
      <formula>$A2="пн"</formula>
    </cfRule>
  </conditionalFormatting>
  <conditionalFormatting sqref="A2:C362">
    <cfRule type="expression" dxfId="341" priority="6">
      <formula>$A2="вс"</formula>
    </cfRule>
    <cfRule type="expression" dxfId="340" priority="7">
      <formula>$A2="сб"</formula>
    </cfRule>
    <cfRule type="expression" dxfId="339" priority="8">
      <formula>$A2="пт"</formula>
    </cfRule>
    <cfRule type="expression" dxfId="338" priority="9">
      <formula>$A2="чт"</formula>
    </cfRule>
    <cfRule type="expression" dxfId="337" priority="10">
      <formula>$A2="ср"</formula>
    </cfRule>
    <cfRule type="expression" dxfId="336" priority="11">
      <formula>$A2="вт"</formula>
    </cfRule>
  </conditionalFormatting>
  <conditionalFormatting sqref="D2:D371">
    <cfRule type="containsText" dxfId="335" priority="5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71">
    <cfRule type="containsText" dxfId="334" priority="4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168F-538D-47A4-8270-4B86EC9AAAF0}">
  <sheetPr>
    <tabColor theme="3" tint="0.39997558519241921"/>
  </sheetPr>
  <dimension ref="A1:M204"/>
  <sheetViews>
    <sheetView zoomScale="90" zoomScaleNormal="90" workbookViewId="0">
      <pane ySplit="1" topLeftCell="A192" activePane="bottomLeft" state="frozen"/>
      <selection pane="bottomLeft" activeCell="I173" sqref="I173:I198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2.140625" bestFit="1" customWidth="1"/>
    <col min="5" max="5" width="60.140625" bestFit="1" customWidth="1"/>
    <col min="6" max="6" width="19.5703125" bestFit="1" customWidth="1"/>
    <col min="7" max="7" width="7.28515625" bestFit="1" customWidth="1"/>
    <col min="8" max="8" width="21.5703125" bestFit="1" customWidth="1"/>
    <col min="9" max="9" width="35.5703125" bestFit="1" customWidth="1"/>
    <col min="10" max="10" width="45" hidden="1" customWidth="1"/>
    <col min="11" max="11" width="57" hidden="1" customWidth="1"/>
    <col min="12" max="12" width="24.5703125" hidden="1" customWidth="1"/>
    <col min="13" max="13" width="57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0.37896990740740738</v>
      </c>
      <c r="D2" s="9" t="s">
        <v>4</v>
      </c>
      <c r="E2" s="9" t="s">
        <v>8</v>
      </c>
      <c r="F2" s="9"/>
      <c r="H2" s="9" t="s">
        <v>5</v>
      </c>
      <c r="I2" s="9" t="s">
        <v>452</v>
      </c>
      <c r="J2" s="9" t="s">
        <v>2938</v>
      </c>
      <c r="K2" t="s">
        <v>453</v>
      </c>
      <c r="L2" t="s">
        <v>454</v>
      </c>
      <c r="M2" s="3" t="str">
        <f>HYPERLINK(склад2въезд131920[[#This Row],[RelativePath]])</f>
        <v>6 Площадка 1 общага\826398429_1_20251110T090543Z.jpg</v>
      </c>
    </row>
    <row r="3" spans="1:13" x14ac:dyDescent="0.25">
      <c r="A3" s="2" t="s">
        <v>13</v>
      </c>
      <c r="B3" s="4">
        <v>45971</v>
      </c>
      <c r="C3" s="5">
        <v>0.7253356481481481</v>
      </c>
      <c r="D3" s="9" t="s">
        <v>4</v>
      </c>
      <c r="E3" s="9" t="s">
        <v>8</v>
      </c>
      <c r="F3" s="9"/>
      <c r="H3" s="9" t="s">
        <v>6</v>
      </c>
      <c r="I3" s="9" t="s">
        <v>455</v>
      </c>
      <c r="J3" s="9" t="s">
        <v>2938</v>
      </c>
      <c r="K3" t="s">
        <v>456</v>
      </c>
      <c r="L3" t="s">
        <v>457</v>
      </c>
      <c r="M3" s="3" t="str">
        <f>HYPERLINK(склад2въезд131920[[#This Row],[RelativePath]])</f>
        <v>6 Площадка 1 общага\826398429_1_20251110T172429Z.jpg</v>
      </c>
    </row>
    <row r="4" spans="1:13" x14ac:dyDescent="0.25">
      <c r="A4" s="2" t="s">
        <v>14</v>
      </c>
      <c r="B4" s="4">
        <v>45972</v>
      </c>
      <c r="C4" s="5">
        <v>0.37238425925925928</v>
      </c>
      <c r="D4" s="9" t="s">
        <v>4</v>
      </c>
      <c r="E4" s="9" t="s">
        <v>8</v>
      </c>
      <c r="F4" s="9"/>
      <c r="H4" s="9" t="s">
        <v>5</v>
      </c>
      <c r="I4" s="9" t="s">
        <v>458</v>
      </c>
      <c r="J4" s="9" t="s">
        <v>2938</v>
      </c>
      <c r="K4" t="s">
        <v>459</v>
      </c>
      <c r="L4" t="s">
        <v>460</v>
      </c>
      <c r="M4" s="3" t="str">
        <f>HYPERLINK(склад2въезд131920[[#This Row],[RelativePath]])</f>
        <v>6 Площадка 1 общага\826398429_1_20251111T085614Z.jpg</v>
      </c>
    </row>
    <row r="5" spans="1:13" x14ac:dyDescent="0.25">
      <c r="A5" s="2" t="s">
        <v>14</v>
      </c>
      <c r="B5" s="4">
        <v>45972</v>
      </c>
      <c r="C5" s="5">
        <v>0.51187499999999997</v>
      </c>
      <c r="D5" s="9" t="s">
        <v>261</v>
      </c>
      <c r="E5" s="9" t="s">
        <v>86</v>
      </c>
      <c r="F5" s="9" t="s">
        <v>500</v>
      </c>
      <c r="H5" s="9"/>
      <c r="I5" s="9" t="s">
        <v>461</v>
      </c>
      <c r="J5" s="9" t="s">
        <v>2938</v>
      </c>
      <c r="K5" t="s">
        <v>462</v>
      </c>
      <c r="L5" t="s">
        <v>463</v>
      </c>
      <c r="M5" s="3" t="str">
        <f>HYPERLINK(склад2въезд131920[[#This Row],[RelativePath]])</f>
        <v>6 Площадка 1 общага\826398429_1_20251111T121706Z.jpg</v>
      </c>
    </row>
    <row r="6" spans="1:13" x14ac:dyDescent="0.25">
      <c r="A6" s="2" t="s">
        <v>14</v>
      </c>
      <c r="B6" s="4">
        <v>45972</v>
      </c>
      <c r="C6" s="5">
        <v>0.51245370370370369</v>
      </c>
      <c r="D6" s="9" t="s">
        <v>159</v>
      </c>
      <c r="E6" s="9" t="s">
        <v>86</v>
      </c>
      <c r="F6" s="9" t="s">
        <v>500</v>
      </c>
      <c r="H6" s="9"/>
      <c r="I6" s="9" t="s">
        <v>464</v>
      </c>
      <c r="J6" s="9" t="s">
        <v>2938</v>
      </c>
      <c r="K6" t="s">
        <v>465</v>
      </c>
      <c r="L6" t="s">
        <v>466</v>
      </c>
      <c r="M6" s="3" t="str">
        <f>HYPERLINK(склад2въезд131920[[#This Row],[RelativePath]])</f>
        <v>6 Площадка 1 общага\826398429_1_20251111T121756Z.jpg</v>
      </c>
    </row>
    <row r="7" spans="1:13" x14ac:dyDescent="0.25">
      <c r="A7" s="2" t="s">
        <v>14</v>
      </c>
      <c r="B7" s="4">
        <v>45972</v>
      </c>
      <c r="C7" s="5">
        <v>0.64435185185185184</v>
      </c>
      <c r="D7" s="9" t="s">
        <v>4</v>
      </c>
      <c r="E7" s="9" t="s">
        <v>8</v>
      </c>
      <c r="F7" s="9"/>
      <c r="H7" s="9"/>
      <c r="I7" s="9" t="s">
        <v>467</v>
      </c>
      <c r="J7" s="9" t="s">
        <v>2938</v>
      </c>
      <c r="K7" t="s">
        <v>468</v>
      </c>
      <c r="L7" t="s">
        <v>469</v>
      </c>
      <c r="M7" s="3" t="str">
        <f>HYPERLINK(склад2въезд131920[[#This Row],[RelativePath]])</f>
        <v>6 Площадка 1 общага\826398429_1_20251111T152752Z.jpg</v>
      </c>
    </row>
    <row r="8" spans="1:13" x14ac:dyDescent="0.25">
      <c r="A8" s="2" t="s">
        <v>15</v>
      </c>
      <c r="B8" s="4">
        <v>45973</v>
      </c>
      <c r="C8" s="5">
        <v>0.4762615740740741</v>
      </c>
      <c r="D8" s="9" t="s">
        <v>4</v>
      </c>
      <c r="E8" s="9" t="s">
        <v>8</v>
      </c>
      <c r="F8" s="9"/>
      <c r="H8" s="9"/>
      <c r="I8" s="9" t="s">
        <v>470</v>
      </c>
      <c r="J8" s="9" t="s">
        <v>2938</v>
      </c>
      <c r="K8" t="s">
        <v>471</v>
      </c>
      <c r="L8" t="s">
        <v>472</v>
      </c>
      <c r="M8" s="3" t="str">
        <f>HYPERLINK(склад2въезд131920[[#This Row],[RelativePath]])</f>
        <v>6 Площадка 1 общага\826398429_1_20251112T112549Z.jpg</v>
      </c>
    </row>
    <row r="9" spans="1:13" x14ac:dyDescent="0.25">
      <c r="A9" s="2" t="s">
        <v>16</v>
      </c>
      <c r="B9" s="4">
        <v>45974</v>
      </c>
      <c r="C9" s="5">
        <v>0.38993055555555556</v>
      </c>
      <c r="D9" s="9" t="s">
        <v>4</v>
      </c>
      <c r="E9" s="9" t="s">
        <v>501</v>
      </c>
      <c r="F9" s="9"/>
      <c r="H9" s="9"/>
      <c r="I9" s="9" t="s">
        <v>473</v>
      </c>
      <c r="J9" s="9" t="s">
        <v>2938</v>
      </c>
      <c r="K9" t="s">
        <v>474</v>
      </c>
      <c r="L9" t="s">
        <v>475</v>
      </c>
      <c r="M9" s="3" t="str">
        <f>HYPERLINK(склад2въезд131920[[#This Row],[RelativePath]])</f>
        <v>6 Площадка 1 общага\826398429_1_20251113T092130Z.jpg</v>
      </c>
    </row>
    <row r="10" spans="1:13" x14ac:dyDescent="0.25">
      <c r="A10" s="2" t="s">
        <v>16</v>
      </c>
      <c r="B10" s="4">
        <v>45974</v>
      </c>
      <c r="C10" s="5">
        <v>0.71082175925925928</v>
      </c>
      <c r="D10" s="9" t="s">
        <v>4</v>
      </c>
      <c r="E10" s="9" t="s">
        <v>8</v>
      </c>
      <c r="F10" s="9"/>
      <c r="H10" s="9" t="s">
        <v>6</v>
      </c>
      <c r="I10" s="9" t="s">
        <v>476</v>
      </c>
      <c r="J10" s="9" t="s">
        <v>2938</v>
      </c>
      <c r="K10" t="s">
        <v>477</v>
      </c>
      <c r="L10" t="s">
        <v>478</v>
      </c>
      <c r="M10" s="3" t="str">
        <f>HYPERLINK(склад2въезд131920[[#This Row],[RelativePath]])</f>
        <v>6 Площадка 1 общага\826398429_1_20251113T170335Z.jpg</v>
      </c>
    </row>
    <row r="11" spans="1:13" x14ac:dyDescent="0.25">
      <c r="A11" s="2" t="s">
        <v>17</v>
      </c>
      <c r="B11" s="4">
        <v>45975</v>
      </c>
      <c r="C11" s="5">
        <v>0.39951388888888889</v>
      </c>
      <c r="D11" s="9" t="s">
        <v>4</v>
      </c>
      <c r="E11" s="9" t="s">
        <v>8</v>
      </c>
      <c r="F11" s="9"/>
      <c r="H11" s="9" t="s">
        <v>5</v>
      </c>
      <c r="I11" s="9" t="s">
        <v>479</v>
      </c>
      <c r="J11" s="9" t="s">
        <v>2938</v>
      </c>
      <c r="K11" t="s">
        <v>480</v>
      </c>
      <c r="L11" t="s">
        <v>481</v>
      </c>
      <c r="M11" s="3" t="str">
        <f>HYPERLINK(склад2въезд131920[[#This Row],[RelativePath]])</f>
        <v>6 Площадка 1 общага\826398429_1_20251114T093518Z.jpg</v>
      </c>
    </row>
    <row r="12" spans="1:13" x14ac:dyDescent="0.25">
      <c r="A12" s="2" t="s">
        <v>17</v>
      </c>
      <c r="B12" s="4">
        <v>45975</v>
      </c>
      <c r="C12" s="5">
        <v>0.43881944444444443</v>
      </c>
      <c r="D12" s="9" t="s">
        <v>261</v>
      </c>
      <c r="E12" s="9" t="s">
        <v>86</v>
      </c>
      <c r="F12" s="9" t="s">
        <v>502</v>
      </c>
      <c r="H12" s="9"/>
      <c r="I12" s="9" t="s">
        <v>482</v>
      </c>
      <c r="J12" s="9" t="s">
        <v>2938</v>
      </c>
      <c r="K12" t="s">
        <v>483</v>
      </c>
      <c r="L12" t="s">
        <v>484</v>
      </c>
      <c r="M12" s="3" t="str">
        <f>HYPERLINK(склад2въезд131920[[#This Row],[RelativePath]])</f>
        <v>6 Площадка 1 общага\826398429_1_20251114T103154Z.jpg</v>
      </c>
    </row>
    <row r="13" spans="1:13" x14ac:dyDescent="0.25">
      <c r="A13" s="2" t="s">
        <v>17</v>
      </c>
      <c r="B13" s="4">
        <v>45975</v>
      </c>
      <c r="C13" s="5">
        <v>0.44184027777777779</v>
      </c>
      <c r="D13" s="9" t="s">
        <v>261</v>
      </c>
      <c r="E13" s="9" t="s">
        <v>86</v>
      </c>
      <c r="F13" s="9" t="s">
        <v>502</v>
      </c>
      <c r="H13" s="9"/>
      <c r="I13" s="9" t="s">
        <v>485</v>
      </c>
      <c r="J13" s="9" t="s">
        <v>2938</v>
      </c>
      <c r="K13" t="s">
        <v>486</v>
      </c>
      <c r="L13" t="s">
        <v>487</v>
      </c>
      <c r="M13" s="3" t="str">
        <f>HYPERLINK(склад2въезд131920[[#This Row],[RelativePath]])</f>
        <v>6 Площадка 1 общага\826398429_1_20251114T103615Z.jpg</v>
      </c>
    </row>
    <row r="14" spans="1:13" x14ac:dyDescent="0.25">
      <c r="A14" s="2" t="s">
        <v>17</v>
      </c>
      <c r="B14" s="4">
        <v>45975</v>
      </c>
      <c r="C14" s="5">
        <v>0.50559027777777776</v>
      </c>
      <c r="D14" s="9" t="s">
        <v>505</v>
      </c>
      <c r="E14" s="9" t="s">
        <v>503</v>
      </c>
      <c r="F14" s="9" t="s">
        <v>506</v>
      </c>
      <c r="H14" s="9"/>
      <c r="I14" s="9" t="s">
        <v>488</v>
      </c>
      <c r="J14" s="9" t="s">
        <v>2938</v>
      </c>
      <c r="K14" t="s">
        <v>489</v>
      </c>
      <c r="L14" t="s">
        <v>490</v>
      </c>
      <c r="M14" s="3" t="str">
        <f>HYPERLINK(склад2въезд131920[[#This Row],[RelativePath]])</f>
        <v>6 Площадка 1 общага\826398429_1_20251114T120803Z.jpg</v>
      </c>
    </row>
    <row r="15" spans="1:13" x14ac:dyDescent="0.25">
      <c r="A15" s="2" t="s">
        <v>17</v>
      </c>
      <c r="B15" s="4">
        <v>45975</v>
      </c>
      <c r="C15" s="5">
        <v>0.51019675925925922</v>
      </c>
      <c r="D15" s="9" t="s">
        <v>261</v>
      </c>
      <c r="E15" s="9" t="s">
        <v>86</v>
      </c>
      <c r="F15" s="9" t="s">
        <v>504</v>
      </c>
      <c r="H15" s="9"/>
      <c r="I15" s="9" t="s">
        <v>491</v>
      </c>
      <c r="J15" s="9" t="s">
        <v>2938</v>
      </c>
      <c r="K15" t="s">
        <v>492</v>
      </c>
      <c r="L15" t="s">
        <v>493</v>
      </c>
      <c r="M15" s="3" t="str">
        <f>HYPERLINK(склад2въезд131920[[#This Row],[RelativePath]])</f>
        <v>6 Площадка 1 общага\826398429_1_20251114T121441Z.jpg</v>
      </c>
    </row>
    <row r="16" spans="1:13" x14ac:dyDescent="0.25">
      <c r="A16" s="2" t="s">
        <v>17</v>
      </c>
      <c r="B16" s="4">
        <v>45975</v>
      </c>
      <c r="C16" s="5">
        <v>0.51116898148148149</v>
      </c>
      <c r="D16" s="9" t="s">
        <v>261</v>
      </c>
      <c r="E16" s="9" t="s">
        <v>86</v>
      </c>
      <c r="F16" s="9" t="s">
        <v>504</v>
      </c>
      <c r="H16" s="9"/>
      <c r="I16" s="9" t="s">
        <v>494</v>
      </c>
      <c r="J16" s="9" t="s">
        <v>2938</v>
      </c>
      <c r="K16" t="s">
        <v>495</v>
      </c>
      <c r="L16" t="s">
        <v>496</v>
      </c>
      <c r="M16" s="3" t="str">
        <f>HYPERLINK(склад2въезд131920[[#This Row],[RelativePath]])</f>
        <v>6 Площадка 1 общага\826398429_1_20251114T121605Z.jpg</v>
      </c>
    </row>
    <row r="17" spans="1:13" x14ac:dyDescent="0.25">
      <c r="A17" s="2" t="s">
        <v>17</v>
      </c>
      <c r="B17" s="4">
        <v>45975</v>
      </c>
      <c r="C17" s="5">
        <v>0.68347222222222226</v>
      </c>
      <c r="D17" s="9" t="s">
        <v>4</v>
      </c>
      <c r="E17" s="9" t="s">
        <v>8</v>
      </c>
      <c r="F17" s="9"/>
      <c r="H17" s="9" t="s">
        <v>6</v>
      </c>
      <c r="I17" s="9" t="s">
        <v>497</v>
      </c>
      <c r="J17" s="9" t="s">
        <v>2938</v>
      </c>
      <c r="K17" t="s">
        <v>498</v>
      </c>
      <c r="L17" t="s">
        <v>499</v>
      </c>
      <c r="M17" s="3" t="str">
        <f>HYPERLINK(склад2въезд131920[[#This Row],[RelativePath]])</f>
        <v>6 Площадка 1 общага\826398429_1_20251114T162412Z.jpg</v>
      </c>
    </row>
    <row r="18" spans="1:13" x14ac:dyDescent="0.25">
      <c r="A18" s="2" t="s">
        <v>18</v>
      </c>
      <c r="B18" s="4">
        <v>45976</v>
      </c>
      <c r="C18" s="5">
        <v>0.37466435185185187</v>
      </c>
      <c r="D18" s="9" t="s">
        <v>4</v>
      </c>
      <c r="E18" s="9" t="s">
        <v>8</v>
      </c>
      <c r="F18" s="9"/>
      <c r="H18" s="9" t="s">
        <v>1972</v>
      </c>
      <c r="I18" s="9" t="s">
        <v>1978</v>
      </c>
      <c r="J18" s="9" t="s">
        <v>2938</v>
      </c>
      <c r="K18" t="s">
        <v>1979</v>
      </c>
      <c r="L18" t="s">
        <v>1980</v>
      </c>
      <c r="M18" s="3" t="str">
        <f>HYPERLINK(склад2въезд131920[[#This Row],[RelativePath]])</f>
        <v>6 Площадка 1 общага\826398429_1_20251115T085931Z.jpg</v>
      </c>
    </row>
    <row r="19" spans="1:13" x14ac:dyDescent="0.25">
      <c r="A19" s="2" t="s">
        <v>18</v>
      </c>
      <c r="B19" s="4">
        <v>45976</v>
      </c>
      <c r="C19" s="5">
        <v>0.72260416666666671</v>
      </c>
      <c r="D19" s="9" t="s">
        <v>4</v>
      </c>
      <c r="E19" s="9" t="s">
        <v>8</v>
      </c>
      <c r="F19" s="9"/>
      <c r="H19" s="9" t="s">
        <v>1967</v>
      </c>
      <c r="I19" s="9" t="s">
        <v>1981</v>
      </c>
      <c r="J19" s="9" t="s">
        <v>2938</v>
      </c>
      <c r="K19" t="s">
        <v>1982</v>
      </c>
      <c r="L19" t="s">
        <v>1983</v>
      </c>
      <c r="M19" s="3" t="str">
        <f>HYPERLINK(склад2въезд131920[[#This Row],[RelativePath]])</f>
        <v>6 Площадка 1 общага\826398429_1_20251115T172033Z.jpg</v>
      </c>
    </row>
    <row r="20" spans="1:13" x14ac:dyDescent="0.25">
      <c r="A20" s="2" t="s">
        <v>22</v>
      </c>
      <c r="B20" s="4">
        <v>45977</v>
      </c>
      <c r="C20" s="5">
        <v>0.7107175925925926</v>
      </c>
      <c r="D20" s="9" t="s">
        <v>4</v>
      </c>
      <c r="E20" s="9" t="s">
        <v>8</v>
      </c>
      <c r="F20" s="9"/>
      <c r="H20" s="9" t="s">
        <v>1967</v>
      </c>
      <c r="I20" s="9" t="s">
        <v>1984</v>
      </c>
      <c r="J20" s="9" t="s">
        <v>2938</v>
      </c>
      <c r="K20" t="s">
        <v>1985</v>
      </c>
      <c r="L20" t="s">
        <v>1986</v>
      </c>
      <c r="M20" s="3" t="str">
        <f>HYPERLINK(склад2въезд131920[[#This Row],[RelativePath]])</f>
        <v>6 Площадка 1 общага\826398429_1_20251116T170326Z.jpg</v>
      </c>
    </row>
    <row r="21" spans="1:13" x14ac:dyDescent="0.25">
      <c r="A21" s="2" t="s">
        <v>13</v>
      </c>
      <c r="B21" s="4">
        <v>45978</v>
      </c>
      <c r="C21" s="5">
        <v>0.70681712962962961</v>
      </c>
      <c r="D21" s="9" t="s">
        <v>1967</v>
      </c>
      <c r="E21" s="9"/>
      <c r="F21" s="9"/>
      <c r="H21" s="9"/>
      <c r="I21" s="9" t="s">
        <v>2070</v>
      </c>
      <c r="J21" s="9" t="s">
        <v>2938</v>
      </c>
      <c r="K21" t="s">
        <v>2071</v>
      </c>
      <c r="L21" t="s">
        <v>2072</v>
      </c>
      <c r="M21" s="3" t="str">
        <f>HYPERLINK(склад2въезд131920[[#This Row],[RelativePath]])</f>
        <v>6 Площадка 1 общага\826398429_1_20251117T165749Z.jpg</v>
      </c>
    </row>
    <row r="22" spans="1:13" x14ac:dyDescent="0.25">
      <c r="A22" s="2" t="s">
        <v>14</v>
      </c>
      <c r="B22" s="4">
        <v>45979</v>
      </c>
      <c r="C22" s="5">
        <v>0.50178240740740743</v>
      </c>
      <c r="D22" s="9" t="s">
        <v>4</v>
      </c>
      <c r="E22" s="9" t="s">
        <v>8</v>
      </c>
      <c r="F22" s="9"/>
      <c r="H22" s="9" t="s">
        <v>2887</v>
      </c>
      <c r="I22" s="9" t="s">
        <v>2889</v>
      </c>
      <c r="J22" s="9" t="s">
        <v>2938</v>
      </c>
      <c r="K22" t="s">
        <v>2890</v>
      </c>
      <c r="L22" t="s">
        <v>2888</v>
      </c>
      <c r="M22" s="3" t="str">
        <f>HYPERLINK(склад2въезд131920[[#This Row],[RelativePath]])</f>
        <v>6 Площадка 1 общага\826398429_1_20251118T120234Z.jpg</v>
      </c>
    </row>
    <row r="23" spans="1:13" x14ac:dyDescent="0.25">
      <c r="A23" s="2" t="s">
        <v>15</v>
      </c>
      <c r="B23" s="4">
        <v>45980</v>
      </c>
      <c r="C23" s="5">
        <v>0.71128472222222228</v>
      </c>
      <c r="D23" s="9" t="s">
        <v>1967</v>
      </c>
      <c r="E23" s="9"/>
      <c r="F23" s="9"/>
      <c r="H23" s="9"/>
      <c r="I23" s="9" t="s">
        <v>2073</v>
      </c>
      <c r="J23" s="9" t="s">
        <v>2938</v>
      </c>
      <c r="K23" t="s">
        <v>2074</v>
      </c>
      <c r="L23" t="s">
        <v>2075</v>
      </c>
      <c r="M23" s="3" t="str">
        <f>HYPERLINK(склад2въезд131920[[#This Row],[RelativePath]])</f>
        <v>6 Площадка 1 общага\826398429_1_20251119T170415Z.jpg</v>
      </c>
    </row>
    <row r="24" spans="1:13" x14ac:dyDescent="0.25">
      <c r="A24" s="2" t="s">
        <v>16</v>
      </c>
      <c r="B24" s="4">
        <v>45981</v>
      </c>
      <c r="C24" s="5">
        <v>0.7257986111111111</v>
      </c>
      <c r="D24" s="9" t="s">
        <v>1967</v>
      </c>
      <c r="E24" s="9"/>
      <c r="F24" s="9"/>
      <c r="H24" s="9"/>
      <c r="I24" s="9" t="s">
        <v>2076</v>
      </c>
      <c r="J24" s="9" t="s">
        <v>2938</v>
      </c>
      <c r="K24" t="s">
        <v>2077</v>
      </c>
      <c r="L24" t="s">
        <v>2078</v>
      </c>
      <c r="M24" s="3" t="str">
        <f>HYPERLINK(склад2въезд131920[[#This Row],[RelativePath]])</f>
        <v>6 Площадка 1 общага\826398429_1_20251120T172509Z.jpg</v>
      </c>
    </row>
    <row r="25" spans="1:13" x14ac:dyDescent="0.25">
      <c r="A25" s="2" t="s">
        <v>17</v>
      </c>
      <c r="B25" s="4">
        <v>45982</v>
      </c>
      <c r="C25" s="5">
        <v>0.59475694444444449</v>
      </c>
      <c r="D25" s="9" t="s">
        <v>1967</v>
      </c>
      <c r="E25" s="9"/>
      <c r="F25" s="9"/>
      <c r="H25" s="9"/>
      <c r="I25" s="9" t="s">
        <v>2079</v>
      </c>
      <c r="J25" s="9" t="s">
        <v>2938</v>
      </c>
      <c r="K25" t="s">
        <v>2080</v>
      </c>
      <c r="L25" t="s">
        <v>2081</v>
      </c>
      <c r="M25" s="3" t="str">
        <f>HYPERLINK(склад2въезд131920[[#This Row],[RelativePath]])</f>
        <v>6 Площадка 1 общага\826398429_1_20251121T141627Z.jpg</v>
      </c>
    </row>
    <row r="26" spans="1:13" x14ac:dyDescent="0.25">
      <c r="A26" s="2" t="s">
        <v>18</v>
      </c>
      <c r="B26" s="4">
        <v>45983</v>
      </c>
      <c r="C26" s="5">
        <v>0.70100694444444445</v>
      </c>
      <c r="D26" s="9" t="s">
        <v>1967</v>
      </c>
      <c r="E26" s="9"/>
      <c r="F26" s="9"/>
      <c r="H26" s="9"/>
      <c r="I26" s="9" t="s">
        <v>2082</v>
      </c>
      <c r="J26" s="9" t="s">
        <v>2938</v>
      </c>
      <c r="K26" t="s">
        <v>2083</v>
      </c>
      <c r="L26" t="s">
        <v>2084</v>
      </c>
      <c r="M26" s="3" t="str">
        <f>HYPERLINK(склад2въезд131920[[#This Row],[RelativePath]])</f>
        <v>6 Площадка 1 общага\826398429_1_20251122T164927Z.jpg</v>
      </c>
    </row>
    <row r="27" spans="1:13" x14ac:dyDescent="0.25">
      <c r="A27" s="2" t="s">
        <v>22</v>
      </c>
      <c r="B27" s="4">
        <v>45984</v>
      </c>
      <c r="C27" s="5">
        <v>0.6731018518518519</v>
      </c>
      <c r="D27" s="9" t="s">
        <v>1967</v>
      </c>
      <c r="E27" s="9"/>
      <c r="F27" s="9"/>
      <c r="H27" s="9"/>
      <c r="I27" s="9" t="s">
        <v>2085</v>
      </c>
      <c r="J27" s="9" t="s">
        <v>2938</v>
      </c>
      <c r="K27" t="s">
        <v>2086</v>
      </c>
      <c r="L27" t="s">
        <v>2087</v>
      </c>
      <c r="M27" s="3" t="str">
        <f>HYPERLINK(склад2въезд131920[[#This Row],[RelativePath]])</f>
        <v>6 Площадка 1 общага\826398429_1_20251123T160916Z.jpg</v>
      </c>
    </row>
    <row r="28" spans="1:13" x14ac:dyDescent="0.25">
      <c r="A28" s="2" t="s">
        <v>13</v>
      </c>
      <c r="B28" s="4">
        <v>45985</v>
      </c>
      <c r="C28" s="5">
        <v>0.70306712962962958</v>
      </c>
      <c r="D28" s="9" t="s">
        <v>4</v>
      </c>
      <c r="E28" s="9" t="s">
        <v>8</v>
      </c>
      <c r="F28" s="9"/>
      <c r="H28" s="9"/>
      <c r="I28" s="9" t="s">
        <v>3346</v>
      </c>
      <c r="J28" s="9" t="s">
        <v>2938</v>
      </c>
      <c r="K28" t="s">
        <v>3347</v>
      </c>
      <c r="L28" t="s">
        <v>3348</v>
      </c>
      <c r="M28" s="3" t="str">
        <f>HYPERLINK(склад2въезд131920[[#This Row],[RelativePath]])</f>
        <v>6 Площадка 1 общага\826398429_1_20251124T165225Z.jpg</v>
      </c>
    </row>
    <row r="29" spans="1:13" x14ac:dyDescent="0.25">
      <c r="A29" s="2" t="s">
        <v>14</v>
      </c>
      <c r="B29" s="4">
        <v>45986</v>
      </c>
      <c r="C29" s="5">
        <v>0.65284722222222225</v>
      </c>
      <c r="D29" s="9" t="s">
        <v>4</v>
      </c>
      <c r="E29" s="9" t="s">
        <v>8</v>
      </c>
      <c r="F29" s="9"/>
      <c r="H29" s="9"/>
      <c r="I29" s="9" t="s">
        <v>4147</v>
      </c>
      <c r="J29" s="9" t="s">
        <v>2938</v>
      </c>
      <c r="K29" t="s">
        <v>4148</v>
      </c>
      <c r="L29" t="s">
        <v>4149</v>
      </c>
      <c r="M29" s="3" t="str">
        <f>HYPERLINK(склад2въезд131920[[#This Row],[RelativePath]])</f>
        <v>6 Площадка 1 общага\826398429_1_20251125T154006Z.jpg</v>
      </c>
    </row>
    <row r="30" spans="1:13" x14ac:dyDescent="0.25">
      <c r="A30" s="2" t="s">
        <v>15</v>
      </c>
      <c r="B30" s="4">
        <v>45987</v>
      </c>
      <c r="C30" s="5">
        <v>0.40121527777777777</v>
      </c>
      <c r="D30" s="9" t="s">
        <v>4</v>
      </c>
      <c r="E30" s="9" t="s">
        <v>8</v>
      </c>
      <c r="F30" s="9"/>
      <c r="H30" s="9"/>
      <c r="I30" s="9" t="s">
        <v>3349</v>
      </c>
      <c r="J30" s="9" t="s">
        <v>2938</v>
      </c>
      <c r="K30" t="s">
        <v>3350</v>
      </c>
      <c r="L30" t="s">
        <v>3351</v>
      </c>
      <c r="M30" s="3" t="str">
        <f>HYPERLINK(склад2въезд131920[[#This Row],[RelativePath]])</f>
        <v>6 Площадка 1 общага\826398429_1_20251126T093745Z.jpg</v>
      </c>
    </row>
    <row r="31" spans="1:13" x14ac:dyDescent="0.25">
      <c r="A31" s="2" t="s">
        <v>16</v>
      </c>
      <c r="B31" s="4">
        <v>45988</v>
      </c>
      <c r="C31" s="5">
        <v>0.56403935185185183</v>
      </c>
      <c r="D31" s="9" t="s">
        <v>4150</v>
      </c>
      <c r="E31" s="9" t="s">
        <v>4151</v>
      </c>
      <c r="F31" s="9"/>
      <c r="H31" s="9"/>
      <c r="I31" s="9" t="s">
        <v>3352</v>
      </c>
      <c r="J31" s="9" t="s">
        <v>2938</v>
      </c>
      <c r="K31" t="s">
        <v>3353</v>
      </c>
      <c r="L31" t="s">
        <v>3354</v>
      </c>
      <c r="M31" s="3" t="str">
        <f>HYPERLINK(склад2въезд131920[[#This Row],[RelativePath]])</f>
        <v>6 Площадка 1 общага\826398429_1_20251127T133213Z.jpg</v>
      </c>
    </row>
    <row r="32" spans="1:13" x14ac:dyDescent="0.25">
      <c r="A32" s="2" t="s">
        <v>16</v>
      </c>
      <c r="B32" s="4">
        <v>45988</v>
      </c>
      <c r="C32" s="5">
        <v>0.59635416666666663</v>
      </c>
      <c r="D32" s="9" t="s">
        <v>4150</v>
      </c>
      <c r="E32" s="9" t="s">
        <v>4151</v>
      </c>
      <c r="F32" s="9"/>
      <c r="H32" s="9" t="s">
        <v>2891</v>
      </c>
      <c r="I32" s="9" t="s">
        <v>3355</v>
      </c>
      <c r="J32" s="9" t="s">
        <v>2938</v>
      </c>
      <c r="K32" t="s">
        <v>3356</v>
      </c>
      <c r="L32" t="s">
        <v>3357</v>
      </c>
      <c r="M32" s="3" t="str">
        <f>HYPERLINK(склад2въезд131920[[#This Row],[RelativePath]])</f>
        <v>6 Площадка 1 общага\826398429_1_20251127T141845Z.jpg</v>
      </c>
    </row>
    <row r="33" spans="1:13" x14ac:dyDescent="0.25">
      <c r="A33" s="2" t="s">
        <v>16</v>
      </c>
      <c r="B33" s="4">
        <v>45988</v>
      </c>
      <c r="C33" s="5">
        <v>0.60876157407407405</v>
      </c>
      <c r="D33" s="9" t="s">
        <v>4150</v>
      </c>
      <c r="E33" s="9" t="s">
        <v>4151</v>
      </c>
      <c r="F33" s="9"/>
      <c r="H33" s="9" t="s">
        <v>2891</v>
      </c>
      <c r="I33" s="9" t="s">
        <v>3358</v>
      </c>
      <c r="J33" s="9" t="s">
        <v>2938</v>
      </c>
      <c r="K33" t="s">
        <v>3359</v>
      </c>
      <c r="L33" t="s">
        <v>3360</v>
      </c>
      <c r="M33" s="3" t="str">
        <f>HYPERLINK(склад2въезд131920[[#This Row],[RelativePath]])</f>
        <v>6 Площадка 1 общага\826398429_1_20251127T143637Z.jpg</v>
      </c>
    </row>
    <row r="34" spans="1:13" x14ac:dyDescent="0.25">
      <c r="A34" s="2" t="s">
        <v>16</v>
      </c>
      <c r="B34" s="4">
        <v>45988</v>
      </c>
      <c r="C34" s="5">
        <v>0.61635416666666665</v>
      </c>
      <c r="D34" s="9" t="s">
        <v>4150</v>
      </c>
      <c r="E34" s="9" t="s">
        <v>4151</v>
      </c>
      <c r="F34" s="9"/>
      <c r="H34" s="9" t="s">
        <v>2891</v>
      </c>
      <c r="I34" s="9" t="s">
        <v>3361</v>
      </c>
      <c r="J34" s="9" t="s">
        <v>2938</v>
      </c>
      <c r="K34" t="s">
        <v>3362</v>
      </c>
      <c r="L34" t="s">
        <v>3363</v>
      </c>
      <c r="M34" s="3" t="str">
        <f>HYPERLINK(склад2въезд131920[[#This Row],[RelativePath]])</f>
        <v>6 Площадка 1 общага\826398429_1_20251127T144733Z.jpg</v>
      </c>
    </row>
    <row r="35" spans="1:13" x14ac:dyDescent="0.25">
      <c r="A35" s="2" t="s">
        <v>16</v>
      </c>
      <c r="B35" s="4">
        <v>45988</v>
      </c>
      <c r="C35" s="5">
        <v>0.71107638888888891</v>
      </c>
      <c r="D35" s="9" t="s">
        <v>4150</v>
      </c>
      <c r="E35" s="9" t="s">
        <v>4151</v>
      </c>
      <c r="F35" s="9"/>
      <c r="H35" s="9" t="s">
        <v>2891</v>
      </c>
      <c r="I35" s="9" t="s">
        <v>3364</v>
      </c>
      <c r="J35" s="9" t="s">
        <v>2938</v>
      </c>
      <c r="K35" t="s">
        <v>3365</v>
      </c>
      <c r="L35" t="s">
        <v>3366</v>
      </c>
      <c r="M35" s="3" t="str">
        <f>HYPERLINK(склад2въезд131920[[#This Row],[RelativePath]])</f>
        <v>6 Площадка 1 общага\826398429_1_20251127T170357Z.jpg</v>
      </c>
    </row>
    <row r="36" spans="1:13" x14ac:dyDescent="0.25">
      <c r="A36" s="2" t="s">
        <v>16</v>
      </c>
      <c r="B36" s="4">
        <v>45988</v>
      </c>
      <c r="C36" s="5">
        <v>0.74934027777777779</v>
      </c>
      <c r="D36" s="9" t="s">
        <v>4150</v>
      </c>
      <c r="E36" s="9" t="s">
        <v>4151</v>
      </c>
      <c r="F36" s="9"/>
      <c r="H36" s="9" t="s">
        <v>2891</v>
      </c>
      <c r="I36" s="9" t="s">
        <v>3367</v>
      </c>
      <c r="J36" s="9" t="s">
        <v>2938</v>
      </c>
      <c r="K36" t="s">
        <v>3368</v>
      </c>
      <c r="L36" t="s">
        <v>3369</v>
      </c>
      <c r="M36" s="3" t="str">
        <f>HYPERLINK(склад2въезд131920[[#This Row],[RelativePath]])</f>
        <v>6 Площадка 1 общага\826398429_1_20251127T175903Z.jpg</v>
      </c>
    </row>
    <row r="37" spans="1:13" x14ac:dyDescent="0.25">
      <c r="A37" s="2" t="s">
        <v>16</v>
      </c>
      <c r="B37" s="4">
        <v>45988</v>
      </c>
      <c r="C37" s="5">
        <v>0.76156250000000003</v>
      </c>
      <c r="D37" s="9" t="s">
        <v>4150</v>
      </c>
      <c r="E37" s="9" t="s">
        <v>4151</v>
      </c>
      <c r="F37" s="9"/>
      <c r="H37" s="9" t="s">
        <v>2891</v>
      </c>
      <c r="I37" s="9" t="s">
        <v>3370</v>
      </c>
      <c r="J37" s="9" t="s">
        <v>2938</v>
      </c>
      <c r="K37" t="s">
        <v>3371</v>
      </c>
      <c r="L37" t="s">
        <v>3372</v>
      </c>
      <c r="M37" s="3" t="str">
        <f>HYPERLINK(склад2въезд131920[[#This Row],[RelativePath]])</f>
        <v>6 Площадка 1 общага\826398429_1_20251127T181639Z.jpg</v>
      </c>
    </row>
    <row r="38" spans="1:13" x14ac:dyDescent="0.25">
      <c r="A38" s="2" t="s">
        <v>16</v>
      </c>
      <c r="B38" s="4">
        <v>45988</v>
      </c>
      <c r="C38" s="5">
        <v>0.78482638888888889</v>
      </c>
      <c r="D38" s="9" t="s">
        <v>4150</v>
      </c>
      <c r="E38" s="9" t="s">
        <v>4151</v>
      </c>
      <c r="F38" s="9"/>
      <c r="H38" s="9" t="s">
        <v>2891</v>
      </c>
      <c r="I38" s="9" t="s">
        <v>3373</v>
      </c>
      <c r="J38" s="9" t="s">
        <v>2938</v>
      </c>
      <c r="K38" t="s">
        <v>3374</v>
      </c>
      <c r="L38" t="s">
        <v>3375</v>
      </c>
      <c r="M38" s="3" t="str">
        <f>HYPERLINK(склад2въезд131920[[#This Row],[RelativePath]])</f>
        <v>6 Площадка 1 общага\826398429_1_20251127T185009Z.jpg</v>
      </c>
    </row>
    <row r="39" spans="1:13" x14ac:dyDescent="0.25">
      <c r="A39" s="2" t="s">
        <v>17</v>
      </c>
      <c r="B39" s="4">
        <v>45989</v>
      </c>
      <c r="C39" s="5">
        <v>0.47821759259259261</v>
      </c>
      <c r="D39" s="9" t="s">
        <v>4150</v>
      </c>
      <c r="E39" s="9" t="s">
        <v>4151</v>
      </c>
      <c r="F39" s="9"/>
      <c r="H39" s="9" t="s">
        <v>2891</v>
      </c>
      <c r="I39" s="9" t="s">
        <v>3376</v>
      </c>
      <c r="J39" s="9" t="s">
        <v>2938</v>
      </c>
      <c r="K39" t="s">
        <v>3377</v>
      </c>
      <c r="L39" t="s">
        <v>3378</v>
      </c>
      <c r="M39" s="3" t="str">
        <f>HYPERLINK(склад2въезд131920[[#This Row],[RelativePath]])</f>
        <v>6 Площадка 1 общага\826398429_1_20251128T112838Z.jpg</v>
      </c>
    </row>
    <row r="40" spans="1:13" x14ac:dyDescent="0.25">
      <c r="A40" s="2" t="s">
        <v>17</v>
      </c>
      <c r="B40" s="4">
        <v>45989</v>
      </c>
      <c r="C40" s="5">
        <v>0.52474537037037039</v>
      </c>
      <c r="D40" s="9" t="s">
        <v>4150</v>
      </c>
      <c r="E40" s="9" t="s">
        <v>4151</v>
      </c>
      <c r="F40" s="9"/>
      <c r="H40" s="9" t="s">
        <v>2891</v>
      </c>
      <c r="I40" s="9" t="s">
        <v>3379</v>
      </c>
      <c r="J40" s="9" t="s">
        <v>2938</v>
      </c>
      <c r="K40" t="s">
        <v>3380</v>
      </c>
      <c r="L40" t="s">
        <v>3381</v>
      </c>
      <c r="M40" s="3" t="str">
        <f>HYPERLINK(склад2въезд131920[[#This Row],[RelativePath]])</f>
        <v>6 Площадка 1 общага\826398429_1_20251128T123538Z.jpg</v>
      </c>
    </row>
    <row r="41" spans="1:13" x14ac:dyDescent="0.25">
      <c r="A41" s="2" t="s">
        <v>17</v>
      </c>
      <c r="B41" s="4">
        <v>45989</v>
      </c>
      <c r="C41" s="5">
        <v>0.62135416666666665</v>
      </c>
      <c r="D41" s="9" t="s">
        <v>4150</v>
      </c>
      <c r="E41" s="9" t="s">
        <v>4151</v>
      </c>
      <c r="F41" s="9"/>
      <c r="H41" s="9" t="s">
        <v>2891</v>
      </c>
      <c r="I41" s="9" t="s">
        <v>3382</v>
      </c>
      <c r="J41" s="9" t="s">
        <v>2938</v>
      </c>
      <c r="K41" t="s">
        <v>3383</v>
      </c>
      <c r="L41" t="s">
        <v>3384</v>
      </c>
      <c r="M41" s="3" t="str">
        <f>HYPERLINK(склад2въезд131920[[#This Row],[RelativePath]])</f>
        <v>6 Площадка 1 общага\826398429_1_20251128T145445Z.jpg</v>
      </c>
    </row>
    <row r="42" spans="1:13" x14ac:dyDescent="0.25">
      <c r="A42" s="2" t="s">
        <v>17</v>
      </c>
      <c r="B42" s="4">
        <v>45989</v>
      </c>
      <c r="C42" s="5">
        <v>0.77150462962962962</v>
      </c>
      <c r="D42" s="9" t="s">
        <v>4150</v>
      </c>
      <c r="E42" s="9" t="s">
        <v>4151</v>
      </c>
      <c r="F42" s="9"/>
      <c r="H42" s="9" t="s">
        <v>2891</v>
      </c>
      <c r="I42" s="9" t="s">
        <v>3385</v>
      </c>
      <c r="J42" s="9" t="s">
        <v>2938</v>
      </c>
      <c r="K42" t="s">
        <v>3386</v>
      </c>
      <c r="L42" t="s">
        <v>3387</v>
      </c>
      <c r="M42" s="3" t="str">
        <f>HYPERLINK(склад2въезд131920[[#This Row],[RelativePath]])</f>
        <v>6 Площадка 1 общага\826398429_1_20251128T183058Z.jpg</v>
      </c>
    </row>
    <row r="43" spans="1:13" x14ac:dyDescent="0.25">
      <c r="A43" s="2" t="s">
        <v>18</v>
      </c>
      <c r="B43" s="4">
        <v>45990</v>
      </c>
      <c r="C43" s="5">
        <v>0.41766203703703703</v>
      </c>
      <c r="D43" s="9" t="s">
        <v>4</v>
      </c>
      <c r="E43" s="9" t="s">
        <v>8</v>
      </c>
      <c r="F43" s="9"/>
      <c r="H43" s="9"/>
      <c r="I43" s="9" t="s">
        <v>3388</v>
      </c>
      <c r="J43" s="9" t="s">
        <v>2938</v>
      </c>
      <c r="K43" t="s">
        <v>3389</v>
      </c>
      <c r="L43" t="s">
        <v>3390</v>
      </c>
      <c r="M43" s="3" t="str">
        <f>HYPERLINK(склад2въезд131920[[#This Row],[RelativePath]])</f>
        <v>6 Площадка 1 общага\826398429_1_20251129T100126Z.jpg</v>
      </c>
    </row>
    <row r="44" spans="1:13" x14ac:dyDescent="0.25">
      <c r="A44" s="2" t="s">
        <v>18</v>
      </c>
      <c r="B44" s="4">
        <v>45990</v>
      </c>
      <c r="C44" s="5">
        <v>0.65773148148148153</v>
      </c>
      <c r="D44" s="9" t="s">
        <v>261</v>
      </c>
      <c r="E44" s="9" t="s">
        <v>4152</v>
      </c>
      <c r="F44" s="9"/>
      <c r="H44" s="9"/>
      <c r="I44" s="9" t="s">
        <v>3391</v>
      </c>
      <c r="J44" s="9" t="s">
        <v>2938</v>
      </c>
      <c r="K44" t="s">
        <v>3392</v>
      </c>
      <c r="L44" t="s">
        <v>3393</v>
      </c>
      <c r="M44" s="3" t="str">
        <f>HYPERLINK(склад2въезд131920[[#This Row],[RelativePath]])</f>
        <v>6 Площадка 1 общага\826398429_1_20251129T154708Z.jpg</v>
      </c>
    </row>
    <row r="45" spans="1:13" x14ac:dyDescent="0.25">
      <c r="A45" s="2" t="s">
        <v>18</v>
      </c>
      <c r="B45" s="4">
        <v>45990</v>
      </c>
      <c r="C45" s="5">
        <v>0.67062500000000003</v>
      </c>
      <c r="D45" s="9" t="s">
        <v>261</v>
      </c>
      <c r="E45" s="9" t="s">
        <v>4152</v>
      </c>
      <c r="F45" s="9"/>
      <c r="H45" s="9" t="s">
        <v>2891</v>
      </c>
      <c r="I45" s="9" t="s">
        <v>3394</v>
      </c>
      <c r="J45" s="9" t="s">
        <v>2938</v>
      </c>
      <c r="K45" t="s">
        <v>3395</v>
      </c>
      <c r="L45" t="s">
        <v>3396</v>
      </c>
      <c r="M45" s="3" t="str">
        <f>HYPERLINK(склад2въезд131920[[#This Row],[RelativePath]])</f>
        <v>6 Площадка 1 общага\826398429_1_20251129T160542Z.jpg</v>
      </c>
    </row>
    <row r="46" spans="1:13" x14ac:dyDescent="0.25">
      <c r="A46" s="2" t="s">
        <v>18</v>
      </c>
      <c r="B46" s="4">
        <v>45990</v>
      </c>
      <c r="C46" s="5">
        <v>0.67369212962962965</v>
      </c>
      <c r="D46" s="9" t="s">
        <v>261</v>
      </c>
      <c r="E46" s="9" t="s">
        <v>4152</v>
      </c>
      <c r="F46" s="9"/>
      <c r="H46" s="9" t="s">
        <v>2891</v>
      </c>
      <c r="I46" s="9" t="s">
        <v>3397</v>
      </c>
      <c r="J46" s="9" t="s">
        <v>2938</v>
      </c>
      <c r="K46" t="s">
        <v>3398</v>
      </c>
      <c r="L46" t="s">
        <v>3399</v>
      </c>
      <c r="M46" s="3" t="str">
        <f>HYPERLINK(склад2въезд131920[[#This Row],[RelativePath]])</f>
        <v>6 Площадка 1 общага\826398429_1_20251129T161007Z.jpg</v>
      </c>
    </row>
    <row r="47" spans="1:13" x14ac:dyDescent="0.25">
      <c r="A47" s="2" t="s">
        <v>18</v>
      </c>
      <c r="B47" s="4">
        <v>45990</v>
      </c>
      <c r="C47" s="5">
        <v>0.68300925925925926</v>
      </c>
      <c r="D47" s="9" t="s">
        <v>261</v>
      </c>
      <c r="E47" s="9" t="s">
        <v>4152</v>
      </c>
      <c r="F47" s="9"/>
      <c r="H47" s="9" t="s">
        <v>2891</v>
      </c>
      <c r="I47" s="9" t="s">
        <v>3400</v>
      </c>
      <c r="J47" s="9" t="s">
        <v>2938</v>
      </c>
      <c r="K47" t="s">
        <v>3401</v>
      </c>
      <c r="L47" t="s">
        <v>3402</v>
      </c>
      <c r="M47" s="3" t="str">
        <f>HYPERLINK(склад2въезд131920[[#This Row],[RelativePath]])</f>
        <v>6 Площадка 1 общага\826398429_1_20251129T162332Z.jpg</v>
      </c>
    </row>
    <row r="48" spans="1:13" x14ac:dyDescent="0.25">
      <c r="A48" s="2" t="s">
        <v>18</v>
      </c>
      <c r="B48" s="4">
        <v>45990</v>
      </c>
      <c r="C48" s="5">
        <v>0.69054398148148144</v>
      </c>
      <c r="D48" s="9" t="s">
        <v>261</v>
      </c>
      <c r="E48" s="9" t="s">
        <v>4152</v>
      </c>
      <c r="F48" s="9"/>
      <c r="H48" s="9" t="s">
        <v>2891</v>
      </c>
      <c r="I48" s="9" t="s">
        <v>3403</v>
      </c>
      <c r="J48" s="9" t="s">
        <v>2938</v>
      </c>
      <c r="K48" t="s">
        <v>3404</v>
      </c>
      <c r="L48" t="s">
        <v>3405</v>
      </c>
      <c r="M48" s="3" t="str">
        <f>HYPERLINK(склад2въезд131920[[#This Row],[RelativePath]])</f>
        <v>6 Площадка 1 общага\826398429_1_20251129T163423Z.jpg</v>
      </c>
    </row>
    <row r="49" spans="1:13" x14ac:dyDescent="0.25">
      <c r="A49" s="2" t="s">
        <v>18</v>
      </c>
      <c r="B49" s="4">
        <v>45990</v>
      </c>
      <c r="C49" s="5">
        <v>0.71069444444444441</v>
      </c>
      <c r="D49" s="9" t="s">
        <v>4</v>
      </c>
      <c r="E49" s="9" t="s">
        <v>8</v>
      </c>
      <c r="F49" s="9"/>
      <c r="H49" s="9"/>
      <c r="I49" s="9" t="s">
        <v>3406</v>
      </c>
      <c r="J49" s="9" t="s">
        <v>2938</v>
      </c>
      <c r="K49" t="s">
        <v>3407</v>
      </c>
      <c r="L49" t="s">
        <v>3408</v>
      </c>
      <c r="M49" s="3" t="str">
        <f>HYPERLINK(склад2въезд131920[[#This Row],[RelativePath]])</f>
        <v>6 Площадка 1 общага\826398429_1_20251129T170324Z.jpg</v>
      </c>
    </row>
    <row r="50" spans="1:13" x14ac:dyDescent="0.25">
      <c r="A50" s="2" t="s">
        <v>22</v>
      </c>
      <c r="B50" s="4">
        <v>45991</v>
      </c>
      <c r="C50" s="5">
        <v>0.61775462962962968</v>
      </c>
      <c r="D50" s="9" t="s">
        <v>1967</v>
      </c>
      <c r="E50" s="9"/>
      <c r="F50" s="9"/>
      <c r="H50" s="9"/>
      <c r="I50" s="9" t="s">
        <v>4213</v>
      </c>
      <c r="J50" s="9" t="s">
        <v>2938</v>
      </c>
      <c r="K50" t="s">
        <v>4214</v>
      </c>
      <c r="L50" t="s">
        <v>4215</v>
      </c>
      <c r="M50" s="3" t="str">
        <f>HYPERLINK(склад2въезд131920[[#This Row],[RelativePath]])</f>
        <v>6 Площадка 1 общага\826398429_1_20251130T144934Z.jpg</v>
      </c>
    </row>
    <row r="51" spans="1:13" x14ac:dyDescent="0.25">
      <c r="A51" s="2" t="s">
        <v>13</v>
      </c>
      <c r="B51" s="4">
        <v>45992</v>
      </c>
      <c r="C51" s="5">
        <v>0.39751157407407406</v>
      </c>
      <c r="D51" s="9" t="s">
        <v>1578</v>
      </c>
      <c r="E51" s="9" t="s">
        <v>86</v>
      </c>
      <c r="F51" s="9" t="s">
        <v>200</v>
      </c>
      <c r="H51" s="9"/>
      <c r="I51" s="9" t="s">
        <v>5044</v>
      </c>
      <c r="J51" s="9" t="s">
        <v>2938</v>
      </c>
      <c r="K51" t="s">
        <v>5045</v>
      </c>
      <c r="L51" t="s">
        <v>5040</v>
      </c>
      <c r="M51" s="3" t="str">
        <f>HYPERLINK(склад2въезд131920[[#This Row],[RelativePath]])</f>
        <v>6 Площадка 1 общага\826398429_1_20251201T093225Z.jpg</v>
      </c>
    </row>
    <row r="52" spans="1:13" x14ac:dyDescent="0.25">
      <c r="A52" s="2" t="s">
        <v>13</v>
      </c>
      <c r="B52" s="4">
        <v>45992</v>
      </c>
      <c r="C52" s="5">
        <v>0.49358796296296298</v>
      </c>
      <c r="D52" s="9" t="s">
        <v>1066</v>
      </c>
      <c r="E52" s="9" t="s">
        <v>4188</v>
      </c>
      <c r="F52" s="9" t="s">
        <v>60</v>
      </c>
      <c r="H52" s="9"/>
      <c r="I52" s="9" t="s">
        <v>5046</v>
      </c>
      <c r="J52" s="9" t="s">
        <v>2938</v>
      </c>
      <c r="K52" t="s">
        <v>5047</v>
      </c>
      <c r="L52" t="s">
        <v>5041</v>
      </c>
      <c r="M52" s="3" t="str">
        <f>HYPERLINK(склад2въезд131920[[#This Row],[RelativePath]])</f>
        <v>6 Площадка 1 общага\826398429_1_20251201T115046Z.jpg</v>
      </c>
    </row>
    <row r="53" spans="1:13" x14ac:dyDescent="0.25">
      <c r="A53" s="2" t="s">
        <v>13</v>
      </c>
      <c r="B53" s="4">
        <v>45992</v>
      </c>
      <c r="C53" s="5">
        <v>0.64282407407407405</v>
      </c>
      <c r="D53" s="9" t="s">
        <v>505</v>
      </c>
      <c r="E53" s="9" t="s">
        <v>1570</v>
      </c>
      <c r="F53" s="9" t="s">
        <v>58</v>
      </c>
      <c r="H53" s="9"/>
      <c r="I53" s="9" t="s">
        <v>5048</v>
      </c>
      <c r="J53" s="9" t="s">
        <v>2938</v>
      </c>
      <c r="K53" t="s">
        <v>5049</v>
      </c>
      <c r="L53" t="s">
        <v>5042</v>
      </c>
      <c r="M53" s="3" t="str">
        <f>HYPERLINK(склад2въезд131920[[#This Row],[RelativePath]])</f>
        <v>6 Площадка 1 общага\826398429_1_20251201T152540Z.jpg</v>
      </c>
    </row>
    <row r="54" spans="1:13" x14ac:dyDescent="0.25">
      <c r="A54" s="2" t="s">
        <v>14</v>
      </c>
      <c r="B54" s="4">
        <v>45993</v>
      </c>
      <c r="C54" s="5">
        <v>0.62728009259259254</v>
      </c>
      <c r="D54" s="9" t="s">
        <v>1578</v>
      </c>
      <c r="E54" s="9" t="s">
        <v>86</v>
      </c>
      <c r="F54" s="9" t="s">
        <v>200</v>
      </c>
      <c r="H54" s="9"/>
      <c r="I54" s="9" t="s">
        <v>4510</v>
      </c>
      <c r="J54" s="9" t="s">
        <v>2938</v>
      </c>
      <c r="K54" t="s">
        <v>4511</v>
      </c>
      <c r="L54" t="s">
        <v>4512</v>
      </c>
      <c r="M54" s="3" t="str">
        <f>HYPERLINK(склад2въезд131920[[#This Row],[RelativePath]])</f>
        <v>6 Площадка 1 общага\826398429_1_20251202T150317Z.jpg</v>
      </c>
    </row>
    <row r="55" spans="1:13" x14ac:dyDescent="0.25">
      <c r="A55" s="2" t="s">
        <v>15</v>
      </c>
      <c r="B55" s="4">
        <v>45994</v>
      </c>
      <c r="C55" s="5">
        <v>0.41577546296296297</v>
      </c>
      <c r="D55" s="9" t="s">
        <v>1066</v>
      </c>
      <c r="E55" s="9" t="s">
        <v>4188</v>
      </c>
      <c r="F55" s="9" t="s">
        <v>200</v>
      </c>
      <c r="H55" s="9"/>
      <c r="I55" s="9" t="s">
        <v>4513</v>
      </c>
      <c r="J55" s="9" t="s">
        <v>2938</v>
      </c>
      <c r="K55" t="s">
        <v>4514</v>
      </c>
      <c r="L55" t="s">
        <v>4515</v>
      </c>
      <c r="M55" s="3" t="str">
        <f>HYPERLINK(склад2въезд131920[[#This Row],[RelativePath]])</f>
        <v>6 Площадка 1 общага\826398429_1_20251203T095843Z.jpg</v>
      </c>
    </row>
    <row r="56" spans="1:13" x14ac:dyDescent="0.25">
      <c r="A56" s="2" t="s">
        <v>15</v>
      </c>
      <c r="B56" s="4">
        <v>45994</v>
      </c>
      <c r="C56" s="5">
        <v>0.41729166666666667</v>
      </c>
      <c r="D56" s="9" t="s">
        <v>1066</v>
      </c>
      <c r="E56" s="9" t="s">
        <v>4188</v>
      </c>
      <c r="F56" s="9" t="s">
        <v>200</v>
      </c>
      <c r="H56" s="9"/>
      <c r="I56" s="9" t="s">
        <v>4516</v>
      </c>
      <c r="J56" s="9" t="s">
        <v>2938</v>
      </c>
      <c r="K56" t="s">
        <v>4517</v>
      </c>
      <c r="L56" t="s">
        <v>4518</v>
      </c>
      <c r="M56" s="3" t="str">
        <f>HYPERLINK(склад2въезд131920[[#This Row],[RelativePath]])</f>
        <v>6 Площадка 1 общага\826398429_1_20251203T100054Z.jpg</v>
      </c>
    </row>
    <row r="57" spans="1:13" x14ac:dyDescent="0.25">
      <c r="A57" s="2" t="s">
        <v>15</v>
      </c>
      <c r="B57" s="4">
        <v>45994</v>
      </c>
      <c r="C57" s="5">
        <v>0.62077546296296293</v>
      </c>
      <c r="D57" s="9" t="s">
        <v>5043</v>
      </c>
      <c r="E57" s="9" t="s">
        <v>86</v>
      </c>
      <c r="F57" s="9"/>
      <c r="H57" s="9"/>
      <c r="I57" s="9" t="s">
        <v>4519</v>
      </c>
      <c r="J57" s="9" t="s">
        <v>2938</v>
      </c>
      <c r="K57" t="s">
        <v>4520</v>
      </c>
      <c r="L57" t="s">
        <v>4521</v>
      </c>
      <c r="M57" s="3" t="str">
        <f>HYPERLINK(склад2въезд131920[[#This Row],[RelativePath]])</f>
        <v>6 Площадка 1 общага\826398429_1_20251203T145355Z.jpg</v>
      </c>
    </row>
    <row r="58" spans="1:13" x14ac:dyDescent="0.25">
      <c r="A58" s="2" t="s">
        <v>15</v>
      </c>
      <c r="B58" s="4">
        <v>45994</v>
      </c>
      <c r="C58" s="5">
        <v>0.68840277777777781</v>
      </c>
      <c r="D58" s="9" t="s">
        <v>4</v>
      </c>
      <c r="E58" s="9" t="s">
        <v>8</v>
      </c>
      <c r="F58" s="9"/>
      <c r="H58" s="9"/>
      <c r="I58" s="9" t="s">
        <v>4522</v>
      </c>
      <c r="J58" s="9" t="s">
        <v>2938</v>
      </c>
      <c r="K58" t="s">
        <v>4523</v>
      </c>
      <c r="L58" t="s">
        <v>4524</v>
      </c>
      <c r="M58" s="3" t="str">
        <f>HYPERLINK(склад2въезд131920[[#This Row],[RelativePath]])</f>
        <v>6 Площадка 1 общага\826398429_1_20251203T163118Z.jpg</v>
      </c>
    </row>
    <row r="59" spans="1:13" x14ac:dyDescent="0.25">
      <c r="A59" s="2" t="s">
        <v>16</v>
      </c>
      <c r="B59" s="4">
        <v>45995</v>
      </c>
      <c r="C59" s="5">
        <v>0.3793287037037037</v>
      </c>
      <c r="D59" s="9" t="s">
        <v>5043</v>
      </c>
      <c r="E59" s="9" t="s">
        <v>86</v>
      </c>
      <c r="F59" s="9"/>
      <c r="H59" s="9"/>
      <c r="I59" s="9" t="s">
        <v>4525</v>
      </c>
      <c r="J59" s="9" t="s">
        <v>2938</v>
      </c>
      <c r="K59" t="s">
        <v>4526</v>
      </c>
      <c r="L59" t="s">
        <v>4527</v>
      </c>
      <c r="M59" s="3" t="str">
        <f>HYPERLINK(склад2въезд131920[[#This Row],[RelativePath]])</f>
        <v>6 Площадка 1 общага\826398429_1_20251204T090614Z.jpg</v>
      </c>
    </row>
    <row r="60" spans="1:13" x14ac:dyDescent="0.25">
      <c r="A60" s="2" t="s">
        <v>17</v>
      </c>
      <c r="B60" s="4">
        <v>45996</v>
      </c>
      <c r="C60" s="5">
        <v>0.51175925925925925</v>
      </c>
      <c r="D60" s="9" t="s">
        <v>5043</v>
      </c>
      <c r="E60" s="9" t="s">
        <v>86</v>
      </c>
      <c r="F60" s="9"/>
      <c r="H60" s="9"/>
      <c r="I60" s="9" t="s">
        <v>4528</v>
      </c>
      <c r="J60" s="9" t="s">
        <v>2938</v>
      </c>
      <c r="K60" t="s">
        <v>4529</v>
      </c>
      <c r="L60" t="s">
        <v>4530</v>
      </c>
      <c r="M60" s="3" t="str">
        <f>HYPERLINK(склад2въезд131920[[#This Row],[RelativePath]])</f>
        <v>6 Площадка 1 общага\826398429_1_20251205T121656Z.jpg</v>
      </c>
    </row>
    <row r="61" spans="1:13" x14ac:dyDescent="0.25">
      <c r="A61" s="2" t="s">
        <v>18</v>
      </c>
      <c r="B61" s="4">
        <v>45997</v>
      </c>
      <c r="C61" s="5">
        <v>0.65951388888888884</v>
      </c>
      <c r="D61" s="9" t="s">
        <v>1967</v>
      </c>
      <c r="E61" s="9" t="s">
        <v>8</v>
      </c>
      <c r="F61" s="9"/>
      <c r="H61" s="9"/>
      <c r="I61" s="9" t="s">
        <v>4531</v>
      </c>
      <c r="J61" s="9" t="s">
        <v>2938</v>
      </c>
      <c r="K61" t="s">
        <v>4532</v>
      </c>
      <c r="L61" t="s">
        <v>4533</v>
      </c>
      <c r="M61" s="3" t="str">
        <f>HYPERLINK(склад2въезд131920[[#This Row],[RelativePath]])</f>
        <v>6 Площадка 1 общага\826398429_1_20251206T154942Z.jpg</v>
      </c>
    </row>
    <row r="62" spans="1:13" x14ac:dyDescent="0.25">
      <c r="A62" s="2" t="s">
        <v>22</v>
      </c>
      <c r="B62" s="4">
        <v>45998</v>
      </c>
      <c r="C62" s="5">
        <v>0.47651620370370368</v>
      </c>
      <c r="D62" s="9" t="s">
        <v>1967</v>
      </c>
      <c r="E62" s="9" t="s">
        <v>8</v>
      </c>
      <c r="F62" s="9"/>
      <c r="H62" s="9"/>
      <c r="I62" s="9" t="s">
        <v>5108</v>
      </c>
      <c r="J62" s="9" t="s">
        <v>2938</v>
      </c>
      <c r="K62" t="s">
        <v>5109</v>
      </c>
      <c r="L62" t="s">
        <v>5110</v>
      </c>
      <c r="M62" s="3" t="str">
        <f>HYPERLINK(склад2въезд131920[[#This Row],[RelativePath]])</f>
        <v>6 Площадка 1 общага\826398429_1_20251207T112611Z.jpg</v>
      </c>
    </row>
    <row r="63" spans="1:13" x14ac:dyDescent="0.25">
      <c r="A63" s="2" t="s">
        <v>13</v>
      </c>
      <c r="B63" s="4">
        <v>45999</v>
      </c>
      <c r="C63" s="5">
        <v>0.4788425925925926</v>
      </c>
      <c r="D63" s="9" t="s">
        <v>4</v>
      </c>
      <c r="E63" s="9" t="s">
        <v>8</v>
      </c>
      <c r="F63" s="9"/>
      <c r="H63" s="9"/>
      <c r="I63" s="9" t="s">
        <v>5241</v>
      </c>
      <c r="J63" s="9" t="s">
        <v>2938</v>
      </c>
      <c r="K63" t="s">
        <v>5242</v>
      </c>
      <c r="L63" t="s">
        <v>5243</v>
      </c>
      <c r="M63" s="3" t="str">
        <f>HYPERLINK(склад2въезд131920[[#This Row],[RelativePath]])</f>
        <v>6 Площадка 1 общага\826398429_1_20251208T112932Z.jpg</v>
      </c>
    </row>
    <row r="64" spans="1:13" x14ac:dyDescent="0.25">
      <c r="A64" s="2" t="s">
        <v>13</v>
      </c>
      <c r="B64" s="4">
        <v>45999</v>
      </c>
      <c r="C64" s="5">
        <v>0.66003472222222226</v>
      </c>
      <c r="D64" s="9" t="s">
        <v>1967</v>
      </c>
      <c r="E64" s="9" t="s">
        <v>8</v>
      </c>
      <c r="F64" s="9"/>
      <c r="H64" s="9"/>
      <c r="I64" s="9" t="s">
        <v>5244</v>
      </c>
      <c r="J64" s="9" t="s">
        <v>2938</v>
      </c>
      <c r="K64" t="s">
        <v>5245</v>
      </c>
      <c r="L64" t="s">
        <v>5246</v>
      </c>
      <c r="M64" s="3" t="str">
        <f>HYPERLINK(склад2въезд131920[[#This Row],[RelativePath]])</f>
        <v>6 Площадка 1 общага\826398429_1_20251208T155027Z.jpg</v>
      </c>
    </row>
    <row r="65" spans="1:13" x14ac:dyDescent="0.25">
      <c r="A65" s="2" t="s">
        <v>14</v>
      </c>
      <c r="B65" s="4">
        <v>46000</v>
      </c>
      <c r="C65" s="5">
        <v>0.73707175925925927</v>
      </c>
      <c r="D65" s="9" t="s">
        <v>1967</v>
      </c>
      <c r="E65" s="9" t="s">
        <v>8</v>
      </c>
      <c r="F65" s="9"/>
      <c r="H65" s="9"/>
      <c r="I65" s="9" t="s">
        <v>5470</v>
      </c>
      <c r="J65" s="9" t="s">
        <v>2938</v>
      </c>
      <c r="K65" t="s">
        <v>5471</v>
      </c>
      <c r="L65" t="s">
        <v>5472</v>
      </c>
      <c r="M65" s="3" t="str">
        <f>HYPERLINK(склад2въезд131920[[#This Row],[RelativePath]])</f>
        <v>6 Площадка 1 общага\826398429_1_20251209T174123Z.jpg</v>
      </c>
    </row>
    <row r="66" spans="1:13" x14ac:dyDescent="0.25">
      <c r="A66" s="2" t="s">
        <v>15</v>
      </c>
      <c r="B66" s="4">
        <v>46001</v>
      </c>
      <c r="C66" s="5">
        <v>0.67366898148148147</v>
      </c>
      <c r="D66" s="9" t="s">
        <v>1967</v>
      </c>
      <c r="E66" s="9" t="s">
        <v>8</v>
      </c>
      <c r="F66" s="9"/>
      <c r="H66" s="9"/>
      <c r="I66" s="9" t="s">
        <v>5473</v>
      </c>
      <c r="J66" s="9" t="s">
        <v>2938</v>
      </c>
      <c r="K66" t="s">
        <v>5474</v>
      </c>
      <c r="L66" t="s">
        <v>5475</v>
      </c>
      <c r="M66" s="3" t="str">
        <f>HYPERLINK(склад2въезд131920[[#This Row],[RelativePath]])</f>
        <v>6 Площадка 1 общага\826398429_1_20251210T161005Z.jpg</v>
      </c>
    </row>
    <row r="67" spans="1:13" x14ac:dyDescent="0.25">
      <c r="A67" s="2" t="s">
        <v>16</v>
      </c>
      <c r="B67" s="4">
        <v>46002</v>
      </c>
      <c r="C67" s="5">
        <v>0.7340740740740741</v>
      </c>
      <c r="D67" s="9" t="s">
        <v>1967</v>
      </c>
      <c r="E67" s="9" t="s">
        <v>8</v>
      </c>
      <c r="F67" s="9"/>
      <c r="H67" s="9"/>
      <c r="I67" s="9" t="s">
        <v>5476</v>
      </c>
      <c r="J67" s="9" t="s">
        <v>2938</v>
      </c>
      <c r="K67" t="s">
        <v>5477</v>
      </c>
      <c r="L67" t="s">
        <v>5478</v>
      </c>
      <c r="M67" s="3" t="str">
        <f>HYPERLINK(склад2въезд131920[[#This Row],[RelativePath]])</f>
        <v>6 Площадка 1 общага\826398429_1_20251211T173704Z.jpg</v>
      </c>
    </row>
    <row r="68" spans="1:13" x14ac:dyDescent="0.25">
      <c r="A68" s="2" t="s">
        <v>17</v>
      </c>
      <c r="B68" s="4">
        <v>46003</v>
      </c>
      <c r="C68" s="5">
        <v>0.48729166666666668</v>
      </c>
      <c r="D68" s="9" t="s">
        <v>1578</v>
      </c>
      <c r="E68" s="9" t="s">
        <v>86</v>
      </c>
      <c r="F68" s="9" t="s">
        <v>200</v>
      </c>
      <c r="H68" s="9"/>
      <c r="I68" s="9" t="s">
        <v>5791</v>
      </c>
      <c r="J68" s="9" t="s">
        <v>2938</v>
      </c>
      <c r="K68" t="s">
        <v>5792</v>
      </c>
      <c r="L68" t="s">
        <v>5793</v>
      </c>
      <c r="M68" s="3" t="str">
        <f>HYPERLINK(склад2въезд131920[[#This Row],[RelativePath]])</f>
        <v>6 Площадка 1 общага\826398429_1_20251212T114142Z.jpg</v>
      </c>
    </row>
    <row r="69" spans="1:13" x14ac:dyDescent="0.25">
      <c r="A69" s="2" t="s">
        <v>17</v>
      </c>
      <c r="B69" s="4">
        <v>46003</v>
      </c>
      <c r="C69" s="5">
        <v>0.5033333333333333</v>
      </c>
      <c r="D69" s="9" t="s">
        <v>1578</v>
      </c>
      <c r="E69" s="9" t="s">
        <v>86</v>
      </c>
      <c r="F69" s="9" t="s">
        <v>200</v>
      </c>
      <c r="H69" s="9"/>
      <c r="I69" s="9" t="s">
        <v>5794</v>
      </c>
      <c r="J69" s="9" t="s">
        <v>2938</v>
      </c>
      <c r="K69" t="s">
        <v>5795</v>
      </c>
      <c r="L69" t="s">
        <v>5796</v>
      </c>
      <c r="M69" s="3" t="str">
        <f>HYPERLINK(склад2въезд131920[[#This Row],[RelativePath]])</f>
        <v>6 Площадка 1 общага\826398429_1_20251212T120448Z.jpg</v>
      </c>
    </row>
    <row r="70" spans="1:13" x14ac:dyDescent="0.25">
      <c r="A70" s="2" t="s">
        <v>17</v>
      </c>
      <c r="B70" s="4">
        <v>46003</v>
      </c>
      <c r="C70" s="5">
        <v>0.51285879629629627</v>
      </c>
      <c r="D70" s="9" t="s">
        <v>1578</v>
      </c>
      <c r="E70" s="9" t="s">
        <v>86</v>
      </c>
      <c r="F70" s="9" t="s">
        <v>200</v>
      </c>
      <c r="H70" s="9"/>
      <c r="I70" s="9" t="s">
        <v>5797</v>
      </c>
      <c r="J70" s="9" t="s">
        <v>2938</v>
      </c>
      <c r="K70" t="s">
        <v>5798</v>
      </c>
      <c r="L70" t="s">
        <v>5799</v>
      </c>
      <c r="M70" s="3" t="str">
        <f>HYPERLINK(склад2въезд131920[[#This Row],[RelativePath]])</f>
        <v>6 Площадка 1 общага\826398429_1_20251212T121831Z.jpg</v>
      </c>
    </row>
    <row r="71" spans="1:13" x14ac:dyDescent="0.25">
      <c r="A71" s="2" t="s">
        <v>18</v>
      </c>
      <c r="B71" s="4">
        <v>46004</v>
      </c>
      <c r="C71" s="5">
        <v>0.72584490740740737</v>
      </c>
      <c r="D71" s="9" t="s">
        <v>1967</v>
      </c>
      <c r="E71" s="9" t="s">
        <v>8</v>
      </c>
      <c r="F71" s="9"/>
      <c r="H71" s="9"/>
      <c r="I71" s="9" t="s">
        <v>5998</v>
      </c>
      <c r="J71" s="9" t="s">
        <v>2938</v>
      </c>
      <c r="K71" t="s">
        <v>5999</v>
      </c>
      <c r="L71" t="s">
        <v>6000</v>
      </c>
      <c r="M71" s="3" t="str">
        <f>HYPERLINK(склад2въезд131920[[#This Row],[RelativePath]])</f>
        <v>6 Площадка 1 общага\826398429_1_20251213T172513Z.jpg</v>
      </c>
    </row>
    <row r="72" spans="1:13" x14ac:dyDescent="0.25">
      <c r="A72" s="2" t="s">
        <v>22</v>
      </c>
      <c r="B72" s="4">
        <v>46005</v>
      </c>
      <c r="C72" s="5">
        <v>0.68244212962962958</v>
      </c>
      <c r="D72" s="9" t="s">
        <v>1967</v>
      </c>
      <c r="E72" s="9" t="s">
        <v>8</v>
      </c>
      <c r="F72" s="9"/>
      <c r="H72" s="9"/>
      <c r="I72" s="9" t="s">
        <v>6127</v>
      </c>
      <c r="J72" s="9" t="s">
        <v>2938</v>
      </c>
      <c r="K72" t="s">
        <v>6128</v>
      </c>
      <c r="L72" t="s">
        <v>6129</v>
      </c>
      <c r="M72" s="3" t="str">
        <f>HYPERLINK(склад2въезд131920[[#This Row],[RelativePath]])</f>
        <v>6 Площадка 1 общага\826398429_1_20251214T162243Z.jpg</v>
      </c>
    </row>
    <row r="73" spans="1:13" x14ac:dyDescent="0.25">
      <c r="A73" s="2" t="s">
        <v>13</v>
      </c>
      <c r="B73" s="4">
        <v>46006</v>
      </c>
      <c r="C73" s="5">
        <v>0.73803240740740739</v>
      </c>
      <c r="D73" s="9" t="s">
        <v>1967</v>
      </c>
      <c r="E73" s="9" t="s">
        <v>8</v>
      </c>
      <c r="F73" s="9"/>
      <c r="H73" s="9"/>
      <c r="I73" s="9" t="s">
        <v>6245</v>
      </c>
      <c r="J73" s="9" t="s">
        <v>2938</v>
      </c>
      <c r="K73" t="s">
        <v>6246</v>
      </c>
      <c r="L73" t="s">
        <v>6247</v>
      </c>
      <c r="M73" s="3" t="str">
        <f>HYPERLINK(склад2въезд131920[[#This Row],[RelativePath]])</f>
        <v>6 Площадка 1 общага\826398429_1_20251215T174246Z.jpg</v>
      </c>
    </row>
    <row r="74" spans="1:13" x14ac:dyDescent="0.25">
      <c r="A74" s="2" t="s">
        <v>14</v>
      </c>
      <c r="B74" s="4">
        <v>46007</v>
      </c>
      <c r="C74" s="5">
        <v>0.7170023148148148</v>
      </c>
      <c r="D74" s="9" t="s">
        <v>1967</v>
      </c>
      <c r="E74" s="9" t="s">
        <v>8</v>
      </c>
      <c r="F74" s="9"/>
      <c r="H74" s="9"/>
      <c r="I74" s="9" t="s">
        <v>6484</v>
      </c>
      <c r="J74" s="9" t="s">
        <v>2938</v>
      </c>
      <c r="K74" t="s">
        <v>6485</v>
      </c>
      <c r="L74" t="s">
        <v>6486</v>
      </c>
      <c r="M74" s="3" t="str">
        <f>HYPERLINK(склад2въезд131920[[#This Row],[RelativePath]])</f>
        <v>6 Площадка 1 общага\826398429_1_20251216T171229Z.jpg</v>
      </c>
    </row>
    <row r="75" spans="1:13" x14ac:dyDescent="0.25">
      <c r="A75" s="2" t="s">
        <v>15</v>
      </c>
      <c r="B75" s="4">
        <v>46008</v>
      </c>
      <c r="C75" s="5">
        <v>0.73940972222222223</v>
      </c>
      <c r="D75" s="9" t="s">
        <v>1967</v>
      </c>
      <c r="E75" s="9" t="s">
        <v>8</v>
      </c>
      <c r="F75" s="9"/>
      <c r="H75" s="9"/>
      <c r="I75" s="9" t="s">
        <v>6631</v>
      </c>
      <c r="J75" s="9" t="s">
        <v>2938</v>
      </c>
      <c r="K75" t="s">
        <v>6632</v>
      </c>
      <c r="L75" t="s">
        <v>6633</v>
      </c>
      <c r="M75" s="3" t="str">
        <f>HYPERLINK(склад2въезд131920[[#This Row],[RelativePath]])</f>
        <v>6 Площадка 1 общага\826398429_1_20251217T174445Z.jpg</v>
      </c>
    </row>
    <row r="76" spans="1:13" x14ac:dyDescent="0.25">
      <c r="A76" s="2" t="s">
        <v>16</v>
      </c>
      <c r="B76" s="4">
        <v>46009</v>
      </c>
      <c r="C76" s="5">
        <v>0.51688657407407412</v>
      </c>
      <c r="D76" s="9" t="s">
        <v>1967</v>
      </c>
      <c r="E76" s="9" t="s">
        <v>8</v>
      </c>
      <c r="F76" s="9"/>
      <c r="H76" s="9"/>
      <c r="I76" s="9" t="s">
        <v>6831</v>
      </c>
      <c r="J76" s="9" t="s">
        <v>2938</v>
      </c>
      <c r="K76" t="s">
        <v>6832</v>
      </c>
      <c r="L76" t="s">
        <v>6833</v>
      </c>
      <c r="M76" s="3" t="str">
        <f>HYPERLINK(склад2въезд131920[[#This Row],[RelativePath]])</f>
        <v>6 Площадка 1 общага\826398429_1_20251218T122419Z.jpg</v>
      </c>
    </row>
    <row r="77" spans="1:13" x14ac:dyDescent="0.25">
      <c r="A77" s="2" t="s">
        <v>17</v>
      </c>
      <c r="B77" s="4">
        <v>46010</v>
      </c>
      <c r="C77" s="5">
        <v>0.7241319444444444</v>
      </c>
      <c r="D77" s="9" t="s">
        <v>1967</v>
      </c>
      <c r="E77" s="9" t="s">
        <v>8</v>
      </c>
      <c r="F77" s="9"/>
      <c r="H77" s="9"/>
      <c r="I77" s="9" t="s">
        <v>6834</v>
      </c>
      <c r="J77" s="9" t="s">
        <v>2938</v>
      </c>
      <c r="K77" t="s">
        <v>6835</v>
      </c>
      <c r="L77" t="s">
        <v>6836</v>
      </c>
      <c r="M77" s="3" t="str">
        <f>HYPERLINK(склад2въезд131920[[#This Row],[RelativePath]])</f>
        <v>6 Площадка 1 общага\826398429_1_20251219T172245Z.jpg</v>
      </c>
    </row>
    <row r="78" spans="1:13" x14ac:dyDescent="0.25">
      <c r="A78" s="2" t="s">
        <v>18</v>
      </c>
      <c r="B78" s="4">
        <v>46011</v>
      </c>
      <c r="C78" s="5">
        <v>0.73340277777777774</v>
      </c>
      <c r="D78" s="9" t="s">
        <v>1967</v>
      </c>
      <c r="E78" s="9" t="s">
        <v>8</v>
      </c>
      <c r="F78" s="9"/>
      <c r="H78" s="9"/>
      <c r="I78" s="9" t="s">
        <v>6837</v>
      </c>
      <c r="J78" s="9" t="s">
        <v>2938</v>
      </c>
      <c r="K78" t="s">
        <v>6838</v>
      </c>
      <c r="L78" t="s">
        <v>6839</v>
      </c>
      <c r="M78" s="3" t="str">
        <f>HYPERLINK(склад2въезд131920[[#This Row],[RelativePath]])</f>
        <v>6 Площадка 1 общага\826398429_1_20251220T173606Z.jpg</v>
      </c>
    </row>
    <row r="79" spans="1:13" x14ac:dyDescent="0.25">
      <c r="A79" s="2" t="s">
        <v>22</v>
      </c>
      <c r="B79" s="4">
        <v>46012</v>
      </c>
      <c r="C79" s="5">
        <v>0.73958333333333337</v>
      </c>
      <c r="D79" s="9" t="s">
        <v>1967</v>
      </c>
      <c r="E79" s="9" t="s">
        <v>8</v>
      </c>
      <c r="F79" s="9"/>
      <c r="H79" s="9"/>
      <c r="I79" s="9" t="s">
        <v>7100</v>
      </c>
      <c r="J79" s="9" t="s">
        <v>2938</v>
      </c>
      <c r="K79" t="s">
        <v>7101</v>
      </c>
      <c r="L79" t="s">
        <v>7102</v>
      </c>
      <c r="M79" s="3" t="str">
        <f>HYPERLINK(склад2въезд131920[[#This Row],[RelativePath]])</f>
        <v>6 Площадка 1 общага\826398429_1_20251221T174500Z.jpg</v>
      </c>
    </row>
    <row r="80" spans="1:13" x14ac:dyDescent="0.25">
      <c r="A80" s="2" t="s">
        <v>13</v>
      </c>
      <c r="B80" s="4">
        <v>46013</v>
      </c>
      <c r="C80" s="5">
        <v>0.73895833333333338</v>
      </c>
      <c r="D80" s="9" t="s">
        <v>1967</v>
      </c>
      <c r="E80" s="9" t="s">
        <v>8</v>
      </c>
      <c r="F80" s="9"/>
      <c r="H80" s="9"/>
      <c r="I80" s="9" t="s">
        <v>7167</v>
      </c>
      <c r="J80" s="9" t="s">
        <v>2938</v>
      </c>
      <c r="K80" t="s">
        <v>7168</v>
      </c>
      <c r="L80" t="s">
        <v>7169</v>
      </c>
      <c r="M80" s="3" t="str">
        <f>HYPERLINK(склад2въезд131920[[#This Row],[RelativePath]])</f>
        <v>6 Площадка 1 общага\826398429_1_20251222T174406Z.jpg</v>
      </c>
    </row>
    <row r="81" spans="1:13" x14ac:dyDescent="0.25">
      <c r="A81" s="2" t="s">
        <v>14</v>
      </c>
      <c r="B81" s="4">
        <v>46014</v>
      </c>
      <c r="C81" s="5">
        <v>0.41729166666666667</v>
      </c>
      <c r="D81" s="9" t="s">
        <v>1967</v>
      </c>
      <c r="E81" s="9" t="s">
        <v>8</v>
      </c>
      <c r="F81" s="9"/>
      <c r="H81" s="9"/>
      <c r="I81" s="9" t="s">
        <v>7170</v>
      </c>
      <c r="J81" s="9" t="s">
        <v>2938</v>
      </c>
      <c r="K81" t="s">
        <v>7171</v>
      </c>
      <c r="L81" t="s">
        <v>7172</v>
      </c>
      <c r="M81" s="3" t="str">
        <f>HYPERLINK(склад2въезд131920[[#This Row],[RelativePath]])</f>
        <v>6 Площадка 1 общага\826398429_1_20251223T100054Z.jpg</v>
      </c>
    </row>
    <row r="82" spans="1:13" x14ac:dyDescent="0.25">
      <c r="A82" s="2" t="s">
        <v>15</v>
      </c>
      <c r="B82" s="4">
        <v>46015</v>
      </c>
      <c r="C82" s="5">
        <v>0.74429398148148151</v>
      </c>
      <c r="D82" s="9" t="s">
        <v>1967</v>
      </c>
      <c r="E82" s="9" t="s">
        <v>8</v>
      </c>
      <c r="F82" s="9"/>
      <c r="H82" s="9"/>
      <c r="I82" s="9" t="s">
        <v>7600</v>
      </c>
      <c r="J82" s="9" t="s">
        <v>2938</v>
      </c>
      <c r="K82" t="s">
        <v>7601</v>
      </c>
      <c r="L82" t="s">
        <v>7602</v>
      </c>
      <c r="M82" s="3" t="str">
        <f>HYPERLINK(склад2въезд131920[[#This Row],[RelativePath]])</f>
        <v>6 Площадка 1 общага\826398429_1_20251224T175147Z.jpg</v>
      </c>
    </row>
    <row r="83" spans="1:13" x14ac:dyDescent="0.25">
      <c r="A83" s="2" t="s">
        <v>16</v>
      </c>
      <c r="B83" s="4">
        <v>46016</v>
      </c>
      <c r="C83" s="5">
        <v>0.71887731481481476</v>
      </c>
      <c r="D83" s="9" t="s">
        <v>1967</v>
      </c>
      <c r="E83" s="9" t="s">
        <v>8</v>
      </c>
      <c r="F83" s="9"/>
      <c r="H83" s="9"/>
      <c r="I83" s="9" t="s">
        <v>7603</v>
      </c>
      <c r="J83" s="9" t="s">
        <v>2938</v>
      </c>
      <c r="K83" t="s">
        <v>7604</v>
      </c>
      <c r="L83" t="s">
        <v>7605</v>
      </c>
      <c r="M83" s="3" t="str">
        <f>HYPERLINK(склад2въезд131920[[#This Row],[RelativePath]])</f>
        <v>6 Площадка 1 общага\826398429_1_20251225T171511Z.jpg</v>
      </c>
    </row>
    <row r="84" spans="1:13" x14ac:dyDescent="0.25">
      <c r="A84" s="2" t="s">
        <v>17</v>
      </c>
      <c r="B84" s="4">
        <v>46017</v>
      </c>
      <c r="C84" s="5">
        <v>0.42701388888888892</v>
      </c>
      <c r="D84" s="9" t="s">
        <v>262</v>
      </c>
      <c r="E84" s="9" t="s">
        <v>86</v>
      </c>
      <c r="F84" s="9" t="s">
        <v>60</v>
      </c>
      <c r="H84" s="9" t="s">
        <v>5038</v>
      </c>
      <c r="I84" s="9" t="s">
        <v>7761</v>
      </c>
      <c r="J84" s="9" t="s">
        <v>2938</v>
      </c>
      <c r="K84" t="s">
        <v>7762</v>
      </c>
      <c r="L84" t="s">
        <v>7763</v>
      </c>
      <c r="M84" s="3" t="str">
        <f>HYPERLINK(склад2въезд131920[[#This Row],[RelativePath]])</f>
        <v>6 Площадка 1 общага\826398429_1_20251226T101454Z.jpg</v>
      </c>
    </row>
    <row r="85" spans="1:13" x14ac:dyDescent="0.25">
      <c r="A85" s="2" t="s">
        <v>17</v>
      </c>
      <c r="B85" s="4">
        <v>46017</v>
      </c>
      <c r="C85" s="5">
        <v>0.43680555555555556</v>
      </c>
      <c r="D85" s="9" t="s">
        <v>262</v>
      </c>
      <c r="E85" s="9" t="s">
        <v>86</v>
      </c>
      <c r="F85" s="9" t="s">
        <v>60</v>
      </c>
      <c r="H85" s="9" t="s">
        <v>2891</v>
      </c>
      <c r="I85" s="9" t="s">
        <v>7764</v>
      </c>
      <c r="J85" s="9" t="s">
        <v>2938</v>
      </c>
      <c r="K85" t="s">
        <v>7765</v>
      </c>
      <c r="L85" t="s">
        <v>7766</v>
      </c>
      <c r="M85" s="3" t="str">
        <f>HYPERLINK(склад2въезд131920[[#This Row],[RelativePath]])</f>
        <v>6 Площадка 1 общага\826398429_1_20251226T102900Z.jpg</v>
      </c>
    </row>
    <row r="86" spans="1:13" x14ac:dyDescent="0.25">
      <c r="A86" s="2" t="s">
        <v>17</v>
      </c>
      <c r="B86" s="4">
        <v>46017</v>
      </c>
      <c r="C86" s="5">
        <v>0.46421296296296294</v>
      </c>
      <c r="D86" s="9" t="s">
        <v>262</v>
      </c>
      <c r="E86" s="9" t="s">
        <v>86</v>
      </c>
      <c r="F86" s="9" t="s">
        <v>60</v>
      </c>
      <c r="H86" s="9" t="s">
        <v>2891</v>
      </c>
      <c r="I86" s="9" t="s">
        <v>7767</v>
      </c>
      <c r="J86" s="9" t="s">
        <v>2938</v>
      </c>
      <c r="K86" t="s">
        <v>7768</v>
      </c>
      <c r="L86" t="s">
        <v>7769</v>
      </c>
      <c r="M86" s="3" t="str">
        <f>HYPERLINK(склад2въезд131920[[#This Row],[RelativePath]])</f>
        <v>6 Площадка 1 общага\826398429_1_20251226T110828Z.jpg</v>
      </c>
    </row>
    <row r="87" spans="1:13" x14ac:dyDescent="0.25">
      <c r="A87" s="2" t="s">
        <v>18</v>
      </c>
      <c r="B87" s="4">
        <v>46018</v>
      </c>
      <c r="C87" s="5">
        <v>0.73623842592592592</v>
      </c>
      <c r="D87" s="9" t="s">
        <v>1967</v>
      </c>
      <c r="E87" s="9" t="s">
        <v>8</v>
      </c>
      <c r="F87" s="9"/>
      <c r="H87" s="9"/>
      <c r="I87" s="9" t="s">
        <v>7918</v>
      </c>
      <c r="J87" s="9" t="s">
        <v>2938</v>
      </c>
      <c r="K87" t="s">
        <v>7919</v>
      </c>
      <c r="L87" t="s">
        <v>7920</v>
      </c>
      <c r="M87" s="3" t="str">
        <f>HYPERLINK(склад2въезд131920[[#This Row],[RelativePath]])</f>
        <v>6 Площадка 1 общага\826398429_1_20251227T174011Z.jpg</v>
      </c>
    </row>
    <row r="88" spans="1:13" x14ac:dyDescent="0.25">
      <c r="A88" s="2" t="s">
        <v>22</v>
      </c>
      <c r="B88" s="4">
        <v>46019</v>
      </c>
      <c r="C88" s="5">
        <v>0.84684027777777782</v>
      </c>
      <c r="D88" s="9" t="s">
        <v>1967</v>
      </c>
      <c r="E88" s="9" t="s">
        <v>8</v>
      </c>
      <c r="F88" s="9"/>
      <c r="H88" s="9"/>
      <c r="I88" s="9" t="s">
        <v>7921</v>
      </c>
      <c r="J88" s="9" t="s">
        <v>2938</v>
      </c>
      <c r="K88" t="s">
        <v>7922</v>
      </c>
      <c r="L88" t="s">
        <v>7923</v>
      </c>
      <c r="M88" s="3" t="str">
        <f>HYPERLINK(склад2въезд131920[[#This Row],[RelativePath]])</f>
        <v>6 Площадка 1 общага\826398429_1_20251228T201927Z.jpg</v>
      </c>
    </row>
    <row r="89" spans="1:13" x14ac:dyDescent="0.25">
      <c r="A89" s="2" t="s">
        <v>13</v>
      </c>
      <c r="B89" s="4">
        <v>46020</v>
      </c>
      <c r="C89" s="5">
        <v>0.75085648148148143</v>
      </c>
      <c r="D89" s="9" t="s">
        <v>1967</v>
      </c>
      <c r="E89" s="9" t="s">
        <v>8</v>
      </c>
      <c r="F89" s="9"/>
      <c r="H89" s="9"/>
      <c r="I89" s="9" t="s">
        <v>8201</v>
      </c>
      <c r="J89" s="9" t="s">
        <v>2938</v>
      </c>
      <c r="K89" t="s">
        <v>8202</v>
      </c>
      <c r="L89" t="s">
        <v>8203</v>
      </c>
      <c r="M89" s="3" t="str">
        <f>HYPERLINK(склад2въезд131920[[#This Row],[RelativePath]])</f>
        <v>6 Площадка 1 общага\826398429_1_20251229T180114Z.jpg</v>
      </c>
    </row>
    <row r="90" spans="1:13" x14ac:dyDescent="0.25">
      <c r="A90" s="2" t="s">
        <v>14</v>
      </c>
      <c r="B90" s="4">
        <v>46021</v>
      </c>
      <c r="C90" s="5">
        <v>0.74648148148148152</v>
      </c>
      <c r="D90" s="9" t="s">
        <v>1967</v>
      </c>
      <c r="E90" s="9" t="s">
        <v>8</v>
      </c>
      <c r="F90" s="9"/>
      <c r="H90" s="9"/>
      <c r="I90" s="9" t="s">
        <v>8204</v>
      </c>
      <c r="J90" s="9" t="s">
        <v>2938</v>
      </c>
      <c r="K90" t="s">
        <v>8205</v>
      </c>
      <c r="L90" t="s">
        <v>8206</v>
      </c>
      <c r="M90" s="3" t="str">
        <f>HYPERLINK(склад2въезд131920[[#This Row],[RelativePath]])</f>
        <v>6 Площадка 1 общага\826398429_1_20251230T175456Z.jpg</v>
      </c>
    </row>
    <row r="91" spans="1:13" x14ac:dyDescent="0.25">
      <c r="A91" s="2" t="s">
        <v>15</v>
      </c>
      <c r="B91" s="4">
        <v>46022</v>
      </c>
      <c r="C91" s="5">
        <v>0.7459027777777778</v>
      </c>
      <c r="D91" s="9" t="s">
        <v>1967</v>
      </c>
      <c r="E91" s="9" t="s">
        <v>8</v>
      </c>
      <c r="F91" s="9"/>
      <c r="H91" s="9"/>
      <c r="I91" s="9" t="s">
        <v>8207</v>
      </c>
      <c r="J91" s="9" t="s">
        <v>2938</v>
      </c>
      <c r="K91" t="s">
        <v>8208</v>
      </c>
      <c r="L91" t="s">
        <v>8209</v>
      </c>
      <c r="M91" s="3" t="str">
        <f>HYPERLINK(склад2въезд131920[[#This Row],[RelativePath]])</f>
        <v>6 Площадка 1 общага\826398429_1_20251231T175406Z.jpg</v>
      </c>
    </row>
    <row r="92" spans="1:13" x14ac:dyDescent="0.25">
      <c r="A92" s="2" t="s">
        <v>16</v>
      </c>
      <c r="B92" s="4">
        <v>46023</v>
      </c>
      <c r="C92" s="5">
        <v>0.74651620370370375</v>
      </c>
      <c r="D92" s="9" t="s">
        <v>1967</v>
      </c>
      <c r="E92" s="9" t="s">
        <v>8</v>
      </c>
      <c r="F92" s="9"/>
      <c r="H92" s="9"/>
      <c r="I92" s="9" t="s">
        <v>8210</v>
      </c>
      <c r="J92" s="9" t="s">
        <v>2938</v>
      </c>
      <c r="K92" t="s">
        <v>8211</v>
      </c>
      <c r="L92" t="s">
        <v>8212</v>
      </c>
      <c r="M92" s="3" t="str">
        <f>HYPERLINK(склад2въезд131920[[#This Row],[RelativePath]])</f>
        <v>6 Площадка 1 общага\826398429_1_20260101T175459Z.jpg</v>
      </c>
    </row>
    <row r="93" spans="1:13" x14ac:dyDescent="0.25">
      <c r="A93" s="2" t="s">
        <v>17</v>
      </c>
      <c r="B93" s="4">
        <v>46024</v>
      </c>
      <c r="C93" s="5">
        <v>0.74740740740740741</v>
      </c>
      <c r="D93" s="9" t="s">
        <v>1967</v>
      </c>
      <c r="E93" s="9" t="s">
        <v>8</v>
      </c>
      <c r="F93" s="9"/>
      <c r="H93" s="9"/>
      <c r="I93" s="9" t="s">
        <v>8288</v>
      </c>
      <c r="J93" s="9" t="s">
        <v>2938</v>
      </c>
      <c r="K93" t="s">
        <v>8289</v>
      </c>
      <c r="L93" t="s">
        <v>8290</v>
      </c>
      <c r="M93" s="3" t="str">
        <f>HYPERLINK(склад2въезд131920[[#This Row],[RelativePath]])</f>
        <v>6 Площадка 1 общага\826398429_1_20260102T175616Z.jpg</v>
      </c>
    </row>
    <row r="94" spans="1:13" x14ac:dyDescent="0.25">
      <c r="A94" s="2" t="s">
        <v>18</v>
      </c>
      <c r="B94" s="4">
        <v>46025</v>
      </c>
      <c r="C94" s="5">
        <v>0.67440972222222217</v>
      </c>
      <c r="D94" s="9" t="s">
        <v>1967</v>
      </c>
      <c r="E94" s="9" t="s">
        <v>8</v>
      </c>
      <c r="F94" s="9"/>
      <c r="H94" s="9"/>
      <c r="I94" s="9" t="s">
        <v>8291</v>
      </c>
      <c r="J94" s="9" t="s">
        <v>2938</v>
      </c>
      <c r="K94" t="s">
        <v>8292</v>
      </c>
      <c r="L94" t="s">
        <v>8293</v>
      </c>
      <c r="M94" s="3" t="str">
        <f>HYPERLINK(склад2въезд131920[[#This Row],[RelativePath]])</f>
        <v>6 Площадка 1 общага\826398429_1_20260103T161109Z.jpg</v>
      </c>
    </row>
    <row r="95" spans="1:13" x14ac:dyDescent="0.25">
      <c r="A95" s="2" t="s">
        <v>22</v>
      </c>
      <c r="B95" s="4">
        <v>46026</v>
      </c>
      <c r="C95" s="5">
        <v>0.74752314814814813</v>
      </c>
      <c r="D95" s="9" t="s">
        <v>1967</v>
      </c>
      <c r="E95" s="9" t="s">
        <v>8</v>
      </c>
      <c r="F95" s="9"/>
      <c r="H95" s="9"/>
      <c r="I95" s="9" t="s">
        <v>8294</v>
      </c>
      <c r="J95" s="9" t="s">
        <v>2938</v>
      </c>
      <c r="K95" t="s">
        <v>8295</v>
      </c>
      <c r="L95" t="s">
        <v>8296</v>
      </c>
      <c r="M95" s="3" t="str">
        <f>HYPERLINK(склад2въезд131920[[#This Row],[RelativePath]])</f>
        <v>6 Площадка 1 общага\826398429_1_20260104T175626Z.jpg</v>
      </c>
    </row>
    <row r="96" spans="1:13" x14ac:dyDescent="0.25">
      <c r="A96" s="2" t="s">
        <v>13</v>
      </c>
      <c r="B96" s="4">
        <v>46027</v>
      </c>
      <c r="C96" s="5">
        <v>0.68761574074074072</v>
      </c>
      <c r="D96" s="9" t="s">
        <v>1967</v>
      </c>
      <c r="E96" s="9" t="s">
        <v>8</v>
      </c>
      <c r="F96" s="9"/>
      <c r="H96" s="9"/>
      <c r="I96" s="9" t="s">
        <v>8472</v>
      </c>
      <c r="J96" s="9" t="s">
        <v>2938</v>
      </c>
      <c r="K96" t="s">
        <v>8473</v>
      </c>
      <c r="L96" t="s">
        <v>8474</v>
      </c>
      <c r="M96" s="3" t="str">
        <f>HYPERLINK(склад2въезд131920[[#This Row],[RelativePath]])</f>
        <v>6 Площадка 1 общага\826398429_1_20260105T163010Z.jpg</v>
      </c>
    </row>
    <row r="97" spans="1:13" x14ac:dyDescent="0.25">
      <c r="A97" s="2" t="s">
        <v>14</v>
      </c>
      <c r="B97" s="4">
        <v>46028</v>
      </c>
      <c r="C97" s="5">
        <v>0.7259606481481482</v>
      </c>
      <c r="D97" s="9" t="s">
        <v>1967</v>
      </c>
      <c r="E97" s="9" t="s">
        <v>8</v>
      </c>
      <c r="F97" s="9"/>
      <c r="H97" s="9"/>
      <c r="I97" s="9" t="s">
        <v>8475</v>
      </c>
      <c r="J97" s="9" t="s">
        <v>2938</v>
      </c>
      <c r="K97" t="s">
        <v>8476</v>
      </c>
      <c r="L97" t="s">
        <v>8477</v>
      </c>
      <c r="M97" s="3" t="str">
        <f>HYPERLINK(склад2въезд131920[[#This Row],[RelativePath]])</f>
        <v>6 Площадка 1 общага\826398429_1_20260106T172523Z.jpg</v>
      </c>
    </row>
    <row r="98" spans="1:13" x14ac:dyDescent="0.25">
      <c r="A98" s="2" t="s">
        <v>15</v>
      </c>
      <c r="B98" s="4">
        <v>46029</v>
      </c>
      <c r="C98" s="5">
        <v>0.75358796296296293</v>
      </c>
      <c r="D98" s="9" t="s">
        <v>1967</v>
      </c>
      <c r="E98" s="9" t="s">
        <v>8</v>
      </c>
      <c r="F98" s="9"/>
      <c r="H98" s="9"/>
      <c r="I98" s="9" t="s">
        <v>8478</v>
      </c>
      <c r="J98" s="9" t="s">
        <v>2938</v>
      </c>
      <c r="K98" t="s">
        <v>8479</v>
      </c>
      <c r="L98" t="s">
        <v>8480</v>
      </c>
      <c r="M98" s="3" t="str">
        <f>HYPERLINK(склад2въезд131920[[#This Row],[RelativePath]])</f>
        <v>6 Площадка 1 общага\826398429_1_20260107T180510Z.jpg</v>
      </c>
    </row>
    <row r="99" spans="1:13" x14ac:dyDescent="0.25">
      <c r="A99" s="2" t="s">
        <v>16</v>
      </c>
      <c r="B99" s="4">
        <v>46030</v>
      </c>
      <c r="C99" s="5">
        <v>0.74864583333333334</v>
      </c>
      <c r="D99" s="9" t="s">
        <v>1967</v>
      </c>
      <c r="E99" s="9" t="s">
        <v>8</v>
      </c>
      <c r="F99" s="9"/>
      <c r="H99" s="9"/>
      <c r="I99" s="9" t="s">
        <v>8481</v>
      </c>
      <c r="J99" s="9" t="s">
        <v>2938</v>
      </c>
      <c r="K99" t="s">
        <v>8482</v>
      </c>
      <c r="L99" t="s">
        <v>8483</v>
      </c>
      <c r="M99" s="3" t="str">
        <f>HYPERLINK(склад2въезд131920[[#This Row],[RelativePath]])</f>
        <v>6 Площадка 1 общага\826398429_1_20260108T175803Z.jpg</v>
      </c>
    </row>
    <row r="100" spans="1:13" x14ac:dyDescent="0.25">
      <c r="A100" s="2" t="s">
        <v>17</v>
      </c>
      <c r="B100" s="4">
        <v>46031</v>
      </c>
      <c r="C100" s="5">
        <v>0.75556712962962957</v>
      </c>
      <c r="D100" s="9" t="s">
        <v>1967</v>
      </c>
      <c r="E100" s="9" t="s">
        <v>8</v>
      </c>
      <c r="F100" s="9"/>
      <c r="H100" s="9"/>
      <c r="I100" s="9" t="s">
        <v>8484</v>
      </c>
      <c r="J100" s="9" t="s">
        <v>2938</v>
      </c>
      <c r="K100" t="s">
        <v>8485</v>
      </c>
      <c r="L100" t="s">
        <v>8486</v>
      </c>
      <c r="M100" s="3" t="str">
        <f>HYPERLINK(склад2въезд131920[[#This Row],[RelativePath]])</f>
        <v>6 Площадка 1 общага\826398429_1_20260109T180801Z.jpg</v>
      </c>
    </row>
    <row r="101" spans="1:13" x14ac:dyDescent="0.25">
      <c r="A101" s="2" t="s">
        <v>18</v>
      </c>
      <c r="B101" s="4">
        <v>46032</v>
      </c>
      <c r="C101" s="5">
        <v>0.55688657407407405</v>
      </c>
      <c r="D101" s="9" t="s">
        <v>1967</v>
      </c>
      <c r="E101" s="9" t="s">
        <v>8</v>
      </c>
      <c r="F101" s="9"/>
      <c r="H101" s="9"/>
      <c r="I101" s="9" t="s">
        <v>8487</v>
      </c>
      <c r="J101" s="9" t="s">
        <v>2938</v>
      </c>
      <c r="K101" t="s">
        <v>8488</v>
      </c>
      <c r="L101" t="s">
        <v>8489</v>
      </c>
      <c r="M101" s="3" t="str">
        <f>HYPERLINK(склад2въезд131920[[#This Row],[RelativePath]])</f>
        <v>6 Площадка 1 общага\826398429_1_20260110T132155Z.jpg</v>
      </c>
    </row>
    <row r="102" spans="1:13" x14ac:dyDescent="0.25">
      <c r="A102" s="2" t="s">
        <v>22</v>
      </c>
      <c r="B102" s="4">
        <v>46033</v>
      </c>
      <c r="C102" s="5">
        <v>0.75489583333333332</v>
      </c>
      <c r="D102" s="9" t="s">
        <v>1967</v>
      </c>
      <c r="E102" s="9" t="s">
        <v>8</v>
      </c>
      <c r="F102" s="9"/>
      <c r="H102" s="9"/>
      <c r="I102" s="9" t="s">
        <v>8490</v>
      </c>
      <c r="J102" s="9" t="s">
        <v>2938</v>
      </c>
      <c r="K102" t="s">
        <v>8491</v>
      </c>
      <c r="L102" t="s">
        <v>8492</v>
      </c>
      <c r="M102" s="3" t="str">
        <f>HYPERLINK(склад2въезд131920[[#This Row],[RelativePath]])</f>
        <v>6 Площадка 1 общага\826398429_1_20260111T180703Z.jpg</v>
      </c>
    </row>
    <row r="103" spans="1:13" x14ac:dyDescent="0.25">
      <c r="A103" s="2" t="s">
        <v>13</v>
      </c>
      <c r="B103" s="4">
        <v>46034</v>
      </c>
      <c r="C103" s="5">
        <v>0.45675925925925925</v>
      </c>
      <c r="D103" s="9" t="s">
        <v>9077</v>
      </c>
      <c r="E103" s="9" t="s">
        <v>5411</v>
      </c>
      <c r="F103" s="9" t="s">
        <v>9076</v>
      </c>
      <c r="H103" s="9"/>
      <c r="I103" s="9" t="s">
        <v>8880</v>
      </c>
      <c r="J103" s="9" t="s">
        <v>2938</v>
      </c>
      <c r="K103" t="s">
        <v>8881</v>
      </c>
      <c r="L103" t="s">
        <v>8882</v>
      </c>
      <c r="M103" s="3" t="str">
        <f>HYPERLINK(склад2въезд131920[[#This Row],[RelativePath]])</f>
        <v>6 Площадка 1 общага\826398429_1_20260112T105744Z.jpg</v>
      </c>
    </row>
    <row r="104" spans="1:13" x14ac:dyDescent="0.25">
      <c r="A104" s="2" t="s">
        <v>14</v>
      </c>
      <c r="B104" s="4">
        <v>46035</v>
      </c>
      <c r="C104" s="5">
        <v>0.75629629629629624</v>
      </c>
      <c r="D104" s="9" t="s">
        <v>1967</v>
      </c>
      <c r="E104" s="9" t="s">
        <v>8</v>
      </c>
      <c r="F104" s="9"/>
      <c r="H104" s="9"/>
      <c r="I104" s="9" t="s">
        <v>8883</v>
      </c>
      <c r="J104" s="9" t="s">
        <v>2938</v>
      </c>
      <c r="K104" t="s">
        <v>8884</v>
      </c>
      <c r="L104" t="s">
        <v>8885</v>
      </c>
      <c r="M104" s="3" t="str">
        <f>HYPERLINK(склад2въезд131920[[#This Row],[RelativePath]])</f>
        <v>6 Площадка 1 общага\826398429_1_20260113T180904Z.jpg</v>
      </c>
    </row>
    <row r="105" spans="1:13" x14ac:dyDescent="0.25">
      <c r="A105" s="2" t="s">
        <v>15</v>
      </c>
      <c r="B105" s="4">
        <v>46036</v>
      </c>
      <c r="C105" s="5">
        <v>0.6895486111111111</v>
      </c>
      <c r="D105" s="9" t="s">
        <v>1967</v>
      </c>
      <c r="E105" s="9" t="s">
        <v>8</v>
      </c>
      <c r="F105" s="9"/>
      <c r="H105" s="9"/>
      <c r="I105" s="9" t="s">
        <v>9152</v>
      </c>
      <c r="J105" s="9" t="s">
        <v>2938</v>
      </c>
      <c r="K105" t="s">
        <v>9153</v>
      </c>
      <c r="L105" t="s">
        <v>9154</v>
      </c>
      <c r="M105" s="3" t="str">
        <f>HYPERLINK(склад2въезд131920[[#This Row],[RelativePath]])</f>
        <v>6 Площадка 1 общага\826398429_1_20260114T163257Z.jpg</v>
      </c>
    </row>
    <row r="106" spans="1:13" x14ac:dyDescent="0.25">
      <c r="A106" s="2" t="s">
        <v>16</v>
      </c>
      <c r="B106" s="4">
        <v>46037</v>
      </c>
      <c r="C106" s="5">
        <v>0.69920138888888894</v>
      </c>
      <c r="D106" s="9" t="s">
        <v>1967</v>
      </c>
      <c r="E106" s="9" t="s">
        <v>8</v>
      </c>
      <c r="F106" s="9"/>
      <c r="H106" s="9"/>
      <c r="I106" s="9" t="s">
        <v>9269</v>
      </c>
      <c r="J106" s="9" t="s">
        <v>2938</v>
      </c>
      <c r="K106" t="s">
        <v>9270</v>
      </c>
      <c r="L106" t="s">
        <v>9271</v>
      </c>
      <c r="M106" s="3" t="str">
        <f>HYPERLINK(склад2въезд131920[[#This Row],[RelativePath]])</f>
        <v>6 Площадка 1 общага\826398429_1_20260115T164651Z.jpg</v>
      </c>
    </row>
    <row r="107" spans="1:13" x14ac:dyDescent="0.25">
      <c r="A107" s="2" t="s">
        <v>17</v>
      </c>
      <c r="B107" s="4">
        <v>46038</v>
      </c>
      <c r="C107" s="5">
        <v>0.49086805555555557</v>
      </c>
      <c r="D107" s="9" t="s">
        <v>9281</v>
      </c>
      <c r="E107" s="9" t="s">
        <v>60</v>
      </c>
      <c r="F107" s="9"/>
      <c r="H107" s="9"/>
      <c r="I107" s="9" t="s">
        <v>9272</v>
      </c>
      <c r="J107" s="9" t="s">
        <v>2938</v>
      </c>
      <c r="K107" t="s">
        <v>9273</v>
      </c>
      <c r="L107" t="s">
        <v>9274</v>
      </c>
      <c r="M107" s="3" t="str">
        <f>HYPERLINK(склад2въезд131920[[#This Row],[RelativePath]])</f>
        <v>6 Площадка 1 общага\826398429_1_20260116T114651Z.jpg</v>
      </c>
    </row>
    <row r="108" spans="1:13" x14ac:dyDescent="0.25">
      <c r="A108" s="2" t="s">
        <v>17</v>
      </c>
      <c r="B108" s="4">
        <v>46038</v>
      </c>
      <c r="C108" s="5">
        <v>0.51019675925925922</v>
      </c>
      <c r="D108" s="9" t="s">
        <v>1066</v>
      </c>
      <c r="E108" s="9" t="s">
        <v>4188</v>
      </c>
      <c r="F108" s="9" t="s">
        <v>60</v>
      </c>
      <c r="H108" s="9"/>
      <c r="I108" s="9" t="s">
        <v>9275</v>
      </c>
      <c r="J108" s="9" t="s">
        <v>2938</v>
      </c>
      <c r="K108" t="s">
        <v>9276</v>
      </c>
      <c r="L108" t="s">
        <v>9277</v>
      </c>
      <c r="M108" s="3" t="str">
        <f>HYPERLINK(склад2въезд131920[[#This Row],[RelativePath]])</f>
        <v>6 Площадка 1 общага\826398429_1_20260116T121441Z.jpg</v>
      </c>
    </row>
    <row r="109" spans="1:13" x14ac:dyDescent="0.25">
      <c r="A109" s="2" t="s">
        <v>17</v>
      </c>
      <c r="B109" s="4">
        <v>46038</v>
      </c>
      <c r="C109" s="5">
        <v>0.67813657407407413</v>
      </c>
      <c r="D109" s="9" t="s">
        <v>4</v>
      </c>
      <c r="E109" s="9" t="s">
        <v>8</v>
      </c>
      <c r="F109" s="9"/>
      <c r="H109" s="9"/>
      <c r="I109" s="9" t="s">
        <v>9278</v>
      </c>
      <c r="J109" s="9" t="s">
        <v>2938</v>
      </c>
      <c r="K109" t="s">
        <v>9279</v>
      </c>
      <c r="L109" t="s">
        <v>9280</v>
      </c>
      <c r="M109" s="3" t="str">
        <f>HYPERLINK(склад2въезд131920[[#This Row],[RelativePath]])</f>
        <v>6 Площадка 1 общага\826398429_1_20260116T161631Z.jpg</v>
      </c>
    </row>
    <row r="110" spans="1:13" x14ac:dyDescent="0.25">
      <c r="A110" s="2" t="s">
        <v>22</v>
      </c>
      <c r="B110" s="4">
        <v>46033</v>
      </c>
      <c r="C110" s="5">
        <v>0.75490740740740736</v>
      </c>
      <c r="D110" s="9" t="s">
        <v>1967</v>
      </c>
      <c r="E110" s="9" t="s">
        <v>8</v>
      </c>
      <c r="F110" s="9"/>
      <c r="H110" s="9"/>
      <c r="I110" s="9" t="s">
        <v>9492</v>
      </c>
      <c r="J110" s="9" t="s">
        <v>2938</v>
      </c>
      <c r="K110" t="s">
        <v>9493</v>
      </c>
      <c r="L110" t="s">
        <v>9494</v>
      </c>
      <c r="M110" s="3" t="str">
        <f>HYPERLINK(склад2въезд131920[[#This Row],[RelativePath]])</f>
        <v>6 Площадка 1 общага\826398429_1_20260111T180704Z.jpg</v>
      </c>
    </row>
    <row r="111" spans="1:13" x14ac:dyDescent="0.25">
      <c r="A111" s="2" t="s">
        <v>18</v>
      </c>
      <c r="B111" s="4">
        <v>46039</v>
      </c>
      <c r="C111" s="5">
        <v>0.76306712962962964</v>
      </c>
      <c r="D111" s="9" t="s">
        <v>1967</v>
      </c>
      <c r="E111" s="9" t="s">
        <v>8</v>
      </c>
      <c r="F111" s="9"/>
      <c r="H111" s="9"/>
      <c r="I111" s="9" t="s">
        <v>9495</v>
      </c>
      <c r="J111" s="9" t="s">
        <v>2938</v>
      </c>
      <c r="K111" t="s">
        <v>9496</v>
      </c>
      <c r="L111" t="s">
        <v>9497</v>
      </c>
      <c r="M111" s="3" t="str">
        <f>HYPERLINK(склад2въезд131920[[#This Row],[RelativePath]])</f>
        <v>6 Площадка 1 общага\826398429_1_20260117T181849Z.jpg</v>
      </c>
    </row>
    <row r="112" spans="1:13" x14ac:dyDescent="0.25">
      <c r="A112" s="2" t="s">
        <v>13</v>
      </c>
      <c r="B112" s="4">
        <v>46041</v>
      </c>
      <c r="C112" s="5">
        <v>0.64368055555555559</v>
      </c>
      <c r="D112" s="9" t="s">
        <v>1967</v>
      </c>
      <c r="E112" s="9" t="s">
        <v>8</v>
      </c>
      <c r="F112" s="9"/>
      <c r="H112" s="9"/>
      <c r="I112" s="9" t="s">
        <v>9613</v>
      </c>
      <c r="J112" s="9" t="s">
        <v>2938</v>
      </c>
      <c r="K112" t="s">
        <v>9614</v>
      </c>
      <c r="L112" t="s">
        <v>9615</v>
      </c>
      <c r="M112" s="3" t="str">
        <f>HYPERLINK(склад2въезд131920[[#This Row],[RelativePath]])</f>
        <v>6 Площадка 1 общага\826398429_1_20260119T152654Z.jpg</v>
      </c>
    </row>
    <row r="113" spans="1:13" x14ac:dyDescent="0.25">
      <c r="A113" s="2" t="s">
        <v>14</v>
      </c>
      <c r="B113" s="4">
        <v>46042</v>
      </c>
      <c r="C113" s="5">
        <v>0.73013888888888889</v>
      </c>
      <c r="D113" s="9" t="s">
        <v>1967</v>
      </c>
      <c r="E113" s="9" t="s">
        <v>8</v>
      </c>
      <c r="F113" s="9"/>
      <c r="H113" s="9"/>
      <c r="I113" s="9" t="s">
        <v>9616</v>
      </c>
      <c r="J113" s="9" t="s">
        <v>2938</v>
      </c>
      <c r="K113" t="s">
        <v>9617</v>
      </c>
      <c r="L113" t="s">
        <v>9618</v>
      </c>
      <c r="M113" s="3" t="str">
        <f>HYPERLINK(склад2въезд131920[[#This Row],[RelativePath]])</f>
        <v>6 Площадка 1 общага\826398429_1_20260120T173124Z.jpg</v>
      </c>
    </row>
    <row r="114" spans="1:13" x14ac:dyDescent="0.25">
      <c r="A114" s="2" t="s">
        <v>15</v>
      </c>
      <c r="B114" s="4">
        <v>46043</v>
      </c>
      <c r="C114" s="5">
        <v>0.50771990740740736</v>
      </c>
      <c r="D114" s="9" t="s">
        <v>1967</v>
      </c>
      <c r="E114" s="9" t="s">
        <v>8</v>
      </c>
      <c r="F114" s="9"/>
      <c r="H114" s="9"/>
      <c r="I114" s="9" t="s">
        <v>9844</v>
      </c>
      <c r="J114" s="9" t="s">
        <v>2938</v>
      </c>
      <c r="K114" t="s">
        <v>9845</v>
      </c>
      <c r="L114" t="s">
        <v>9846</v>
      </c>
      <c r="M114" s="3" t="str">
        <f>HYPERLINK(склад2въезд131920[[#This Row],[RelativePath]])</f>
        <v>6 Площадка 1 общага\826398429_1_20260121T121107Z.jpg</v>
      </c>
    </row>
    <row r="115" spans="1:13" x14ac:dyDescent="0.25">
      <c r="A115" s="2" t="s">
        <v>16</v>
      </c>
      <c r="B115" s="4">
        <v>46044</v>
      </c>
      <c r="C115" s="5">
        <v>0.41822916666666665</v>
      </c>
      <c r="D115" s="9" t="s">
        <v>4</v>
      </c>
      <c r="E115" s="9" t="s">
        <v>8</v>
      </c>
      <c r="F115" s="9"/>
      <c r="H115" s="9"/>
      <c r="I115" s="9" t="s">
        <v>9847</v>
      </c>
      <c r="J115" s="9" t="s">
        <v>2938</v>
      </c>
      <c r="K115" t="s">
        <v>9848</v>
      </c>
      <c r="L115" t="s">
        <v>9849</v>
      </c>
      <c r="M115" s="3" t="str">
        <f>HYPERLINK(склад2въезд131920[[#This Row],[RelativePath]])</f>
        <v>6 Площадка 1 общага\826398429_1_20260122T100215Z.jpg</v>
      </c>
    </row>
    <row r="116" spans="1:13" x14ac:dyDescent="0.25">
      <c r="A116" s="2" t="s">
        <v>16</v>
      </c>
      <c r="B116" s="4">
        <v>46044</v>
      </c>
      <c r="C116" s="5">
        <v>0.62998842592592597</v>
      </c>
      <c r="D116" s="9" t="s">
        <v>4</v>
      </c>
      <c r="E116" s="9" t="s">
        <v>8</v>
      </c>
      <c r="F116" s="9"/>
      <c r="H116" s="9" t="s">
        <v>2891</v>
      </c>
      <c r="I116" s="9" t="s">
        <v>9850</v>
      </c>
      <c r="J116" s="9" t="s">
        <v>2938</v>
      </c>
      <c r="K116" t="s">
        <v>9851</v>
      </c>
      <c r="L116" t="s">
        <v>9852</v>
      </c>
      <c r="M116" s="3" t="str">
        <f>HYPERLINK(склад2въезд131920[[#This Row],[RelativePath]])</f>
        <v>6 Площадка 1 общага\826398429_1_20260122T150711Z.jpg</v>
      </c>
    </row>
    <row r="117" spans="1:13" x14ac:dyDescent="0.25">
      <c r="A117" s="2" t="s">
        <v>17</v>
      </c>
      <c r="B117" s="4">
        <v>46045</v>
      </c>
      <c r="C117" s="5">
        <v>0.58543981481481477</v>
      </c>
      <c r="D117" s="9" t="s">
        <v>1967</v>
      </c>
      <c r="E117" s="9" t="s">
        <v>8</v>
      </c>
      <c r="F117" s="9"/>
      <c r="H117" s="9"/>
      <c r="I117" s="9" t="s">
        <v>10224</v>
      </c>
      <c r="J117" s="9" t="s">
        <v>2938</v>
      </c>
      <c r="K117" t="s">
        <v>10225</v>
      </c>
      <c r="L117" t="s">
        <v>10226</v>
      </c>
      <c r="M117" s="3" t="str">
        <f>HYPERLINK(склад2въезд131920[[#This Row],[RelativePath]])</f>
        <v>6 Площадка 1 общага\826398429_1_20260123T140302Z.jpg</v>
      </c>
    </row>
    <row r="118" spans="1:13" x14ac:dyDescent="0.25">
      <c r="A118" s="2" t="s">
        <v>18</v>
      </c>
      <c r="B118" s="4">
        <v>46046</v>
      </c>
      <c r="C118" s="5">
        <v>0.70499999999999996</v>
      </c>
      <c r="D118" s="9" t="s">
        <v>1967</v>
      </c>
      <c r="E118" s="9" t="s">
        <v>8</v>
      </c>
      <c r="F118" s="9"/>
      <c r="H118" s="9"/>
      <c r="I118" s="9" t="s">
        <v>10379</v>
      </c>
      <c r="J118" s="9" t="s">
        <v>2938</v>
      </c>
      <c r="K118" t="s">
        <v>10380</v>
      </c>
      <c r="L118" t="s">
        <v>10381</v>
      </c>
      <c r="M118" s="3" t="str">
        <f>HYPERLINK(склад2въезд131920[[#This Row],[RelativePath]])</f>
        <v>6 Площадка 1 общага\826398429_1_20260124T165512Z.jpg</v>
      </c>
    </row>
    <row r="119" spans="1:13" x14ac:dyDescent="0.25">
      <c r="A119" s="2" t="s">
        <v>22</v>
      </c>
      <c r="B119" s="4">
        <v>46047</v>
      </c>
      <c r="C119" s="5">
        <v>0.77231481481481479</v>
      </c>
      <c r="D119" s="9" t="s">
        <v>1967</v>
      </c>
      <c r="E119" s="9" t="s">
        <v>8</v>
      </c>
      <c r="F119" s="9"/>
      <c r="H119" s="9"/>
      <c r="I119" s="9" t="s">
        <v>10382</v>
      </c>
      <c r="J119" s="9" t="s">
        <v>2938</v>
      </c>
      <c r="K119" t="s">
        <v>10383</v>
      </c>
      <c r="L119" t="s">
        <v>10384</v>
      </c>
      <c r="M119" s="3" t="str">
        <f>HYPERLINK(склад2въезд131920[[#This Row],[RelativePath]])</f>
        <v>6 Площадка 1 общага\826398429_1_20260125T183208Z.jpg</v>
      </c>
    </row>
    <row r="120" spans="1:13" x14ac:dyDescent="0.25">
      <c r="A120" s="2" t="s">
        <v>13</v>
      </c>
      <c r="B120" s="4">
        <v>46048</v>
      </c>
      <c r="C120" s="5">
        <v>0.67927083333333338</v>
      </c>
      <c r="D120" s="9" t="s">
        <v>1967</v>
      </c>
      <c r="E120" s="9" t="s">
        <v>8</v>
      </c>
      <c r="F120" s="9"/>
      <c r="H120" s="9"/>
      <c r="I120" s="9" t="s">
        <v>10424</v>
      </c>
      <c r="J120" s="9" t="s">
        <v>2938</v>
      </c>
      <c r="K120" t="s">
        <v>10425</v>
      </c>
      <c r="L120" t="s">
        <v>10426</v>
      </c>
      <c r="M120" s="3" t="str">
        <f>HYPERLINK(склад2въезд131920[[#This Row],[RelativePath]])</f>
        <v>6 Площадка 1 общага\826398429_1_20260126T161809Z.jpg</v>
      </c>
    </row>
    <row r="121" spans="1:13" x14ac:dyDescent="0.25">
      <c r="A121" s="2" t="s">
        <v>14</v>
      </c>
      <c r="B121" s="4">
        <v>46049</v>
      </c>
      <c r="C121" s="5">
        <v>0.52552083333333333</v>
      </c>
      <c r="D121" s="9" t="s">
        <v>1967</v>
      </c>
      <c r="E121" s="9" t="s">
        <v>8</v>
      </c>
      <c r="F121" s="9"/>
      <c r="H121" s="9"/>
      <c r="I121" s="9" t="s">
        <v>10427</v>
      </c>
      <c r="J121" s="9" t="s">
        <v>2938</v>
      </c>
      <c r="K121" t="s">
        <v>10428</v>
      </c>
      <c r="L121" t="s">
        <v>10429</v>
      </c>
      <c r="M121" s="3" t="str">
        <f>HYPERLINK(склад2въезд131920[[#This Row],[RelativePath]])</f>
        <v>6 Площадка 1 общага\826398429_1_20260127T123645Z.jpg</v>
      </c>
    </row>
    <row r="122" spans="1:13" x14ac:dyDescent="0.25">
      <c r="A122" s="2" t="s">
        <v>15</v>
      </c>
      <c r="B122" s="4">
        <v>46050</v>
      </c>
      <c r="C122" s="5">
        <v>0.68431712962962965</v>
      </c>
      <c r="D122" s="9" t="s">
        <v>1967</v>
      </c>
      <c r="E122" s="9" t="s">
        <v>8</v>
      </c>
      <c r="F122" s="9"/>
      <c r="H122" s="9"/>
      <c r="I122" s="9" t="s">
        <v>10650</v>
      </c>
      <c r="J122" s="9" t="s">
        <v>2938</v>
      </c>
      <c r="K122" t="s">
        <v>10651</v>
      </c>
      <c r="L122" t="s">
        <v>10652</v>
      </c>
      <c r="M122" s="3" t="str">
        <f>HYPERLINK(склад2въезд131920[[#This Row],[RelativePath]])</f>
        <v>6 Площадка 1 общага\826398429_1_20260128T162525Z.jpg</v>
      </c>
    </row>
    <row r="123" spans="1:13" x14ac:dyDescent="0.25">
      <c r="A123" s="2" t="s">
        <v>16</v>
      </c>
      <c r="B123" s="4">
        <v>46051</v>
      </c>
      <c r="C123" s="5">
        <v>0.68480324074074073</v>
      </c>
      <c r="D123" s="9" t="s">
        <v>1967</v>
      </c>
      <c r="E123" s="9" t="s">
        <v>8</v>
      </c>
      <c r="F123" s="9"/>
      <c r="H123" s="9"/>
      <c r="I123" s="9" t="s">
        <v>10653</v>
      </c>
      <c r="J123" s="9" t="s">
        <v>2938</v>
      </c>
      <c r="K123" t="s">
        <v>10654</v>
      </c>
      <c r="L123" t="s">
        <v>10655</v>
      </c>
      <c r="M123" s="3" t="str">
        <f>HYPERLINK(склад2въезд131920[[#This Row],[RelativePath]])</f>
        <v>6 Площадка 1 общага\826398429_1_20260129T162607Z.jpg</v>
      </c>
    </row>
    <row r="124" spans="1:13" x14ac:dyDescent="0.25">
      <c r="A124" s="2" t="s">
        <v>17</v>
      </c>
      <c r="B124" s="4">
        <v>46052</v>
      </c>
      <c r="C124" s="5">
        <v>0.54097222222222219</v>
      </c>
      <c r="D124" s="9" t="s">
        <v>1967</v>
      </c>
      <c r="E124" s="9" t="s">
        <v>8</v>
      </c>
      <c r="F124" s="9"/>
      <c r="H124" s="9"/>
      <c r="I124" s="9" t="s">
        <v>10786</v>
      </c>
      <c r="J124" s="9" t="s">
        <v>2938</v>
      </c>
      <c r="K124" t="s">
        <v>10787</v>
      </c>
      <c r="L124" t="s">
        <v>10788</v>
      </c>
      <c r="M124" s="3" t="str">
        <f>HYPERLINK(склад2въезд131920[[#This Row],[RelativePath]])</f>
        <v>6 Площадка 1 общага\826398429_1_20260130T125900Z.jpg</v>
      </c>
    </row>
    <row r="125" spans="1:13" x14ac:dyDescent="0.25">
      <c r="A125" s="2" t="s">
        <v>18</v>
      </c>
      <c r="B125" s="4">
        <v>46053</v>
      </c>
      <c r="C125" s="5">
        <v>0.46357638888888891</v>
      </c>
      <c r="D125" s="9" t="s">
        <v>4</v>
      </c>
      <c r="E125" s="9" t="s">
        <v>7947</v>
      </c>
      <c r="F125" s="9"/>
      <c r="H125" s="9"/>
      <c r="I125" s="9" t="s">
        <v>10900</v>
      </c>
      <c r="J125" s="9" t="s">
        <v>2938</v>
      </c>
      <c r="K125" t="s">
        <v>10901</v>
      </c>
      <c r="L125" t="s">
        <v>10902</v>
      </c>
      <c r="M125" s="3" t="str">
        <f>HYPERLINK(склад2въезд131920[[#This Row],[RelativePath]])</f>
        <v>6 Площадка 1 общага\826398429_1_20260131T110733Z.jpg</v>
      </c>
    </row>
    <row r="126" spans="1:13" x14ac:dyDescent="0.25">
      <c r="A126" s="2" t="s">
        <v>22</v>
      </c>
      <c r="B126" s="4">
        <v>46054</v>
      </c>
      <c r="C126" s="5">
        <v>0.69827546296296295</v>
      </c>
      <c r="D126" s="9" t="s">
        <v>1967</v>
      </c>
      <c r="E126" s="9" t="s">
        <v>8</v>
      </c>
      <c r="F126" s="9"/>
      <c r="H126" s="9"/>
      <c r="I126" s="9" t="s">
        <v>10903</v>
      </c>
      <c r="J126" s="9" t="s">
        <v>2938</v>
      </c>
      <c r="K126" t="s">
        <v>10904</v>
      </c>
      <c r="L126" t="s">
        <v>10905</v>
      </c>
      <c r="M126" s="3" t="str">
        <f>HYPERLINK(склад2въезд131920[[#This Row],[RelativePath]])</f>
        <v>6 Площадка 1 общага\826398429_1_20260201T164531Z.jpg</v>
      </c>
    </row>
    <row r="127" spans="1:13" x14ac:dyDescent="0.25">
      <c r="A127" s="2" t="s">
        <v>13</v>
      </c>
      <c r="B127" s="4">
        <v>46055</v>
      </c>
      <c r="C127" s="5">
        <v>0.50019675925925922</v>
      </c>
      <c r="D127" s="9" t="s">
        <v>1967</v>
      </c>
      <c r="E127" s="9" t="s">
        <v>8</v>
      </c>
      <c r="F127" s="9"/>
      <c r="H127" s="9"/>
      <c r="I127" s="9" t="s">
        <v>11042</v>
      </c>
      <c r="J127" s="9" t="s">
        <v>2938</v>
      </c>
      <c r="K127" t="s">
        <v>11043</v>
      </c>
      <c r="L127" t="s">
        <v>11044</v>
      </c>
      <c r="M127" s="3" t="str">
        <f>HYPERLINK(склад2въезд131920[[#This Row],[RelativePath]])</f>
        <v>6 Площадка 1 общага\826398429_1_20260202T120017Z.jpg</v>
      </c>
    </row>
    <row r="128" spans="1:13" x14ac:dyDescent="0.25">
      <c r="A128" s="2" t="s">
        <v>14</v>
      </c>
      <c r="B128" s="4">
        <v>46056</v>
      </c>
      <c r="C128" s="5">
        <v>0.71646990740740746</v>
      </c>
      <c r="D128" s="9" t="s">
        <v>4</v>
      </c>
      <c r="E128" s="9" t="s">
        <v>7947</v>
      </c>
      <c r="F128" s="9"/>
      <c r="H128" s="9"/>
      <c r="I128" s="9" t="s">
        <v>11045</v>
      </c>
      <c r="J128" s="9" t="s">
        <v>2938</v>
      </c>
      <c r="K128" t="s">
        <v>11046</v>
      </c>
      <c r="L128" t="s">
        <v>11047</v>
      </c>
      <c r="M128" s="3" t="str">
        <f>HYPERLINK(склад2въезд131920[[#This Row],[RelativePath]])</f>
        <v>6 Площадка 1 общага\826398429_1_20260203T171143Z.jpg</v>
      </c>
    </row>
    <row r="129" spans="1:13" x14ac:dyDescent="0.25">
      <c r="A129" s="2" t="s">
        <v>15</v>
      </c>
      <c r="B129" s="4">
        <v>46057</v>
      </c>
      <c r="C129" s="5">
        <v>0.52496527777777779</v>
      </c>
      <c r="D129" s="9" t="s">
        <v>4</v>
      </c>
      <c r="E129" s="9" t="s">
        <v>8693</v>
      </c>
      <c r="F129" s="9"/>
      <c r="H129" s="9"/>
      <c r="I129" s="9" t="s">
        <v>11491</v>
      </c>
      <c r="J129" s="9" t="s">
        <v>2938</v>
      </c>
      <c r="K129" t="s">
        <v>11492</v>
      </c>
      <c r="L129" t="s">
        <v>11493</v>
      </c>
      <c r="M129" s="3" t="str">
        <f>HYPERLINK(склад2въезд131920[[#This Row],[RelativePath]])</f>
        <v>6 Площадка 1 общага\826398429_1_20260204T123557Z.jpg</v>
      </c>
    </row>
    <row r="130" spans="1:13" x14ac:dyDescent="0.25">
      <c r="A130" s="2" t="s">
        <v>16</v>
      </c>
      <c r="B130" s="4">
        <v>46058</v>
      </c>
      <c r="C130" s="5">
        <v>0.5090393518518519</v>
      </c>
      <c r="D130" s="9" t="s">
        <v>1967</v>
      </c>
      <c r="E130" s="9" t="s">
        <v>8</v>
      </c>
      <c r="F130" s="9"/>
      <c r="H130" s="9"/>
      <c r="I130" s="9" t="s">
        <v>11465</v>
      </c>
      <c r="J130" s="9" t="s">
        <v>2938</v>
      </c>
      <c r="K130" t="s">
        <v>11466</v>
      </c>
      <c r="L130" t="s">
        <v>11467</v>
      </c>
      <c r="M130" s="3" t="str">
        <f>HYPERLINK(склад2въезд131920[[#This Row],[RelativePath]])</f>
        <v>6 Площадка 1 общага\826398429_1_20260205T121301Z.jpg</v>
      </c>
    </row>
    <row r="131" spans="1:13" x14ac:dyDescent="0.25">
      <c r="A131" s="2" t="s">
        <v>17</v>
      </c>
      <c r="B131" s="4">
        <v>46059</v>
      </c>
      <c r="C131" s="5">
        <v>0.67365740740740743</v>
      </c>
      <c r="D131" s="9" t="s">
        <v>1967</v>
      </c>
      <c r="E131" s="9" t="s">
        <v>8</v>
      </c>
      <c r="F131" s="9"/>
      <c r="H131" s="9"/>
      <c r="I131" s="9" t="s">
        <v>11468</v>
      </c>
      <c r="J131" s="9" t="s">
        <v>2938</v>
      </c>
      <c r="K131" t="s">
        <v>11469</v>
      </c>
      <c r="L131" t="s">
        <v>11470</v>
      </c>
      <c r="M131" s="3" t="str">
        <f>HYPERLINK(склад2въезд131920[[#This Row],[RelativePath]])</f>
        <v>6 Площадка 1 общага\826398429_1_20260206T161004Z.jpg</v>
      </c>
    </row>
    <row r="132" spans="1:13" x14ac:dyDescent="0.25">
      <c r="A132" s="2" t="s">
        <v>18</v>
      </c>
      <c r="B132" s="4">
        <v>46060</v>
      </c>
      <c r="C132" s="5">
        <v>0.35116898148148146</v>
      </c>
      <c r="D132" s="9" t="s">
        <v>1967</v>
      </c>
      <c r="E132" s="9" t="s">
        <v>8</v>
      </c>
      <c r="F132" s="9"/>
      <c r="H132" s="9"/>
      <c r="I132" s="9" t="s">
        <v>11541</v>
      </c>
      <c r="J132" s="9" t="s">
        <v>2938</v>
      </c>
      <c r="K132" t="s">
        <v>11542</v>
      </c>
      <c r="L132" t="s">
        <v>11543</v>
      </c>
      <c r="M132" s="3" t="str">
        <f>HYPERLINK(склад2въезд131920[[#This Row],[RelativePath]])</f>
        <v>6 Площадка 1 общага\826398429_1_20260207T082541Z.jpg</v>
      </c>
    </row>
    <row r="133" spans="1:13" x14ac:dyDescent="0.25">
      <c r="A133" s="2" t="s">
        <v>22</v>
      </c>
      <c r="B133" s="4">
        <v>46061</v>
      </c>
      <c r="C133" s="5">
        <v>0.68150462962962965</v>
      </c>
      <c r="D133" s="9" t="s">
        <v>1967</v>
      </c>
      <c r="E133" s="9" t="s">
        <v>8</v>
      </c>
      <c r="F133" s="9"/>
      <c r="H133" s="9"/>
      <c r="I133" s="9" t="s">
        <v>11544</v>
      </c>
      <c r="J133" s="9" t="s">
        <v>2938</v>
      </c>
      <c r="K133" t="s">
        <v>11545</v>
      </c>
      <c r="L133" t="s">
        <v>11546</v>
      </c>
      <c r="M133" s="3" t="str">
        <f>HYPERLINK(склад2въезд131920[[#This Row],[RelativePath]])</f>
        <v>6 Площадка 1 общага\826398429_1_20260208T162122Z.jpg</v>
      </c>
    </row>
    <row r="134" spans="1:13" x14ac:dyDescent="0.25">
      <c r="A134" s="2" t="s">
        <v>13</v>
      </c>
      <c r="B134" s="4">
        <v>46062</v>
      </c>
      <c r="C134" s="5">
        <v>0.62783564814814818</v>
      </c>
      <c r="D134" s="9" t="s">
        <v>1967</v>
      </c>
      <c r="E134" s="9" t="s">
        <v>8</v>
      </c>
      <c r="F134" s="9"/>
      <c r="H134" s="9"/>
      <c r="I134" s="9" t="s">
        <v>11783</v>
      </c>
      <c r="J134" s="9" t="s">
        <v>2938</v>
      </c>
      <c r="K134" t="s">
        <v>11784</v>
      </c>
      <c r="L134" t="s">
        <v>11785</v>
      </c>
      <c r="M134" s="3" t="str">
        <f>HYPERLINK(склад2въезд131920[[#This Row],[RelativePath]])</f>
        <v>6 Площадка 1 общага\826398429_1_20260209T150405Z.jpg</v>
      </c>
    </row>
    <row r="135" spans="1:13" x14ac:dyDescent="0.25">
      <c r="A135" s="2" t="s">
        <v>14</v>
      </c>
      <c r="B135" s="4">
        <v>46063</v>
      </c>
      <c r="C135" s="5">
        <v>0.52511574074074074</v>
      </c>
      <c r="D135" s="9" t="s">
        <v>11810</v>
      </c>
      <c r="E135" s="9"/>
      <c r="F135" s="9"/>
      <c r="H135" s="9"/>
      <c r="I135" s="9" t="s">
        <v>11786</v>
      </c>
      <c r="J135" s="9" t="s">
        <v>2938</v>
      </c>
      <c r="K135" t="s">
        <v>11787</v>
      </c>
      <c r="L135" t="s">
        <v>11788</v>
      </c>
      <c r="M135" s="3" t="str">
        <f>HYPERLINK(склад2въезд131920[[#This Row],[RelativePath]])</f>
        <v>6 Площадка 1 общага\826398429_1_20260210T123610Z.jpg</v>
      </c>
    </row>
    <row r="136" spans="1:13" x14ac:dyDescent="0.25">
      <c r="A136" s="2" t="s">
        <v>14</v>
      </c>
      <c r="B136" s="4">
        <v>46063</v>
      </c>
      <c r="C136" s="5">
        <v>0.63376157407407407</v>
      </c>
      <c r="D136" s="9" t="s">
        <v>11811</v>
      </c>
      <c r="E136" s="9"/>
      <c r="F136" s="9"/>
      <c r="H136" s="9"/>
      <c r="I136" s="9" t="s">
        <v>11789</v>
      </c>
      <c r="J136" s="9" t="s">
        <v>2938</v>
      </c>
      <c r="K136" t="s">
        <v>11790</v>
      </c>
      <c r="L136" t="s">
        <v>11791</v>
      </c>
      <c r="M136" s="3" t="str">
        <f>HYPERLINK(склад2въезд131920[[#This Row],[RelativePath]])</f>
        <v>6 Площадка 1 общага\826398429_1_20260210T151237Z.jpg</v>
      </c>
    </row>
    <row r="137" spans="1:13" x14ac:dyDescent="0.25">
      <c r="A137" s="2" t="s">
        <v>14</v>
      </c>
      <c r="B137" s="4">
        <v>46063</v>
      </c>
      <c r="C137" s="5">
        <v>0.76949074074074075</v>
      </c>
      <c r="D137" s="9" t="s">
        <v>1967</v>
      </c>
      <c r="E137" s="9" t="s">
        <v>8</v>
      </c>
      <c r="F137" s="9"/>
      <c r="H137" s="9"/>
      <c r="I137" s="9" t="s">
        <v>11792</v>
      </c>
      <c r="J137" s="9" t="s">
        <v>2938</v>
      </c>
      <c r="K137" t="s">
        <v>11793</v>
      </c>
      <c r="L137" t="s">
        <v>11794</v>
      </c>
      <c r="M137" s="3" t="str">
        <f>HYPERLINK(склад2въезд131920[[#This Row],[RelativePath]])</f>
        <v>6 Площадка 1 общага\826398429_1_20260210T182804Z.jpg</v>
      </c>
    </row>
    <row r="138" spans="1:13" x14ac:dyDescent="0.25">
      <c r="A138" s="2" t="s">
        <v>15</v>
      </c>
      <c r="B138" s="4">
        <v>46064</v>
      </c>
      <c r="C138" s="5">
        <v>0.41890046296296296</v>
      </c>
      <c r="D138" s="9" t="s">
        <v>4</v>
      </c>
      <c r="E138" s="9" t="s">
        <v>7947</v>
      </c>
      <c r="F138" s="9"/>
      <c r="H138" s="9"/>
      <c r="I138" s="9" t="s">
        <v>11795</v>
      </c>
      <c r="J138" s="9" t="s">
        <v>2938</v>
      </c>
      <c r="K138" t="s">
        <v>11796</v>
      </c>
      <c r="L138" t="s">
        <v>11797</v>
      </c>
      <c r="M138" s="3" t="str">
        <f>HYPERLINK(склад2въезд131920[[#This Row],[RelativePath]])</f>
        <v>6 Площадка 1 общага\826398429_1_20260211T100313Z.jpg</v>
      </c>
    </row>
    <row r="139" spans="1:13" x14ac:dyDescent="0.25">
      <c r="A139" s="2" t="s">
        <v>15</v>
      </c>
      <c r="B139" s="4">
        <v>46064</v>
      </c>
      <c r="C139" s="5">
        <v>0.75252314814814814</v>
      </c>
      <c r="D139" s="9" t="s">
        <v>4</v>
      </c>
      <c r="E139" s="9" t="s">
        <v>8</v>
      </c>
      <c r="F139" s="9"/>
      <c r="H139" s="9"/>
      <c r="I139" s="9" t="s">
        <v>11798</v>
      </c>
      <c r="J139" s="9" t="s">
        <v>2938</v>
      </c>
      <c r="K139" t="s">
        <v>11799</v>
      </c>
      <c r="L139" t="s">
        <v>11800</v>
      </c>
      <c r="M139" s="3" t="str">
        <f>HYPERLINK(склад2въезд131920[[#This Row],[RelativePath]])</f>
        <v>6 Площадка 1 общага\826398429_1_20260211T180338Z.jpg</v>
      </c>
    </row>
    <row r="140" spans="1:13" x14ac:dyDescent="0.25">
      <c r="A140" s="2" t="s">
        <v>16</v>
      </c>
      <c r="B140" s="4">
        <v>46065</v>
      </c>
      <c r="C140" s="5">
        <v>0.60403935185185187</v>
      </c>
      <c r="D140" s="9" t="s">
        <v>4</v>
      </c>
      <c r="E140" s="9" t="s">
        <v>7947</v>
      </c>
      <c r="F140" s="9"/>
      <c r="H140" s="9"/>
      <c r="I140" s="9" t="s">
        <v>11801</v>
      </c>
      <c r="J140" s="9" t="s">
        <v>2938</v>
      </c>
      <c r="K140" t="s">
        <v>11802</v>
      </c>
      <c r="L140" t="s">
        <v>11803</v>
      </c>
      <c r="M140" s="3" t="str">
        <f>HYPERLINK(склад2въезд131920[[#This Row],[RelativePath]])</f>
        <v>6 Площадка 1 общага\826398429_1_20260212T142949Z.jpg</v>
      </c>
    </row>
    <row r="141" spans="1:13" x14ac:dyDescent="0.25">
      <c r="A141" s="2" t="s">
        <v>16</v>
      </c>
      <c r="B141" s="4">
        <v>46065</v>
      </c>
      <c r="C141" s="5">
        <v>0.69699074074074074</v>
      </c>
      <c r="D141" s="9" t="s">
        <v>4</v>
      </c>
      <c r="E141" s="9" t="s">
        <v>7947</v>
      </c>
      <c r="F141" s="9"/>
      <c r="H141" s="9"/>
      <c r="I141" s="9" t="s">
        <v>11804</v>
      </c>
      <c r="J141" s="9" t="s">
        <v>2938</v>
      </c>
      <c r="K141" t="s">
        <v>11805</v>
      </c>
      <c r="L141" t="s">
        <v>11806</v>
      </c>
      <c r="M141" s="3" t="str">
        <f>HYPERLINK(склад2въезд131920[[#This Row],[RelativePath]])</f>
        <v>6 Площадка 1 общага\826398429_1_20260212T164340Z.jpg</v>
      </c>
    </row>
    <row r="142" spans="1:13" x14ac:dyDescent="0.25">
      <c r="A142" s="2" t="s">
        <v>17</v>
      </c>
      <c r="B142" s="4">
        <v>46066</v>
      </c>
      <c r="C142" s="5">
        <v>0.4001851851851852</v>
      </c>
      <c r="D142" s="9" t="s">
        <v>4</v>
      </c>
      <c r="E142" s="9" t="s">
        <v>7947</v>
      </c>
      <c r="F142" s="9"/>
      <c r="H142" s="9"/>
      <c r="I142" s="9" t="s">
        <v>11854</v>
      </c>
      <c r="J142" s="9" t="s">
        <v>2938</v>
      </c>
      <c r="K142" t="s">
        <v>11855</v>
      </c>
      <c r="L142" t="s">
        <v>11856</v>
      </c>
      <c r="M142" s="3" t="str">
        <f>HYPERLINK(склад2въезд131920[[#This Row],[RelativePath]])</f>
        <v>6 Площадка 1 общага\826398429_1_20260213T093616Z.jpg</v>
      </c>
    </row>
    <row r="143" spans="1:13" x14ac:dyDescent="0.25">
      <c r="A143" s="2" t="s">
        <v>17</v>
      </c>
      <c r="B143" s="4">
        <v>46066</v>
      </c>
      <c r="C143" s="5">
        <v>0.75923611111111111</v>
      </c>
      <c r="D143" s="9" t="s">
        <v>4</v>
      </c>
      <c r="E143" s="9" t="s">
        <v>8</v>
      </c>
      <c r="F143" s="9"/>
      <c r="H143" s="9"/>
      <c r="I143" s="9" t="s">
        <v>11857</v>
      </c>
      <c r="J143" s="9" t="s">
        <v>2938</v>
      </c>
      <c r="K143" t="s">
        <v>11858</v>
      </c>
      <c r="L143" t="s">
        <v>11859</v>
      </c>
      <c r="M143" s="3" t="str">
        <f>HYPERLINK(склад2въезд131920[[#This Row],[RelativePath]])</f>
        <v>6 Площадка 1 общага\826398429_1_20260213T181318Z.jpg</v>
      </c>
    </row>
    <row r="144" spans="1:13" x14ac:dyDescent="0.25">
      <c r="A144" s="2" t="s">
        <v>18</v>
      </c>
      <c r="B144" s="4">
        <v>46067</v>
      </c>
      <c r="C144" s="5">
        <v>0.6752083333333333</v>
      </c>
      <c r="D144" s="9" t="s">
        <v>4</v>
      </c>
      <c r="E144" s="9" t="s">
        <v>7947</v>
      </c>
      <c r="F144" s="9"/>
      <c r="H144" s="9"/>
      <c r="I144" s="9" t="s">
        <v>11860</v>
      </c>
      <c r="J144" s="9" t="s">
        <v>2938</v>
      </c>
      <c r="K144" t="s">
        <v>11861</v>
      </c>
      <c r="L144" t="s">
        <v>11862</v>
      </c>
      <c r="M144" s="3" t="str">
        <f>HYPERLINK(склад2въезд131920[[#This Row],[RelativePath]])</f>
        <v>6 Площадка 1 общага\826398429_1_20260214T161218Z.jpg</v>
      </c>
    </row>
    <row r="145" spans="1:13" x14ac:dyDescent="0.25">
      <c r="A145" s="2" t="s">
        <v>22</v>
      </c>
      <c r="B145" s="4">
        <v>46068</v>
      </c>
      <c r="C145" s="5">
        <v>0.44150462962962961</v>
      </c>
      <c r="D145" s="9" t="s">
        <v>4</v>
      </c>
      <c r="E145" s="9" t="s">
        <v>7947</v>
      </c>
      <c r="F145" s="9"/>
      <c r="H145" s="9"/>
      <c r="I145" s="9" t="s">
        <v>11881</v>
      </c>
      <c r="J145" s="9" t="s">
        <v>2938</v>
      </c>
      <c r="K145" t="s">
        <v>11882</v>
      </c>
      <c r="L145" t="s">
        <v>11883</v>
      </c>
      <c r="M145" s="3" t="str">
        <f>HYPERLINK(склад2въезд131920[[#This Row],[RelativePath]])</f>
        <v>6 Площадка 1 общага\826398429_1_20260215T103546Z.jpg</v>
      </c>
    </row>
    <row r="146" spans="1:13" x14ac:dyDescent="0.25">
      <c r="A146" s="2" t="s">
        <v>22</v>
      </c>
      <c r="B146" s="4">
        <v>46068</v>
      </c>
      <c r="C146" s="5">
        <v>0.75067129629629625</v>
      </c>
      <c r="D146" s="9" t="s">
        <v>4</v>
      </c>
      <c r="E146" s="9" t="s">
        <v>8</v>
      </c>
      <c r="F146" s="9"/>
      <c r="H146" s="9" t="s">
        <v>2891</v>
      </c>
      <c r="I146" s="9" t="s">
        <v>11884</v>
      </c>
      <c r="J146" s="9" t="s">
        <v>2938</v>
      </c>
      <c r="K146" t="s">
        <v>11885</v>
      </c>
      <c r="L146" t="s">
        <v>11886</v>
      </c>
      <c r="M146" s="3" t="str">
        <f>HYPERLINK(склад2въезд131920[[#This Row],[RelativePath]])</f>
        <v>6 Площадка 1 общага\826398429_1_20260215T180058Z.jpg</v>
      </c>
    </row>
    <row r="147" spans="1:13" x14ac:dyDescent="0.25">
      <c r="A147" s="2" t="s">
        <v>13</v>
      </c>
      <c r="B147" s="4">
        <v>46069</v>
      </c>
      <c r="C147" s="5">
        <v>0.37565972222222221</v>
      </c>
      <c r="D147" s="9" t="s">
        <v>12231</v>
      </c>
      <c r="E147" s="9"/>
      <c r="F147" s="9"/>
      <c r="H147" s="9"/>
      <c r="I147" s="9" t="s">
        <v>12182</v>
      </c>
      <c r="J147" s="9" t="s">
        <v>2938</v>
      </c>
      <c r="K147" t="s">
        <v>12183</v>
      </c>
      <c r="L147" t="s">
        <v>12184</v>
      </c>
      <c r="M147" s="3" t="str">
        <f>HYPERLINK(склад2въезд131920[[#This Row],[RelativePath]])</f>
        <v>6 Площадка 1 общага\826398429_1_20260216T090057Z.jpg</v>
      </c>
    </row>
    <row r="148" spans="1:13" x14ac:dyDescent="0.25">
      <c r="A148" s="2" t="s">
        <v>13</v>
      </c>
      <c r="B148" s="4">
        <v>46069</v>
      </c>
      <c r="C148" s="5">
        <v>0.39288194444444446</v>
      </c>
      <c r="D148" s="9" t="s">
        <v>12231</v>
      </c>
      <c r="E148" s="9"/>
      <c r="F148" s="9"/>
      <c r="H148" s="9"/>
      <c r="I148" s="9" t="s">
        <v>12185</v>
      </c>
      <c r="J148" s="9" t="s">
        <v>2938</v>
      </c>
      <c r="K148" t="s">
        <v>12186</v>
      </c>
      <c r="L148" t="s">
        <v>12187</v>
      </c>
      <c r="M148" s="3" t="str">
        <f>HYPERLINK(склад2въезд131920[[#This Row],[RelativePath]])</f>
        <v>6 Площадка 1 общага\826398429_1_20260216T092545Z.jpg</v>
      </c>
    </row>
    <row r="149" spans="1:13" x14ac:dyDescent="0.25">
      <c r="A149" s="2" t="s">
        <v>13</v>
      </c>
      <c r="B149" s="4">
        <v>46069</v>
      </c>
      <c r="C149" s="5">
        <v>0.41275462962962961</v>
      </c>
      <c r="D149" s="9" t="s">
        <v>12231</v>
      </c>
      <c r="E149" s="9"/>
      <c r="F149" s="9"/>
      <c r="H149" s="9"/>
      <c r="I149" s="9" t="s">
        <v>12188</v>
      </c>
      <c r="J149" s="9" t="s">
        <v>2938</v>
      </c>
      <c r="K149" t="s">
        <v>12189</v>
      </c>
      <c r="L149" t="s">
        <v>12190</v>
      </c>
      <c r="M149" s="3" t="str">
        <f>HYPERLINK(склад2въезд131920[[#This Row],[RelativePath]])</f>
        <v>6 Площадка 1 общага\826398429_1_20260216T095422Z.jpg</v>
      </c>
    </row>
    <row r="150" spans="1:13" x14ac:dyDescent="0.25">
      <c r="A150" s="2" t="s">
        <v>13</v>
      </c>
      <c r="B150" s="4">
        <v>46069</v>
      </c>
      <c r="C150" s="5">
        <v>0.45247685185185182</v>
      </c>
      <c r="D150" s="9" t="s">
        <v>12231</v>
      </c>
      <c r="E150" s="9"/>
      <c r="F150" s="9"/>
      <c r="H150" s="9"/>
      <c r="I150" s="9" t="s">
        <v>12191</v>
      </c>
      <c r="J150" s="9" t="s">
        <v>2938</v>
      </c>
      <c r="K150" t="s">
        <v>12192</v>
      </c>
      <c r="L150" t="s">
        <v>12193</v>
      </c>
      <c r="M150" s="3" t="str">
        <f>HYPERLINK(склад2въезд131920[[#This Row],[RelativePath]])</f>
        <v>6 Площадка 1 общага\826398429_1_20260216T105134Z.jpg</v>
      </c>
    </row>
    <row r="151" spans="1:13" x14ac:dyDescent="0.25">
      <c r="A151" s="2" t="s">
        <v>13</v>
      </c>
      <c r="B151" s="4">
        <v>46069</v>
      </c>
      <c r="C151" s="5">
        <v>0.52258101851851857</v>
      </c>
      <c r="D151" s="9" t="s">
        <v>12231</v>
      </c>
      <c r="E151" s="9"/>
      <c r="F151" s="9"/>
      <c r="H151" s="9"/>
      <c r="I151" s="9" t="s">
        <v>12194</v>
      </c>
      <c r="J151" s="9" t="s">
        <v>2938</v>
      </c>
      <c r="K151" t="s">
        <v>12195</v>
      </c>
      <c r="L151" t="s">
        <v>12196</v>
      </c>
      <c r="M151" s="3" t="str">
        <f>HYPERLINK(склад2въезд131920[[#This Row],[RelativePath]])</f>
        <v>6 Площадка 1 общага\826398429_1_20260216T123231Z.jpg</v>
      </c>
    </row>
    <row r="152" spans="1:13" x14ac:dyDescent="0.25">
      <c r="A152" s="2" t="s">
        <v>13</v>
      </c>
      <c r="B152" s="4">
        <v>46069</v>
      </c>
      <c r="C152" s="5">
        <v>0.60519675925925931</v>
      </c>
      <c r="D152" s="9" t="s">
        <v>12231</v>
      </c>
      <c r="E152" s="9"/>
      <c r="F152" s="9"/>
      <c r="H152" s="9"/>
      <c r="I152" s="9" t="s">
        <v>12197</v>
      </c>
      <c r="J152" s="9" t="s">
        <v>2938</v>
      </c>
      <c r="K152" t="s">
        <v>12198</v>
      </c>
      <c r="L152" t="s">
        <v>12199</v>
      </c>
      <c r="M152" s="3" t="str">
        <f>HYPERLINK(склад2въезд131920[[#This Row],[RelativePath]])</f>
        <v>6 Площадка 1 общага\826398429_1_20260216T143129Z.jpg</v>
      </c>
    </row>
    <row r="153" spans="1:13" x14ac:dyDescent="0.25">
      <c r="A153" s="2" t="s">
        <v>13</v>
      </c>
      <c r="B153" s="4">
        <v>46069</v>
      </c>
      <c r="C153" s="5">
        <v>0.73550925925925925</v>
      </c>
      <c r="D153" s="9" t="s">
        <v>4</v>
      </c>
      <c r="E153" s="9" t="s">
        <v>8</v>
      </c>
      <c r="F153" s="9"/>
      <c r="H153" s="9"/>
      <c r="I153" s="9" t="s">
        <v>12200</v>
      </c>
      <c r="J153" s="9" t="s">
        <v>2938</v>
      </c>
      <c r="K153" t="s">
        <v>12201</v>
      </c>
      <c r="L153" t="s">
        <v>12202</v>
      </c>
      <c r="M153" s="3" t="str">
        <f>HYPERLINK(склад2въезд131920[[#This Row],[RelativePath]])</f>
        <v>6 Площадка 1 общага\826398429_1_20260216T173908Z.jpg</v>
      </c>
    </row>
    <row r="154" spans="1:13" x14ac:dyDescent="0.25">
      <c r="A154" s="2" t="s">
        <v>14</v>
      </c>
      <c r="B154" s="4">
        <v>46070</v>
      </c>
      <c r="C154" s="5">
        <v>0.67186342592592596</v>
      </c>
      <c r="D154" s="9" t="s">
        <v>1967</v>
      </c>
      <c r="E154" s="9" t="s">
        <v>8</v>
      </c>
      <c r="F154" s="9"/>
      <c r="H154" s="9"/>
      <c r="I154" s="9" t="s">
        <v>12203</v>
      </c>
      <c r="J154" s="9" t="s">
        <v>2938</v>
      </c>
      <c r="K154" t="s">
        <v>12204</v>
      </c>
      <c r="L154" t="s">
        <v>12205</v>
      </c>
      <c r="M154" s="3" t="str">
        <f>HYPERLINK(склад2въезд131920[[#This Row],[RelativePath]])</f>
        <v>6 Площадка 1 общага\826398429_1_20260217T160729Z.jpg</v>
      </c>
    </row>
    <row r="155" spans="1:13" x14ac:dyDescent="0.25">
      <c r="A155" s="2" t="s">
        <v>15</v>
      </c>
      <c r="B155" s="4">
        <v>46071</v>
      </c>
      <c r="C155" s="5">
        <v>0.50901620370370371</v>
      </c>
      <c r="D155" s="9" t="s">
        <v>1967</v>
      </c>
      <c r="E155" s="9" t="s">
        <v>8</v>
      </c>
      <c r="F155" s="9"/>
      <c r="H155" s="9"/>
      <c r="I155" s="9" t="s">
        <v>12206</v>
      </c>
      <c r="J155" s="9" t="s">
        <v>2938</v>
      </c>
      <c r="K155" t="s">
        <v>12207</v>
      </c>
      <c r="L155" t="s">
        <v>12208</v>
      </c>
      <c r="M155" s="3" t="str">
        <f>HYPERLINK(склад2въезд131920[[#This Row],[RelativePath]])</f>
        <v>6 Площадка 1 общага\826398429_1_20260218T121259Z.jpg</v>
      </c>
    </row>
    <row r="156" spans="1:13" x14ac:dyDescent="0.25">
      <c r="A156" s="2" t="s">
        <v>16</v>
      </c>
      <c r="B156" s="4">
        <v>46072</v>
      </c>
      <c r="C156" s="5">
        <v>0.46668981481481481</v>
      </c>
      <c r="D156" s="9" t="s">
        <v>7</v>
      </c>
      <c r="E156" s="9"/>
      <c r="F156" s="9"/>
      <c r="H156" s="9"/>
      <c r="I156" s="9" t="s">
        <v>12311</v>
      </c>
      <c r="J156" s="9" t="s">
        <v>2938</v>
      </c>
      <c r="K156" t="s">
        <v>12312</v>
      </c>
      <c r="L156" t="s">
        <v>12313</v>
      </c>
      <c r="M156" s="3" t="str">
        <f>HYPERLINK(склад2въезд131920[[#This Row],[RelativePath]])</f>
        <v>6 Площадка 1 общага\826398429_1_20260219T111202Z.jpg</v>
      </c>
    </row>
    <row r="157" spans="1:13" x14ac:dyDescent="0.25">
      <c r="A157" s="2" t="s">
        <v>16</v>
      </c>
      <c r="B157" s="4">
        <v>46072</v>
      </c>
      <c r="C157" s="5">
        <v>0.60317129629629629</v>
      </c>
      <c r="D157" s="9" t="s">
        <v>9097</v>
      </c>
      <c r="E157" s="9" t="s">
        <v>86</v>
      </c>
      <c r="F157" s="9"/>
      <c r="H157" s="9" t="s">
        <v>12344</v>
      </c>
      <c r="I157" s="9" t="s">
        <v>12314</v>
      </c>
      <c r="J157" s="9" t="s">
        <v>2938</v>
      </c>
      <c r="K157" t="s">
        <v>12315</v>
      </c>
      <c r="L157" t="s">
        <v>12316</v>
      </c>
      <c r="M157" s="3" t="str">
        <f>HYPERLINK(склад2въезд131920[[#This Row],[RelativePath]])</f>
        <v>6 Площадка 1 общага\826398429_1_20260219T142834Z.jpg</v>
      </c>
    </row>
    <row r="158" spans="1:13" x14ac:dyDescent="0.25">
      <c r="A158" s="2" t="s">
        <v>16</v>
      </c>
      <c r="B158" s="4">
        <v>46072</v>
      </c>
      <c r="C158" s="5">
        <v>0.61121527777777773</v>
      </c>
      <c r="D158" s="9" t="s">
        <v>9097</v>
      </c>
      <c r="E158" s="9" t="s">
        <v>86</v>
      </c>
      <c r="F158" s="9"/>
      <c r="H158" s="9" t="s">
        <v>2891</v>
      </c>
      <c r="I158" s="9" t="s">
        <v>12317</v>
      </c>
      <c r="J158" s="9" t="s">
        <v>2938</v>
      </c>
      <c r="K158" t="s">
        <v>12318</v>
      </c>
      <c r="L158" t="s">
        <v>12319</v>
      </c>
      <c r="M158" s="3" t="str">
        <f>HYPERLINK(склад2въезд131920[[#This Row],[RelativePath]])</f>
        <v>6 Площадка 1 общага\826398429_1_20260219T144009Z.jpg</v>
      </c>
    </row>
    <row r="159" spans="1:13" x14ac:dyDescent="0.25">
      <c r="A159" s="2" t="s">
        <v>16</v>
      </c>
      <c r="B159" s="4">
        <v>46072</v>
      </c>
      <c r="C159" s="5">
        <v>0.64390046296296299</v>
      </c>
      <c r="D159" s="9" t="s">
        <v>11811</v>
      </c>
      <c r="E159" s="9"/>
      <c r="F159" s="9"/>
      <c r="H159" s="9"/>
      <c r="I159" s="9" t="s">
        <v>12320</v>
      </c>
      <c r="J159" s="9" t="s">
        <v>2938</v>
      </c>
      <c r="K159" t="s">
        <v>12321</v>
      </c>
      <c r="L159" t="s">
        <v>12322</v>
      </c>
      <c r="M159" s="3" t="str">
        <f>HYPERLINK(склад2въезд131920[[#This Row],[RelativePath]])</f>
        <v>6 Площадка 1 общага\826398429_1_20260219T152713Z.jpg</v>
      </c>
    </row>
    <row r="160" spans="1:13" x14ac:dyDescent="0.25">
      <c r="A160" s="2" t="s">
        <v>17</v>
      </c>
      <c r="B160" s="4">
        <v>46073</v>
      </c>
      <c r="C160" s="5">
        <v>0.43959490740740742</v>
      </c>
      <c r="D160" s="9" t="s">
        <v>623</v>
      </c>
      <c r="E160" s="9" t="s">
        <v>86</v>
      </c>
      <c r="F160" s="9"/>
      <c r="H160" s="9"/>
      <c r="I160" s="9" t="s">
        <v>12381</v>
      </c>
      <c r="J160" s="9" t="s">
        <v>2938</v>
      </c>
      <c r="K160" t="s">
        <v>12382</v>
      </c>
      <c r="L160" t="s">
        <v>12383</v>
      </c>
      <c r="M160" s="3" t="str">
        <f>HYPERLINK(склад2въезд131920[[#This Row],[RelativePath]])</f>
        <v>6 Площадка 1 общага\826398429_1_20260220T103301Z.jpg</v>
      </c>
    </row>
    <row r="161" spans="1:13" x14ac:dyDescent="0.25">
      <c r="A161" s="2" t="s">
        <v>17</v>
      </c>
      <c r="B161" s="4">
        <v>46073</v>
      </c>
      <c r="C161" s="5">
        <v>0.44776620370370368</v>
      </c>
      <c r="D161" s="9" t="s">
        <v>9097</v>
      </c>
      <c r="E161" s="9" t="s">
        <v>86</v>
      </c>
      <c r="F161" s="9"/>
      <c r="H161" s="9"/>
      <c r="I161" s="9" t="s">
        <v>12384</v>
      </c>
      <c r="J161" s="9" t="s">
        <v>2938</v>
      </c>
      <c r="K161" t="s">
        <v>12385</v>
      </c>
      <c r="L161" t="s">
        <v>12386</v>
      </c>
      <c r="M161" s="3" t="str">
        <f>HYPERLINK(склад2въезд131920[[#This Row],[RelativePath]])</f>
        <v>6 Площадка 1 общага\826398429_1_20260220T104447Z.jpg</v>
      </c>
    </row>
    <row r="162" spans="1:13" x14ac:dyDescent="0.25">
      <c r="A162" s="2" t="s">
        <v>17</v>
      </c>
      <c r="B162" s="4">
        <v>46073</v>
      </c>
      <c r="C162" s="5">
        <v>0.61677083333333338</v>
      </c>
      <c r="D162" s="9" t="s">
        <v>7</v>
      </c>
      <c r="E162" s="9"/>
      <c r="F162" s="9"/>
      <c r="H162" s="9"/>
      <c r="I162" s="9" t="s">
        <v>12387</v>
      </c>
      <c r="J162" s="9" t="s">
        <v>2938</v>
      </c>
      <c r="K162" t="s">
        <v>12388</v>
      </c>
      <c r="L162" t="s">
        <v>12389</v>
      </c>
      <c r="M162" s="3" t="str">
        <f>HYPERLINK(склад2въезд131920[[#This Row],[RelativePath]])</f>
        <v>6 Площадка 1 общага\826398429_1_20260220T144809Z.jpg</v>
      </c>
    </row>
    <row r="163" spans="1:13" x14ac:dyDescent="0.25">
      <c r="A163" s="2" t="s">
        <v>17</v>
      </c>
      <c r="B163" s="4">
        <v>46073</v>
      </c>
      <c r="C163" s="5">
        <v>0.74539351851851854</v>
      </c>
      <c r="D163" s="9" t="s">
        <v>4</v>
      </c>
      <c r="E163" s="9" t="s">
        <v>8</v>
      </c>
      <c r="F163" s="9"/>
      <c r="H163" s="9"/>
      <c r="I163" s="9" t="s">
        <v>12390</v>
      </c>
      <c r="J163" s="9" t="s">
        <v>2938</v>
      </c>
      <c r="K163" t="s">
        <v>12391</v>
      </c>
      <c r="L163" t="s">
        <v>12392</v>
      </c>
      <c r="M163" s="3" t="str">
        <f>HYPERLINK(склад2въезд131920[[#This Row],[RelativePath]])</f>
        <v>6 Площадка 1 общага\826398429_1_20260220T175322Z.jpg</v>
      </c>
    </row>
    <row r="164" spans="1:13" x14ac:dyDescent="0.25">
      <c r="A164" s="2" t="s">
        <v>18</v>
      </c>
      <c r="B164" s="4">
        <v>46074</v>
      </c>
      <c r="C164" s="5">
        <v>0.43144675925925924</v>
      </c>
      <c r="D164" s="9" t="s">
        <v>12231</v>
      </c>
      <c r="E164" s="9"/>
      <c r="F164" s="9"/>
      <c r="H164" s="9"/>
      <c r="I164" s="9" t="s">
        <v>12575</v>
      </c>
      <c r="J164" s="9" t="s">
        <v>2938</v>
      </c>
      <c r="K164" t="s">
        <v>12576</v>
      </c>
      <c r="L164" t="s">
        <v>12577</v>
      </c>
      <c r="M164" s="3" t="str">
        <f>HYPERLINK(склад2въезд131920[[#This Row],[RelativePath]])</f>
        <v>6 Площадка 1 общага\826398429_1_20260221T102117Z.jpg</v>
      </c>
    </row>
    <row r="165" spans="1:13" x14ac:dyDescent="0.25">
      <c r="A165" s="2" t="s">
        <v>18</v>
      </c>
      <c r="B165" s="4">
        <v>46074</v>
      </c>
      <c r="C165" s="5">
        <v>0.69439814814814815</v>
      </c>
      <c r="D165" s="9" t="s">
        <v>12231</v>
      </c>
      <c r="E165" s="9"/>
      <c r="F165" s="9"/>
      <c r="H165" s="9"/>
      <c r="I165" s="9" t="s">
        <v>12578</v>
      </c>
      <c r="J165" s="9" t="s">
        <v>2938</v>
      </c>
      <c r="K165" t="s">
        <v>12579</v>
      </c>
      <c r="L165" t="s">
        <v>12580</v>
      </c>
      <c r="M165" s="3" t="str">
        <f>HYPERLINK(склад2въезд131920[[#This Row],[RelativePath]])</f>
        <v>6 Площадка 1 общага\826398429_1_20260221T163956Z.jpg</v>
      </c>
    </row>
    <row r="166" spans="1:13" x14ac:dyDescent="0.25">
      <c r="A166" s="2" t="s">
        <v>18</v>
      </c>
      <c r="B166" s="4">
        <v>46074</v>
      </c>
      <c r="C166" s="5">
        <v>0.73189814814814813</v>
      </c>
      <c r="D166" s="9" t="s">
        <v>12231</v>
      </c>
      <c r="E166" s="9"/>
      <c r="F166" s="9"/>
      <c r="H166" s="9"/>
      <c r="I166" s="9" t="s">
        <v>12581</v>
      </c>
      <c r="J166" s="9" t="s">
        <v>2938</v>
      </c>
      <c r="K166" t="s">
        <v>12582</v>
      </c>
      <c r="L166" t="s">
        <v>12583</v>
      </c>
      <c r="M166" s="3" t="str">
        <f>HYPERLINK(склад2въезд131920[[#This Row],[RelativePath]])</f>
        <v>6 Площадка 1 общага\826398429_1_20260221T173356Z.jpg</v>
      </c>
    </row>
    <row r="167" spans="1:13" x14ac:dyDescent="0.25">
      <c r="A167" s="2" t="s">
        <v>18</v>
      </c>
      <c r="B167" s="4">
        <v>46074</v>
      </c>
      <c r="C167" s="5">
        <v>0.75096064814814811</v>
      </c>
      <c r="D167" s="9" t="s">
        <v>12231</v>
      </c>
      <c r="E167" s="9"/>
      <c r="F167" s="9"/>
      <c r="H167" s="9"/>
      <c r="I167" s="9" t="s">
        <v>12584</v>
      </c>
      <c r="J167" s="9" t="s">
        <v>2938</v>
      </c>
      <c r="K167" t="s">
        <v>12585</v>
      </c>
      <c r="L167" t="s">
        <v>12586</v>
      </c>
      <c r="M167" s="3" t="str">
        <f>HYPERLINK(склад2въезд131920[[#This Row],[RelativePath]])</f>
        <v>6 Площадка 1 общага\826398429_1_20260221T180123Z.jpg</v>
      </c>
    </row>
    <row r="168" spans="1:13" x14ac:dyDescent="0.25">
      <c r="A168" s="2" t="s">
        <v>18</v>
      </c>
      <c r="B168" s="4">
        <v>46074</v>
      </c>
      <c r="C168" s="5">
        <v>0.78931712962962963</v>
      </c>
      <c r="D168" s="9" t="s">
        <v>4</v>
      </c>
      <c r="E168" s="9" t="s">
        <v>8</v>
      </c>
      <c r="F168" s="9"/>
      <c r="H168" s="9"/>
      <c r="I168" s="9" t="s">
        <v>12587</v>
      </c>
      <c r="J168" s="9" t="s">
        <v>2938</v>
      </c>
      <c r="K168" t="s">
        <v>12588</v>
      </c>
      <c r="L168" t="s">
        <v>12589</v>
      </c>
      <c r="M168" s="3" t="str">
        <f>HYPERLINK(склад2въезд131920[[#This Row],[RelativePath]])</f>
        <v>6 Площадка 1 общага\826398429_1_20260221T185637Z.jpg</v>
      </c>
    </row>
    <row r="169" spans="1:13" x14ac:dyDescent="0.25">
      <c r="A169" s="2" t="s">
        <v>22</v>
      </c>
      <c r="B169" s="4">
        <v>46075</v>
      </c>
      <c r="C169" s="5">
        <v>0.38484953703703706</v>
      </c>
      <c r="D169" s="9" t="s">
        <v>12231</v>
      </c>
      <c r="E169" s="9"/>
      <c r="F169" s="9"/>
      <c r="H169" s="9"/>
      <c r="I169" s="9" t="s">
        <v>12590</v>
      </c>
      <c r="J169" s="9" t="s">
        <v>2938</v>
      </c>
      <c r="K169" t="s">
        <v>12591</v>
      </c>
      <c r="L169" t="s">
        <v>12592</v>
      </c>
      <c r="M169" s="3" t="str">
        <f>HYPERLINK(склад2въезд131920[[#This Row],[RelativePath]])</f>
        <v>6 Площадка 1 общага\826398429_1_20260222T091411Z.jpg</v>
      </c>
    </row>
    <row r="170" spans="1:13" x14ac:dyDescent="0.25">
      <c r="A170" s="2" t="s">
        <v>22</v>
      </c>
      <c r="B170" s="4">
        <v>46075</v>
      </c>
      <c r="C170" s="5">
        <v>0.49127314814814815</v>
      </c>
      <c r="D170" s="9" t="s">
        <v>12231</v>
      </c>
      <c r="E170" s="9"/>
      <c r="F170" s="9"/>
      <c r="H170" s="9"/>
      <c r="I170" s="9" t="s">
        <v>12593</v>
      </c>
      <c r="J170" s="9" t="s">
        <v>2938</v>
      </c>
      <c r="K170" t="s">
        <v>12594</v>
      </c>
      <c r="L170" t="s">
        <v>12595</v>
      </c>
      <c r="M170" s="3" t="str">
        <f>HYPERLINK(склад2въезд131920[[#This Row],[RelativePath]])</f>
        <v>6 Площадка 1 общага\826398429_1_20260222T114726Z.jpg</v>
      </c>
    </row>
    <row r="171" spans="1:13" x14ac:dyDescent="0.25">
      <c r="A171" s="2" t="s">
        <v>22</v>
      </c>
      <c r="B171" s="4">
        <v>46075</v>
      </c>
      <c r="C171" s="5">
        <v>0.7131481481481482</v>
      </c>
      <c r="D171" s="9" t="s">
        <v>12231</v>
      </c>
      <c r="E171" s="9"/>
      <c r="F171" s="9"/>
      <c r="H171" s="9"/>
      <c r="I171" s="9" t="s">
        <v>12596</v>
      </c>
      <c r="J171" s="9" t="s">
        <v>2938</v>
      </c>
      <c r="K171" t="s">
        <v>12597</v>
      </c>
      <c r="L171" t="s">
        <v>12598</v>
      </c>
      <c r="M171" s="3" t="str">
        <f>HYPERLINK(склад2въезд131920[[#This Row],[RelativePath]])</f>
        <v>6 Площадка 1 общага\826398429_1_20260222T170656Z.jpg</v>
      </c>
    </row>
    <row r="172" spans="1:13" x14ac:dyDescent="0.25">
      <c r="A172" s="2" t="s">
        <v>22</v>
      </c>
      <c r="B172" s="4">
        <v>46075</v>
      </c>
      <c r="C172" s="5">
        <v>0.75288194444444445</v>
      </c>
      <c r="D172" s="9" t="s">
        <v>4</v>
      </c>
      <c r="E172" s="9" t="s">
        <v>8</v>
      </c>
      <c r="F172" s="9"/>
      <c r="H172" s="9"/>
      <c r="I172" s="9" t="s">
        <v>12599</v>
      </c>
      <c r="J172" s="9" t="s">
        <v>2938</v>
      </c>
      <c r="K172" t="s">
        <v>12600</v>
      </c>
      <c r="L172" t="s">
        <v>12601</v>
      </c>
      <c r="M172" s="3" t="str">
        <f>HYPERLINK(склад2въезд131920[[#This Row],[RelativePath]])</f>
        <v>6 Площадка 1 общага\826398429_1_20260222T180409Z.jpg</v>
      </c>
    </row>
    <row r="173" spans="1:13" x14ac:dyDescent="0.25">
      <c r="A173" s="2" t="s">
        <v>13</v>
      </c>
      <c r="B173" s="4">
        <v>46076</v>
      </c>
      <c r="C173" s="5">
        <v>0.34063657407407405</v>
      </c>
      <c r="D173" s="9" t="s">
        <v>12782</v>
      </c>
      <c r="E173" s="9"/>
      <c r="F173" s="9"/>
      <c r="H173" s="9"/>
      <c r="I173" s="9" t="s">
        <v>12671</v>
      </c>
      <c r="J173" s="9" t="s">
        <v>2938</v>
      </c>
      <c r="K173" t="s">
        <v>12672</v>
      </c>
      <c r="L173" t="s">
        <v>12673</v>
      </c>
      <c r="M173" s="3" t="str">
        <f>HYPERLINK(склад2въезд131920[[#This Row],[RelativePath]])</f>
        <v>6 Площадка 1 общага\826398429_1_20260223T081031Z.jpg</v>
      </c>
    </row>
    <row r="174" spans="1:13" x14ac:dyDescent="0.25">
      <c r="A174" s="2" t="s">
        <v>13</v>
      </c>
      <c r="B174" s="4">
        <v>46076</v>
      </c>
      <c r="C174" s="5">
        <v>0.35214120370370372</v>
      </c>
      <c r="D174" s="9" t="s">
        <v>1569</v>
      </c>
      <c r="E174" s="9" t="s">
        <v>12776</v>
      </c>
      <c r="F174" s="9" t="s">
        <v>621</v>
      </c>
      <c r="H174" s="9"/>
      <c r="I174" s="9" t="s">
        <v>12674</v>
      </c>
      <c r="J174" s="9" t="s">
        <v>2938</v>
      </c>
      <c r="K174" t="s">
        <v>12675</v>
      </c>
      <c r="L174" t="s">
        <v>12676</v>
      </c>
      <c r="M174" s="3" t="str">
        <f>HYPERLINK(склад2въезд131920[[#This Row],[RelativePath]])</f>
        <v>6 Площадка 1 общага\826398429_1_20260223T082705Z.jpg</v>
      </c>
    </row>
    <row r="175" spans="1:13" x14ac:dyDescent="0.25">
      <c r="A175" s="2" t="s">
        <v>13</v>
      </c>
      <c r="B175" s="4">
        <v>46076</v>
      </c>
      <c r="C175" s="5">
        <v>0.35872685185185182</v>
      </c>
      <c r="D175" s="9" t="s">
        <v>261</v>
      </c>
      <c r="E175" s="9" t="s">
        <v>12776</v>
      </c>
      <c r="F175" s="9" t="s">
        <v>621</v>
      </c>
      <c r="H175" s="9"/>
      <c r="I175" s="9" t="s">
        <v>12677</v>
      </c>
      <c r="J175" s="9" t="s">
        <v>2938</v>
      </c>
      <c r="K175" t="s">
        <v>12678</v>
      </c>
      <c r="L175" t="s">
        <v>12679</v>
      </c>
      <c r="M175" s="3" t="str">
        <f>HYPERLINK(склад2въезд131920[[#This Row],[RelativePath]])</f>
        <v>6 Площадка 1 общага\826398429_1_20260223T083634Z.jpg</v>
      </c>
    </row>
    <row r="176" spans="1:13" x14ac:dyDescent="0.25">
      <c r="A176" s="2" t="s">
        <v>13</v>
      </c>
      <c r="B176" s="4">
        <v>46076</v>
      </c>
      <c r="C176" s="5">
        <v>0.36371527777777779</v>
      </c>
      <c r="D176" s="9" t="s">
        <v>261</v>
      </c>
      <c r="E176" s="9" t="s">
        <v>12776</v>
      </c>
      <c r="F176" s="9" t="s">
        <v>621</v>
      </c>
      <c r="H176" s="9" t="s">
        <v>2891</v>
      </c>
      <c r="I176" s="9" t="s">
        <v>12680</v>
      </c>
      <c r="J176" s="9" t="s">
        <v>2938</v>
      </c>
      <c r="K176" t="s">
        <v>12681</v>
      </c>
      <c r="L176" t="s">
        <v>12682</v>
      </c>
      <c r="M176" s="3" t="str">
        <f>HYPERLINK(склад2въезд131920[[#This Row],[RelativePath]])</f>
        <v>6 Площадка 1 общага\826398429_1_20260223T084345Z.jpg</v>
      </c>
    </row>
    <row r="177" spans="1:13" x14ac:dyDescent="0.25">
      <c r="A177" s="2" t="s">
        <v>13</v>
      </c>
      <c r="B177" s="4">
        <v>46076</v>
      </c>
      <c r="C177" s="5">
        <v>0.37137731481481484</v>
      </c>
      <c r="D177" s="9" t="s">
        <v>12783</v>
      </c>
      <c r="E177" s="9" t="s">
        <v>12776</v>
      </c>
      <c r="F177" s="9"/>
      <c r="H177" s="9"/>
      <c r="I177" s="9" t="s">
        <v>12683</v>
      </c>
      <c r="J177" s="9" t="s">
        <v>2938</v>
      </c>
      <c r="K177" t="s">
        <v>12684</v>
      </c>
      <c r="L177" t="s">
        <v>12685</v>
      </c>
      <c r="M177" s="3" t="str">
        <f>HYPERLINK(склад2въезд131920[[#This Row],[RelativePath]])</f>
        <v>6 Площадка 1 общага\826398429_1_20260223T085447Z.jpg</v>
      </c>
    </row>
    <row r="178" spans="1:13" x14ac:dyDescent="0.25">
      <c r="A178" s="2" t="s">
        <v>13</v>
      </c>
      <c r="B178" s="4">
        <v>46076</v>
      </c>
      <c r="C178" s="5">
        <v>0.37709490740740742</v>
      </c>
      <c r="D178" s="9" t="s">
        <v>261</v>
      </c>
      <c r="E178" s="9" t="s">
        <v>12777</v>
      </c>
      <c r="F178" s="9" t="s">
        <v>621</v>
      </c>
      <c r="H178" s="9"/>
      <c r="I178" s="9" t="s">
        <v>12686</v>
      </c>
      <c r="J178" s="9" t="s">
        <v>2938</v>
      </c>
      <c r="K178" t="s">
        <v>12687</v>
      </c>
      <c r="L178" t="s">
        <v>12688</v>
      </c>
      <c r="M178" s="3" t="str">
        <f>HYPERLINK(склад2въезд131920[[#This Row],[RelativePath]])</f>
        <v>6 Площадка 1 общага\826398429_1_20260223T090301Z.jpg</v>
      </c>
    </row>
    <row r="179" spans="1:13" x14ac:dyDescent="0.25">
      <c r="A179" s="2" t="s">
        <v>13</v>
      </c>
      <c r="B179" s="4">
        <v>46076</v>
      </c>
      <c r="C179" s="5">
        <v>0.37910879629629629</v>
      </c>
      <c r="D179" s="9" t="s">
        <v>261</v>
      </c>
      <c r="E179" s="9" t="s">
        <v>12777</v>
      </c>
      <c r="F179" s="9" t="s">
        <v>621</v>
      </c>
      <c r="H179" s="9" t="s">
        <v>2891</v>
      </c>
      <c r="I179" s="9" t="s">
        <v>12689</v>
      </c>
      <c r="J179" s="9" t="s">
        <v>2938</v>
      </c>
      <c r="K179" t="s">
        <v>12690</v>
      </c>
      <c r="L179" t="s">
        <v>12691</v>
      </c>
      <c r="M179" s="3" t="str">
        <f>HYPERLINK(склад2въезд131920[[#This Row],[RelativePath]])</f>
        <v>6 Площадка 1 общага\826398429_1_20260223T090555Z.jpg</v>
      </c>
    </row>
    <row r="180" spans="1:13" x14ac:dyDescent="0.25">
      <c r="A180" s="2" t="s">
        <v>13</v>
      </c>
      <c r="B180" s="4">
        <v>46076</v>
      </c>
      <c r="C180" s="5">
        <v>0.38299768518518518</v>
      </c>
      <c r="D180" s="9" t="s">
        <v>261</v>
      </c>
      <c r="E180" s="9" t="s">
        <v>12777</v>
      </c>
      <c r="F180" s="9" t="s">
        <v>621</v>
      </c>
      <c r="H180" s="9" t="s">
        <v>2891</v>
      </c>
      <c r="I180" s="9" t="s">
        <v>12692</v>
      </c>
      <c r="J180" s="9" t="s">
        <v>2938</v>
      </c>
      <c r="K180" t="s">
        <v>12693</v>
      </c>
      <c r="L180" t="s">
        <v>12694</v>
      </c>
      <c r="M180" s="3" t="str">
        <f>HYPERLINK(склад2въезд131920[[#This Row],[RelativePath]])</f>
        <v>6 Площадка 1 общага\826398429_1_20260223T091131Z.jpg</v>
      </c>
    </row>
    <row r="181" spans="1:13" x14ac:dyDescent="0.25">
      <c r="A181" s="2" t="s">
        <v>13</v>
      </c>
      <c r="B181" s="4">
        <v>46076</v>
      </c>
      <c r="C181" s="5">
        <v>0.39024305555555555</v>
      </c>
      <c r="D181" s="9" t="s">
        <v>261</v>
      </c>
      <c r="E181" s="9" t="s">
        <v>12776</v>
      </c>
      <c r="F181" s="9" t="s">
        <v>621</v>
      </c>
      <c r="H181" s="9" t="s">
        <v>2891</v>
      </c>
      <c r="I181" s="9" t="s">
        <v>12695</v>
      </c>
      <c r="J181" s="9" t="s">
        <v>2938</v>
      </c>
      <c r="K181" t="s">
        <v>12696</v>
      </c>
      <c r="L181" t="s">
        <v>12697</v>
      </c>
      <c r="M181" s="3" t="str">
        <f>HYPERLINK(склад2въезд131920[[#This Row],[RelativePath]])</f>
        <v>6 Площадка 1 общага\826398429_1_20260223T092157Z.jpg</v>
      </c>
    </row>
    <row r="182" spans="1:13" x14ac:dyDescent="0.25">
      <c r="A182" s="2" t="s">
        <v>13</v>
      </c>
      <c r="B182" s="4">
        <v>46076</v>
      </c>
      <c r="C182" s="5">
        <v>0.39246527777777779</v>
      </c>
      <c r="D182" s="9" t="s">
        <v>261</v>
      </c>
      <c r="E182" s="9" t="s">
        <v>12776</v>
      </c>
      <c r="F182" s="9" t="s">
        <v>621</v>
      </c>
      <c r="H182" s="9" t="s">
        <v>2891</v>
      </c>
      <c r="I182" s="9" t="s">
        <v>12698</v>
      </c>
      <c r="J182" s="9" t="s">
        <v>2938</v>
      </c>
      <c r="K182" t="s">
        <v>12699</v>
      </c>
      <c r="L182" t="s">
        <v>12700</v>
      </c>
      <c r="M182" s="3" t="str">
        <f>HYPERLINK(склад2въезд131920[[#This Row],[RelativePath]])</f>
        <v>6 Площадка 1 общага\826398429_1_20260223T092509Z.jpg</v>
      </c>
    </row>
    <row r="183" spans="1:13" x14ac:dyDescent="0.25">
      <c r="A183" s="2" t="s">
        <v>13</v>
      </c>
      <c r="B183" s="4">
        <v>46076</v>
      </c>
      <c r="C183" s="5">
        <v>0.39396990740740739</v>
      </c>
      <c r="D183" s="9" t="s">
        <v>261</v>
      </c>
      <c r="E183" s="9" t="s">
        <v>12776</v>
      </c>
      <c r="F183" s="9" t="s">
        <v>621</v>
      </c>
      <c r="H183" s="9" t="s">
        <v>2891</v>
      </c>
      <c r="I183" s="9" t="s">
        <v>12701</v>
      </c>
      <c r="J183" s="9" t="s">
        <v>2938</v>
      </c>
      <c r="K183" t="s">
        <v>12702</v>
      </c>
      <c r="L183" t="s">
        <v>12703</v>
      </c>
      <c r="M183" s="3" t="str">
        <f>HYPERLINK(склад2въезд131920[[#This Row],[RelativePath]])</f>
        <v>6 Площадка 1 общага\826398429_1_20260223T092719Z.jpg</v>
      </c>
    </row>
    <row r="184" spans="1:13" x14ac:dyDescent="0.25">
      <c r="A184" s="2" t="s">
        <v>13</v>
      </c>
      <c r="B184" s="4">
        <v>46076</v>
      </c>
      <c r="C184" s="5">
        <v>0.39706018518518521</v>
      </c>
      <c r="D184" s="9" t="s">
        <v>261</v>
      </c>
      <c r="E184" s="9" t="s">
        <v>12776</v>
      </c>
      <c r="F184" s="9" t="s">
        <v>621</v>
      </c>
      <c r="H184" s="9" t="s">
        <v>2891</v>
      </c>
      <c r="I184" s="9" t="s">
        <v>12704</v>
      </c>
      <c r="J184" s="9" t="s">
        <v>2938</v>
      </c>
      <c r="K184" t="s">
        <v>12705</v>
      </c>
      <c r="L184" t="s">
        <v>12706</v>
      </c>
      <c r="M184" s="3" t="str">
        <f>HYPERLINK(склад2въезд131920[[#This Row],[RelativePath]])</f>
        <v>6 Площадка 1 общага\826398429_1_20260223T093146Z.jpg</v>
      </c>
    </row>
    <row r="185" spans="1:13" x14ac:dyDescent="0.25">
      <c r="A185" s="2" t="s">
        <v>13</v>
      </c>
      <c r="B185" s="4">
        <v>46076</v>
      </c>
      <c r="C185" s="5">
        <v>0.40009259259259261</v>
      </c>
      <c r="D185" s="9" t="s">
        <v>261</v>
      </c>
      <c r="E185" s="9" t="s">
        <v>12776</v>
      </c>
      <c r="F185" s="9" t="s">
        <v>621</v>
      </c>
      <c r="H185" s="9" t="s">
        <v>2891</v>
      </c>
      <c r="I185" s="9" t="s">
        <v>12707</v>
      </c>
      <c r="J185" s="9" t="s">
        <v>2938</v>
      </c>
      <c r="K185" t="s">
        <v>12708</v>
      </c>
      <c r="L185" t="s">
        <v>12709</v>
      </c>
      <c r="M185" s="3" t="str">
        <f>HYPERLINK(склад2въезд131920[[#This Row],[RelativePath]])</f>
        <v>6 Площадка 1 общага\826398429_1_20260223T093608Z.jpg</v>
      </c>
    </row>
    <row r="186" spans="1:13" x14ac:dyDescent="0.25">
      <c r="A186" s="2" t="s">
        <v>13</v>
      </c>
      <c r="B186" s="4">
        <v>46076</v>
      </c>
      <c r="C186" s="5">
        <v>0.40337962962962964</v>
      </c>
      <c r="D186" s="9" t="s">
        <v>261</v>
      </c>
      <c r="E186" s="9" t="s">
        <v>12777</v>
      </c>
      <c r="F186" s="9" t="s">
        <v>621</v>
      </c>
      <c r="H186" s="9" t="s">
        <v>2891</v>
      </c>
      <c r="I186" s="9" t="s">
        <v>12710</v>
      </c>
      <c r="J186" s="9" t="s">
        <v>2938</v>
      </c>
      <c r="K186" t="s">
        <v>12711</v>
      </c>
      <c r="L186" t="s">
        <v>12712</v>
      </c>
      <c r="M186" s="3" t="str">
        <f>HYPERLINK(склад2въезд131920[[#This Row],[RelativePath]])</f>
        <v>6 Площадка 1 общага\826398429_1_20260223T094052Z.jpg</v>
      </c>
    </row>
    <row r="187" spans="1:13" x14ac:dyDescent="0.25">
      <c r="A187" s="2" t="s">
        <v>13</v>
      </c>
      <c r="B187" s="4">
        <v>46076</v>
      </c>
      <c r="C187" s="5">
        <v>0.40519675925925924</v>
      </c>
      <c r="D187" s="9" t="s">
        <v>261</v>
      </c>
      <c r="E187" s="9" t="s">
        <v>12777</v>
      </c>
      <c r="F187" s="9" t="s">
        <v>621</v>
      </c>
      <c r="H187" s="9" t="s">
        <v>2891</v>
      </c>
      <c r="I187" s="9" t="s">
        <v>12713</v>
      </c>
      <c r="J187" s="9" t="s">
        <v>2938</v>
      </c>
      <c r="K187" t="s">
        <v>12714</v>
      </c>
      <c r="L187" t="s">
        <v>12715</v>
      </c>
      <c r="M187" s="3" t="str">
        <f>HYPERLINK(склад2въезд131920[[#This Row],[RelativePath]])</f>
        <v>6 Площадка 1 общага\826398429_1_20260223T094329Z.jpg</v>
      </c>
    </row>
    <row r="188" spans="1:13" x14ac:dyDescent="0.25">
      <c r="A188" s="2" t="s">
        <v>13</v>
      </c>
      <c r="B188" s="4">
        <v>46076</v>
      </c>
      <c r="C188" s="5">
        <v>0.40694444444444444</v>
      </c>
      <c r="D188" s="9" t="s">
        <v>261</v>
      </c>
      <c r="E188" s="9" t="s">
        <v>12777</v>
      </c>
      <c r="F188" s="9" t="s">
        <v>621</v>
      </c>
      <c r="H188" s="9" t="s">
        <v>2891</v>
      </c>
      <c r="I188" s="9" t="s">
        <v>12716</v>
      </c>
      <c r="J188" s="9" t="s">
        <v>2938</v>
      </c>
      <c r="K188" t="s">
        <v>12717</v>
      </c>
      <c r="L188" t="s">
        <v>12718</v>
      </c>
      <c r="M188" s="3" t="str">
        <f>HYPERLINK(склад2въезд131920[[#This Row],[RelativePath]])</f>
        <v>6 Площадка 1 общага\826398429_1_20260223T094600Z.jpg</v>
      </c>
    </row>
    <row r="189" spans="1:13" x14ac:dyDescent="0.25">
      <c r="A189" s="2" t="s">
        <v>13</v>
      </c>
      <c r="B189" s="4">
        <v>46076</v>
      </c>
      <c r="C189" s="5">
        <v>0.40980324074074076</v>
      </c>
      <c r="D189" s="9" t="s">
        <v>261</v>
      </c>
      <c r="E189" s="9" t="s">
        <v>12777</v>
      </c>
      <c r="F189" s="9" t="s">
        <v>621</v>
      </c>
      <c r="H189" s="9" t="s">
        <v>2891</v>
      </c>
      <c r="I189" s="9" t="s">
        <v>12719</v>
      </c>
      <c r="J189" s="9" t="s">
        <v>2938</v>
      </c>
      <c r="K189" t="s">
        <v>12720</v>
      </c>
      <c r="L189" t="s">
        <v>12721</v>
      </c>
      <c r="M189" s="3" t="str">
        <f>HYPERLINK(склад2въезд131920[[#This Row],[RelativePath]])</f>
        <v>6 Площадка 1 общага\826398429_1_20260223T095007Z.jpg</v>
      </c>
    </row>
    <row r="190" spans="1:13" x14ac:dyDescent="0.25">
      <c r="A190" s="2" t="s">
        <v>13</v>
      </c>
      <c r="B190" s="4">
        <v>46076</v>
      </c>
      <c r="C190" s="5">
        <v>0.41170138888888891</v>
      </c>
      <c r="D190" s="9" t="s">
        <v>261</v>
      </c>
      <c r="E190" s="9" t="s">
        <v>12777</v>
      </c>
      <c r="F190" s="9" t="s">
        <v>621</v>
      </c>
      <c r="H190" s="9" t="s">
        <v>2891</v>
      </c>
      <c r="I190" s="9" t="s">
        <v>12722</v>
      </c>
      <c r="J190" s="9" t="s">
        <v>2938</v>
      </c>
      <c r="K190" t="s">
        <v>12723</v>
      </c>
      <c r="L190" t="s">
        <v>12724</v>
      </c>
      <c r="M190" s="3" t="str">
        <f>HYPERLINK(склад2въезд131920[[#This Row],[RelativePath]])</f>
        <v>6 Площадка 1 общага\826398429_1_20260223T095251Z.jpg</v>
      </c>
    </row>
    <row r="191" spans="1:13" x14ac:dyDescent="0.25">
      <c r="A191" s="2" t="s">
        <v>13</v>
      </c>
      <c r="B191" s="4">
        <v>46076</v>
      </c>
      <c r="C191" s="5">
        <v>0.41336805555555556</v>
      </c>
      <c r="D191" s="9" t="s">
        <v>261</v>
      </c>
      <c r="E191" s="9" t="s">
        <v>12777</v>
      </c>
      <c r="F191" s="9" t="s">
        <v>621</v>
      </c>
      <c r="H191" s="9" t="s">
        <v>2891</v>
      </c>
      <c r="I191" s="9" t="s">
        <v>12725</v>
      </c>
      <c r="J191" s="9" t="s">
        <v>2938</v>
      </c>
      <c r="K191" t="s">
        <v>12726</v>
      </c>
      <c r="L191" t="s">
        <v>12727</v>
      </c>
      <c r="M191" s="3" t="str">
        <f>HYPERLINK(склад2въезд131920[[#This Row],[RelativePath]])</f>
        <v>6 Площадка 1 общага\826398429_1_20260223T095515Z.jpg</v>
      </c>
    </row>
    <row r="192" spans="1:13" x14ac:dyDescent="0.25">
      <c r="A192" s="2" t="s">
        <v>13</v>
      </c>
      <c r="B192" s="4">
        <v>46076</v>
      </c>
      <c r="C192" s="5">
        <v>0.41523148148148148</v>
      </c>
      <c r="D192" s="9" t="s">
        <v>261</v>
      </c>
      <c r="E192" s="9" t="s">
        <v>12777</v>
      </c>
      <c r="F192" s="9" t="s">
        <v>621</v>
      </c>
      <c r="H192" s="9" t="s">
        <v>2891</v>
      </c>
      <c r="I192" s="9" t="s">
        <v>12728</v>
      </c>
      <c r="J192" s="9" t="s">
        <v>2938</v>
      </c>
      <c r="K192" t="s">
        <v>12729</v>
      </c>
      <c r="L192" t="s">
        <v>12730</v>
      </c>
      <c r="M192" s="3" t="str">
        <f>HYPERLINK(склад2въезд131920[[#This Row],[RelativePath]])</f>
        <v>6 Площадка 1 общага\826398429_1_20260223T095756Z.jpg</v>
      </c>
    </row>
    <row r="193" spans="1:13" x14ac:dyDescent="0.25">
      <c r="A193" s="2" t="s">
        <v>13</v>
      </c>
      <c r="B193" s="4">
        <v>46076</v>
      </c>
      <c r="C193" s="5">
        <v>0.42120370370370369</v>
      </c>
      <c r="D193" s="9" t="s">
        <v>4173</v>
      </c>
      <c r="E193" s="9"/>
      <c r="F193" s="9"/>
      <c r="H193" s="9"/>
      <c r="I193" s="9" t="s">
        <v>12731</v>
      </c>
      <c r="J193" s="9" t="s">
        <v>2938</v>
      </c>
      <c r="K193" t="s">
        <v>12732</v>
      </c>
      <c r="L193" t="s">
        <v>12733</v>
      </c>
      <c r="M193" s="3" t="str">
        <f>HYPERLINK(склад2въезд131920[[#This Row],[RelativePath]])</f>
        <v>6 Площадка 1 общага\826398429_1_20260223T100632Z.jpg</v>
      </c>
    </row>
    <row r="194" spans="1:13" x14ac:dyDescent="0.25">
      <c r="A194" s="2" t="s">
        <v>13</v>
      </c>
      <c r="B194" s="4">
        <v>46076</v>
      </c>
      <c r="C194" s="5">
        <v>0.42271990740740739</v>
      </c>
      <c r="D194" s="9" t="s">
        <v>622</v>
      </c>
      <c r="E194" s="9" t="s">
        <v>12777</v>
      </c>
      <c r="F194" s="9" t="s">
        <v>621</v>
      </c>
      <c r="H194" s="9"/>
      <c r="I194" s="9" t="s">
        <v>12734</v>
      </c>
      <c r="J194" s="9" t="s">
        <v>2938</v>
      </c>
      <c r="K194" t="s">
        <v>12735</v>
      </c>
      <c r="L194" t="s">
        <v>12736</v>
      </c>
      <c r="M194" s="3" t="str">
        <f>HYPERLINK(склад2въезд131920[[#This Row],[RelativePath]])</f>
        <v>6 Площадка 1 общага\826398429_1_20260223T100843Z.jpg</v>
      </c>
    </row>
    <row r="195" spans="1:13" x14ac:dyDescent="0.25">
      <c r="A195" s="2" t="s">
        <v>13</v>
      </c>
      <c r="B195" s="4">
        <v>46076</v>
      </c>
      <c r="C195" s="5">
        <v>0.43721064814814814</v>
      </c>
      <c r="D195" s="9" t="s">
        <v>622</v>
      </c>
      <c r="E195" s="9" t="s">
        <v>12776</v>
      </c>
      <c r="F195" s="9" t="s">
        <v>621</v>
      </c>
      <c r="H195" s="9"/>
      <c r="I195" s="9" t="s">
        <v>12737</v>
      </c>
      <c r="J195" s="9" t="s">
        <v>2938</v>
      </c>
      <c r="K195" t="s">
        <v>12738</v>
      </c>
      <c r="L195" t="s">
        <v>12739</v>
      </c>
      <c r="M195" s="3" t="str">
        <f>HYPERLINK(склад2въезд131920[[#This Row],[RelativePath]])</f>
        <v>6 Площадка 1 общага\826398429_1_20260223T102935Z.jpg</v>
      </c>
    </row>
    <row r="196" spans="1:13" x14ac:dyDescent="0.25">
      <c r="A196" s="2" t="s">
        <v>13</v>
      </c>
      <c r="B196" s="4">
        <v>46076</v>
      </c>
      <c r="C196" s="5">
        <v>0.48266203703703703</v>
      </c>
      <c r="D196" s="9" t="s">
        <v>7</v>
      </c>
      <c r="E196" s="9"/>
      <c r="F196" s="9"/>
      <c r="H196" s="9"/>
      <c r="I196" s="9" t="s">
        <v>12740</v>
      </c>
      <c r="J196" s="9" t="s">
        <v>2938</v>
      </c>
      <c r="K196" t="s">
        <v>12741</v>
      </c>
      <c r="L196" t="s">
        <v>12742</v>
      </c>
      <c r="M196" s="3" t="str">
        <f>HYPERLINK(склад2въезд131920[[#This Row],[RelativePath]])</f>
        <v>6 Площадка 1 общага\826398429_1_20260223T113502Z.jpg</v>
      </c>
    </row>
    <row r="197" spans="1:13" x14ac:dyDescent="0.25">
      <c r="A197" s="2" t="s">
        <v>13</v>
      </c>
      <c r="B197" s="4">
        <v>46076</v>
      </c>
      <c r="C197" s="5">
        <v>0.51258101851851856</v>
      </c>
      <c r="D197" s="9" t="s">
        <v>1899</v>
      </c>
      <c r="E197" s="9"/>
      <c r="F197" s="9"/>
      <c r="H197" s="9"/>
      <c r="I197" s="9" t="s">
        <v>12743</v>
      </c>
      <c r="J197" s="9" t="s">
        <v>2938</v>
      </c>
      <c r="K197" t="s">
        <v>12744</v>
      </c>
      <c r="L197" t="s">
        <v>12745</v>
      </c>
      <c r="M197" s="3" t="str">
        <f>HYPERLINK(склад2въезд131920[[#This Row],[RelativePath]])</f>
        <v>6 Площадка 1 общага\826398429_1_20260223T121807Z.jpg</v>
      </c>
    </row>
    <row r="198" spans="1:13" x14ac:dyDescent="0.25">
      <c r="A198" s="2" t="s">
        <v>13</v>
      </c>
      <c r="B198" s="4">
        <v>46076</v>
      </c>
      <c r="C198" s="5">
        <v>0.7860300925925926</v>
      </c>
      <c r="D198" s="9" t="s">
        <v>4</v>
      </c>
      <c r="E198" s="9" t="s">
        <v>8</v>
      </c>
      <c r="F198" s="9"/>
      <c r="H198" s="9"/>
      <c r="I198" s="9" t="s">
        <v>12746</v>
      </c>
      <c r="J198" s="9" t="s">
        <v>2938</v>
      </c>
      <c r="K198" t="s">
        <v>12747</v>
      </c>
      <c r="L198" t="s">
        <v>12748</v>
      </c>
      <c r="M198" s="3" t="str">
        <f>HYPERLINK(склад2въезд131920[[#This Row],[RelativePath]])</f>
        <v>6 Площадка 1 общага\826398429_1_20260223T185153Z.jpg</v>
      </c>
    </row>
    <row r="199" spans="1:13" x14ac:dyDescent="0.25">
      <c r="A199" s="2" t="s">
        <v>14</v>
      </c>
      <c r="B199" s="4">
        <v>46077</v>
      </c>
      <c r="C199" s="5">
        <v>0.43679398148148146</v>
      </c>
      <c r="D199" s="9"/>
      <c r="E199" s="9"/>
      <c r="F199" s="9"/>
      <c r="H199" s="9"/>
      <c r="I199" s="9" t="s">
        <v>12951</v>
      </c>
      <c r="J199" s="9" t="s">
        <v>12952</v>
      </c>
      <c r="K199" t="s">
        <v>12953</v>
      </c>
      <c r="L199" t="s">
        <v>12954</v>
      </c>
      <c r="M199" s="3" t="str">
        <f>HYPERLINK(склад2въезд131920[[#This Row],[RelativePath]])</f>
        <v>6 Площадка 1 общага\826398429_1_20260224T102859Z.jpg</v>
      </c>
    </row>
    <row r="200" spans="1:13" x14ac:dyDescent="0.25">
      <c r="A200" s="2" t="s">
        <v>14</v>
      </c>
      <c r="B200" s="4">
        <v>46077</v>
      </c>
      <c r="C200" s="5">
        <v>0.69559027777777782</v>
      </c>
      <c r="D200" s="9"/>
      <c r="E200" s="9"/>
      <c r="F200" s="9"/>
      <c r="H200" s="9"/>
      <c r="I200" s="9" t="s">
        <v>12955</v>
      </c>
      <c r="J200" s="9" t="s">
        <v>12952</v>
      </c>
      <c r="K200" t="s">
        <v>12956</v>
      </c>
      <c r="L200" t="s">
        <v>12957</v>
      </c>
      <c r="M200" s="3" t="str">
        <f>HYPERLINK(склад2въезд131920[[#This Row],[RelativePath]])</f>
        <v>6 Площадка 1 общага\826398429_1_20260224T164139Z.jpg</v>
      </c>
    </row>
    <row r="201" spans="1:13" x14ac:dyDescent="0.25">
      <c r="A201" s="2" t="s">
        <v>14</v>
      </c>
      <c r="B201" s="4">
        <v>46077</v>
      </c>
      <c r="C201" s="5">
        <v>0.76442129629629629</v>
      </c>
      <c r="D201" s="9"/>
      <c r="E201" s="9"/>
      <c r="F201" s="9"/>
      <c r="H201" s="9"/>
      <c r="I201" s="9" t="s">
        <v>12958</v>
      </c>
      <c r="J201" s="9" t="s">
        <v>12952</v>
      </c>
      <c r="K201" t="s">
        <v>12959</v>
      </c>
      <c r="L201" t="s">
        <v>12960</v>
      </c>
      <c r="M201" s="3" t="str">
        <f>HYPERLINK(склад2въезд131920[[#This Row],[RelativePath]])</f>
        <v>6 Площадка 1 общага\826398429_1_20260224T182046Z.jpg</v>
      </c>
    </row>
    <row r="202" spans="1:13" x14ac:dyDescent="0.25">
      <c r="A202" s="2" t="s">
        <v>15</v>
      </c>
      <c r="B202" s="4">
        <v>46078</v>
      </c>
      <c r="C202" s="5">
        <v>0.69528935185185181</v>
      </c>
      <c r="D202" s="9"/>
      <c r="E202" s="9"/>
      <c r="F202" s="9"/>
      <c r="H202" s="9"/>
      <c r="I202" s="9" t="s">
        <v>12961</v>
      </c>
      <c r="J202" s="9" t="s">
        <v>12952</v>
      </c>
      <c r="K202" t="s">
        <v>12962</v>
      </c>
      <c r="L202" t="s">
        <v>12963</v>
      </c>
      <c r="M202" s="3" t="str">
        <f>HYPERLINK(склад2въезд131920[[#This Row],[RelativePath]])</f>
        <v>6 Площадка 1 общага\826398429_1_20260225T164113Z.jpg</v>
      </c>
    </row>
    <row r="203" spans="1:13" x14ac:dyDescent="0.25">
      <c r="A203" s="2" t="s">
        <v>15</v>
      </c>
      <c r="B203" s="4">
        <v>46078</v>
      </c>
      <c r="C203" s="5">
        <v>0.69537037037037042</v>
      </c>
      <c r="D203" s="9"/>
      <c r="E203" s="9"/>
      <c r="F203" s="9"/>
      <c r="H203" s="9"/>
      <c r="I203" s="9" t="s">
        <v>12964</v>
      </c>
      <c r="J203" s="9" t="s">
        <v>12952</v>
      </c>
      <c r="K203" t="s">
        <v>12965</v>
      </c>
      <c r="L203" t="s">
        <v>12966</v>
      </c>
      <c r="M203" s="3" t="str">
        <f>HYPERLINK(склад2въезд131920[[#This Row],[RelativePath]])</f>
        <v>6 Площадка 1 общага\826398429_1_20260225T164120Z.jpg</v>
      </c>
    </row>
    <row r="204" spans="1:13" x14ac:dyDescent="0.25">
      <c r="A204" s="2" t="s">
        <v>15</v>
      </c>
      <c r="B204" s="4">
        <v>46078</v>
      </c>
      <c r="C204" s="5">
        <v>0.72909722222222217</v>
      </c>
      <c r="D204" s="9"/>
      <c r="E204" s="9"/>
      <c r="F204" s="9"/>
      <c r="H204" s="9"/>
      <c r="I204" s="9" t="s">
        <v>12967</v>
      </c>
      <c r="J204" s="9" t="s">
        <v>12952</v>
      </c>
      <c r="K204" t="s">
        <v>12968</v>
      </c>
      <c r="L204" t="s">
        <v>12969</v>
      </c>
      <c r="M204" s="3" t="str">
        <f>HYPERLINK(склад2въезд131920[[#This Row],[RelativePath]])</f>
        <v>6 Площадка 1 общага\826398429_1_20260225T172954Z.jpg</v>
      </c>
    </row>
  </sheetData>
  <conditionalFormatting sqref="D205:D215 E205:E218 G2:H204 D2:E204">
    <cfRule type="containsText" dxfId="333" priority="14" operator="containsText" text="Выезд с территории">
      <formula>NOT(ISERROR(SEARCH("Выезд с территории",D2)))</formula>
    </cfRule>
  </conditionalFormatting>
  <conditionalFormatting sqref="F2:F204">
    <cfRule type="notContainsText" dxfId="332" priority="13" operator="notContains" text="порожний">
      <formula>ISERROR(SEARCH("порожний",F2))</formula>
    </cfRule>
  </conditionalFormatting>
  <conditionalFormatting sqref="E2:E218">
    <cfRule type="containsText" dxfId="331" priority="11" operator="containsText" text="Газель базы">
      <formula>NOT(ISERROR(SEARCH("Газель базы",E2)))</formula>
    </cfRule>
    <cfRule type="containsText" dxfId="330" priority="12" operator="containsText" text="Погрузчик базы">
      <formula>NOT(ISERROR(SEARCH("Погрузчик базы",E2)))</formula>
    </cfRule>
  </conditionalFormatting>
  <conditionalFormatting sqref="E2:E218">
    <cfRule type="containsText" dxfId="329" priority="10" operator="containsText" text="Трактор базы">
      <formula>NOT(ISERROR(SEARCH("Трактор базы",E2)))</formula>
    </cfRule>
  </conditionalFormatting>
  <conditionalFormatting sqref="A2:C204">
    <cfRule type="expression" dxfId="328" priority="9">
      <formula>$A2="пн"</formula>
    </cfRule>
  </conditionalFormatting>
  <conditionalFormatting sqref="A2:C206">
    <cfRule type="expression" dxfId="327" priority="3">
      <formula>$A2="вс"</formula>
    </cfRule>
    <cfRule type="expression" dxfId="326" priority="4">
      <formula>$A2="сб"</formula>
    </cfRule>
    <cfRule type="expression" dxfId="325" priority="5">
      <formula>$A2="пт"</formula>
    </cfRule>
    <cfRule type="expression" dxfId="324" priority="6">
      <formula>$A2="чт"</formula>
    </cfRule>
    <cfRule type="expression" dxfId="323" priority="7">
      <formula>$A2="ср"</formula>
    </cfRule>
    <cfRule type="expression" dxfId="322" priority="8">
      <formula>$A2="вт"</formula>
    </cfRule>
  </conditionalFormatting>
  <conditionalFormatting sqref="D2:D215">
    <cfRule type="containsText" dxfId="321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15">
    <cfRule type="containsText" dxfId="320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06A9-605A-4C42-B69F-F1F4648CE27F}">
  <sheetPr>
    <tabColor theme="9" tint="-0.249977111117893"/>
  </sheetPr>
  <dimension ref="A1:M328"/>
  <sheetViews>
    <sheetView zoomScale="90" zoomScaleNormal="90" workbookViewId="0">
      <pane ySplit="1" topLeftCell="A308" activePane="bottomLeft" state="frozen"/>
      <selection pane="bottomLeft" activeCell="I313" sqref="I313:I315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0.5703125" bestFit="1" customWidth="1"/>
    <col min="5" max="5" width="36.28515625" bestFit="1" customWidth="1"/>
    <col min="6" max="6" width="15.5703125" bestFit="1" customWidth="1"/>
    <col min="7" max="7" width="7.28515625" bestFit="1" customWidth="1"/>
    <col min="8" max="8" width="41.7109375" bestFit="1" customWidth="1"/>
    <col min="9" max="9" width="36.7109375" bestFit="1" customWidth="1"/>
    <col min="10" max="10" width="48.85546875" hidden="1" customWidth="1"/>
    <col min="11" max="11" width="61.28515625" hidden="1" customWidth="1"/>
    <col min="12" max="12" width="24.5703125" hidden="1" customWidth="1"/>
    <col min="13" max="13" width="61.28515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0.34953703703703703</v>
      </c>
      <c r="D2" s="9" t="s">
        <v>4</v>
      </c>
      <c r="E2" s="9" t="s">
        <v>8</v>
      </c>
      <c r="F2" s="9"/>
      <c r="H2" s="9" t="s">
        <v>5</v>
      </c>
      <c r="I2" s="9" t="s">
        <v>507</v>
      </c>
      <c r="J2" s="9" t="s">
        <v>2939</v>
      </c>
      <c r="K2" t="s">
        <v>508</v>
      </c>
      <c r="L2" t="s">
        <v>509</v>
      </c>
      <c r="M2" s="3" t="str">
        <f>HYPERLINK(склад2въезд13192021[[#This Row],[RelativePath]])</f>
        <v>7 Площадка 2 бетонщики\K07156189_18_20251110T082320Z.jpg</v>
      </c>
    </row>
    <row r="3" spans="1:13" x14ac:dyDescent="0.25">
      <c r="A3" s="2" t="s">
        <v>13</v>
      </c>
      <c r="B3" s="4">
        <v>45971</v>
      </c>
      <c r="C3" s="5">
        <v>0.60550925925925925</v>
      </c>
      <c r="D3" s="9" t="s">
        <v>4</v>
      </c>
      <c r="E3" s="9" t="s">
        <v>11</v>
      </c>
      <c r="F3" s="9"/>
      <c r="H3" s="9"/>
      <c r="I3" s="9" t="s">
        <v>510</v>
      </c>
      <c r="J3" s="9" t="s">
        <v>2939</v>
      </c>
      <c r="K3" t="s">
        <v>511</v>
      </c>
      <c r="L3" t="s">
        <v>512</v>
      </c>
      <c r="M3" s="3" t="str">
        <f>HYPERLINK(склад2въезд13192021[[#This Row],[RelativePath]])</f>
        <v>7 Площадка 2 бетонщики\K07156189_18_20251110T143156Z.jpg</v>
      </c>
    </row>
    <row r="4" spans="1:13" x14ac:dyDescent="0.25">
      <c r="A4" s="2" t="s">
        <v>13</v>
      </c>
      <c r="B4" s="4">
        <v>45971</v>
      </c>
      <c r="C4" s="5">
        <v>0.60940972222222223</v>
      </c>
      <c r="D4" s="9" t="s">
        <v>4</v>
      </c>
      <c r="E4" s="9" t="s">
        <v>19</v>
      </c>
      <c r="F4" s="9"/>
      <c r="H4" s="9"/>
      <c r="I4" s="9" t="s">
        <v>513</v>
      </c>
      <c r="J4" s="9" t="s">
        <v>2939</v>
      </c>
      <c r="K4" t="s">
        <v>514</v>
      </c>
      <c r="L4" t="s">
        <v>515</v>
      </c>
      <c r="M4" s="3" t="str">
        <f>HYPERLINK(склад2въезд13192021[[#This Row],[RelativePath]])</f>
        <v>7 Площадка 2 бетонщики\K07156189_18_20251110T143733Z.jpg</v>
      </c>
    </row>
    <row r="5" spans="1:13" x14ac:dyDescent="0.25">
      <c r="A5" s="2" t="s">
        <v>13</v>
      </c>
      <c r="B5" s="4">
        <v>45971</v>
      </c>
      <c r="C5" s="5">
        <v>0.61107638888888893</v>
      </c>
      <c r="D5" s="9" t="s">
        <v>4</v>
      </c>
      <c r="E5" s="9" t="s">
        <v>19</v>
      </c>
      <c r="F5" s="9"/>
      <c r="H5" s="9"/>
      <c r="I5" s="9" t="s">
        <v>516</v>
      </c>
      <c r="J5" s="9" t="s">
        <v>2939</v>
      </c>
      <c r="K5" t="s">
        <v>517</v>
      </c>
      <c r="L5" t="s">
        <v>518</v>
      </c>
      <c r="M5" s="3" t="str">
        <f>HYPERLINK(склад2въезд13192021[[#This Row],[RelativePath]])</f>
        <v>7 Площадка 2 бетонщики\K07156189_18_20251110T143957Z.jpg</v>
      </c>
    </row>
    <row r="6" spans="1:13" x14ac:dyDescent="0.25">
      <c r="A6" s="2" t="s">
        <v>13</v>
      </c>
      <c r="B6" s="4">
        <v>45971</v>
      </c>
      <c r="C6" s="5">
        <v>0.73349537037037038</v>
      </c>
      <c r="D6" s="9" t="s">
        <v>4</v>
      </c>
      <c r="E6" s="9" t="s">
        <v>8</v>
      </c>
      <c r="F6" s="9"/>
      <c r="H6" s="9" t="s">
        <v>6</v>
      </c>
      <c r="I6" s="9" t="s">
        <v>519</v>
      </c>
      <c r="J6" s="9" t="s">
        <v>2939</v>
      </c>
      <c r="K6" t="s">
        <v>520</v>
      </c>
      <c r="L6" t="s">
        <v>521</v>
      </c>
      <c r="M6" s="3" t="str">
        <f>HYPERLINK(склад2въезд13192021[[#This Row],[RelativePath]])</f>
        <v>7 Площадка 2 бетонщики\K07156189_18_20251110T173614Z.jpg</v>
      </c>
    </row>
    <row r="7" spans="1:13" x14ac:dyDescent="0.25">
      <c r="A7" s="2" t="s">
        <v>14</v>
      </c>
      <c r="B7" s="4">
        <v>45972</v>
      </c>
      <c r="C7" s="5">
        <v>0.36063657407407407</v>
      </c>
      <c r="D7" s="9" t="s">
        <v>4</v>
      </c>
      <c r="E7" s="9" t="s">
        <v>8</v>
      </c>
      <c r="F7" s="9"/>
      <c r="H7" s="9" t="s">
        <v>5</v>
      </c>
      <c r="I7" s="9" t="s">
        <v>522</v>
      </c>
      <c r="J7" s="9" t="s">
        <v>2939</v>
      </c>
      <c r="K7" t="s">
        <v>523</v>
      </c>
      <c r="L7" t="s">
        <v>524</v>
      </c>
      <c r="M7" s="3" t="str">
        <f>HYPERLINK(склад2въезд13192021[[#This Row],[RelativePath]])</f>
        <v>7 Площадка 2 бетонщики\K07156189_18_20251111T083919Z.jpg</v>
      </c>
    </row>
    <row r="8" spans="1:13" x14ac:dyDescent="0.25">
      <c r="A8" s="2" t="s">
        <v>14</v>
      </c>
      <c r="B8" s="4">
        <v>45972</v>
      </c>
      <c r="C8" s="5">
        <v>0.46400462962962963</v>
      </c>
      <c r="D8" s="9" t="s">
        <v>4</v>
      </c>
      <c r="E8" s="9" t="s">
        <v>19</v>
      </c>
      <c r="F8" s="9"/>
      <c r="H8" s="9"/>
      <c r="I8" s="9" t="s">
        <v>525</v>
      </c>
      <c r="J8" s="9" t="s">
        <v>2939</v>
      </c>
      <c r="K8" t="s">
        <v>526</v>
      </c>
      <c r="L8" t="s">
        <v>527</v>
      </c>
      <c r="M8" s="3" t="str">
        <f>HYPERLINK(склад2въезд13192021[[#This Row],[RelativePath]])</f>
        <v>7 Площадка 2 бетонщики\K07156189_18_20251111T110810Z.jpg</v>
      </c>
    </row>
    <row r="9" spans="1:13" x14ac:dyDescent="0.25">
      <c r="A9" s="2" t="s">
        <v>14</v>
      </c>
      <c r="B9" s="4">
        <v>45972</v>
      </c>
      <c r="C9" s="5">
        <v>0.5084953703703704</v>
      </c>
      <c r="D9" s="9" t="s">
        <v>4</v>
      </c>
      <c r="E9" s="9" t="s">
        <v>19</v>
      </c>
      <c r="F9" s="9"/>
      <c r="H9" s="9"/>
      <c r="I9" s="9" t="s">
        <v>528</v>
      </c>
      <c r="J9" s="9" t="s">
        <v>2939</v>
      </c>
      <c r="K9" t="s">
        <v>529</v>
      </c>
      <c r="L9" t="s">
        <v>530</v>
      </c>
      <c r="M9" s="3" t="str">
        <f>HYPERLINK(склад2въезд13192021[[#This Row],[RelativePath]])</f>
        <v>7 Площадка 2 бетонщики\K07156189_18_20251111T121214Z.jpg</v>
      </c>
    </row>
    <row r="10" spans="1:13" x14ac:dyDescent="0.25">
      <c r="A10" s="2" t="s">
        <v>14</v>
      </c>
      <c r="B10" s="4">
        <v>45972</v>
      </c>
      <c r="C10" s="5">
        <v>0.5131134259259259</v>
      </c>
      <c r="D10" s="9" t="s">
        <v>620</v>
      </c>
      <c r="E10" s="9" t="s">
        <v>86</v>
      </c>
      <c r="F10" s="9" t="s">
        <v>500</v>
      </c>
      <c r="H10" s="9"/>
      <c r="I10" s="9" t="s">
        <v>531</v>
      </c>
      <c r="J10" s="9" t="s">
        <v>2939</v>
      </c>
      <c r="K10" t="s">
        <v>532</v>
      </c>
      <c r="L10" t="s">
        <v>533</v>
      </c>
      <c r="M10" s="3" t="str">
        <f>HYPERLINK(склад2въезд13192021[[#This Row],[RelativePath]])</f>
        <v>7 Площадка 2 бетонщики\K07156189_18_20251111T121853Z.jpg</v>
      </c>
    </row>
    <row r="11" spans="1:13" x14ac:dyDescent="0.25">
      <c r="A11" s="2" t="s">
        <v>14</v>
      </c>
      <c r="B11" s="4">
        <v>45972</v>
      </c>
      <c r="C11" s="5">
        <v>0.62527777777777782</v>
      </c>
      <c r="D11" s="9" t="s">
        <v>4</v>
      </c>
      <c r="E11" s="9" t="s">
        <v>19</v>
      </c>
      <c r="F11" s="9"/>
      <c r="H11" s="9"/>
      <c r="I11" s="9" t="s">
        <v>534</v>
      </c>
      <c r="J11" s="9" t="s">
        <v>2939</v>
      </c>
      <c r="K11" t="s">
        <v>535</v>
      </c>
      <c r="L11" t="s">
        <v>536</v>
      </c>
      <c r="M11" s="3" t="str">
        <f>HYPERLINK(склад2въезд13192021[[#This Row],[RelativePath]])</f>
        <v>7 Площадка 2 бетонщики\K07156189_18_20251111T150024Z.jpg</v>
      </c>
    </row>
    <row r="12" spans="1:13" x14ac:dyDescent="0.25">
      <c r="A12" s="2" t="s">
        <v>14</v>
      </c>
      <c r="B12" s="4">
        <v>45972</v>
      </c>
      <c r="C12" s="5">
        <v>0.64299768518518519</v>
      </c>
      <c r="D12" s="9" t="s">
        <v>158</v>
      </c>
      <c r="E12" s="9" t="s">
        <v>86</v>
      </c>
      <c r="F12" s="9" t="s">
        <v>621</v>
      </c>
      <c r="H12" s="9"/>
      <c r="I12" s="9" t="s">
        <v>537</v>
      </c>
      <c r="J12" s="9" t="s">
        <v>2939</v>
      </c>
      <c r="K12" t="s">
        <v>538</v>
      </c>
      <c r="L12" t="s">
        <v>539</v>
      </c>
      <c r="M12" s="3" t="str">
        <f>HYPERLINK(склад2въезд13192021[[#This Row],[RelativePath]])</f>
        <v>7 Площадка 2 бетонщики\K07156189_18_20251111T152555Z.jpg</v>
      </c>
    </row>
    <row r="13" spans="1:13" x14ac:dyDescent="0.25">
      <c r="A13" s="2" t="s">
        <v>14</v>
      </c>
      <c r="B13" s="4">
        <v>45972</v>
      </c>
      <c r="C13" s="5">
        <v>0.64696759259259262</v>
      </c>
      <c r="D13" s="9" t="s">
        <v>262</v>
      </c>
      <c r="E13" s="9" t="s">
        <v>86</v>
      </c>
      <c r="F13" s="9" t="s">
        <v>621</v>
      </c>
      <c r="H13" s="9"/>
      <c r="I13" s="9" t="s">
        <v>540</v>
      </c>
      <c r="J13" s="9" t="s">
        <v>2939</v>
      </c>
      <c r="K13" t="s">
        <v>541</v>
      </c>
      <c r="L13" t="s">
        <v>542</v>
      </c>
      <c r="M13" s="3" t="str">
        <f>HYPERLINK(склад2въезд13192021[[#This Row],[RelativePath]])</f>
        <v>7 Площадка 2 бетонщики\K07156189_18_20251111T153138Z.jpg</v>
      </c>
    </row>
    <row r="14" spans="1:13" x14ac:dyDescent="0.25">
      <c r="A14" s="2" t="s">
        <v>14</v>
      </c>
      <c r="B14" s="4">
        <v>45972</v>
      </c>
      <c r="C14" s="5">
        <v>0.65789351851851852</v>
      </c>
      <c r="D14" s="9" t="s">
        <v>261</v>
      </c>
      <c r="E14" s="9" t="s">
        <v>86</v>
      </c>
      <c r="F14" s="9" t="s">
        <v>60</v>
      </c>
      <c r="G14">
        <v>2</v>
      </c>
      <c r="H14" s="9"/>
      <c r="I14" s="9" t="s">
        <v>543</v>
      </c>
      <c r="J14" s="9" t="s">
        <v>2939</v>
      </c>
      <c r="K14" t="s">
        <v>544</v>
      </c>
      <c r="L14" t="s">
        <v>545</v>
      </c>
      <c r="M14" s="3" t="str">
        <f>HYPERLINK(склад2въезд13192021[[#This Row],[RelativePath]])</f>
        <v>7 Площадка 2 бетонщики\K07156189_18_20251111T154722Z.jpg</v>
      </c>
    </row>
    <row r="15" spans="1:13" x14ac:dyDescent="0.25">
      <c r="A15" s="2" t="s">
        <v>14</v>
      </c>
      <c r="B15" s="4">
        <v>45972</v>
      </c>
      <c r="C15" s="5">
        <v>0.65893518518518523</v>
      </c>
      <c r="D15" s="9" t="s">
        <v>622</v>
      </c>
      <c r="E15" s="9" t="s">
        <v>86</v>
      </c>
      <c r="F15" s="9" t="s">
        <v>60</v>
      </c>
      <c r="H15" s="9"/>
      <c r="I15" s="9" t="s">
        <v>546</v>
      </c>
      <c r="J15" s="9" t="s">
        <v>2939</v>
      </c>
      <c r="K15" t="s">
        <v>547</v>
      </c>
      <c r="L15" t="s">
        <v>548</v>
      </c>
      <c r="M15" s="3" t="str">
        <f>HYPERLINK(склад2въезд13192021[[#This Row],[RelativePath]])</f>
        <v>7 Площадка 2 бетонщики\K07156189_18_20251111T154852Z.jpg</v>
      </c>
    </row>
    <row r="16" spans="1:13" x14ac:dyDescent="0.25">
      <c r="A16" s="2" t="s">
        <v>14</v>
      </c>
      <c r="B16" s="4">
        <v>45972</v>
      </c>
      <c r="C16" s="5">
        <v>0.66186342592592595</v>
      </c>
      <c r="D16" s="9" t="s">
        <v>4</v>
      </c>
      <c r="E16" s="9" t="s">
        <v>12</v>
      </c>
      <c r="F16" s="9"/>
      <c r="H16" s="9"/>
      <c r="I16" s="9" t="s">
        <v>549</v>
      </c>
      <c r="J16" s="9" t="s">
        <v>2939</v>
      </c>
      <c r="K16" t="s">
        <v>550</v>
      </c>
      <c r="L16" t="s">
        <v>551</v>
      </c>
      <c r="M16" s="3" t="str">
        <f>HYPERLINK(склад2въезд13192021[[#This Row],[RelativePath]])</f>
        <v>7 Площадка 2 бетонщики\K07156189_18_20251111T155305Z.jpg</v>
      </c>
    </row>
    <row r="17" spans="1:13" x14ac:dyDescent="0.25">
      <c r="A17" s="2" t="s">
        <v>14</v>
      </c>
      <c r="B17" s="4">
        <v>45972</v>
      </c>
      <c r="C17" s="5">
        <v>0.67924768518518519</v>
      </c>
      <c r="D17" s="9" t="s">
        <v>4</v>
      </c>
      <c r="E17" s="9" t="s">
        <v>623</v>
      </c>
      <c r="F17" s="9"/>
      <c r="H17" s="9"/>
      <c r="I17" s="9" t="s">
        <v>552</v>
      </c>
      <c r="J17" s="9" t="s">
        <v>2939</v>
      </c>
      <c r="K17" t="s">
        <v>553</v>
      </c>
      <c r="L17" t="s">
        <v>554</v>
      </c>
      <c r="M17" s="3" t="str">
        <f>HYPERLINK(склад2въезд13192021[[#This Row],[RelativePath]])</f>
        <v>7 Площадка 2 бетонщики\K07156189_18_20251111T161807Z.jpg</v>
      </c>
    </row>
    <row r="18" spans="1:13" x14ac:dyDescent="0.25">
      <c r="A18" s="2" t="s">
        <v>14</v>
      </c>
      <c r="B18" s="4">
        <v>45972</v>
      </c>
      <c r="C18" s="5">
        <v>0.73335648148148147</v>
      </c>
      <c r="D18" s="9" t="s">
        <v>4</v>
      </c>
      <c r="E18" s="9" t="s">
        <v>8</v>
      </c>
      <c r="F18" s="9"/>
      <c r="H18" s="9" t="s">
        <v>6</v>
      </c>
      <c r="I18" s="9" t="s">
        <v>555</v>
      </c>
      <c r="J18" s="9" t="s">
        <v>2939</v>
      </c>
      <c r="K18" t="s">
        <v>556</v>
      </c>
      <c r="L18" t="s">
        <v>557</v>
      </c>
      <c r="M18" s="3" t="str">
        <f>HYPERLINK(склад2въезд13192021[[#This Row],[RelativePath]])</f>
        <v>7 Площадка 2 бетонщики\K07156189_18_20251111T173602Z.jpg</v>
      </c>
    </row>
    <row r="19" spans="1:13" x14ac:dyDescent="0.25">
      <c r="A19" s="2" t="s">
        <v>15</v>
      </c>
      <c r="B19" s="4">
        <v>45973</v>
      </c>
      <c r="C19" s="5">
        <v>0.46402777777777776</v>
      </c>
      <c r="D19" s="9" t="s">
        <v>4</v>
      </c>
      <c r="E19" s="9" t="s">
        <v>624</v>
      </c>
      <c r="F19" s="9"/>
      <c r="H19" s="9"/>
      <c r="I19" s="9" t="s">
        <v>558</v>
      </c>
      <c r="J19" s="9" t="s">
        <v>2939</v>
      </c>
      <c r="K19" t="s">
        <v>559</v>
      </c>
      <c r="L19" t="s">
        <v>560</v>
      </c>
      <c r="M19" s="3" t="str">
        <f>HYPERLINK(склад2въезд13192021[[#This Row],[RelativePath]])</f>
        <v>7 Площадка 2 бетонщики\K07156189_18_20251112T110812Z.jpg</v>
      </c>
    </row>
    <row r="20" spans="1:13" x14ac:dyDescent="0.25">
      <c r="A20" s="2" t="s">
        <v>15</v>
      </c>
      <c r="B20" s="4">
        <v>45973</v>
      </c>
      <c r="C20" s="5">
        <v>0.47149305555555554</v>
      </c>
      <c r="D20" s="9" t="s">
        <v>4</v>
      </c>
      <c r="E20" s="9" t="s">
        <v>624</v>
      </c>
      <c r="F20" s="9"/>
      <c r="H20" s="9"/>
      <c r="I20" s="9" t="s">
        <v>561</v>
      </c>
      <c r="J20" s="9" t="s">
        <v>2939</v>
      </c>
      <c r="K20" t="s">
        <v>562</v>
      </c>
      <c r="L20" t="s">
        <v>563</v>
      </c>
      <c r="M20" s="3" t="str">
        <f>HYPERLINK(склад2въезд13192021[[#This Row],[RelativePath]])</f>
        <v>7 Площадка 2 бетонщики\K07156189_18_20251112T111857Z.jpg</v>
      </c>
    </row>
    <row r="21" spans="1:13" x14ac:dyDescent="0.25">
      <c r="A21" s="2" t="s">
        <v>15</v>
      </c>
      <c r="B21" s="4">
        <v>45973</v>
      </c>
      <c r="C21" s="5">
        <v>0.47707175925925926</v>
      </c>
      <c r="D21" s="9" t="s">
        <v>4</v>
      </c>
      <c r="E21" s="9" t="s">
        <v>7</v>
      </c>
      <c r="F21" s="9"/>
      <c r="H21" s="9"/>
      <c r="I21" s="9" t="s">
        <v>564</v>
      </c>
      <c r="J21" s="9" t="s">
        <v>2939</v>
      </c>
      <c r="K21" t="s">
        <v>565</v>
      </c>
      <c r="L21" t="s">
        <v>566</v>
      </c>
      <c r="M21" s="3" t="str">
        <f>HYPERLINK(склад2въезд13192021[[#This Row],[RelativePath]])</f>
        <v>7 Площадка 2 бетонщики\K07156189_18_20251112T112659Z.jpg</v>
      </c>
    </row>
    <row r="22" spans="1:13" x14ac:dyDescent="0.25">
      <c r="A22" s="2" t="s">
        <v>15</v>
      </c>
      <c r="B22" s="4">
        <v>45973</v>
      </c>
      <c r="C22" s="5">
        <v>0.51817129629629632</v>
      </c>
      <c r="D22" s="9" t="s">
        <v>4</v>
      </c>
      <c r="E22" s="9" t="s">
        <v>624</v>
      </c>
      <c r="F22" s="9"/>
      <c r="H22" s="9"/>
      <c r="I22" s="9" t="s">
        <v>567</v>
      </c>
      <c r="J22" s="9" t="s">
        <v>2939</v>
      </c>
      <c r="K22" t="s">
        <v>568</v>
      </c>
      <c r="L22" t="s">
        <v>569</v>
      </c>
      <c r="M22" s="3" t="str">
        <f>HYPERLINK(склад2въезд13192021[[#This Row],[RelativePath]])</f>
        <v>7 Площадка 2 бетонщики\K07156189_18_20251112T122610Z.jpg</v>
      </c>
    </row>
    <row r="23" spans="1:13" x14ac:dyDescent="0.25">
      <c r="A23" s="2" t="s">
        <v>16</v>
      </c>
      <c r="B23" s="4">
        <v>45974</v>
      </c>
      <c r="C23" s="5">
        <v>0.34226851851851853</v>
      </c>
      <c r="D23" s="9" t="s">
        <v>4</v>
      </c>
      <c r="E23" s="9" t="s">
        <v>8</v>
      </c>
      <c r="F23" s="9"/>
      <c r="H23" s="9" t="s">
        <v>5</v>
      </c>
      <c r="I23" s="9" t="s">
        <v>570</v>
      </c>
      <c r="J23" s="9" t="s">
        <v>2939</v>
      </c>
      <c r="K23" t="s">
        <v>571</v>
      </c>
      <c r="L23" t="s">
        <v>572</v>
      </c>
      <c r="M23" s="3" t="str">
        <f>HYPERLINK(склад2въезд13192021[[#This Row],[RelativePath]])</f>
        <v>7 Площадка 2 бетонщики\K07156189_18_20251113T081252Z.jpg</v>
      </c>
    </row>
    <row r="24" spans="1:13" x14ac:dyDescent="0.25">
      <c r="A24" s="2" t="s">
        <v>16</v>
      </c>
      <c r="B24" s="4">
        <v>45974</v>
      </c>
      <c r="C24" s="5">
        <v>0.39884259259259258</v>
      </c>
      <c r="D24" s="9" t="s">
        <v>4</v>
      </c>
      <c r="E24" s="9" t="s">
        <v>624</v>
      </c>
      <c r="F24" s="9"/>
      <c r="H24" s="9"/>
      <c r="I24" s="9" t="s">
        <v>573</v>
      </c>
      <c r="J24" s="9" t="s">
        <v>2939</v>
      </c>
      <c r="K24" t="s">
        <v>574</v>
      </c>
      <c r="L24" t="s">
        <v>245</v>
      </c>
      <c r="M24" s="3" t="str">
        <f>HYPERLINK(склад2въезд13192021[[#This Row],[RelativePath]])</f>
        <v>7 Площадка 2 бетонщики\K07156189_18_20251113T093420Z.jpg</v>
      </c>
    </row>
    <row r="25" spans="1:13" x14ac:dyDescent="0.25">
      <c r="A25" s="2" t="s">
        <v>16</v>
      </c>
      <c r="B25" s="4">
        <v>45974</v>
      </c>
      <c r="C25" s="5">
        <v>0.4538773148148148</v>
      </c>
      <c r="D25" s="9" t="s">
        <v>4</v>
      </c>
      <c r="E25" s="9" t="s">
        <v>7</v>
      </c>
      <c r="F25" s="9"/>
      <c r="H25" s="9"/>
      <c r="I25" s="9" t="s">
        <v>575</v>
      </c>
      <c r="J25" s="9" t="s">
        <v>2939</v>
      </c>
      <c r="K25" t="s">
        <v>576</v>
      </c>
      <c r="L25" t="s">
        <v>577</v>
      </c>
      <c r="M25" s="3" t="str">
        <f>HYPERLINK(склад2въезд13192021[[#This Row],[RelativePath]])</f>
        <v>7 Площадка 2 бетонщики\K07156189_18_20251113T105335Z.jpg</v>
      </c>
    </row>
    <row r="26" spans="1:13" x14ac:dyDescent="0.25">
      <c r="A26" s="2" t="s">
        <v>16</v>
      </c>
      <c r="B26" s="4">
        <v>45974</v>
      </c>
      <c r="C26" s="5">
        <v>0.50568287037037041</v>
      </c>
      <c r="D26" s="9" t="s">
        <v>4</v>
      </c>
      <c r="E26" s="9" t="s">
        <v>7</v>
      </c>
      <c r="F26" s="9"/>
      <c r="H26" s="9"/>
      <c r="I26" s="9" t="s">
        <v>578</v>
      </c>
      <c r="J26" s="9" t="s">
        <v>2939</v>
      </c>
      <c r="K26" t="s">
        <v>579</v>
      </c>
      <c r="L26" t="s">
        <v>580</v>
      </c>
      <c r="M26" s="3" t="str">
        <f>HYPERLINK(склад2въезд13192021[[#This Row],[RelativePath]])</f>
        <v>7 Площадка 2 бетонщики\K07156189_18_20251113T120811Z.jpg</v>
      </c>
    </row>
    <row r="27" spans="1:13" x14ac:dyDescent="0.25">
      <c r="A27" s="2" t="s">
        <v>16</v>
      </c>
      <c r="B27" s="4">
        <v>45974</v>
      </c>
      <c r="C27" s="5">
        <v>0.62601851851851853</v>
      </c>
      <c r="D27" s="9" t="s">
        <v>4</v>
      </c>
      <c r="E27" s="9" t="s">
        <v>624</v>
      </c>
      <c r="F27" s="9"/>
      <c r="H27" s="9"/>
      <c r="I27" s="9" t="s">
        <v>581</v>
      </c>
      <c r="J27" s="9" t="s">
        <v>2939</v>
      </c>
      <c r="K27" t="s">
        <v>582</v>
      </c>
      <c r="L27" t="s">
        <v>583</v>
      </c>
      <c r="M27" s="3" t="str">
        <f>HYPERLINK(склад2въезд13192021[[#This Row],[RelativePath]])</f>
        <v>7 Площадка 2 бетонщики\K07156189_18_20251113T150128Z.jpg</v>
      </c>
    </row>
    <row r="28" spans="1:13" x14ac:dyDescent="0.25">
      <c r="A28" s="2" t="s">
        <v>16</v>
      </c>
      <c r="B28" s="4">
        <v>45974</v>
      </c>
      <c r="C28" s="5">
        <v>0.66766203703703708</v>
      </c>
      <c r="D28" s="9" t="s">
        <v>4</v>
      </c>
      <c r="E28" s="9" t="s">
        <v>624</v>
      </c>
      <c r="F28" s="9"/>
      <c r="H28" s="9"/>
      <c r="I28" s="9" t="s">
        <v>584</v>
      </c>
      <c r="J28" s="9" t="s">
        <v>2939</v>
      </c>
      <c r="K28" t="s">
        <v>585</v>
      </c>
      <c r="L28" t="s">
        <v>586</v>
      </c>
      <c r="M28" s="3" t="str">
        <f>HYPERLINK(склад2въезд13192021[[#This Row],[RelativePath]])</f>
        <v>7 Площадка 2 бетонщики\K07156189_18_20251113T160126Z.jpg</v>
      </c>
    </row>
    <row r="29" spans="1:13" x14ac:dyDescent="0.25">
      <c r="A29" s="2" t="s">
        <v>16</v>
      </c>
      <c r="B29" s="4">
        <v>45974</v>
      </c>
      <c r="C29" s="5">
        <v>0.703587962962963</v>
      </c>
      <c r="D29" s="9" t="s">
        <v>4</v>
      </c>
      <c r="E29" s="9" t="s">
        <v>8</v>
      </c>
      <c r="F29" s="9"/>
      <c r="H29" s="9" t="s">
        <v>6</v>
      </c>
      <c r="I29" s="9" t="s">
        <v>587</v>
      </c>
      <c r="J29" s="9" t="s">
        <v>2939</v>
      </c>
      <c r="K29" t="s">
        <v>588</v>
      </c>
      <c r="L29" t="s">
        <v>589</v>
      </c>
      <c r="M29" s="3" t="str">
        <f>HYPERLINK(склад2въезд13192021[[#This Row],[RelativePath]])</f>
        <v>7 Площадка 2 бетонщики\K07156189_18_20251113T165310Z.jpg</v>
      </c>
    </row>
    <row r="30" spans="1:13" x14ac:dyDescent="0.25">
      <c r="A30" s="2" t="s">
        <v>17</v>
      </c>
      <c r="B30" s="4">
        <v>45975</v>
      </c>
      <c r="C30" s="5">
        <v>0.39708333333333334</v>
      </c>
      <c r="D30" s="9" t="s">
        <v>4</v>
      </c>
      <c r="E30" s="9" t="s">
        <v>12</v>
      </c>
      <c r="F30" s="9"/>
      <c r="H30" s="9"/>
      <c r="I30" s="9" t="s">
        <v>590</v>
      </c>
      <c r="J30" s="9" t="s">
        <v>2939</v>
      </c>
      <c r="K30" t="s">
        <v>591</v>
      </c>
      <c r="L30" t="s">
        <v>592</v>
      </c>
      <c r="M30" s="3" t="str">
        <f>HYPERLINK(склад2въезд13192021[[#This Row],[RelativePath]])</f>
        <v>7 Площадка 2 бетонщики\K134160575_1_20251114T093148Z.jpg</v>
      </c>
    </row>
    <row r="31" spans="1:13" x14ac:dyDescent="0.25">
      <c r="A31" s="2" t="s">
        <v>17</v>
      </c>
      <c r="B31" s="4">
        <v>45975</v>
      </c>
      <c r="C31" s="5">
        <v>0.47876157407407405</v>
      </c>
      <c r="D31" s="9" t="s">
        <v>4</v>
      </c>
      <c r="E31" s="9" t="s">
        <v>11</v>
      </c>
      <c r="F31" s="9"/>
      <c r="H31" s="9"/>
      <c r="I31" s="9" t="s">
        <v>593</v>
      </c>
      <c r="J31" s="9" t="s">
        <v>2939</v>
      </c>
      <c r="K31" t="s">
        <v>594</v>
      </c>
      <c r="L31" t="s">
        <v>595</v>
      </c>
      <c r="M31" s="3" t="str">
        <f>HYPERLINK(склад2въезд13192021[[#This Row],[RelativePath]])</f>
        <v>7 Площадка 2 бетонщики\K134160575_1_20251114T112925Z.jpg</v>
      </c>
    </row>
    <row r="32" spans="1:13" x14ac:dyDescent="0.25">
      <c r="A32" s="2" t="s">
        <v>17</v>
      </c>
      <c r="B32" s="4">
        <v>45975</v>
      </c>
      <c r="C32" s="5">
        <v>0.48321759259259262</v>
      </c>
      <c r="D32" s="9" t="s">
        <v>4</v>
      </c>
      <c r="E32" s="9" t="s">
        <v>11</v>
      </c>
      <c r="F32" s="9"/>
      <c r="H32" s="9"/>
      <c r="I32" s="9" t="s">
        <v>596</v>
      </c>
      <c r="J32" s="9" t="s">
        <v>2939</v>
      </c>
      <c r="K32" t="s">
        <v>597</v>
      </c>
      <c r="L32" t="s">
        <v>598</v>
      </c>
      <c r="M32" s="3" t="str">
        <f>HYPERLINK(склад2въезд13192021[[#This Row],[RelativePath]])</f>
        <v>7 Площадка 2 бетонщики\K134160575_1_20251114T113550Z.jpg</v>
      </c>
    </row>
    <row r="33" spans="1:13" x14ac:dyDescent="0.25">
      <c r="A33" s="2" t="s">
        <v>17</v>
      </c>
      <c r="B33" s="4">
        <v>45975</v>
      </c>
      <c r="C33" s="5">
        <v>0.49519675925925927</v>
      </c>
      <c r="D33" s="9" t="s">
        <v>261</v>
      </c>
      <c r="E33" s="9" t="s">
        <v>86</v>
      </c>
      <c r="F33" s="9" t="s">
        <v>60</v>
      </c>
      <c r="G33">
        <v>1</v>
      </c>
      <c r="H33" s="9"/>
      <c r="I33" s="9" t="s">
        <v>599</v>
      </c>
      <c r="J33" s="9" t="s">
        <v>2939</v>
      </c>
      <c r="K33" t="s">
        <v>600</v>
      </c>
      <c r="L33" t="s">
        <v>601</v>
      </c>
      <c r="M33" s="3" t="str">
        <f>HYPERLINK(склад2въезд13192021[[#This Row],[RelativePath]])</f>
        <v>7 Площадка 2 бетонщики\K134160575_1_20251114T115305Z.jpg</v>
      </c>
    </row>
    <row r="34" spans="1:13" x14ac:dyDescent="0.25">
      <c r="A34" s="2" t="s">
        <v>17</v>
      </c>
      <c r="B34" s="4">
        <v>45975</v>
      </c>
      <c r="C34" s="5">
        <v>0.51288194444444446</v>
      </c>
      <c r="D34" s="9" t="s">
        <v>625</v>
      </c>
      <c r="E34" s="9" t="s">
        <v>86</v>
      </c>
      <c r="F34" s="9" t="s">
        <v>200</v>
      </c>
      <c r="H34" s="9"/>
      <c r="I34" s="9" t="s">
        <v>602</v>
      </c>
      <c r="J34" s="9" t="s">
        <v>2939</v>
      </c>
      <c r="K34" t="s">
        <v>603</v>
      </c>
      <c r="L34" t="s">
        <v>604</v>
      </c>
      <c r="M34" s="3" t="str">
        <f>HYPERLINK(склад2въезд13192021[[#This Row],[RelativePath]])</f>
        <v>7 Площадка 2 бетонщики\K134160575_1_20251114T121833Z.jpg</v>
      </c>
    </row>
    <row r="35" spans="1:13" x14ac:dyDescent="0.25">
      <c r="A35" s="2" t="s">
        <v>17</v>
      </c>
      <c r="B35" s="4">
        <v>45975</v>
      </c>
      <c r="C35" s="5">
        <v>0.51481481481481484</v>
      </c>
      <c r="D35" s="9" t="s">
        <v>622</v>
      </c>
      <c r="E35" s="9" t="s">
        <v>86</v>
      </c>
      <c r="F35" s="9" t="s">
        <v>200</v>
      </c>
      <c r="H35" s="9"/>
      <c r="I35" s="9" t="s">
        <v>605</v>
      </c>
      <c r="J35" s="9" t="s">
        <v>2939</v>
      </c>
      <c r="K35" t="s">
        <v>606</v>
      </c>
      <c r="L35" t="s">
        <v>607</v>
      </c>
      <c r="M35" s="3" t="str">
        <f>HYPERLINK(склад2въезд13192021[[#This Row],[RelativePath]])</f>
        <v>7 Площадка 2 бетонщики\K134160575_1_20251114T122120Z.jpg</v>
      </c>
    </row>
    <row r="36" spans="1:13" x14ac:dyDescent="0.25">
      <c r="A36" s="2" t="s">
        <v>17</v>
      </c>
      <c r="B36" s="4">
        <v>45975</v>
      </c>
      <c r="C36" s="5">
        <v>0.52119212962962957</v>
      </c>
      <c r="D36" s="9" t="s">
        <v>261</v>
      </c>
      <c r="E36" s="9" t="s">
        <v>86</v>
      </c>
      <c r="F36" s="9" t="s">
        <v>200</v>
      </c>
      <c r="H36" s="9"/>
      <c r="I36" s="9" t="s">
        <v>608</v>
      </c>
      <c r="J36" s="9" t="s">
        <v>2939</v>
      </c>
      <c r="K36" t="s">
        <v>609</v>
      </c>
      <c r="L36" t="s">
        <v>610</v>
      </c>
      <c r="M36" s="3" t="str">
        <f>HYPERLINK(склад2въезд13192021[[#This Row],[RelativePath]])</f>
        <v>7 Площадка 2 бетонщики\K134160575_1_20251114T123031Z.jpg</v>
      </c>
    </row>
    <row r="37" spans="1:13" x14ac:dyDescent="0.25">
      <c r="A37" s="2" t="s">
        <v>17</v>
      </c>
      <c r="B37" s="4">
        <v>45975</v>
      </c>
      <c r="C37" s="5">
        <v>0.52820601851851856</v>
      </c>
      <c r="D37" s="9" t="s">
        <v>622</v>
      </c>
      <c r="E37" s="9" t="s">
        <v>86</v>
      </c>
      <c r="F37" s="9" t="s">
        <v>200</v>
      </c>
      <c r="H37" s="9"/>
      <c r="I37" s="9" t="s">
        <v>611</v>
      </c>
      <c r="J37" s="9" t="s">
        <v>2939</v>
      </c>
      <c r="K37" t="s">
        <v>612</v>
      </c>
      <c r="L37" t="s">
        <v>613</v>
      </c>
      <c r="M37" s="3" t="str">
        <f>HYPERLINK(склад2въезд13192021[[#This Row],[RelativePath]])</f>
        <v>7 Площадка 2 бетонщики\K134160575_1_20251114T124037Z.jpg</v>
      </c>
    </row>
    <row r="38" spans="1:13" x14ac:dyDescent="0.25">
      <c r="A38" s="2" t="s">
        <v>17</v>
      </c>
      <c r="B38" s="4">
        <v>45975</v>
      </c>
      <c r="C38" s="5">
        <v>0.60206018518518523</v>
      </c>
      <c r="D38" s="9" t="s">
        <v>4</v>
      </c>
      <c r="E38" s="9" t="s">
        <v>11</v>
      </c>
      <c r="F38" s="9"/>
      <c r="H38" s="9"/>
      <c r="I38" s="9" t="s">
        <v>614</v>
      </c>
      <c r="J38" s="9" t="s">
        <v>2939</v>
      </c>
      <c r="K38" t="s">
        <v>615</v>
      </c>
      <c r="L38" t="s">
        <v>616</v>
      </c>
      <c r="M38" s="3" t="str">
        <f>HYPERLINK(склад2въезд13192021[[#This Row],[RelativePath]])</f>
        <v>7 Площадка 2 бетонщики\K134160575_1_20251114T142658Z.jpg</v>
      </c>
    </row>
    <row r="39" spans="1:13" x14ac:dyDescent="0.25">
      <c r="A39" s="2" t="s">
        <v>17</v>
      </c>
      <c r="B39" s="4">
        <v>45975</v>
      </c>
      <c r="C39" s="5">
        <v>0.72811342592592587</v>
      </c>
      <c r="D39" s="9" t="s">
        <v>4</v>
      </c>
      <c r="E39" s="9" t="s">
        <v>8</v>
      </c>
      <c r="F39" s="9"/>
      <c r="H39" s="9" t="s">
        <v>6</v>
      </c>
      <c r="I39" s="9" t="s">
        <v>617</v>
      </c>
      <c r="J39" s="9" t="s">
        <v>2939</v>
      </c>
      <c r="K39" t="s">
        <v>618</v>
      </c>
      <c r="L39" t="s">
        <v>619</v>
      </c>
      <c r="M39" s="3" t="str">
        <f>HYPERLINK(склад2въезд13192021[[#This Row],[RelativePath]])</f>
        <v>7 Площадка 2 бетонщики\K134160575_1_20251114T172829Z.jpg</v>
      </c>
    </row>
    <row r="40" spans="1:13" x14ac:dyDescent="0.25">
      <c r="A40" s="2" t="s">
        <v>18</v>
      </c>
      <c r="B40" s="4">
        <v>45976</v>
      </c>
      <c r="C40" s="5">
        <v>0.35386574074074073</v>
      </c>
      <c r="D40" s="9" t="s">
        <v>4</v>
      </c>
      <c r="E40" s="9" t="s">
        <v>8</v>
      </c>
      <c r="F40" s="9"/>
      <c r="H40" s="9"/>
      <c r="I40" s="9" t="s">
        <v>1087</v>
      </c>
      <c r="J40" s="9" t="s">
        <v>2939</v>
      </c>
      <c r="K40" t="s">
        <v>1088</v>
      </c>
      <c r="L40" t="s">
        <v>1089</v>
      </c>
      <c r="M40" s="3" t="str">
        <f>HYPERLINK(склад2въезд13192021[[#This Row],[RelativePath]])</f>
        <v>7 Площадка 2 бетонщики\K07156189_18_20251115T082934Z.jpg</v>
      </c>
    </row>
    <row r="41" spans="1:13" x14ac:dyDescent="0.25">
      <c r="A41" s="2" t="s">
        <v>18</v>
      </c>
      <c r="B41" s="4">
        <v>45976</v>
      </c>
      <c r="C41" s="5">
        <v>0.57975694444444448</v>
      </c>
      <c r="D41" s="9" t="s">
        <v>4</v>
      </c>
      <c r="E41" s="9" t="s">
        <v>8</v>
      </c>
      <c r="F41" s="9"/>
      <c r="H41" s="9" t="s">
        <v>1967</v>
      </c>
      <c r="I41" s="9" t="s">
        <v>1090</v>
      </c>
      <c r="J41" s="9" t="s">
        <v>2939</v>
      </c>
      <c r="K41" t="s">
        <v>1091</v>
      </c>
      <c r="L41" t="s">
        <v>1092</v>
      </c>
      <c r="M41" s="3" t="str">
        <f>HYPERLINK(склад2въезд13192021[[#This Row],[RelativePath]])</f>
        <v>7 Площадка 2 бетонщики\K07156189_18_20251115T135451Z.jpg</v>
      </c>
    </row>
    <row r="42" spans="1:13" x14ac:dyDescent="0.25">
      <c r="A42" s="2" t="s">
        <v>18</v>
      </c>
      <c r="B42" s="4">
        <v>45976</v>
      </c>
      <c r="C42" s="5">
        <v>0.73229166666666667</v>
      </c>
      <c r="D42" s="9" t="s">
        <v>4</v>
      </c>
      <c r="E42" s="9" t="s">
        <v>8</v>
      </c>
      <c r="F42" s="9"/>
      <c r="H42" s="9"/>
      <c r="I42" s="9" t="s">
        <v>1093</v>
      </c>
      <c r="J42" s="9" t="s">
        <v>2939</v>
      </c>
      <c r="K42" t="s">
        <v>1094</v>
      </c>
      <c r="L42" t="s">
        <v>1095</v>
      </c>
      <c r="M42" s="3" t="str">
        <f>HYPERLINK(склад2въезд13192021[[#This Row],[RelativePath]])</f>
        <v>7 Площадка 2 бетонщики\K07156189_18_20251115T173430Z.jpg</v>
      </c>
    </row>
    <row r="43" spans="1:13" x14ac:dyDescent="0.25">
      <c r="A43" s="2" t="s">
        <v>22</v>
      </c>
      <c r="B43" s="4">
        <v>45977</v>
      </c>
      <c r="C43" s="5">
        <v>0.36768518518518517</v>
      </c>
      <c r="D43" s="9" t="s">
        <v>4</v>
      </c>
      <c r="E43" s="9" t="s">
        <v>8</v>
      </c>
      <c r="F43" s="9"/>
      <c r="H43" s="9" t="s">
        <v>1967</v>
      </c>
      <c r="I43" s="9" t="s">
        <v>1096</v>
      </c>
      <c r="J43" s="9" t="s">
        <v>2939</v>
      </c>
      <c r="K43" t="s">
        <v>1097</v>
      </c>
      <c r="L43" t="s">
        <v>1098</v>
      </c>
      <c r="M43" s="3" t="str">
        <f>HYPERLINK(склад2въезд13192021[[#This Row],[RelativePath]])</f>
        <v>7 Площадка 2 бетонщики\K07156189_18_20251116T084928Z.jpg</v>
      </c>
    </row>
    <row r="44" spans="1:13" x14ac:dyDescent="0.25">
      <c r="A44" s="2" t="s">
        <v>22</v>
      </c>
      <c r="B44" s="4">
        <v>45977</v>
      </c>
      <c r="C44" s="5">
        <v>0.67076388888888894</v>
      </c>
      <c r="D44" s="9" t="s">
        <v>4</v>
      </c>
      <c r="E44" s="9" t="s">
        <v>8</v>
      </c>
      <c r="F44" s="9"/>
      <c r="H44" s="9"/>
      <c r="I44" s="9" t="s">
        <v>1099</v>
      </c>
      <c r="J44" s="9" t="s">
        <v>2939</v>
      </c>
      <c r="K44" t="s">
        <v>1100</v>
      </c>
      <c r="L44" t="s">
        <v>1101</v>
      </c>
      <c r="M44" s="3" t="str">
        <f>HYPERLINK(склад2въезд13192021[[#This Row],[RelativePath]])</f>
        <v>7 Площадка 2 бетонщики\K07156189_18_20251116T160554Z.jpg</v>
      </c>
    </row>
    <row r="45" spans="1:13" x14ac:dyDescent="0.25">
      <c r="A45" s="2" t="s">
        <v>13</v>
      </c>
      <c r="B45" s="4">
        <v>45978</v>
      </c>
      <c r="C45" s="5">
        <v>0.43027777777777776</v>
      </c>
      <c r="D45" s="9" t="s">
        <v>11</v>
      </c>
      <c r="E45" s="9"/>
      <c r="F45" s="9"/>
      <c r="H45" s="9"/>
      <c r="I45" s="9" t="s">
        <v>2109</v>
      </c>
      <c r="J45" s="9" t="s">
        <v>2939</v>
      </c>
      <c r="K45" t="s">
        <v>2110</v>
      </c>
      <c r="L45" t="s">
        <v>2111</v>
      </c>
      <c r="M45" s="3" t="str">
        <f>HYPERLINK(склад2въезд13192021[[#This Row],[RelativePath]])</f>
        <v>7 Площадка 2 бетонщики\K07156189_18_20251117T101936Z.jpg</v>
      </c>
    </row>
    <row r="46" spans="1:13" x14ac:dyDescent="0.25">
      <c r="A46" s="2" t="s">
        <v>13</v>
      </c>
      <c r="B46" s="4">
        <v>45978</v>
      </c>
      <c r="C46" s="5">
        <v>0.46583333333333332</v>
      </c>
      <c r="D46" s="9" t="s">
        <v>11</v>
      </c>
      <c r="E46" s="9"/>
      <c r="F46" s="9"/>
      <c r="H46" s="9"/>
      <c r="I46" s="9" t="s">
        <v>2112</v>
      </c>
      <c r="J46" s="9" t="s">
        <v>2939</v>
      </c>
      <c r="K46" t="s">
        <v>2113</v>
      </c>
      <c r="L46" t="s">
        <v>2114</v>
      </c>
      <c r="M46" s="3" t="str">
        <f>HYPERLINK(склад2въезд13192021[[#This Row],[RelativePath]])</f>
        <v>7 Площадка 2 бетонщики\K07156189_18_20251117T111048Z.jpg</v>
      </c>
    </row>
    <row r="47" spans="1:13" x14ac:dyDescent="0.25">
      <c r="A47" s="2" t="s">
        <v>13</v>
      </c>
      <c r="B47" s="4">
        <v>45978</v>
      </c>
      <c r="C47" s="5">
        <v>0.49204861111111109</v>
      </c>
      <c r="D47" s="9" t="s">
        <v>11</v>
      </c>
      <c r="E47" s="9"/>
      <c r="F47" s="9"/>
      <c r="H47" s="9"/>
      <c r="I47" s="9" t="s">
        <v>2115</v>
      </c>
      <c r="J47" s="9" t="s">
        <v>2939</v>
      </c>
      <c r="K47" t="s">
        <v>2116</v>
      </c>
      <c r="L47" t="s">
        <v>2117</v>
      </c>
      <c r="M47" s="3" t="str">
        <f>HYPERLINK(склад2въезд13192021[[#This Row],[RelativePath]])</f>
        <v>7 Площадка 2 бетонщики\K07156189_18_20251117T114833Z.jpg</v>
      </c>
    </row>
    <row r="48" spans="1:13" x14ac:dyDescent="0.25">
      <c r="A48" s="2" t="s">
        <v>13</v>
      </c>
      <c r="B48" s="4">
        <v>45978</v>
      </c>
      <c r="C48" s="5">
        <v>0.51048611111111108</v>
      </c>
      <c r="D48" s="9" t="s">
        <v>11</v>
      </c>
      <c r="E48" s="9"/>
      <c r="F48" s="9"/>
      <c r="H48" s="9"/>
      <c r="I48" s="9" t="s">
        <v>2118</v>
      </c>
      <c r="J48" s="9" t="s">
        <v>2939</v>
      </c>
      <c r="K48" t="s">
        <v>2119</v>
      </c>
      <c r="L48" t="s">
        <v>2120</v>
      </c>
      <c r="M48" s="3" t="str">
        <f>HYPERLINK(склад2въезд13192021[[#This Row],[RelativePath]])</f>
        <v>7 Площадка 2 бетонщики\K07156189_18_20251117T121506Z.jpg</v>
      </c>
    </row>
    <row r="49" spans="1:13" x14ac:dyDescent="0.25">
      <c r="A49" s="2" t="s">
        <v>13</v>
      </c>
      <c r="B49" s="4">
        <v>45978</v>
      </c>
      <c r="C49" s="5">
        <v>0.51509259259259255</v>
      </c>
      <c r="D49" s="9" t="s">
        <v>11</v>
      </c>
      <c r="E49" s="9"/>
      <c r="F49" s="9"/>
      <c r="H49" s="9"/>
      <c r="I49" s="9" t="s">
        <v>2121</v>
      </c>
      <c r="J49" s="9" t="s">
        <v>2939</v>
      </c>
      <c r="K49" t="s">
        <v>2122</v>
      </c>
      <c r="L49" t="s">
        <v>2123</v>
      </c>
      <c r="M49" s="3" t="str">
        <f>HYPERLINK(склад2въезд13192021[[#This Row],[RelativePath]])</f>
        <v>7 Площадка 2 бетонщики\K07156189_18_20251117T122144Z.jpg</v>
      </c>
    </row>
    <row r="50" spans="1:13" x14ac:dyDescent="0.25">
      <c r="A50" s="2" t="s">
        <v>13</v>
      </c>
      <c r="B50" s="4">
        <v>45978</v>
      </c>
      <c r="C50" s="5">
        <v>0.51950231481481479</v>
      </c>
      <c r="D50" s="9" t="s">
        <v>11</v>
      </c>
      <c r="E50" s="9"/>
      <c r="F50" s="9"/>
      <c r="H50" s="9"/>
      <c r="I50" s="9" t="s">
        <v>2124</v>
      </c>
      <c r="J50" s="9" t="s">
        <v>2939</v>
      </c>
      <c r="K50" t="s">
        <v>2125</v>
      </c>
      <c r="L50" t="s">
        <v>2126</v>
      </c>
      <c r="M50" s="3" t="str">
        <f>HYPERLINK(склад2въезд13192021[[#This Row],[RelativePath]])</f>
        <v>7 Площадка 2 бетонщики\K07156189_18_20251117T122805Z.jpg</v>
      </c>
    </row>
    <row r="51" spans="1:13" x14ac:dyDescent="0.25">
      <c r="A51" s="2" t="s">
        <v>13</v>
      </c>
      <c r="B51" s="4">
        <v>45978</v>
      </c>
      <c r="C51" s="5">
        <v>0.59406250000000005</v>
      </c>
      <c r="D51" s="9" t="s">
        <v>11</v>
      </c>
      <c r="E51" s="9"/>
      <c r="F51" s="9"/>
      <c r="H51" s="9"/>
      <c r="I51" s="9" t="s">
        <v>2127</v>
      </c>
      <c r="J51" s="9" t="s">
        <v>2939</v>
      </c>
      <c r="K51" t="s">
        <v>2128</v>
      </c>
      <c r="L51" t="s">
        <v>2129</v>
      </c>
      <c r="M51" s="3" t="str">
        <f>HYPERLINK(склад2въезд13192021[[#This Row],[RelativePath]])</f>
        <v>7 Площадка 2 бетонщики\K07156189_18_20251117T141527Z.jpg</v>
      </c>
    </row>
    <row r="52" spans="1:13" x14ac:dyDescent="0.25">
      <c r="A52" s="2" t="s">
        <v>13</v>
      </c>
      <c r="B52" s="4">
        <v>45978</v>
      </c>
      <c r="C52" s="5">
        <v>0.66373842592592591</v>
      </c>
      <c r="D52" s="9" t="s">
        <v>11</v>
      </c>
      <c r="E52" s="9"/>
      <c r="F52" s="9"/>
      <c r="H52" s="9"/>
      <c r="I52" s="9" t="s">
        <v>2130</v>
      </c>
      <c r="J52" s="9" t="s">
        <v>2939</v>
      </c>
      <c r="K52" t="s">
        <v>2131</v>
      </c>
      <c r="L52" t="s">
        <v>2132</v>
      </c>
      <c r="M52" s="3" t="str">
        <f>HYPERLINK(склад2въезд13192021[[#This Row],[RelativePath]])</f>
        <v>7 Площадка 2 бетонщики\K07156189_18_20251117T155547Z.jpg</v>
      </c>
    </row>
    <row r="53" spans="1:13" x14ac:dyDescent="0.25">
      <c r="A53" s="2" t="s">
        <v>13</v>
      </c>
      <c r="B53" s="4">
        <v>45978</v>
      </c>
      <c r="C53" s="5">
        <v>0.69256944444444446</v>
      </c>
      <c r="D53" s="9" t="s">
        <v>11</v>
      </c>
      <c r="E53" s="9"/>
      <c r="F53" s="9"/>
      <c r="H53" s="9"/>
      <c r="I53" s="9" t="s">
        <v>2133</v>
      </c>
      <c r="J53" s="9" t="s">
        <v>2939</v>
      </c>
      <c r="K53" t="s">
        <v>2134</v>
      </c>
      <c r="L53" t="s">
        <v>2135</v>
      </c>
      <c r="M53" s="3" t="str">
        <f>HYPERLINK(склад2въезд13192021[[#This Row],[RelativePath]])</f>
        <v>7 Площадка 2 бетонщики\K07156189_18_20251117T163718Z.jpg</v>
      </c>
    </row>
    <row r="54" spans="1:13" x14ac:dyDescent="0.25">
      <c r="A54" s="2" t="s">
        <v>13</v>
      </c>
      <c r="B54" s="4">
        <v>45978</v>
      </c>
      <c r="C54" s="5">
        <v>0.70740740740740737</v>
      </c>
      <c r="D54" s="9" t="s">
        <v>4</v>
      </c>
      <c r="E54" s="9" t="s">
        <v>8</v>
      </c>
      <c r="F54" s="9"/>
      <c r="H54" s="9" t="s">
        <v>1588</v>
      </c>
      <c r="I54" s="9" t="s">
        <v>2136</v>
      </c>
      <c r="J54" s="9" t="s">
        <v>2939</v>
      </c>
      <c r="K54" t="s">
        <v>2137</v>
      </c>
      <c r="L54" t="s">
        <v>2138</v>
      </c>
      <c r="M54" s="3" t="str">
        <f>HYPERLINK(склад2въезд13192021[[#This Row],[RelativePath]])</f>
        <v>7 Площадка 2 бетонщики\K07156189_18_20251117T165840Z.jpg</v>
      </c>
    </row>
    <row r="55" spans="1:13" x14ac:dyDescent="0.25">
      <c r="A55" s="2" t="s">
        <v>14</v>
      </c>
      <c r="B55" s="4">
        <v>45979</v>
      </c>
      <c r="C55" s="5">
        <v>0.40092592592592591</v>
      </c>
      <c r="D55" s="9" t="s">
        <v>11</v>
      </c>
      <c r="E55" s="9"/>
      <c r="F55" s="9"/>
      <c r="H55" s="9"/>
      <c r="I55" s="9" t="s">
        <v>2139</v>
      </c>
      <c r="J55" s="9" t="s">
        <v>2939</v>
      </c>
      <c r="K55" t="s">
        <v>2140</v>
      </c>
      <c r="L55" t="s">
        <v>2141</v>
      </c>
      <c r="M55" s="3" t="str">
        <f>HYPERLINK(склад2въезд13192021[[#This Row],[RelativePath]])</f>
        <v>7 Площадка 2 бетонщики\K07156189_18_20251118T093720Z.jpg</v>
      </c>
    </row>
    <row r="56" spans="1:13" x14ac:dyDescent="0.25">
      <c r="A56" s="2" t="s">
        <v>14</v>
      </c>
      <c r="B56" s="4">
        <v>45979</v>
      </c>
      <c r="C56" s="5">
        <v>0.40392361111111114</v>
      </c>
      <c r="D56" s="9" t="s">
        <v>11</v>
      </c>
      <c r="E56" s="9"/>
      <c r="F56" s="9"/>
      <c r="H56" s="9"/>
      <c r="I56" s="9" t="s">
        <v>2142</v>
      </c>
      <c r="J56" s="9" t="s">
        <v>2939</v>
      </c>
      <c r="K56" t="s">
        <v>2143</v>
      </c>
      <c r="L56" t="s">
        <v>2144</v>
      </c>
      <c r="M56" s="3" t="str">
        <f>HYPERLINK(склад2въезд13192021[[#This Row],[RelativePath]])</f>
        <v>7 Площадка 2 бетонщики\K07156189_18_20251118T094139Z.jpg</v>
      </c>
    </row>
    <row r="57" spans="1:13" x14ac:dyDescent="0.25">
      <c r="A57" s="2" t="s">
        <v>14</v>
      </c>
      <c r="B57" s="4">
        <v>45979</v>
      </c>
      <c r="C57" s="5">
        <v>0.41547453703703702</v>
      </c>
      <c r="D57" s="9" t="s">
        <v>11</v>
      </c>
      <c r="E57" s="9"/>
      <c r="F57" s="9"/>
      <c r="H57" s="9"/>
      <c r="I57" s="9" t="s">
        <v>2145</v>
      </c>
      <c r="J57" s="9" t="s">
        <v>2939</v>
      </c>
      <c r="K57" t="s">
        <v>2146</v>
      </c>
      <c r="L57" t="s">
        <v>2147</v>
      </c>
      <c r="M57" s="3" t="str">
        <f>HYPERLINK(склад2въезд13192021[[#This Row],[RelativePath]])</f>
        <v>7 Площадка 2 бетонщики\K07156189_18_20251118T095817Z.jpg</v>
      </c>
    </row>
    <row r="58" spans="1:13" x14ac:dyDescent="0.25">
      <c r="A58" s="2" t="s">
        <v>14</v>
      </c>
      <c r="B58" s="4">
        <v>45979</v>
      </c>
      <c r="C58" s="5">
        <v>0.42378472222222224</v>
      </c>
      <c r="D58" s="9" t="s">
        <v>11</v>
      </c>
      <c r="E58" s="9"/>
      <c r="F58" s="9"/>
      <c r="H58" s="9"/>
      <c r="I58" s="9" t="s">
        <v>2148</v>
      </c>
      <c r="J58" s="9" t="s">
        <v>2939</v>
      </c>
      <c r="K58" t="s">
        <v>2149</v>
      </c>
      <c r="L58" t="s">
        <v>2150</v>
      </c>
      <c r="M58" s="3" t="str">
        <f>HYPERLINK(склад2въезд13192021[[#This Row],[RelativePath]])</f>
        <v>7 Площадка 2 бетонщики\K07156189_18_20251118T101015Z.jpg</v>
      </c>
    </row>
    <row r="59" spans="1:13" x14ac:dyDescent="0.25">
      <c r="A59" s="2" t="s">
        <v>14</v>
      </c>
      <c r="B59" s="4">
        <v>45979</v>
      </c>
      <c r="C59" s="5">
        <v>0.45045138888888892</v>
      </c>
      <c r="D59" s="9" t="s">
        <v>11</v>
      </c>
      <c r="E59" s="9"/>
      <c r="F59" s="9"/>
      <c r="H59" s="9"/>
      <c r="I59" s="9" t="s">
        <v>2151</v>
      </c>
      <c r="J59" s="9" t="s">
        <v>2939</v>
      </c>
      <c r="K59" t="s">
        <v>2152</v>
      </c>
      <c r="L59" t="s">
        <v>2153</v>
      </c>
      <c r="M59" s="3" t="str">
        <f>HYPERLINK(склад2въезд13192021[[#This Row],[RelativePath]])</f>
        <v>7 Площадка 2 бетонщики\K07156189_18_20251118T104839Z.jpg</v>
      </c>
    </row>
    <row r="60" spans="1:13" x14ac:dyDescent="0.25">
      <c r="A60" s="2" t="s">
        <v>14</v>
      </c>
      <c r="B60" s="4">
        <v>45979</v>
      </c>
      <c r="C60" s="5">
        <v>0.46418981481481481</v>
      </c>
      <c r="D60" s="9" t="s">
        <v>11</v>
      </c>
      <c r="E60" s="9"/>
      <c r="F60" s="9"/>
      <c r="H60" s="9"/>
      <c r="I60" s="9" t="s">
        <v>2154</v>
      </c>
      <c r="J60" s="9" t="s">
        <v>2939</v>
      </c>
      <c r="K60" t="s">
        <v>2155</v>
      </c>
      <c r="L60" t="s">
        <v>2156</v>
      </c>
      <c r="M60" s="3" t="str">
        <f>HYPERLINK(склад2въезд13192021[[#This Row],[RelativePath]])</f>
        <v>7 Площадка 2 бетонщики\K07156189_18_20251118T110826Z.jpg</v>
      </c>
    </row>
    <row r="61" spans="1:13" x14ac:dyDescent="0.25">
      <c r="A61" s="2" t="s">
        <v>14</v>
      </c>
      <c r="B61" s="4">
        <v>45979</v>
      </c>
      <c r="C61" s="5">
        <v>0.47060185185185183</v>
      </c>
      <c r="D61" s="9" t="s">
        <v>11</v>
      </c>
      <c r="E61" s="9"/>
      <c r="F61" s="9"/>
      <c r="H61" s="9"/>
      <c r="I61" s="9" t="s">
        <v>2157</v>
      </c>
      <c r="J61" s="9" t="s">
        <v>2939</v>
      </c>
      <c r="K61" t="s">
        <v>2158</v>
      </c>
      <c r="L61" t="s">
        <v>2159</v>
      </c>
      <c r="M61" s="3" t="str">
        <f>HYPERLINK(склад2въезд13192021[[#This Row],[RelativePath]])</f>
        <v>7 Площадка 2 бетонщики\K07156189_18_20251118T111740Z.jpg</v>
      </c>
    </row>
    <row r="62" spans="1:13" x14ac:dyDescent="0.25">
      <c r="A62" s="2" t="s">
        <v>14</v>
      </c>
      <c r="B62" s="4">
        <v>45979</v>
      </c>
      <c r="C62" s="5">
        <v>0.58637731481481481</v>
      </c>
      <c r="D62" s="9" t="s">
        <v>11</v>
      </c>
      <c r="E62" s="9"/>
      <c r="F62" s="9"/>
      <c r="H62" s="9"/>
      <c r="I62" s="9" t="s">
        <v>2160</v>
      </c>
      <c r="J62" s="9" t="s">
        <v>2939</v>
      </c>
      <c r="K62" t="s">
        <v>2161</v>
      </c>
      <c r="L62" t="s">
        <v>2162</v>
      </c>
      <c r="M62" s="3" t="str">
        <f>HYPERLINK(склад2въезд13192021[[#This Row],[RelativePath]])</f>
        <v>7 Площадка 2 бетонщики\K07156189_18_20251118T140423Z.jpg</v>
      </c>
    </row>
    <row r="63" spans="1:13" x14ac:dyDescent="0.25">
      <c r="A63" s="2" t="s">
        <v>14</v>
      </c>
      <c r="B63" s="4">
        <v>45979</v>
      </c>
      <c r="C63" s="5">
        <v>0.59792824074074069</v>
      </c>
      <c r="D63" s="9" t="s">
        <v>11</v>
      </c>
      <c r="E63" s="9"/>
      <c r="F63" s="9"/>
      <c r="H63" s="9"/>
      <c r="I63" s="9" t="s">
        <v>2163</v>
      </c>
      <c r="J63" s="9" t="s">
        <v>2939</v>
      </c>
      <c r="K63" t="s">
        <v>2164</v>
      </c>
      <c r="L63" t="s">
        <v>2165</v>
      </c>
      <c r="M63" s="3" t="str">
        <f>HYPERLINK(склад2въезд13192021[[#This Row],[RelativePath]])</f>
        <v>7 Площадка 2 бетонщики\K07156189_18_20251118T142101Z.jpg</v>
      </c>
    </row>
    <row r="64" spans="1:13" x14ac:dyDescent="0.25">
      <c r="A64" s="2" t="s">
        <v>14</v>
      </c>
      <c r="B64" s="4">
        <v>45979</v>
      </c>
      <c r="C64" s="5">
        <v>0.61089120370370376</v>
      </c>
      <c r="D64" s="9" t="s">
        <v>11</v>
      </c>
      <c r="E64" s="9"/>
      <c r="F64" s="9"/>
      <c r="H64" s="9"/>
      <c r="I64" s="9" t="s">
        <v>2166</v>
      </c>
      <c r="J64" s="9" t="s">
        <v>2939</v>
      </c>
      <c r="K64" t="s">
        <v>2167</v>
      </c>
      <c r="L64" t="s">
        <v>2168</v>
      </c>
      <c r="M64" s="3" t="str">
        <f>HYPERLINK(склад2въезд13192021[[#This Row],[RelativePath]])</f>
        <v>7 Площадка 2 бетонщики\K07156189_18_20251118T143941Z.jpg</v>
      </c>
    </row>
    <row r="65" spans="1:13" x14ac:dyDescent="0.25">
      <c r="A65" s="2" t="s">
        <v>14</v>
      </c>
      <c r="B65" s="4">
        <v>45979</v>
      </c>
      <c r="C65" s="5">
        <v>0.62652777777777779</v>
      </c>
      <c r="D65" s="9" t="s">
        <v>11</v>
      </c>
      <c r="E65" s="9"/>
      <c r="F65" s="9"/>
      <c r="H65" s="9"/>
      <c r="I65" s="9" t="s">
        <v>2169</v>
      </c>
      <c r="J65" s="9" t="s">
        <v>2939</v>
      </c>
      <c r="K65" t="s">
        <v>2170</v>
      </c>
      <c r="L65" t="s">
        <v>2171</v>
      </c>
      <c r="M65" s="3" t="str">
        <f>HYPERLINK(склад2въезд13192021[[#This Row],[RelativePath]])</f>
        <v>7 Площадка 2 бетонщики\K07156189_18_20251118T150212Z.jpg</v>
      </c>
    </row>
    <row r="66" spans="1:13" x14ac:dyDescent="0.25">
      <c r="A66" s="2" t="s">
        <v>14</v>
      </c>
      <c r="B66" s="4">
        <v>45979</v>
      </c>
      <c r="C66" s="5">
        <v>0.63015046296296295</v>
      </c>
      <c r="D66" s="9" t="s">
        <v>11</v>
      </c>
      <c r="E66" s="9"/>
      <c r="F66" s="9"/>
      <c r="H66" s="9"/>
      <c r="I66" s="9" t="s">
        <v>2172</v>
      </c>
      <c r="J66" s="9" t="s">
        <v>2939</v>
      </c>
      <c r="K66" t="s">
        <v>2173</v>
      </c>
      <c r="L66" t="s">
        <v>2174</v>
      </c>
      <c r="M66" s="3" t="str">
        <f>HYPERLINK(склад2въезд13192021[[#This Row],[RelativePath]])</f>
        <v>7 Площадка 2 бетонщики\K07156189_18_20251118T150725Z.jpg</v>
      </c>
    </row>
    <row r="67" spans="1:13" x14ac:dyDescent="0.25">
      <c r="A67" s="2" t="s">
        <v>14</v>
      </c>
      <c r="B67" s="4">
        <v>45979</v>
      </c>
      <c r="C67" s="5">
        <v>0.63846064814814818</v>
      </c>
      <c r="D67" s="9" t="s">
        <v>11</v>
      </c>
      <c r="E67" s="9"/>
      <c r="F67" s="9"/>
      <c r="H67" s="9"/>
      <c r="I67" s="9" t="s">
        <v>2175</v>
      </c>
      <c r="J67" s="9" t="s">
        <v>2939</v>
      </c>
      <c r="K67" t="s">
        <v>2176</v>
      </c>
      <c r="L67" t="s">
        <v>2177</v>
      </c>
      <c r="M67" s="3" t="str">
        <f>HYPERLINK(склад2въезд13192021[[#This Row],[RelativePath]])</f>
        <v>7 Площадка 2 бетонщики\K07156189_18_20251118T151923Z.jpg</v>
      </c>
    </row>
    <row r="68" spans="1:13" x14ac:dyDescent="0.25">
      <c r="A68" s="2" t="s">
        <v>14</v>
      </c>
      <c r="B68" s="4">
        <v>45979</v>
      </c>
      <c r="C68" s="5">
        <v>0.70409722222222226</v>
      </c>
      <c r="D68" s="9" t="s">
        <v>4</v>
      </c>
      <c r="E68" s="9" t="s">
        <v>8</v>
      </c>
      <c r="F68" s="9"/>
      <c r="H68" s="9" t="s">
        <v>1588</v>
      </c>
      <c r="I68" s="9" t="s">
        <v>2178</v>
      </c>
      <c r="J68" s="9" t="s">
        <v>2939</v>
      </c>
      <c r="K68" t="s">
        <v>2179</v>
      </c>
      <c r="L68" t="s">
        <v>2180</v>
      </c>
      <c r="M68" s="3" t="str">
        <f>HYPERLINK(склад2въезд13192021[[#This Row],[RelativePath]])</f>
        <v>7 Площадка 2 бетонщики\K07156189_18_20251118T165354Z.jpg</v>
      </c>
    </row>
    <row r="69" spans="1:13" x14ac:dyDescent="0.25">
      <c r="A69" s="2" t="s">
        <v>15</v>
      </c>
      <c r="B69" s="4">
        <v>45980</v>
      </c>
      <c r="C69" s="5">
        <v>0.6294791666666667</v>
      </c>
      <c r="D69" s="9" t="s">
        <v>1967</v>
      </c>
      <c r="E69" s="9"/>
      <c r="F69" s="9"/>
      <c r="H69" s="9"/>
      <c r="I69" s="9" t="s">
        <v>2181</v>
      </c>
      <c r="J69" s="9" t="s">
        <v>2939</v>
      </c>
      <c r="K69" t="s">
        <v>2182</v>
      </c>
      <c r="L69" t="s">
        <v>2183</v>
      </c>
      <c r="M69" s="3" t="str">
        <f>HYPERLINK(склад2въезд13192021[[#This Row],[RelativePath]])</f>
        <v>7 Площадка 2 бетонщики\K07156189_18_20251119T150627Z.jpg</v>
      </c>
    </row>
    <row r="70" spans="1:13" x14ac:dyDescent="0.25">
      <c r="A70" s="2" t="s">
        <v>16</v>
      </c>
      <c r="B70" s="4">
        <v>45981</v>
      </c>
      <c r="C70" s="5">
        <v>0.71421296296296299</v>
      </c>
      <c r="D70" s="9" t="s">
        <v>1967</v>
      </c>
      <c r="E70" s="9"/>
      <c r="F70" s="9"/>
      <c r="H70" s="9"/>
      <c r="I70" s="9" t="s">
        <v>2184</v>
      </c>
      <c r="J70" s="9" t="s">
        <v>2939</v>
      </c>
      <c r="K70" t="s">
        <v>2185</v>
      </c>
      <c r="L70" t="s">
        <v>2186</v>
      </c>
      <c r="M70" s="3" t="str">
        <f>HYPERLINK(склад2въезд13192021[[#This Row],[RelativePath]])</f>
        <v>7 Площадка 2 бетонщики\K07156189_18_20251120T170828Z.jpg</v>
      </c>
    </row>
    <row r="71" spans="1:13" x14ac:dyDescent="0.25">
      <c r="A71" s="2" t="s">
        <v>17</v>
      </c>
      <c r="B71" s="4">
        <v>45982</v>
      </c>
      <c r="C71" s="5">
        <v>0.55668981481481483</v>
      </c>
      <c r="D71" s="9" t="s">
        <v>4</v>
      </c>
      <c r="E71" s="9" t="s">
        <v>8</v>
      </c>
      <c r="F71" s="9"/>
      <c r="H71" s="9"/>
      <c r="I71" s="9" t="s">
        <v>3409</v>
      </c>
      <c r="J71" s="9" t="s">
        <v>2939</v>
      </c>
      <c r="K71" t="s">
        <v>3410</v>
      </c>
      <c r="L71" t="s">
        <v>3411</v>
      </c>
      <c r="M71" s="3" t="str">
        <f>HYPERLINK(склад2въезд13192021[[#This Row],[RelativePath]])</f>
        <v>7 Площадка 2 бетонщики\K07156189_18_20251121T132138Z.jpg</v>
      </c>
    </row>
    <row r="72" spans="1:13" x14ac:dyDescent="0.25">
      <c r="A72" s="2" t="s">
        <v>18</v>
      </c>
      <c r="B72" s="4">
        <v>45983</v>
      </c>
      <c r="C72" s="5">
        <v>0.72023148148148153</v>
      </c>
      <c r="D72" s="9" t="s">
        <v>4</v>
      </c>
      <c r="E72" s="9" t="s">
        <v>8</v>
      </c>
      <c r="F72" s="9"/>
      <c r="H72" s="9"/>
      <c r="I72" s="9" t="s">
        <v>3412</v>
      </c>
      <c r="J72" s="9" t="s">
        <v>2939</v>
      </c>
      <c r="K72" t="s">
        <v>3413</v>
      </c>
      <c r="L72" t="s">
        <v>3414</v>
      </c>
      <c r="M72" s="3" t="str">
        <f>HYPERLINK(склад2въезд13192021[[#This Row],[RelativePath]])</f>
        <v>7 Площадка 2 бетонщики\K07156189_18_20251122T171708Z.jpg</v>
      </c>
    </row>
    <row r="73" spans="1:13" x14ac:dyDescent="0.25">
      <c r="A73" s="2" t="s">
        <v>22</v>
      </c>
      <c r="B73" s="4">
        <v>45984</v>
      </c>
      <c r="C73" s="5">
        <v>0.68646990740740743</v>
      </c>
      <c r="D73" s="9" t="s">
        <v>4</v>
      </c>
      <c r="E73" s="9" t="s">
        <v>8</v>
      </c>
      <c r="F73" s="9"/>
      <c r="H73" s="9"/>
      <c r="I73" s="9" t="s">
        <v>3415</v>
      </c>
      <c r="J73" s="9" t="s">
        <v>2939</v>
      </c>
      <c r="K73" t="s">
        <v>3416</v>
      </c>
      <c r="L73" t="s">
        <v>3417</v>
      </c>
      <c r="M73" s="3" t="str">
        <f>HYPERLINK(склад2въезд13192021[[#This Row],[RelativePath]])</f>
        <v>7 Площадка 2 бетонщики\K07156189_18_20251123T162831Z.jpg</v>
      </c>
    </row>
    <row r="74" spans="1:13" x14ac:dyDescent="0.25">
      <c r="A74" s="2" t="s">
        <v>13</v>
      </c>
      <c r="B74" s="4">
        <v>45985</v>
      </c>
      <c r="C74" s="5">
        <v>0.68646990740740743</v>
      </c>
      <c r="D74" s="9" t="s">
        <v>4153</v>
      </c>
      <c r="E74" s="9"/>
      <c r="F74" s="9"/>
      <c r="H74" s="9"/>
      <c r="I74" s="9" t="s">
        <v>4154</v>
      </c>
      <c r="J74" s="9" t="s">
        <v>2939</v>
      </c>
      <c r="K74" t="s">
        <v>4155</v>
      </c>
      <c r="L74" t="s">
        <v>4156</v>
      </c>
      <c r="M74" s="3" t="str">
        <f>HYPERLINK(склад2въезд13192021[[#This Row],[RelativePath]])</f>
        <v>7 Площадка 2 бетонщики\K07156189_18_20251124T162831Z.jpg</v>
      </c>
    </row>
    <row r="75" spans="1:13" x14ac:dyDescent="0.25">
      <c r="A75" s="2" t="s">
        <v>14</v>
      </c>
      <c r="B75" s="4">
        <v>45986</v>
      </c>
      <c r="C75" s="5">
        <v>0.70370370370370372</v>
      </c>
      <c r="D75" s="9" t="s">
        <v>4</v>
      </c>
      <c r="E75" s="9" t="s">
        <v>8</v>
      </c>
      <c r="F75" s="9"/>
      <c r="H75" s="9"/>
      <c r="I75" s="9" t="s">
        <v>3418</v>
      </c>
      <c r="J75" s="9" t="s">
        <v>2939</v>
      </c>
      <c r="K75" t="s">
        <v>3419</v>
      </c>
      <c r="L75" t="s">
        <v>3420</v>
      </c>
      <c r="M75" s="3" t="str">
        <f>HYPERLINK(склад2въезд13192021[[#This Row],[RelativePath]])</f>
        <v>7 Площадка 2 бетонщики\K07156189_18_20251125T165320Z.jpg</v>
      </c>
    </row>
    <row r="76" spans="1:13" x14ac:dyDescent="0.25">
      <c r="A76" s="2" t="s">
        <v>15</v>
      </c>
      <c r="B76" s="4">
        <v>45987</v>
      </c>
      <c r="C76" s="5">
        <v>0.66943287037037036</v>
      </c>
      <c r="D76" s="9" t="s">
        <v>4150</v>
      </c>
      <c r="E76" s="9" t="s">
        <v>4151</v>
      </c>
      <c r="F76" s="9"/>
      <c r="H76" s="9"/>
      <c r="I76" s="9" t="s">
        <v>3421</v>
      </c>
      <c r="J76" s="9" t="s">
        <v>2939</v>
      </c>
      <c r="K76" t="s">
        <v>3422</v>
      </c>
      <c r="L76" t="s">
        <v>3423</v>
      </c>
      <c r="M76" s="3" t="str">
        <f>HYPERLINK(склад2въезд13192021[[#This Row],[RelativePath]])</f>
        <v>7 Площадка 2 бетонщики\K07156189_18_20251126T160359Z.jpg</v>
      </c>
    </row>
    <row r="77" spans="1:13" x14ac:dyDescent="0.25">
      <c r="A77" s="2" t="s">
        <v>16</v>
      </c>
      <c r="B77" s="4">
        <v>45988</v>
      </c>
      <c r="C77" s="5">
        <v>0.61637731481481484</v>
      </c>
      <c r="D77" s="9" t="s">
        <v>4150</v>
      </c>
      <c r="E77" s="9" t="s">
        <v>4151</v>
      </c>
      <c r="F77" s="9"/>
      <c r="H77" s="9" t="s">
        <v>2891</v>
      </c>
      <c r="I77" s="9" t="s">
        <v>3424</v>
      </c>
      <c r="J77" s="9" t="s">
        <v>2939</v>
      </c>
      <c r="K77" t="s">
        <v>3425</v>
      </c>
      <c r="L77" t="s">
        <v>3426</v>
      </c>
      <c r="M77" s="3" t="str">
        <f>HYPERLINK(склад2въезд13192021[[#This Row],[RelativePath]])</f>
        <v>7 Площадка 2 бетонщики\K07156189_18_20251127T144735Z.jpg</v>
      </c>
    </row>
    <row r="78" spans="1:13" x14ac:dyDescent="0.25">
      <c r="A78" s="2" t="s">
        <v>16</v>
      </c>
      <c r="B78" s="4">
        <v>45988</v>
      </c>
      <c r="C78" s="5">
        <v>0.62815972222222227</v>
      </c>
      <c r="D78" s="9" t="s">
        <v>4150</v>
      </c>
      <c r="E78" s="9" t="s">
        <v>4151</v>
      </c>
      <c r="F78" s="9"/>
      <c r="H78" s="9" t="s">
        <v>2891</v>
      </c>
      <c r="I78" s="9" t="s">
        <v>3427</v>
      </c>
      <c r="J78" s="9" t="s">
        <v>2939</v>
      </c>
      <c r="K78" t="s">
        <v>3428</v>
      </c>
      <c r="L78" t="s">
        <v>3429</v>
      </c>
      <c r="M78" s="3" t="str">
        <f>HYPERLINK(склад2въезд13192021[[#This Row],[RelativePath]])</f>
        <v>7 Площадка 2 бетонщики\K07156189_18_20251127T150433Z.jpg</v>
      </c>
    </row>
    <row r="79" spans="1:13" x14ac:dyDescent="0.25">
      <c r="A79" s="2" t="s">
        <v>16</v>
      </c>
      <c r="B79" s="4">
        <v>45988</v>
      </c>
      <c r="C79" s="5">
        <v>0.68692129629629628</v>
      </c>
      <c r="D79" s="9" t="s">
        <v>4150</v>
      </c>
      <c r="E79" s="9" t="s">
        <v>4151</v>
      </c>
      <c r="F79" s="9"/>
      <c r="H79" s="9" t="s">
        <v>2891</v>
      </c>
      <c r="I79" s="9" t="s">
        <v>3430</v>
      </c>
      <c r="J79" s="9" t="s">
        <v>2939</v>
      </c>
      <c r="K79" t="s">
        <v>3431</v>
      </c>
      <c r="L79" t="s">
        <v>3432</v>
      </c>
      <c r="M79" s="3" t="str">
        <f>HYPERLINK(склад2въезд13192021[[#This Row],[RelativePath]])</f>
        <v>7 Площадка 2 бетонщики\K07156189_18_20251127T162910Z.jpg</v>
      </c>
    </row>
    <row r="80" spans="1:13" x14ac:dyDescent="0.25">
      <c r="A80" s="2" t="s">
        <v>16</v>
      </c>
      <c r="B80" s="4">
        <v>45988</v>
      </c>
      <c r="C80" s="5">
        <v>0.71189814814814811</v>
      </c>
      <c r="D80" s="9" t="s">
        <v>4150</v>
      </c>
      <c r="E80" s="9" t="s">
        <v>4151</v>
      </c>
      <c r="F80" s="9"/>
      <c r="H80" s="9" t="s">
        <v>2891</v>
      </c>
      <c r="I80" s="9" t="s">
        <v>3433</v>
      </c>
      <c r="J80" s="9" t="s">
        <v>2939</v>
      </c>
      <c r="K80" t="s">
        <v>3434</v>
      </c>
      <c r="L80" t="s">
        <v>3435</v>
      </c>
      <c r="M80" s="3" t="str">
        <f>HYPERLINK(склад2въезд13192021[[#This Row],[RelativePath]])</f>
        <v>7 Площадка 2 бетонщики\K07156189_18_20251127T170508Z.jpg</v>
      </c>
    </row>
    <row r="81" spans="1:13" x14ac:dyDescent="0.25">
      <c r="A81" s="2" t="s">
        <v>16</v>
      </c>
      <c r="B81" s="4">
        <v>45988</v>
      </c>
      <c r="C81" s="5">
        <v>0.72362268518518513</v>
      </c>
      <c r="D81" s="9" t="s">
        <v>4150</v>
      </c>
      <c r="E81" s="9" t="s">
        <v>4151</v>
      </c>
      <c r="F81" s="9"/>
      <c r="H81" s="9" t="s">
        <v>2891</v>
      </c>
      <c r="I81" s="9" t="s">
        <v>3436</v>
      </c>
      <c r="J81" s="9" t="s">
        <v>2939</v>
      </c>
      <c r="K81" t="s">
        <v>3437</v>
      </c>
      <c r="L81" t="s">
        <v>3438</v>
      </c>
      <c r="M81" s="3" t="str">
        <f>HYPERLINK(склад2въезд13192021[[#This Row],[RelativePath]])</f>
        <v>7 Площадка 2 бетонщики\K07156189_18_20251127T172201Z.jpg</v>
      </c>
    </row>
    <row r="82" spans="1:13" x14ac:dyDescent="0.25">
      <c r="A82" s="2" t="s">
        <v>16</v>
      </c>
      <c r="B82" s="4">
        <v>45988</v>
      </c>
      <c r="C82" s="5">
        <v>0.75403935185185189</v>
      </c>
      <c r="D82" s="9" t="s">
        <v>4150</v>
      </c>
      <c r="E82" s="9" t="s">
        <v>4151</v>
      </c>
      <c r="F82" s="9"/>
      <c r="H82" s="9" t="s">
        <v>2891</v>
      </c>
      <c r="I82" s="9" t="s">
        <v>3439</v>
      </c>
      <c r="J82" s="9" t="s">
        <v>2939</v>
      </c>
      <c r="K82" t="s">
        <v>3440</v>
      </c>
      <c r="L82" t="s">
        <v>3441</v>
      </c>
      <c r="M82" s="3" t="str">
        <f>HYPERLINK(склад2въезд13192021[[#This Row],[RelativePath]])</f>
        <v>7 Площадка 2 бетонщики\K07156189_18_20251127T180549Z.jpg</v>
      </c>
    </row>
    <row r="83" spans="1:13" x14ac:dyDescent="0.25">
      <c r="A83" s="2" t="s">
        <v>16</v>
      </c>
      <c r="B83" s="4">
        <v>45988</v>
      </c>
      <c r="C83" s="5">
        <v>0.79254629629629625</v>
      </c>
      <c r="D83" s="9" t="s">
        <v>4150</v>
      </c>
      <c r="E83" s="9" t="s">
        <v>4151</v>
      </c>
      <c r="F83" s="9"/>
      <c r="H83" s="9" t="s">
        <v>2891</v>
      </c>
      <c r="I83" s="9" t="s">
        <v>3442</v>
      </c>
      <c r="J83" s="9" t="s">
        <v>2939</v>
      </c>
      <c r="K83" t="s">
        <v>3443</v>
      </c>
      <c r="L83" t="s">
        <v>3444</v>
      </c>
      <c r="M83" s="3" t="str">
        <f>HYPERLINK(склад2въезд13192021[[#This Row],[RelativePath]])</f>
        <v>7 Площадка 2 бетонщики\K07156189_18_20251127T190116Z.jpg</v>
      </c>
    </row>
    <row r="84" spans="1:13" x14ac:dyDescent="0.25">
      <c r="A84" s="2" t="s">
        <v>16</v>
      </c>
      <c r="B84" s="4">
        <v>45988</v>
      </c>
      <c r="C84" s="5">
        <v>0.7994444444444444</v>
      </c>
      <c r="D84" s="9" t="s">
        <v>4150</v>
      </c>
      <c r="E84" s="9" t="s">
        <v>4151</v>
      </c>
      <c r="F84" s="9"/>
      <c r="H84" s="9" t="s">
        <v>2891</v>
      </c>
      <c r="I84" s="9" t="s">
        <v>3445</v>
      </c>
      <c r="J84" s="9" t="s">
        <v>2939</v>
      </c>
      <c r="K84" t="s">
        <v>3446</v>
      </c>
      <c r="L84" t="s">
        <v>3447</v>
      </c>
      <c r="M84" s="3" t="str">
        <f>HYPERLINK(склад2въезд13192021[[#This Row],[RelativePath]])</f>
        <v>7 Площадка 2 бетонщики\K07156189_18_20251127T191112Z.jpg</v>
      </c>
    </row>
    <row r="85" spans="1:13" x14ac:dyDescent="0.25">
      <c r="A85" s="2" t="s">
        <v>17</v>
      </c>
      <c r="B85" s="4">
        <v>45989</v>
      </c>
      <c r="C85" s="5">
        <v>0.37474537037037037</v>
      </c>
      <c r="D85" s="9" t="s">
        <v>4150</v>
      </c>
      <c r="E85" s="9" t="s">
        <v>4151</v>
      </c>
      <c r="F85" s="9"/>
      <c r="H85" s="9" t="s">
        <v>2891</v>
      </c>
      <c r="I85" s="9" t="s">
        <v>3448</v>
      </c>
      <c r="J85" s="9" t="s">
        <v>2939</v>
      </c>
      <c r="K85" t="s">
        <v>3449</v>
      </c>
      <c r="L85" t="s">
        <v>3450</v>
      </c>
      <c r="M85" s="3" t="str">
        <f>HYPERLINK(склад2въезд13192021[[#This Row],[RelativePath]])</f>
        <v>7 Площадка 2 бетонщики\K07156189_18_20251128T085938Z.jpg</v>
      </c>
    </row>
    <row r="86" spans="1:13" x14ac:dyDescent="0.25">
      <c r="A86" s="2" t="s">
        <v>17</v>
      </c>
      <c r="B86" s="4">
        <v>45989</v>
      </c>
      <c r="C86" s="5">
        <v>0.4176273148148148</v>
      </c>
      <c r="D86" s="9" t="s">
        <v>4150</v>
      </c>
      <c r="E86" s="9" t="s">
        <v>4151</v>
      </c>
      <c r="F86" s="9"/>
      <c r="H86" s="9" t="s">
        <v>2891</v>
      </c>
      <c r="I86" s="9" t="s">
        <v>3451</v>
      </c>
      <c r="J86" s="9" t="s">
        <v>2939</v>
      </c>
      <c r="K86" t="s">
        <v>3452</v>
      </c>
      <c r="L86" t="s">
        <v>3453</v>
      </c>
      <c r="M86" s="3" t="str">
        <f>HYPERLINK(склад2въезд13192021[[#This Row],[RelativePath]])</f>
        <v>7 Площадка 2 бетонщики\K07156189_18_20251128T100123Z.jpg</v>
      </c>
    </row>
    <row r="87" spans="1:13" x14ac:dyDescent="0.25">
      <c r="A87" s="2" t="s">
        <v>17</v>
      </c>
      <c r="B87" s="4">
        <v>45989</v>
      </c>
      <c r="C87" s="5">
        <v>0.46166666666666667</v>
      </c>
      <c r="D87" s="9" t="s">
        <v>4150</v>
      </c>
      <c r="E87" s="9" t="s">
        <v>4151</v>
      </c>
      <c r="F87" s="9"/>
      <c r="H87" s="9" t="s">
        <v>2891</v>
      </c>
      <c r="I87" s="9" t="s">
        <v>3454</v>
      </c>
      <c r="J87" s="9" t="s">
        <v>2939</v>
      </c>
      <c r="K87" t="s">
        <v>3455</v>
      </c>
      <c r="L87" t="s">
        <v>3456</v>
      </c>
      <c r="M87" s="3" t="str">
        <f>HYPERLINK(склад2въезд13192021[[#This Row],[RelativePath]])</f>
        <v>7 Площадка 2 бетонщики\K07156189_18_20251128T110448Z.jpg</v>
      </c>
    </row>
    <row r="88" spans="1:13" x14ac:dyDescent="0.25">
      <c r="A88" s="2" t="s">
        <v>17</v>
      </c>
      <c r="B88" s="4">
        <v>45989</v>
      </c>
      <c r="C88" s="5">
        <v>0.4878587962962963</v>
      </c>
      <c r="D88" s="9" t="s">
        <v>4150</v>
      </c>
      <c r="E88" s="9" t="s">
        <v>4151</v>
      </c>
      <c r="F88" s="9"/>
      <c r="H88" s="9" t="s">
        <v>2891</v>
      </c>
      <c r="I88" s="9" t="s">
        <v>3457</v>
      </c>
      <c r="J88" s="9" t="s">
        <v>2939</v>
      </c>
      <c r="K88" t="s">
        <v>3458</v>
      </c>
      <c r="L88" t="s">
        <v>3459</v>
      </c>
      <c r="M88" s="3" t="str">
        <f>HYPERLINK(склад2въезд13192021[[#This Row],[RelativePath]])</f>
        <v>7 Площадка 2 бетонщики\K07156189_18_20251128T114231Z.jpg</v>
      </c>
    </row>
    <row r="89" spans="1:13" x14ac:dyDescent="0.25">
      <c r="A89" s="2" t="s">
        <v>17</v>
      </c>
      <c r="B89" s="4">
        <v>45989</v>
      </c>
      <c r="C89" s="5">
        <v>0.49788194444444445</v>
      </c>
      <c r="D89" s="9" t="s">
        <v>4150</v>
      </c>
      <c r="E89" s="9" t="s">
        <v>4151</v>
      </c>
      <c r="F89" s="9"/>
      <c r="H89" s="9" t="s">
        <v>2891</v>
      </c>
      <c r="I89" s="9" t="s">
        <v>3460</v>
      </c>
      <c r="J89" s="9" t="s">
        <v>2939</v>
      </c>
      <c r="K89" t="s">
        <v>3461</v>
      </c>
      <c r="L89" t="s">
        <v>3462</v>
      </c>
      <c r="M89" s="3" t="str">
        <f>HYPERLINK(склад2въезд13192021[[#This Row],[RelativePath]])</f>
        <v>7 Площадка 2 бетонщики\K07156189_18_20251128T115657Z.jpg</v>
      </c>
    </row>
    <row r="90" spans="1:13" x14ac:dyDescent="0.25">
      <c r="A90" s="2" t="s">
        <v>17</v>
      </c>
      <c r="B90" s="4">
        <v>45989</v>
      </c>
      <c r="C90" s="5">
        <v>0.50599537037037035</v>
      </c>
      <c r="D90" s="9" t="s">
        <v>4150</v>
      </c>
      <c r="E90" s="9" t="s">
        <v>4151</v>
      </c>
      <c r="F90" s="9"/>
      <c r="H90" s="9" t="s">
        <v>2891</v>
      </c>
      <c r="I90" s="9" t="s">
        <v>3463</v>
      </c>
      <c r="J90" s="9" t="s">
        <v>2939</v>
      </c>
      <c r="K90" t="s">
        <v>3464</v>
      </c>
      <c r="L90" t="s">
        <v>3465</v>
      </c>
      <c r="M90" s="3" t="str">
        <f>HYPERLINK(склад2въезд13192021[[#This Row],[RelativePath]])</f>
        <v>7 Площадка 2 бетонщики\K07156189_18_20251128T120838Z.jpg</v>
      </c>
    </row>
    <row r="91" spans="1:13" x14ac:dyDescent="0.25">
      <c r="A91" s="2" t="s">
        <v>17</v>
      </c>
      <c r="B91" s="4">
        <v>45989</v>
      </c>
      <c r="C91" s="5">
        <v>0.51993055555555556</v>
      </c>
      <c r="D91" s="9" t="s">
        <v>4150</v>
      </c>
      <c r="E91" s="9" t="s">
        <v>4151</v>
      </c>
      <c r="F91" s="9"/>
      <c r="H91" s="9" t="s">
        <v>2891</v>
      </c>
      <c r="I91" s="9" t="s">
        <v>3466</v>
      </c>
      <c r="J91" s="9" t="s">
        <v>2939</v>
      </c>
      <c r="K91" t="s">
        <v>3467</v>
      </c>
      <c r="L91" t="s">
        <v>3468</v>
      </c>
      <c r="M91" s="3" t="str">
        <f>HYPERLINK(склад2въезд13192021[[#This Row],[RelativePath]])</f>
        <v>7 Площадка 2 бетонщики\K07156189_18_20251128T122842Z.jpg</v>
      </c>
    </row>
    <row r="92" spans="1:13" x14ac:dyDescent="0.25">
      <c r="A92" s="2" t="s">
        <v>17</v>
      </c>
      <c r="B92" s="4">
        <v>45989</v>
      </c>
      <c r="C92" s="5">
        <v>0.52930555555555558</v>
      </c>
      <c r="D92" s="9" t="s">
        <v>4150</v>
      </c>
      <c r="E92" s="9" t="s">
        <v>4151</v>
      </c>
      <c r="F92" s="9"/>
      <c r="H92" s="9" t="s">
        <v>2891</v>
      </c>
      <c r="I92" s="9" t="s">
        <v>3469</v>
      </c>
      <c r="J92" s="9" t="s">
        <v>2939</v>
      </c>
      <c r="K92" t="s">
        <v>3470</v>
      </c>
      <c r="L92" t="s">
        <v>3471</v>
      </c>
      <c r="M92" s="3" t="str">
        <f>HYPERLINK(склад2въезд13192021[[#This Row],[RelativePath]])</f>
        <v>7 Площадка 2 бетонщики\K07156189_18_20251128T124212Z.jpg</v>
      </c>
    </row>
    <row r="93" spans="1:13" x14ac:dyDescent="0.25">
      <c r="A93" s="2" t="s">
        <v>17</v>
      </c>
      <c r="B93" s="4">
        <v>45989</v>
      </c>
      <c r="C93" s="5">
        <v>0.53519675925925925</v>
      </c>
      <c r="D93" s="9" t="s">
        <v>4150</v>
      </c>
      <c r="E93" s="9" t="s">
        <v>4151</v>
      </c>
      <c r="F93" s="9"/>
      <c r="H93" s="9" t="s">
        <v>2891</v>
      </c>
      <c r="I93" s="9" t="s">
        <v>3472</v>
      </c>
      <c r="J93" s="9" t="s">
        <v>2939</v>
      </c>
      <c r="K93" t="s">
        <v>3473</v>
      </c>
      <c r="L93" t="s">
        <v>3474</v>
      </c>
      <c r="M93" s="3" t="str">
        <f>HYPERLINK(склад2въезд13192021[[#This Row],[RelativePath]])</f>
        <v>7 Площадка 2 бетонщики\K07156189_18_20251128T125041Z.jpg</v>
      </c>
    </row>
    <row r="94" spans="1:13" x14ac:dyDescent="0.25">
      <c r="A94" s="2" t="s">
        <v>17</v>
      </c>
      <c r="B94" s="4">
        <v>45989</v>
      </c>
      <c r="C94" s="5">
        <v>0.56806712962962957</v>
      </c>
      <c r="D94" s="9" t="s">
        <v>4150</v>
      </c>
      <c r="E94" s="9" t="s">
        <v>4151</v>
      </c>
      <c r="F94" s="9"/>
      <c r="H94" s="9" t="s">
        <v>2891</v>
      </c>
      <c r="I94" s="9" t="s">
        <v>3475</v>
      </c>
      <c r="J94" s="9" t="s">
        <v>2939</v>
      </c>
      <c r="K94" t="s">
        <v>3476</v>
      </c>
      <c r="L94" t="s">
        <v>3477</v>
      </c>
      <c r="M94" s="3" t="str">
        <f>HYPERLINK(склад2въезд13192021[[#This Row],[RelativePath]])</f>
        <v>7 Площадка 2 бетонщики\K07156189_18_20251128T133801Z.jpg</v>
      </c>
    </row>
    <row r="95" spans="1:13" x14ac:dyDescent="0.25">
      <c r="A95" s="2" t="s">
        <v>17</v>
      </c>
      <c r="B95" s="4">
        <v>45989</v>
      </c>
      <c r="C95" s="5">
        <v>0.62028935185185186</v>
      </c>
      <c r="D95" s="9" t="s">
        <v>4150</v>
      </c>
      <c r="E95" s="9" t="s">
        <v>4151</v>
      </c>
      <c r="F95" s="9"/>
      <c r="H95" s="9" t="s">
        <v>2891</v>
      </c>
      <c r="I95" s="9" t="s">
        <v>3478</v>
      </c>
      <c r="J95" s="9" t="s">
        <v>2939</v>
      </c>
      <c r="K95" t="s">
        <v>3479</v>
      </c>
      <c r="L95" t="s">
        <v>3480</v>
      </c>
      <c r="M95" s="3" t="str">
        <f>HYPERLINK(склад2въезд13192021[[#This Row],[RelativePath]])</f>
        <v>7 Площадка 2 бетонщики\K07156189_18_20251128T145313Z.jpg</v>
      </c>
    </row>
    <row r="96" spans="1:13" x14ac:dyDescent="0.25">
      <c r="A96" s="2" t="s">
        <v>17</v>
      </c>
      <c r="B96" s="4">
        <v>45989</v>
      </c>
      <c r="C96" s="5">
        <v>0.63500000000000001</v>
      </c>
      <c r="D96" s="9" t="s">
        <v>4157</v>
      </c>
      <c r="E96" s="9" t="s">
        <v>4152</v>
      </c>
      <c r="F96" s="9"/>
      <c r="H96" s="9"/>
      <c r="I96" s="9" t="s">
        <v>3481</v>
      </c>
      <c r="J96" s="9" t="s">
        <v>2939</v>
      </c>
      <c r="K96" t="s">
        <v>3482</v>
      </c>
      <c r="L96" t="s">
        <v>3483</v>
      </c>
      <c r="M96" s="3" t="str">
        <f>HYPERLINK(склад2въезд13192021[[#This Row],[RelativePath]])</f>
        <v>7 Площадка 2 бетонщики\K07156189_18_20251128T151424Z.jpg</v>
      </c>
    </row>
    <row r="97" spans="1:13" x14ac:dyDescent="0.25">
      <c r="A97" s="2" t="s">
        <v>17</v>
      </c>
      <c r="B97" s="4">
        <v>45989</v>
      </c>
      <c r="C97" s="5">
        <v>0.64194444444444443</v>
      </c>
      <c r="D97" s="9" t="s">
        <v>4157</v>
      </c>
      <c r="E97" s="9" t="s">
        <v>4152</v>
      </c>
      <c r="F97" s="9"/>
      <c r="H97" s="9" t="s">
        <v>2891</v>
      </c>
      <c r="I97" s="9" t="s">
        <v>3484</v>
      </c>
      <c r="J97" s="9" t="s">
        <v>2939</v>
      </c>
      <c r="K97" t="s">
        <v>3485</v>
      </c>
      <c r="L97" t="s">
        <v>3486</v>
      </c>
      <c r="M97" s="3" t="str">
        <f>HYPERLINK(склад2въезд13192021[[#This Row],[RelativePath]])</f>
        <v>7 Площадка 2 бетонщики\K07156189_18_20251128T152424Z.jpg</v>
      </c>
    </row>
    <row r="98" spans="1:13" x14ac:dyDescent="0.25">
      <c r="A98" s="2" t="s">
        <v>17</v>
      </c>
      <c r="B98" s="4">
        <v>45989</v>
      </c>
      <c r="C98" s="5">
        <v>0.6592824074074074</v>
      </c>
      <c r="D98" s="9" t="s">
        <v>4157</v>
      </c>
      <c r="E98" s="9" t="s">
        <v>4152</v>
      </c>
      <c r="F98" s="9"/>
      <c r="H98" s="9" t="s">
        <v>2891</v>
      </c>
      <c r="I98" s="9" t="s">
        <v>3487</v>
      </c>
      <c r="J98" s="9" t="s">
        <v>2939</v>
      </c>
      <c r="K98" t="s">
        <v>3488</v>
      </c>
      <c r="L98" t="s">
        <v>3489</v>
      </c>
      <c r="M98" s="3" t="str">
        <f>HYPERLINK(склад2въезд13192021[[#This Row],[RelativePath]])</f>
        <v>7 Площадка 2 бетонщики\K07156189_18_20251128T154922Z.jpg</v>
      </c>
    </row>
    <row r="99" spans="1:13" x14ac:dyDescent="0.25">
      <c r="A99" s="2" t="s">
        <v>17</v>
      </c>
      <c r="B99" s="4">
        <v>45989</v>
      </c>
      <c r="C99" s="5">
        <v>0.68663194444444442</v>
      </c>
      <c r="D99" s="9" t="s">
        <v>4157</v>
      </c>
      <c r="E99" s="9" t="s">
        <v>4152</v>
      </c>
      <c r="F99" s="9"/>
      <c r="H99" s="9" t="s">
        <v>2891</v>
      </c>
      <c r="I99" s="9" t="s">
        <v>3490</v>
      </c>
      <c r="J99" s="9" t="s">
        <v>2939</v>
      </c>
      <c r="K99" t="s">
        <v>3491</v>
      </c>
      <c r="L99" t="s">
        <v>3492</v>
      </c>
      <c r="M99" s="3" t="str">
        <f>HYPERLINK(склад2въезд13192021[[#This Row],[RelativePath]])</f>
        <v>7 Площадка 2 бетонщики\K07156189_18_20251128T162845Z.jpg</v>
      </c>
    </row>
    <row r="100" spans="1:13" x14ac:dyDescent="0.25">
      <c r="A100" s="2" t="s">
        <v>17</v>
      </c>
      <c r="B100" s="4">
        <v>45989</v>
      </c>
      <c r="C100" s="5">
        <v>0.74079861111111112</v>
      </c>
      <c r="D100" s="9" t="s">
        <v>4157</v>
      </c>
      <c r="E100" s="9" t="s">
        <v>4152</v>
      </c>
      <c r="F100" s="9"/>
      <c r="H100" s="9" t="s">
        <v>2891</v>
      </c>
      <c r="I100" s="9" t="s">
        <v>3493</v>
      </c>
      <c r="J100" s="9" t="s">
        <v>2939</v>
      </c>
      <c r="K100" t="s">
        <v>3494</v>
      </c>
      <c r="L100" t="s">
        <v>3495</v>
      </c>
      <c r="M100" s="3" t="str">
        <f>HYPERLINK(склад2въезд13192021[[#This Row],[RelativePath]])</f>
        <v>7 Площадка 2 бетонщики\K07156189_18_20251128T174645Z.jpg</v>
      </c>
    </row>
    <row r="101" spans="1:13" x14ac:dyDescent="0.25">
      <c r="A101" s="2" t="s">
        <v>17</v>
      </c>
      <c r="B101" s="4">
        <v>45989</v>
      </c>
      <c r="C101" s="5">
        <v>0.79236111111111107</v>
      </c>
      <c r="D101" s="9" t="s">
        <v>4157</v>
      </c>
      <c r="E101" s="9" t="s">
        <v>4152</v>
      </c>
      <c r="F101" s="9"/>
      <c r="H101" s="9" t="s">
        <v>2891</v>
      </c>
      <c r="I101" s="9" t="s">
        <v>3496</v>
      </c>
      <c r="J101" s="9" t="s">
        <v>2939</v>
      </c>
      <c r="K101" t="s">
        <v>3497</v>
      </c>
      <c r="L101" t="s">
        <v>3498</v>
      </c>
      <c r="M101" s="3" t="str">
        <f>HYPERLINK(склад2въезд13192021[[#This Row],[RelativePath]])</f>
        <v>7 Площадка 2 бетонщики\K07156189_18_20251128T190100Z.jpg</v>
      </c>
    </row>
    <row r="102" spans="1:13" x14ac:dyDescent="0.25">
      <c r="A102" s="2" t="s">
        <v>18</v>
      </c>
      <c r="B102" s="4">
        <v>45990</v>
      </c>
      <c r="C102" s="5">
        <v>0.4181597222222222</v>
      </c>
      <c r="D102" s="9" t="s">
        <v>4</v>
      </c>
      <c r="E102" s="9" t="s">
        <v>8</v>
      </c>
      <c r="F102" s="9"/>
      <c r="H102" s="9"/>
      <c r="I102" s="9" t="s">
        <v>3499</v>
      </c>
      <c r="J102" s="9" t="s">
        <v>2939</v>
      </c>
      <c r="K102" t="s">
        <v>3500</v>
      </c>
      <c r="L102" t="s">
        <v>3501</v>
      </c>
      <c r="M102" s="3" t="str">
        <f>HYPERLINK(склад2въезд13192021[[#This Row],[RelativePath]])</f>
        <v>7 Площадка 2 бетонщики\K07156189_18_20251129T100209Z.jpg</v>
      </c>
    </row>
    <row r="103" spans="1:13" x14ac:dyDescent="0.25">
      <c r="A103" s="2" t="s">
        <v>18</v>
      </c>
      <c r="B103" s="4">
        <v>45990</v>
      </c>
      <c r="C103" s="5">
        <v>0.54023148148148148</v>
      </c>
      <c r="D103" s="9" t="s">
        <v>1569</v>
      </c>
      <c r="E103" s="9" t="s">
        <v>4135</v>
      </c>
      <c r="F103" s="9"/>
      <c r="H103" s="9"/>
      <c r="I103" s="9" t="s">
        <v>3502</v>
      </c>
      <c r="J103" s="9" t="s">
        <v>2939</v>
      </c>
      <c r="K103" t="s">
        <v>3503</v>
      </c>
      <c r="L103" t="s">
        <v>3504</v>
      </c>
      <c r="M103" s="3" t="str">
        <f>HYPERLINK(склад2въезд13192021[[#This Row],[RelativePath]])</f>
        <v>7 Площадка 2 бетонщики\K07156189_18_20251129T125756Z.jpg</v>
      </c>
    </row>
    <row r="104" spans="1:13" x14ac:dyDescent="0.25">
      <c r="A104" s="2" t="s">
        <v>18</v>
      </c>
      <c r="B104" s="4">
        <v>45990</v>
      </c>
      <c r="C104" s="5">
        <v>0.54586805555555551</v>
      </c>
      <c r="D104" s="9" t="s">
        <v>1569</v>
      </c>
      <c r="E104" s="9" t="s">
        <v>4158</v>
      </c>
      <c r="F104" s="9"/>
      <c r="H104" s="9"/>
      <c r="I104" s="9" t="s">
        <v>3505</v>
      </c>
      <c r="J104" s="9" t="s">
        <v>2939</v>
      </c>
      <c r="K104" t="s">
        <v>3506</v>
      </c>
      <c r="L104" t="s">
        <v>3507</v>
      </c>
      <c r="M104" s="3" t="str">
        <f>HYPERLINK(склад2въезд13192021[[#This Row],[RelativePath]])</f>
        <v>7 Площадка 2 бетонщики\K07156189_18_20251129T130603Z.jpg</v>
      </c>
    </row>
    <row r="105" spans="1:13" x14ac:dyDescent="0.25">
      <c r="A105" s="2" t="s">
        <v>18</v>
      </c>
      <c r="B105" s="4">
        <v>45990</v>
      </c>
      <c r="C105" s="5">
        <v>0.55248842592592595</v>
      </c>
      <c r="D105" s="9" t="s">
        <v>261</v>
      </c>
      <c r="E105" s="9" t="s">
        <v>4158</v>
      </c>
      <c r="F105" s="9" t="s">
        <v>4152</v>
      </c>
      <c r="H105" s="9"/>
      <c r="I105" s="9" t="s">
        <v>3508</v>
      </c>
      <c r="J105" s="9" t="s">
        <v>2939</v>
      </c>
      <c r="K105" t="s">
        <v>3509</v>
      </c>
      <c r="L105" t="s">
        <v>3510</v>
      </c>
      <c r="M105" s="3" t="str">
        <f>HYPERLINK(склад2въезд13192021[[#This Row],[RelativePath]])</f>
        <v>7 Площадка 2 бетонщики\K07156189_18_20251129T131535Z.jpg</v>
      </c>
    </row>
    <row r="106" spans="1:13" x14ac:dyDescent="0.25">
      <c r="A106" s="2" t="s">
        <v>18</v>
      </c>
      <c r="B106" s="4">
        <v>45990</v>
      </c>
      <c r="C106" s="5">
        <v>0.55314814814814817</v>
      </c>
      <c r="D106" s="9" t="s">
        <v>261</v>
      </c>
      <c r="E106" s="9" t="s">
        <v>4158</v>
      </c>
      <c r="F106" s="9" t="s">
        <v>4152</v>
      </c>
      <c r="H106" s="9" t="s">
        <v>2891</v>
      </c>
      <c r="I106" s="9" t="s">
        <v>3511</v>
      </c>
      <c r="J106" s="9" t="s">
        <v>2939</v>
      </c>
      <c r="K106" t="s">
        <v>3512</v>
      </c>
      <c r="L106" t="s">
        <v>3513</v>
      </c>
      <c r="M106" s="3" t="str">
        <f>HYPERLINK(склад2въезд13192021[[#This Row],[RelativePath]])</f>
        <v>7 Площадка 2 бетонщики\K07156189_18_20251129T131632Z.jpg</v>
      </c>
    </row>
    <row r="107" spans="1:13" x14ac:dyDescent="0.25">
      <c r="A107" s="2" t="s">
        <v>18</v>
      </c>
      <c r="B107" s="4">
        <v>45990</v>
      </c>
      <c r="C107" s="5">
        <v>0.55888888888888888</v>
      </c>
      <c r="D107" s="9" t="s">
        <v>261</v>
      </c>
      <c r="E107" s="9" t="s">
        <v>4158</v>
      </c>
      <c r="F107" s="9" t="s">
        <v>4152</v>
      </c>
      <c r="H107" s="9" t="s">
        <v>2891</v>
      </c>
      <c r="I107" s="9" t="s">
        <v>3514</v>
      </c>
      <c r="J107" s="9" t="s">
        <v>2939</v>
      </c>
      <c r="K107" t="s">
        <v>3515</v>
      </c>
      <c r="L107" t="s">
        <v>3516</v>
      </c>
      <c r="M107" s="3" t="str">
        <f>HYPERLINK(склад2въезд13192021[[#This Row],[RelativePath]])</f>
        <v>7 Площадка 2 бетонщики\K07156189_18_20251129T132448Z.jpg</v>
      </c>
    </row>
    <row r="108" spans="1:13" x14ac:dyDescent="0.25">
      <c r="A108" s="2" t="s">
        <v>18</v>
      </c>
      <c r="B108" s="4">
        <v>45990</v>
      </c>
      <c r="C108" s="5">
        <v>0.5607523148148148</v>
      </c>
      <c r="D108" s="9" t="s">
        <v>261</v>
      </c>
      <c r="E108" s="9" t="s">
        <v>4158</v>
      </c>
      <c r="F108" s="9" t="s">
        <v>4152</v>
      </c>
      <c r="H108" s="9" t="s">
        <v>2891</v>
      </c>
      <c r="I108" s="9" t="s">
        <v>3517</v>
      </c>
      <c r="J108" s="9" t="s">
        <v>2939</v>
      </c>
      <c r="K108" t="s">
        <v>3518</v>
      </c>
      <c r="L108" t="s">
        <v>3519</v>
      </c>
      <c r="M108" s="3" t="str">
        <f>HYPERLINK(склад2въезд13192021[[#This Row],[RelativePath]])</f>
        <v>7 Площадка 2 бетонщики\K07156189_18_20251129T132729Z.jpg</v>
      </c>
    </row>
    <row r="109" spans="1:13" x14ac:dyDescent="0.25">
      <c r="A109" s="2" t="s">
        <v>18</v>
      </c>
      <c r="B109" s="4">
        <v>45990</v>
      </c>
      <c r="C109" s="5">
        <v>0.56593749999999998</v>
      </c>
      <c r="D109" s="9" t="s">
        <v>261</v>
      </c>
      <c r="E109" s="9" t="s">
        <v>4158</v>
      </c>
      <c r="F109" s="9" t="s">
        <v>4152</v>
      </c>
      <c r="H109" s="9" t="s">
        <v>2891</v>
      </c>
      <c r="I109" s="9" t="s">
        <v>3520</v>
      </c>
      <c r="J109" s="9" t="s">
        <v>2939</v>
      </c>
      <c r="K109" t="s">
        <v>3521</v>
      </c>
      <c r="L109" t="s">
        <v>3522</v>
      </c>
      <c r="M109" s="3" t="str">
        <f>HYPERLINK(склад2въезд13192021[[#This Row],[RelativePath]])</f>
        <v>7 Площадка 2 бетонщики\K07156189_18_20251129T133457Z.jpg</v>
      </c>
    </row>
    <row r="110" spans="1:13" x14ac:dyDescent="0.25">
      <c r="A110" s="2" t="s">
        <v>18</v>
      </c>
      <c r="B110" s="4">
        <v>45990</v>
      </c>
      <c r="C110" s="5">
        <v>0.56846064814814812</v>
      </c>
      <c r="D110" s="9" t="s">
        <v>261</v>
      </c>
      <c r="E110" s="9" t="s">
        <v>4158</v>
      </c>
      <c r="F110" s="9" t="s">
        <v>4152</v>
      </c>
      <c r="H110" s="9" t="s">
        <v>2891</v>
      </c>
      <c r="I110" s="9" t="s">
        <v>3523</v>
      </c>
      <c r="J110" s="9" t="s">
        <v>2939</v>
      </c>
      <c r="K110" t="s">
        <v>3524</v>
      </c>
      <c r="L110" t="s">
        <v>3525</v>
      </c>
      <c r="M110" s="3" t="str">
        <f>HYPERLINK(склад2въезд13192021[[#This Row],[RelativePath]])</f>
        <v>7 Площадка 2 бетонщики\K07156189_18_20251129T133835Z.jpg</v>
      </c>
    </row>
    <row r="111" spans="1:13" x14ac:dyDescent="0.25">
      <c r="A111" s="2" t="s">
        <v>18</v>
      </c>
      <c r="B111" s="4">
        <v>45990</v>
      </c>
      <c r="C111" s="5">
        <v>0.57168981481481485</v>
      </c>
      <c r="D111" s="9" t="s">
        <v>261</v>
      </c>
      <c r="E111" s="9" t="s">
        <v>4158</v>
      </c>
      <c r="F111" s="9" t="s">
        <v>4152</v>
      </c>
      <c r="H111" s="9" t="s">
        <v>2891</v>
      </c>
      <c r="I111" s="9" t="s">
        <v>3526</v>
      </c>
      <c r="J111" s="9" t="s">
        <v>2939</v>
      </c>
      <c r="K111" t="s">
        <v>3527</v>
      </c>
      <c r="L111" t="s">
        <v>3528</v>
      </c>
      <c r="M111" s="3" t="str">
        <f>HYPERLINK(склад2въезд13192021[[#This Row],[RelativePath]])</f>
        <v>7 Площадка 2 бетонщики\K07156189_18_20251129T134314Z.jpg</v>
      </c>
    </row>
    <row r="112" spans="1:13" x14ac:dyDescent="0.25">
      <c r="A112" s="2" t="s">
        <v>18</v>
      </c>
      <c r="B112" s="4">
        <v>45990</v>
      </c>
      <c r="C112" s="5">
        <v>0.57275462962962964</v>
      </c>
      <c r="D112" s="9" t="s">
        <v>261</v>
      </c>
      <c r="E112" s="9" t="s">
        <v>4158</v>
      </c>
      <c r="F112" s="9" t="s">
        <v>4152</v>
      </c>
      <c r="H112" s="9" t="s">
        <v>2891</v>
      </c>
      <c r="I112" s="9" t="s">
        <v>3529</v>
      </c>
      <c r="J112" s="9" t="s">
        <v>2939</v>
      </c>
      <c r="K112" t="s">
        <v>3530</v>
      </c>
      <c r="L112" t="s">
        <v>3531</v>
      </c>
      <c r="M112" s="3" t="str">
        <f>HYPERLINK(склад2въезд13192021[[#This Row],[RelativePath]])</f>
        <v>7 Площадка 2 бетонщики\K07156189_18_20251129T134446Z.jpg</v>
      </c>
    </row>
    <row r="113" spans="1:13" x14ac:dyDescent="0.25">
      <c r="A113" s="2" t="s">
        <v>18</v>
      </c>
      <c r="B113" s="4">
        <v>45990</v>
      </c>
      <c r="C113" s="5">
        <v>0.57449074074074069</v>
      </c>
      <c r="D113" s="9" t="s">
        <v>261</v>
      </c>
      <c r="E113" s="9" t="s">
        <v>4158</v>
      </c>
      <c r="F113" s="9" t="s">
        <v>4152</v>
      </c>
      <c r="H113" s="9" t="s">
        <v>2891</v>
      </c>
      <c r="I113" s="9" t="s">
        <v>3532</v>
      </c>
      <c r="J113" s="9" t="s">
        <v>2939</v>
      </c>
      <c r="K113" t="s">
        <v>3533</v>
      </c>
      <c r="L113" t="s">
        <v>3534</v>
      </c>
      <c r="M113" s="3" t="str">
        <f>HYPERLINK(склад2въезд13192021[[#This Row],[RelativePath]])</f>
        <v>7 Площадка 2 бетонщики\K07156189_18_20251129T134716Z.jpg</v>
      </c>
    </row>
    <row r="114" spans="1:13" x14ac:dyDescent="0.25">
      <c r="A114" s="2" t="s">
        <v>18</v>
      </c>
      <c r="B114" s="4">
        <v>45990</v>
      </c>
      <c r="C114" s="5">
        <v>0.57677083333333334</v>
      </c>
      <c r="D114" s="9" t="s">
        <v>261</v>
      </c>
      <c r="E114" s="9" t="s">
        <v>4158</v>
      </c>
      <c r="F114" s="9" t="s">
        <v>4152</v>
      </c>
      <c r="H114" s="9" t="s">
        <v>2891</v>
      </c>
      <c r="I114" s="9" t="s">
        <v>3535</v>
      </c>
      <c r="J114" s="9" t="s">
        <v>2939</v>
      </c>
      <c r="K114" t="s">
        <v>3536</v>
      </c>
      <c r="L114" t="s">
        <v>3537</v>
      </c>
      <c r="M114" s="3" t="str">
        <f>HYPERLINK(склад2въезд13192021[[#This Row],[RelativePath]])</f>
        <v>7 Площадка 2 бетонщики\K07156189_18_20251129T135033Z.jpg</v>
      </c>
    </row>
    <row r="115" spans="1:13" x14ac:dyDescent="0.25">
      <c r="A115" s="2" t="s">
        <v>18</v>
      </c>
      <c r="B115" s="4">
        <v>45990</v>
      </c>
      <c r="C115" s="5">
        <v>0.57995370370370369</v>
      </c>
      <c r="D115" s="9" t="s">
        <v>261</v>
      </c>
      <c r="E115" s="9" t="s">
        <v>4158</v>
      </c>
      <c r="F115" s="9" t="s">
        <v>4152</v>
      </c>
      <c r="H115" s="9" t="s">
        <v>2891</v>
      </c>
      <c r="I115" s="9" t="s">
        <v>3538</v>
      </c>
      <c r="J115" s="9" t="s">
        <v>2939</v>
      </c>
      <c r="K115" t="s">
        <v>3539</v>
      </c>
      <c r="L115" t="s">
        <v>3540</v>
      </c>
      <c r="M115" s="3" t="str">
        <f>HYPERLINK(склад2въезд13192021[[#This Row],[RelativePath]])</f>
        <v>7 Площадка 2 бетонщики\K07156189_18_20251129T135508Z.jpg</v>
      </c>
    </row>
    <row r="116" spans="1:13" x14ac:dyDescent="0.25">
      <c r="A116" s="2" t="s">
        <v>18</v>
      </c>
      <c r="B116" s="4">
        <v>45990</v>
      </c>
      <c r="C116" s="5">
        <v>0.58212962962962966</v>
      </c>
      <c r="D116" s="9" t="s">
        <v>261</v>
      </c>
      <c r="E116" s="9" t="s">
        <v>4158</v>
      </c>
      <c r="F116" s="9" t="s">
        <v>4152</v>
      </c>
      <c r="H116" s="9" t="s">
        <v>2891</v>
      </c>
      <c r="I116" s="9" t="s">
        <v>3541</v>
      </c>
      <c r="J116" s="9" t="s">
        <v>2939</v>
      </c>
      <c r="K116" t="s">
        <v>3542</v>
      </c>
      <c r="L116" t="s">
        <v>3543</v>
      </c>
      <c r="M116" s="3" t="str">
        <f>HYPERLINK(склад2въезд13192021[[#This Row],[RelativePath]])</f>
        <v>7 Площадка 2 бетонщики\K07156189_18_20251129T135816Z.jpg</v>
      </c>
    </row>
    <row r="117" spans="1:13" x14ac:dyDescent="0.25">
      <c r="A117" s="2" t="s">
        <v>18</v>
      </c>
      <c r="B117" s="4">
        <v>45990</v>
      </c>
      <c r="C117" s="5">
        <v>0.58278935185185188</v>
      </c>
      <c r="D117" s="9" t="s">
        <v>261</v>
      </c>
      <c r="E117" s="9" t="s">
        <v>4158</v>
      </c>
      <c r="F117" s="9" t="s">
        <v>4152</v>
      </c>
      <c r="H117" s="9" t="s">
        <v>2891</v>
      </c>
      <c r="I117" s="9" t="s">
        <v>3544</v>
      </c>
      <c r="J117" s="9" t="s">
        <v>2939</v>
      </c>
      <c r="K117" t="s">
        <v>3545</v>
      </c>
      <c r="L117" t="s">
        <v>3546</v>
      </c>
      <c r="M117" s="3" t="str">
        <f>HYPERLINK(склад2въезд13192021[[#This Row],[RelativePath]])</f>
        <v>7 Площадка 2 бетонщики\K07156189_18_20251129T135913Z.jpg</v>
      </c>
    </row>
    <row r="118" spans="1:13" x14ac:dyDescent="0.25">
      <c r="A118" s="2" t="s">
        <v>18</v>
      </c>
      <c r="B118" s="4">
        <v>45990</v>
      </c>
      <c r="C118" s="5">
        <v>0.58450231481481485</v>
      </c>
      <c r="D118" s="9" t="s">
        <v>261</v>
      </c>
      <c r="E118" s="9" t="s">
        <v>4158</v>
      </c>
      <c r="F118" s="9" t="s">
        <v>4152</v>
      </c>
      <c r="H118" s="9" t="s">
        <v>2891</v>
      </c>
      <c r="I118" s="9" t="s">
        <v>3547</v>
      </c>
      <c r="J118" s="9" t="s">
        <v>2939</v>
      </c>
      <c r="K118" t="s">
        <v>3548</v>
      </c>
      <c r="L118" t="s">
        <v>3549</v>
      </c>
      <c r="M118" s="3" t="str">
        <f>HYPERLINK(склад2въезд13192021[[#This Row],[RelativePath]])</f>
        <v>7 Площадка 2 бетонщики\K07156189_18_20251129T140141Z.jpg</v>
      </c>
    </row>
    <row r="119" spans="1:13" x14ac:dyDescent="0.25">
      <c r="A119" s="2" t="s">
        <v>18</v>
      </c>
      <c r="B119" s="4">
        <v>45990</v>
      </c>
      <c r="C119" s="5">
        <v>0.59234953703703708</v>
      </c>
      <c r="D119" s="9" t="s">
        <v>622</v>
      </c>
      <c r="E119" s="9" t="s">
        <v>4158</v>
      </c>
      <c r="F119" s="9" t="s">
        <v>4152</v>
      </c>
      <c r="H119" s="9" t="s">
        <v>4159</v>
      </c>
      <c r="I119" s="9" t="s">
        <v>3550</v>
      </c>
      <c r="J119" s="9" t="s">
        <v>2939</v>
      </c>
      <c r="K119" t="s">
        <v>3551</v>
      </c>
      <c r="L119" t="s">
        <v>3552</v>
      </c>
      <c r="M119" s="3" t="str">
        <f>HYPERLINK(склад2въезд13192021[[#This Row],[RelativePath]])</f>
        <v>7 Площадка 2 бетонщики\K07156189_18_20251129T141259Z.jpg</v>
      </c>
    </row>
    <row r="120" spans="1:13" x14ac:dyDescent="0.25">
      <c r="A120" s="2" t="s">
        <v>18</v>
      </c>
      <c r="B120" s="4">
        <v>45990</v>
      </c>
      <c r="C120" s="5">
        <v>0.61375000000000002</v>
      </c>
      <c r="D120" s="9" t="s">
        <v>261</v>
      </c>
      <c r="E120" s="9" t="s">
        <v>4135</v>
      </c>
      <c r="F120" s="9" t="s">
        <v>4152</v>
      </c>
      <c r="H120" s="9"/>
      <c r="I120" s="9" t="s">
        <v>3553</v>
      </c>
      <c r="J120" s="9" t="s">
        <v>2939</v>
      </c>
      <c r="K120" t="s">
        <v>3554</v>
      </c>
      <c r="L120" t="s">
        <v>3555</v>
      </c>
      <c r="M120" s="3" t="str">
        <f>HYPERLINK(склад2въезд13192021[[#This Row],[RelativePath]])</f>
        <v>7 Площадка 2 бетонщики\K07156189_18_20251129T144348Z.jpg</v>
      </c>
    </row>
    <row r="121" spans="1:13" x14ac:dyDescent="0.25">
      <c r="A121" s="2" t="s">
        <v>18</v>
      </c>
      <c r="B121" s="4">
        <v>45990</v>
      </c>
      <c r="C121" s="5">
        <v>0.61790509259259263</v>
      </c>
      <c r="D121" s="9" t="s">
        <v>261</v>
      </c>
      <c r="E121" s="9" t="s">
        <v>4135</v>
      </c>
      <c r="F121" s="9" t="s">
        <v>4152</v>
      </c>
      <c r="H121" s="9" t="s">
        <v>2891</v>
      </c>
      <c r="I121" s="9" t="s">
        <v>3556</v>
      </c>
      <c r="J121" s="9" t="s">
        <v>2939</v>
      </c>
      <c r="K121" t="s">
        <v>3557</v>
      </c>
      <c r="L121" t="s">
        <v>3558</v>
      </c>
      <c r="M121" s="3" t="str">
        <f>HYPERLINK(склад2въезд13192021[[#This Row],[RelativePath]])</f>
        <v>7 Площадка 2 бетонщики\K07156189_18_20251129T144947Z.jpg</v>
      </c>
    </row>
    <row r="122" spans="1:13" x14ac:dyDescent="0.25">
      <c r="A122" s="2" t="s">
        <v>18</v>
      </c>
      <c r="B122" s="4">
        <v>45990</v>
      </c>
      <c r="C122" s="5">
        <v>0.61982638888888886</v>
      </c>
      <c r="D122" s="9" t="s">
        <v>261</v>
      </c>
      <c r="E122" s="9" t="s">
        <v>4135</v>
      </c>
      <c r="F122" s="9" t="s">
        <v>4152</v>
      </c>
      <c r="H122" s="9" t="s">
        <v>2891</v>
      </c>
      <c r="I122" s="9" t="s">
        <v>3559</v>
      </c>
      <c r="J122" s="9" t="s">
        <v>2939</v>
      </c>
      <c r="K122" t="s">
        <v>3560</v>
      </c>
      <c r="L122" t="s">
        <v>3561</v>
      </c>
      <c r="M122" s="3" t="str">
        <f>HYPERLINK(склад2въезд13192021[[#This Row],[RelativePath]])</f>
        <v>7 Площадка 2 бетонщики\K07156189_18_20251129T145233Z.jpg</v>
      </c>
    </row>
    <row r="123" spans="1:13" x14ac:dyDescent="0.25">
      <c r="A123" s="2" t="s">
        <v>18</v>
      </c>
      <c r="B123" s="4">
        <v>45990</v>
      </c>
      <c r="C123" s="5">
        <v>0.6216666666666667</v>
      </c>
      <c r="D123" s="9" t="s">
        <v>261</v>
      </c>
      <c r="E123" s="9" t="s">
        <v>4135</v>
      </c>
      <c r="F123" s="9" t="s">
        <v>4152</v>
      </c>
      <c r="H123" s="9" t="s">
        <v>2891</v>
      </c>
      <c r="I123" s="9" t="s">
        <v>3562</v>
      </c>
      <c r="J123" s="9" t="s">
        <v>2939</v>
      </c>
      <c r="K123" t="s">
        <v>3563</v>
      </c>
      <c r="L123" t="s">
        <v>3564</v>
      </c>
      <c r="M123" s="3" t="str">
        <f>HYPERLINK(склад2въезд13192021[[#This Row],[RelativePath]])</f>
        <v>7 Площадка 2 бетонщики\K07156189_18_20251129T145512Z.jpg</v>
      </c>
    </row>
    <row r="124" spans="1:13" x14ac:dyDescent="0.25">
      <c r="A124" s="2" t="s">
        <v>18</v>
      </c>
      <c r="B124" s="4">
        <v>45990</v>
      </c>
      <c r="C124" s="5">
        <v>0.62410879629629634</v>
      </c>
      <c r="D124" s="9" t="s">
        <v>261</v>
      </c>
      <c r="E124" s="9" t="s">
        <v>4135</v>
      </c>
      <c r="F124" s="9" t="s">
        <v>4152</v>
      </c>
      <c r="H124" s="9" t="s">
        <v>2891</v>
      </c>
      <c r="I124" s="9" t="s">
        <v>3565</v>
      </c>
      <c r="J124" s="9" t="s">
        <v>2939</v>
      </c>
      <c r="K124" t="s">
        <v>3566</v>
      </c>
      <c r="L124" t="s">
        <v>3567</v>
      </c>
      <c r="M124" s="3" t="str">
        <f>HYPERLINK(склад2въезд13192021[[#This Row],[RelativePath]])</f>
        <v>7 Площадка 2 бетонщики\K07156189_18_20251129T145843Z.jpg</v>
      </c>
    </row>
    <row r="125" spans="1:13" x14ac:dyDescent="0.25">
      <c r="A125" s="2" t="s">
        <v>18</v>
      </c>
      <c r="B125" s="4">
        <v>45990</v>
      </c>
      <c r="C125" s="5">
        <v>0.62604166666666672</v>
      </c>
      <c r="D125" s="9" t="s">
        <v>261</v>
      </c>
      <c r="E125" s="9" t="s">
        <v>4135</v>
      </c>
      <c r="F125" s="9" t="s">
        <v>4152</v>
      </c>
      <c r="H125" s="9" t="s">
        <v>2891</v>
      </c>
      <c r="I125" s="9" t="s">
        <v>3568</v>
      </c>
      <c r="J125" s="9" t="s">
        <v>2939</v>
      </c>
      <c r="K125" t="s">
        <v>3569</v>
      </c>
      <c r="L125" t="s">
        <v>3570</v>
      </c>
      <c r="M125" s="3" t="str">
        <f>HYPERLINK(склад2въезд13192021[[#This Row],[RelativePath]])</f>
        <v>7 Площадка 2 бетонщики\K07156189_18_20251129T150130Z.jpg</v>
      </c>
    </row>
    <row r="126" spans="1:13" x14ac:dyDescent="0.25">
      <c r="A126" s="2" t="s">
        <v>18</v>
      </c>
      <c r="B126" s="4">
        <v>45990</v>
      </c>
      <c r="C126" s="5">
        <v>0.63124999999999998</v>
      </c>
      <c r="D126" s="9" t="s">
        <v>261</v>
      </c>
      <c r="E126" s="9" t="s">
        <v>4135</v>
      </c>
      <c r="F126" s="9" t="s">
        <v>4152</v>
      </c>
      <c r="H126" s="9" t="s">
        <v>2891</v>
      </c>
      <c r="I126" s="9" t="s">
        <v>3571</v>
      </c>
      <c r="J126" s="9" t="s">
        <v>2939</v>
      </c>
      <c r="K126" t="s">
        <v>3572</v>
      </c>
      <c r="L126" t="s">
        <v>3573</v>
      </c>
      <c r="M126" s="3" t="str">
        <f>HYPERLINK(склад2въезд13192021[[#This Row],[RelativePath]])</f>
        <v>7 Площадка 2 бетонщики\K07156189_18_20251129T150900Z.jpg</v>
      </c>
    </row>
    <row r="127" spans="1:13" x14ac:dyDescent="0.25">
      <c r="A127" s="2" t="s">
        <v>18</v>
      </c>
      <c r="B127" s="4">
        <v>45990</v>
      </c>
      <c r="C127" s="5">
        <v>0.6338773148148148</v>
      </c>
      <c r="D127" s="9" t="s">
        <v>261</v>
      </c>
      <c r="E127" s="9" t="s">
        <v>4135</v>
      </c>
      <c r="F127" s="9" t="s">
        <v>4152</v>
      </c>
      <c r="H127" s="9" t="s">
        <v>2891</v>
      </c>
      <c r="I127" s="9" t="s">
        <v>3574</v>
      </c>
      <c r="J127" s="9" t="s">
        <v>2939</v>
      </c>
      <c r="K127" t="s">
        <v>3575</v>
      </c>
      <c r="L127" t="s">
        <v>3576</v>
      </c>
      <c r="M127" s="3" t="str">
        <f>HYPERLINK(склад2въезд13192021[[#This Row],[RelativePath]])</f>
        <v>7 Площадка 2 бетонщики\K07156189_18_20251129T151247Z.jpg</v>
      </c>
    </row>
    <row r="128" spans="1:13" x14ac:dyDescent="0.25">
      <c r="A128" s="2" t="s">
        <v>18</v>
      </c>
      <c r="B128" s="4">
        <v>45990</v>
      </c>
      <c r="C128" s="5">
        <v>0.63736111111111116</v>
      </c>
      <c r="D128" s="9" t="s">
        <v>261</v>
      </c>
      <c r="E128" s="9" t="s">
        <v>4135</v>
      </c>
      <c r="F128" s="9" t="s">
        <v>4152</v>
      </c>
      <c r="H128" s="9" t="s">
        <v>2891</v>
      </c>
      <c r="I128" s="9" t="s">
        <v>3577</v>
      </c>
      <c r="J128" s="9" t="s">
        <v>2939</v>
      </c>
      <c r="K128" t="s">
        <v>3578</v>
      </c>
      <c r="L128" t="s">
        <v>3579</v>
      </c>
      <c r="M128" s="3" t="str">
        <f>HYPERLINK(склад2въезд13192021[[#This Row],[RelativePath]])</f>
        <v>7 Площадка 2 бетонщики\K07156189_18_20251129T151748Z.jpg</v>
      </c>
    </row>
    <row r="129" spans="1:13" x14ac:dyDescent="0.25">
      <c r="A129" s="2" t="s">
        <v>18</v>
      </c>
      <c r="B129" s="4">
        <v>45990</v>
      </c>
      <c r="C129" s="5">
        <v>0.63914351851851847</v>
      </c>
      <c r="D129" s="9" t="s">
        <v>261</v>
      </c>
      <c r="E129" s="9" t="s">
        <v>4135</v>
      </c>
      <c r="F129" s="9" t="s">
        <v>4152</v>
      </c>
      <c r="H129" s="9" t="s">
        <v>2891</v>
      </c>
      <c r="I129" s="9" t="s">
        <v>3580</v>
      </c>
      <c r="J129" s="9" t="s">
        <v>2939</v>
      </c>
      <c r="K129" t="s">
        <v>3581</v>
      </c>
      <c r="L129" t="s">
        <v>3582</v>
      </c>
      <c r="M129" s="3" t="str">
        <f>HYPERLINK(склад2въезд13192021[[#This Row],[RelativePath]])</f>
        <v>7 Площадка 2 бетонщики\K07156189_18_20251129T152022Z.jpg</v>
      </c>
    </row>
    <row r="130" spans="1:13" x14ac:dyDescent="0.25">
      <c r="A130" s="2" t="s">
        <v>18</v>
      </c>
      <c r="B130" s="4">
        <v>45990</v>
      </c>
      <c r="C130" s="5">
        <v>0.64195601851851847</v>
      </c>
      <c r="D130" s="9" t="s">
        <v>261</v>
      </c>
      <c r="E130" s="9" t="s">
        <v>4135</v>
      </c>
      <c r="F130" s="9" t="s">
        <v>4152</v>
      </c>
      <c r="H130" s="9" t="s">
        <v>2891</v>
      </c>
      <c r="I130" s="9" t="s">
        <v>3583</v>
      </c>
      <c r="J130" s="9" t="s">
        <v>2939</v>
      </c>
      <c r="K130" t="s">
        <v>3584</v>
      </c>
      <c r="L130" t="s">
        <v>3585</v>
      </c>
      <c r="M130" s="3" t="str">
        <f>HYPERLINK(склад2въезд13192021[[#This Row],[RelativePath]])</f>
        <v>7 Площадка 2 бетонщики\K07156189_18_20251129T152425Z.jpg</v>
      </c>
    </row>
    <row r="131" spans="1:13" x14ac:dyDescent="0.25">
      <c r="A131" s="2" t="s">
        <v>18</v>
      </c>
      <c r="B131" s="4">
        <v>45990</v>
      </c>
      <c r="C131" s="5">
        <v>0.64386574074074077</v>
      </c>
      <c r="D131" s="9" t="s">
        <v>261</v>
      </c>
      <c r="E131" s="9" t="s">
        <v>4135</v>
      </c>
      <c r="F131" s="9" t="s">
        <v>87</v>
      </c>
      <c r="H131" s="9"/>
      <c r="I131" s="9" t="s">
        <v>3586</v>
      </c>
      <c r="J131" s="9" t="s">
        <v>2939</v>
      </c>
      <c r="K131" t="s">
        <v>3587</v>
      </c>
      <c r="L131" t="s">
        <v>3588</v>
      </c>
      <c r="M131" s="3" t="str">
        <f>HYPERLINK(склад2въезд13192021[[#This Row],[RelativePath]])</f>
        <v>7 Площадка 2 бетонщики\K07156189_18_20251129T152710Z.jpg</v>
      </c>
    </row>
    <row r="132" spans="1:13" x14ac:dyDescent="0.25">
      <c r="A132" s="2" t="s">
        <v>18</v>
      </c>
      <c r="B132" s="4">
        <v>45990</v>
      </c>
      <c r="C132" s="5">
        <v>0.64961805555555552</v>
      </c>
      <c r="D132" s="9" t="s">
        <v>1569</v>
      </c>
      <c r="E132" s="9" t="s">
        <v>4136</v>
      </c>
      <c r="F132" s="9"/>
      <c r="H132" s="9"/>
      <c r="I132" s="9" t="s">
        <v>3589</v>
      </c>
      <c r="J132" s="9" t="s">
        <v>2939</v>
      </c>
      <c r="K132" t="s">
        <v>3590</v>
      </c>
      <c r="L132" t="s">
        <v>3319</v>
      </c>
      <c r="M132" s="3" t="str">
        <f>HYPERLINK(склад2въезд13192021[[#This Row],[RelativePath]])</f>
        <v>7 Площадка 2 бетонщики\K07156189_18_20251129T153527Z.jpg</v>
      </c>
    </row>
    <row r="133" spans="1:13" x14ac:dyDescent="0.25">
      <c r="A133" s="2" t="s">
        <v>18</v>
      </c>
      <c r="B133" s="4">
        <v>45990</v>
      </c>
      <c r="C133" s="5">
        <v>0.64981481481481485</v>
      </c>
      <c r="D133" s="9" t="s">
        <v>1569</v>
      </c>
      <c r="E133" s="9" t="s">
        <v>4136</v>
      </c>
      <c r="F133" s="9"/>
      <c r="H133" s="9" t="s">
        <v>2891</v>
      </c>
      <c r="I133" s="9" t="s">
        <v>3591</v>
      </c>
      <c r="J133" s="9" t="s">
        <v>2939</v>
      </c>
      <c r="K133" t="s">
        <v>3592</v>
      </c>
      <c r="L133" t="s">
        <v>3593</v>
      </c>
      <c r="M133" s="3" t="str">
        <f>HYPERLINK(склад2въезд13192021[[#This Row],[RelativePath]])</f>
        <v>7 Площадка 2 бетонщики\K07156189_18_20251129T153544Z.jpg</v>
      </c>
    </row>
    <row r="134" spans="1:13" x14ac:dyDescent="0.25">
      <c r="A134" s="2" t="s">
        <v>18</v>
      </c>
      <c r="B134" s="4">
        <v>45990</v>
      </c>
      <c r="C134" s="5">
        <v>0.65312499999999996</v>
      </c>
      <c r="D134" s="9" t="s">
        <v>261</v>
      </c>
      <c r="E134" s="9" t="s">
        <v>4136</v>
      </c>
      <c r="F134" s="9" t="s">
        <v>4152</v>
      </c>
      <c r="H134" s="9"/>
      <c r="I134" s="9" t="s">
        <v>3594</v>
      </c>
      <c r="J134" s="9" t="s">
        <v>2939</v>
      </c>
      <c r="K134" t="s">
        <v>3595</v>
      </c>
      <c r="L134" t="s">
        <v>3596</v>
      </c>
      <c r="M134" s="3" t="str">
        <f>HYPERLINK(склад2въезд13192021[[#This Row],[RelativePath]])</f>
        <v>7 Площадка 2 бетонщики\K07156189_18_20251129T154030Z.jpg</v>
      </c>
    </row>
    <row r="135" spans="1:13" x14ac:dyDescent="0.25">
      <c r="A135" s="2" t="s">
        <v>18</v>
      </c>
      <c r="B135" s="4">
        <v>45990</v>
      </c>
      <c r="C135" s="5">
        <v>0.65543981481481484</v>
      </c>
      <c r="D135" s="9" t="s">
        <v>261</v>
      </c>
      <c r="E135" s="9" t="s">
        <v>4136</v>
      </c>
      <c r="F135" s="9" t="s">
        <v>4152</v>
      </c>
      <c r="H135" s="9" t="s">
        <v>2891</v>
      </c>
      <c r="I135" s="9" t="s">
        <v>3597</v>
      </c>
      <c r="J135" s="9" t="s">
        <v>2939</v>
      </c>
      <c r="K135" t="s">
        <v>3598</v>
      </c>
      <c r="L135" t="s">
        <v>3599</v>
      </c>
      <c r="M135" s="3" t="str">
        <f>HYPERLINK(склад2въезд13192021[[#This Row],[RelativePath]])</f>
        <v>7 Площадка 2 бетонщики\K07156189_18_20251129T154350Z.jpg</v>
      </c>
    </row>
    <row r="136" spans="1:13" x14ac:dyDescent="0.25">
      <c r="A136" s="2" t="s">
        <v>18</v>
      </c>
      <c r="B136" s="4">
        <v>45990</v>
      </c>
      <c r="C136" s="5">
        <v>0.65699074074074071</v>
      </c>
      <c r="D136" s="9" t="s">
        <v>261</v>
      </c>
      <c r="E136" s="9" t="s">
        <v>4136</v>
      </c>
      <c r="F136" s="9" t="s">
        <v>4152</v>
      </c>
      <c r="H136" s="9" t="s">
        <v>2891</v>
      </c>
      <c r="I136" s="9" t="s">
        <v>3600</v>
      </c>
      <c r="J136" s="9" t="s">
        <v>2939</v>
      </c>
      <c r="K136" t="s">
        <v>3601</v>
      </c>
      <c r="L136" t="s">
        <v>3602</v>
      </c>
      <c r="M136" s="3" t="str">
        <f>HYPERLINK(склад2въезд13192021[[#This Row],[RelativePath]])</f>
        <v>7 Площадка 2 бетонщики\K07156189_18_20251129T154604Z.jpg</v>
      </c>
    </row>
    <row r="137" spans="1:13" x14ac:dyDescent="0.25">
      <c r="A137" s="2" t="s">
        <v>18</v>
      </c>
      <c r="B137" s="4">
        <v>45990</v>
      </c>
      <c r="C137" s="5">
        <v>0.65927083333333336</v>
      </c>
      <c r="D137" s="9" t="s">
        <v>261</v>
      </c>
      <c r="E137" s="9" t="s">
        <v>4136</v>
      </c>
      <c r="F137" s="9" t="s">
        <v>4152</v>
      </c>
      <c r="H137" s="9" t="s">
        <v>2891</v>
      </c>
      <c r="I137" s="9" t="s">
        <v>3603</v>
      </c>
      <c r="J137" s="9" t="s">
        <v>2939</v>
      </c>
      <c r="K137" t="s">
        <v>3604</v>
      </c>
      <c r="L137" t="s">
        <v>3605</v>
      </c>
      <c r="M137" s="3" t="str">
        <f>HYPERLINK(склад2въезд13192021[[#This Row],[RelativePath]])</f>
        <v>7 Площадка 2 бетонщики\K07156189_18_20251129T154921Z.jpg</v>
      </c>
    </row>
    <row r="138" spans="1:13" x14ac:dyDescent="0.25">
      <c r="A138" s="2" t="s">
        <v>18</v>
      </c>
      <c r="B138" s="4">
        <v>45990</v>
      </c>
      <c r="C138" s="5">
        <v>0.66106481481481483</v>
      </c>
      <c r="D138" s="9" t="s">
        <v>261</v>
      </c>
      <c r="E138" s="9" t="s">
        <v>4136</v>
      </c>
      <c r="F138" s="9" t="s">
        <v>4152</v>
      </c>
      <c r="H138" s="9" t="s">
        <v>2891</v>
      </c>
      <c r="I138" s="9" t="s">
        <v>3606</v>
      </c>
      <c r="J138" s="9" t="s">
        <v>2939</v>
      </c>
      <c r="K138" t="s">
        <v>3607</v>
      </c>
      <c r="L138" t="s">
        <v>3608</v>
      </c>
      <c r="M138" s="3" t="str">
        <f>HYPERLINK(склад2въезд13192021[[#This Row],[RelativePath]])</f>
        <v>7 Площадка 2 бетонщики\K07156189_18_20251129T155156Z.jpg</v>
      </c>
    </row>
    <row r="139" spans="1:13" x14ac:dyDescent="0.25">
      <c r="A139" s="2" t="s">
        <v>18</v>
      </c>
      <c r="B139" s="4">
        <v>45990</v>
      </c>
      <c r="C139" s="5">
        <v>0.66378472222222218</v>
      </c>
      <c r="D139" s="9" t="s">
        <v>261</v>
      </c>
      <c r="E139" s="9" t="s">
        <v>4136</v>
      </c>
      <c r="F139" s="9" t="s">
        <v>4152</v>
      </c>
      <c r="H139" s="9" t="s">
        <v>2891</v>
      </c>
      <c r="I139" s="9" t="s">
        <v>3609</v>
      </c>
      <c r="J139" s="9" t="s">
        <v>2939</v>
      </c>
      <c r="K139" t="s">
        <v>3610</v>
      </c>
      <c r="L139" t="s">
        <v>3611</v>
      </c>
      <c r="M139" s="3" t="str">
        <f>HYPERLINK(склад2въезд13192021[[#This Row],[RelativePath]])</f>
        <v>7 Площадка 2 бетонщики\K07156189_18_20251129T155551Z.jpg</v>
      </c>
    </row>
    <row r="140" spans="1:13" x14ac:dyDescent="0.25">
      <c r="A140" s="2" t="s">
        <v>18</v>
      </c>
      <c r="B140" s="4">
        <v>45990</v>
      </c>
      <c r="C140" s="5">
        <v>0.66733796296296299</v>
      </c>
      <c r="D140" s="9" t="s">
        <v>261</v>
      </c>
      <c r="E140" s="9" t="s">
        <v>4136</v>
      </c>
      <c r="F140" s="9" t="s">
        <v>4152</v>
      </c>
      <c r="H140" s="9" t="s">
        <v>2891</v>
      </c>
      <c r="I140" s="9" t="s">
        <v>3612</v>
      </c>
      <c r="J140" s="9" t="s">
        <v>2939</v>
      </c>
      <c r="K140" t="s">
        <v>3613</v>
      </c>
      <c r="L140" t="s">
        <v>3614</v>
      </c>
      <c r="M140" s="3" t="str">
        <f>HYPERLINK(склад2въезд13192021[[#This Row],[RelativePath]])</f>
        <v>7 Площадка 2 бетонщики\K07156189_18_20251129T160058Z.jpg</v>
      </c>
    </row>
    <row r="141" spans="1:13" x14ac:dyDescent="0.25">
      <c r="A141" s="2" t="s">
        <v>18</v>
      </c>
      <c r="B141" s="4">
        <v>45990</v>
      </c>
      <c r="C141" s="5">
        <v>0.66971064814814818</v>
      </c>
      <c r="D141" s="9" t="s">
        <v>261</v>
      </c>
      <c r="E141" s="9" t="s">
        <v>4136</v>
      </c>
      <c r="F141" s="9" t="s">
        <v>4152</v>
      </c>
      <c r="H141" s="9" t="s">
        <v>2891</v>
      </c>
      <c r="I141" s="9" t="s">
        <v>3615</v>
      </c>
      <c r="J141" s="9" t="s">
        <v>2939</v>
      </c>
      <c r="K141" t="s">
        <v>3616</v>
      </c>
      <c r="L141" t="s">
        <v>3617</v>
      </c>
      <c r="M141" s="3" t="str">
        <f>HYPERLINK(склад2въезд13192021[[#This Row],[RelativePath]])</f>
        <v>7 Площадка 2 бетонщики\K07156189_18_20251129T160423Z.jpg</v>
      </c>
    </row>
    <row r="142" spans="1:13" x14ac:dyDescent="0.25">
      <c r="A142" s="2" t="s">
        <v>18</v>
      </c>
      <c r="B142" s="4">
        <v>45990</v>
      </c>
      <c r="C142" s="5">
        <v>0.67155092592592591</v>
      </c>
      <c r="D142" s="9" t="s">
        <v>261</v>
      </c>
      <c r="E142" s="9" t="s">
        <v>4136</v>
      </c>
      <c r="F142" s="9" t="s">
        <v>4152</v>
      </c>
      <c r="H142" s="9" t="s">
        <v>2891</v>
      </c>
      <c r="I142" s="9" t="s">
        <v>3618</v>
      </c>
      <c r="J142" s="9" t="s">
        <v>2939</v>
      </c>
      <c r="K142" t="s">
        <v>3619</v>
      </c>
      <c r="L142" t="s">
        <v>3620</v>
      </c>
      <c r="M142" s="3" t="str">
        <f>HYPERLINK(склад2въезд13192021[[#This Row],[RelativePath]])</f>
        <v>7 Площадка 2 бетонщики\K07156189_18_20251129T160702Z.jpg</v>
      </c>
    </row>
    <row r="143" spans="1:13" x14ac:dyDescent="0.25">
      <c r="A143" s="2" t="s">
        <v>18</v>
      </c>
      <c r="B143" s="4">
        <v>45990</v>
      </c>
      <c r="C143" s="5">
        <v>0.67405092592592597</v>
      </c>
      <c r="D143" s="9" t="s">
        <v>261</v>
      </c>
      <c r="E143" s="9" t="s">
        <v>4136</v>
      </c>
      <c r="F143" s="9" t="s">
        <v>4152</v>
      </c>
      <c r="H143" s="9" t="s">
        <v>2891</v>
      </c>
      <c r="I143" s="9" t="s">
        <v>3621</v>
      </c>
      <c r="J143" s="9" t="s">
        <v>2939</v>
      </c>
      <c r="K143" t="s">
        <v>3622</v>
      </c>
      <c r="L143" t="s">
        <v>3623</v>
      </c>
      <c r="M143" s="3" t="str">
        <f>HYPERLINK(склад2въезд13192021[[#This Row],[RelativePath]])</f>
        <v>7 Площадка 2 бетонщики\K07156189_18_20251129T161038Z.jpg</v>
      </c>
    </row>
    <row r="144" spans="1:13" x14ac:dyDescent="0.25">
      <c r="A144" s="2" t="s">
        <v>18</v>
      </c>
      <c r="B144" s="4">
        <v>45990</v>
      </c>
      <c r="C144" s="5">
        <v>0.67570601851851853</v>
      </c>
      <c r="D144" s="9" t="s">
        <v>261</v>
      </c>
      <c r="E144" s="9" t="s">
        <v>4136</v>
      </c>
      <c r="F144" s="9" t="s">
        <v>4152</v>
      </c>
      <c r="H144" s="9" t="s">
        <v>2891</v>
      </c>
      <c r="I144" s="9" t="s">
        <v>3624</v>
      </c>
      <c r="J144" s="9" t="s">
        <v>2939</v>
      </c>
      <c r="K144" t="s">
        <v>3625</v>
      </c>
      <c r="L144" t="s">
        <v>3626</v>
      </c>
      <c r="M144" s="3" t="str">
        <f>HYPERLINK(склад2въезд13192021[[#This Row],[RelativePath]])</f>
        <v>7 Площадка 2 бетонщики\K07156189_18_20251129T161301Z.jpg</v>
      </c>
    </row>
    <row r="145" spans="1:13" x14ac:dyDescent="0.25">
      <c r="A145" s="2" t="s">
        <v>18</v>
      </c>
      <c r="B145" s="4">
        <v>45990</v>
      </c>
      <c r="C145" s="5">
        <v>0.67623842592592598</v>
      </c>
      <c r="D145" s="9" t="s">
        <v>261</v>
      </c>
      <c r="E145" s="9" t="s">
        <v>4136</v>
      </c>
      <c r="F145" s="9" t="s">
        <v>4152</v>
      </c>
      <c r="H145" s="9" t="s">
        <v>2891</v>
      </c>
      <c r="I145" s="9" t="s">
        <v>3627</v>
      </c>
      <c r="J145" s="9" t="s">
        <v>2939</v>
      </c>
      <c r="K145" t="s">
        <v>3628</v>
      </c>
      <c r="L145" t="s">
        <v>3629</v>
      </c>
      <c r="M145" s="3" t="str">
        <f>HYPERLINK(склад2въезд13192021[[#This Row],[RelativePath]])</f>
        <v>7 Площадка 2 бетонщики\K07156189_18_20251129T161347Z.jpg</v>
      </c>
    </row>
    <row r="146" spans="1:13" x14ac:dyDescent="0.25">
      <c r="A146" s="2" t="s">
        <v>18</v>
      </c>
      <c r="B146" s="4">
        <v>45990</v>
      </c>
      <c r="C146" s="5">
        <v>0.67753472222222222</v>
      </c>
      <c r="D146" s="9" t="s">
        <v>261</v>
      </c>
      <c r="E146" s="9" t="s">
        <v>4136</v>
      </c>
      <c r="F146" s="9" t="s">
        <v>4152</v>
      </c>
      <c r="H146" s="9" t="s">
        <v>2891</v>
      </c>
      <c r="I146" s="9" t="s">
        <v>3630</v>
      </c>
      <c r="J146" s="9" t="s">
        <v>2939</v>
      </c>
      <c r="K146" t="s">
        <v>3631</v>
      </c>
      <c r="L146" t="s">
        <v>3632</v>
      </c>
      <c r="M146" s="3" t="str">
        <f>HYPERLINK(склад2въезд13192021[[#This Row],[RelativePath]])</f>
        <v>7 Площадка 2 бетонщики\K07156189_18_20251129T161539Z.jpg</v>
      </c>
    </row>
    <row r="147" spans="1:13" x14ac:dyDescent="0.25">
      <c r="A147" s="2" t="s">
        <v>18</v>
      </c>
      <c r="B147" s="4">
        <v>45990</v>
      </c>
      <c r="C147" s="5">
        <v>0.68038194444444444</v>
      </c>
      <c r="D147" s="9" t="s">
        <v>261</v>
      </c>
      <c r="E147" s="9" t="s">
        <v>4136</v>
      </c>
      <c r="F147" s="9" t="s">
        <v>4152</v>
      </c>
      <c r="H147" s="9" t="s">
        <v>2891</v>
      </c>
      <c r="I147" s="9" t="s">
        <v>3633</v>
      </c>
      <c r="J147" s="9" t="s">
        <v>2939</v>
      </c>
      <c r="K147" t="s">
        <v>3634</v>
      </c>
      <c r="L147" t="s">
        <v>3635</v>
      </c>
      <c r="M147" s="3" t="str">
        <f>HYPERLINK(склад2въезд13192021[[#This Row],[RelativePath]])</f>
        <v>7 Площадка 2 бетонщики\K07156189_18_20251129T161945Z.jpg</v>
      </c>
    </row>
    <row r="148" spans="1:13" x14ac:dyDescent="0.25">
      <c r="A148" s="2" t="s">
        <v>18</v>
      </c>
      <c r="B148" s="4">
        <v>45990</v>
      </c>
      <c r="C148" s="5">
        <v>0.68329861111111112</v>
      </c>
      <c r="D148" s="9" t="s">
        <v>261</v>
      </c>
      <c r="E148" s="9" t="s">
        <v>4136</v>
      </c>
      <c r="F148" s="9" t="s">
        <v>4152</v>
      </c>
      <c r="H148" s="9" t="s">
        <v>2891</v>
      </c>
      <c r="I148" s="9" t="s">
        <v>3636</v>
      </c>
      <c r="J148" s="9" t="s">
        <v>2939</v>
      </c>
      <c r="K148" t="s">
        <v>3637</v>
      </c>
      <c r="L148" t="s">
        <v>3638</v>
      </c>
      <c r="M148" s="3" t="str">
        <f>HYPERLINK(склад2въезд13192021[[#This Row],[RelativePath]])</f>
        <v>7 Площадка 2 бетонщики\K07156189_18_20251129T162357Z.jpg</v>
      </c>
    </row>
    <row r="149" spans="1:13" x14ac:dyDescent="0.25">
      <c r="A149" s="2" t="s">
        <v>18</v>
      </c>
      <c r="B149" s="4">
        <v>45990</v>
      </c>
      <c r="C149" s="5">
        <v>0.68376157407407412</v>
      </c>
      <c r="D149" s="9" t="s">
        <v>261</v>
      </c>
      <c r="E149" s="9" t="s">
        <v>4136</v>
      </c>
      <c r="F149" s="9" t="s">
        <v>4152</v>
      </c>
      <c r="H149" s="9" t="s">
        <v>2891</v>
      </c>
      <c r="I149" s="9" t="s">
        <v>3639</v>
      </c>
      <c r="J149" s="9" t="s">
        <v>2939</v>
      </c>
      <c r="K149" t="s">
        <v>3640</v>
      </c>
      <c r="L149" t="s">
        <v>3641</v>
      </c>
      <c r="M149" s="3" t="str">
        <f>HYPERLINK(склад2въезд13192021[[#This Row],[RelativePath]])</f>
        <v>7 Площадка 2 бетонщики\K07156189_18_20251129T162437Z.jpg</v>
      </c>
    </row>
    <row r="150" spans="1:13" x14ac:dyDescent="0.25">
      <c r="A150" s="2" t="s">
        <v>18</v>
      </c>
      <c r="B150" s="4">
        <v>45990</v>
      </c>
      <c r="C150" s="5">
        <v>0.68625000000000003</v>
      </c>
      <c r="D150" s="9" t="s">
        <v>261</v>
      </c>
      <c r="E150" s="9" t="s">
        <v>4136</v>
      </c>
      <c r="F150" s="9" t="s">
        <v>4152</v>
      </c>
      <c r="H150" s="9" t="s">
        <v>2891</v>
      </c>
      <c r="I150" s="9" t="s">
        <v>3642</v>
      </c>
      <c r="J150" s="9" t="s">
        <v>2939</v>
      </c>
      <c r="K150" t="s">
        <v>3643</v>
      </c>
      <c r="L150" t="s">
        <v>3644</v>
      </c>
      <c r="M150" s="3" t="str">
        <f>HYPERLINK(склад2въезд13192021[[#This Row],[RelativePath]])</f>
        <v>7 Площадка 2 бетонщики\K07156189_18_20251129T162812Z.jpg</v>
      </c>
    </row>
    <row r="151" spans="1:13" x14ac:dyDescent="0.25">
      <c r="A151" s="2" t="s">
        <v>18</v>
      </c>
      <c r="B151" s="4">
        <v>45990</v>
      </c>
      <c r="C151" s="5">
        <v>0.68951388888888887</v>
      </c>
      <c r="D151" s="9" t="s">
        <v>261</v>
      </c>
      <c r="E151" s="9" t="s">
        <v>4136</v>
      </c>
      <c r="F151" s="9" t="s">
        <v>4152</v>
      </c>
      <c r="H151" s="9" t="s">
        <v>2891</v>
      </c>
      <c r="I151" s="9" t="s">
        <v>3645</v>
      </c>
      <c r="J151" s="9" t="s">
        <v>2939</v>
      </c>
      <c r="K151" t="s">
        <v>3646</v>
      </c>
      <c r="L151" t="s">
        <v>3647</v>
      </c>
      <c r="M151" s="3" t="str">
        <f>HYPERLINK(склад2въезд13192021[[#This Row],[RelativePath]])</f>
        <v>7 Площадка 2 бетонщики\K07156189_18_20251129T163254Z.jpg</v>
      </c>
    </row>
    <row r="152" spans="1:13" x14ac:dyDescent="0.25">
      <c r="A152" s="2" t="s">
        <v>18</v>
      </c>
      <c r="B152" s="4">
        <v>45990</v>
      </c>
      <c r="C152" s="5">
        <v>0.6917592592592593</v>
      </c>
      <c r="D152" s="9" t="s">
        <v>261</v>
      </c>
      <c r="E152" s="9" t="s">
        <v>4136</v>
      </c>
      <c r="F152" s="9" t="s">
        <v>4152</v>
      </c>
      <c r="H152" s="9" t="s">
        <v>2891</v>
      </c>
      <c r="I152" s="9" t="s">
        <v>3648</v>
      </c>
      <c r="J152" s="9" t="s">
        <v>2939</v>
      </c>
      <c r="K152" t="s">
        <v>3649</v>
      </c>
      <c r="L152" t="s">
        <v>3650</v>
      </c>
      <c r="M152" s="3" t="str">
        <f>HYPERLINK(склад2въезд13192021[[#This Row],[RelativePath]])</f>
        <v>7 Площадка 2 бетонщики\K07156189_18_20251129T163608Z.jpg</v>
      </c>
    </row>
    <row r="153" spans="1:13" x14ac:dyDescent="0.25">
      <c r="A153" s="2" t="s">
        <v>18</v>
      </c>
      <c r="B153" s="4">
        <v>45990</v>
      </c>
      <c r="C153" s="5">
        <v>0.69224537037037037</v>
      </c>
      <c r="D153" s="9" t="s">
        <v>261</v>
      </c>
      <c r="E153" s="9" t="s">
        <v>4136</v>
      </c>
      <c r="F153" s="9" t="s">
        <v>4152</v>
      </c>
      <c r="H153" s="9" t="s">
        <v>2891</v>
      </c>
      <c r="I153" s="9" t="s">
        <v>3651</v>
      </c>
      <c r="J153" s="9" t="s">
        <v>2939</v>
      </c>
      <c r="K153" t="s">
        <v>3652</v>
      </c>
      <c r="L153" t="s">
        <v>3653</v>
      </c>
      <c r="M153" s="3" t="str">
        <f>HYPERLINK(склад2въезд13192021[[#This Row],[RelativePath]])</f>
        <v>7 Площадка 2 бетонщики\K07156189_18_20251129T163650Z.jpg</v>
      </c>
    </row>
    <row r="154" spans="1:13" x14ac:dyDescent="0.25">
      <c r="A154" s="2" t="s">
        <v>18</v>
      </c>
      <c r="B154" s="4">
        <v>45990</v>
      </c>
      <c r="C154" s="5">
        <v>0.703587962962963</v>
      </c>
      <c r="D154" s="9" t="s">
        <v>443</v>
      </c>
      <c r="E154" s="9" t="s">
        <v>4136</v>
      </c>
      <c r="F154" s="9"/>
      <c r="H154" s="9"/>
      <c r="I154" s="9" t="s">
        <v>3654</v>
      </c>
      <c r="J154" s="9" t="s">
        <v>2939</v>
      </c>
      <c r="K154" t="s">
        <v>3655</v>
      </c>
      <c r="L154" t="s">
        <v>3656</v>
      </c>
      <c r="M154" s="3" t="str">
        <f>HYPERLINK(склад2въезд13192021[[#This Row],[RelativePath]])</f>
        <v>7 Площадка 2 бетонщики\K07156189_18_20251129T165310Z.jpg</v>
      </c>
    </row>
    <row r="155" spans="1:13" x14ac:dyDescent="0.25">
      <c r="A155" s="2" t="s">
        <v>18</v>
      </c>
      <c r="B155" s="4">
        <v>45990</v>
      </c>
      <c r="C155" s="5">
        <v>0.71069444444444441</v>
      </c>
      <c r="D155" s="9" t="s">
        <v>622</v>
      </c>
      <c r="E155" s="9" t="s">
        <v>4136</v>
      </c>
      <c r="F155" s="9" t="s">
        <v>4152</v>
      </c>
      <c r="H155" s="9" t="s">
        <v>4160</v>
      </c>
      <c r="I155" s="9" t="s">
        <v>3657</v>
      </c>
      <c r="J155" s="9" t="s">
        <v>2939</v>
      </c>
      <c r="K155" t="s">
        <v>3658</v>
      </c>
      <c r="L155" t="s">
        <v>3408</v>
      </c>
      <c r="M155" s="3" t="str">
        <f>HYPERLINK(склад2въезд13192021[[#This Row],[RelativePath]])</f>
        <v>7 Площадка 2 бетонщики\K07156189_18_20251129T170324Z.jpg</v>
      </c>
    </row>
    <row r="156" spans="1:13" x14ac:dyDescent="0.25">
      <c r="A156" s="2" t="s">
        <v>22</v>
      </c>
      <c r="B156" s="4">
        <v>45991</v>
      </c>
      <c r="C156" s="5">
        <v>0.71156249999999999</v>
      </c>
      <c r="D156" s="9" t="s">
        <v>4237</v>
      </c>
      <c r="E156" s="9" t="s">
        <v>55</v>
      </c>
      <c r="F156" s="9"/>
      <c r="H156" s="9"/>
      <c r="I156" s="9" t="s">
        <v>4216</v>
      </c>
      <c r="J156" s="9" t="s">
        <v>2939</v>
      </c>
      <c r="K156" t="s">
        <v>4217</v>
      </c>
      <c r="L156" t="s">
        <v>4218</v>
      </c>
      <c r="M156" s="3" t="str">
        <f>HYPERLINK(склад2въезд13192021[[#This Row],[RelativePath]])</f>
        <v>7 Площадка 2 бетонщики\K07156189_18_20251130T170439Z.jpg</v>
      </c>
    </row>
    <row r="157" spans="1:13" x14ac:dyDescent="0.25">
      <c r="A157" s="2" t="s">
        <v>13</v>
      </c>
      <c r="B157" s="4">
        <v>45992</v>
      </c>
      <c r="C157" s="5">
        <v>0.39802083333333332</v>
      </c>
      <c r="D157" s="9" t="s">
        <v>261</v>
      </c>
      <c r="E157" s="9" t="s">
        <v>86</v>
      </c>
      <c r="F157" s="9" t="s">
        <v>200</v>
      </c>
      <c r="H157" s="9"/>
      <c r="I157" s="9" t="s">
        <v>4933</v>
      </c>
      <c r="J157" s="9" t="s">
        <v>2939</v>
      </c>
      <c r="K157" t="s">
        <v>4934</v>
      </c>
      <c r="L157" t="s">
        <v>4935</v>
      </c>
      <c r="M157" s="3" t="str">
        <f>HYPERLINK(склад2въезд13192021[[#This Row],[RelativePath]])</f>
        <v>7 Площадка 2 бетонщики\K07156189_18_20251201T093309Z.jpg</v>
      </c>
    </row>
    <row r="158" spans="1:13" x14ac:dyDescent="0.25">
      <c r="A158" s="2" t="s">
        <v>13</v>
      </c>
      <c r="B158" s="4">
        <v>45992</v>
      </c>
      <c r="C158" s="5">
        <v>0.39854166666666668</v>
      </c>
      <c r="D158" s="9" t="s">
        <v>261</v>
      </c>
      <c r="E158" s="9" t="s">
        <v>86</v>
      </c>
      <c r="F158" s="9" t="s">
        <v>200</v>
      </c>
      <c r="H158" s="9"/>
      <c r="I158" s="9" t="s">
        <v>4936</v>
      </c>
      <c r="J158" s="9" t="s">
        <v>2939</v>
      </c>
      <c r="K158" t="s">
        <v>4937</v>
      </c>
      <c r="L158" t="s">
        <v>4938</v>
      </c>
      <c r="M158" s="3" t="str">
        <f>HYPERLINK(склад2въезд13192021[[#This Row],[RelativePath]])</f>
        <v>7 Площадка 2 бетонщики\K07156189_18_20251201T093354Z.jpg</v>
      </c>
    </row>
    <row r="159" spans="1:13" x14ac:dyDescent="0.25">
      <c r="A159" s="2" t="s">
        <v>13</v>
      </c>
      <c r="B159" s="4">
        <v>45992</v>
      </c>
      <c r="C159" s="5">
        <v>0.4012384259259259</v>
      </c>
      <c r="D159" s="9" t="s">
        <v>261</v>
      </c>
      <c r="E159" s="9" t="s">
        <v>86</v>
      </c>
      <c r="F159" s="9" t="s">
        <v>200</v>
      </c>
      <c r="H159" s="9"/>
      <c r="I159" s="9" t="s">
        <v>4939</v>
      </c>
      <c r="J159" s="9" t="s">
        <v>2939</v>
      </c>
      <c r="K159" t="s">
        <v>4940</v>
      </c>
      <c r="L159" t="s">
        <v>4941</v>
      </c>
      <c r="M159" s="3" t="str">
        <f>HYPERLINK(склад2въезд13192021[[#This Row],[RelativePath]])</f>
        <v>7 Площадка 2 бетонщики\K07156189_18_20251201T093747Z.jpg</v>
      </c>
    </row>
    <row r="160" spans="1:13" x14ac:dyDescent="0.25">
      <c r="A160" s="2" t="s">
        <v>13</v>
      </c>
      <c r="B160" s="4">
        <v>45992</v>
      </c>
      <c r="C160" s="5">
        <v>0.40716435185185185</v>
      </c>
      <c r="D160" s="9" t="s">
        <v>1066</v>
      </c>
      <c r="E160" s="9" t="s">
        <v>4188</v>
      </c>
      <c r="F160" s="9" t="s">
        <v>58</v>
      </c>
      <c r="H160" s="9"/>
      <c r="I160" s="9" t="s">
        <v>4942</v>
      </c>
      <c r="J160" s="9" t="s">
        <v>2939</v>
      </c>
      <c r="K160" t="s">
        <v>4943</v>
      </c>
      <c r="L160" t="s">
        <v>4944</v>
      </c>
      <c r="M160" s="3" t="str">
        <f>HYPERLINK(склад2въезд13192021[[#This Row],[RelativePath]])</f>
        <v>7 Площадка 2 бетонщики\K07156189_18_20251201T094619Z.jpg</v>
      </c>
    </row>
    <row r="161" spans="1:13" x14ac:dyDescent="0.25">
      <c r="A161" s="2" t="s">
        <v>13</v>
      </c>
      <c r="B161" s="4">
        <v>45992</v>
      </c>
      <c r="C161" s="5">
        <v>0.41233796296296299</v>
      </c>
      <c r="D161" s="9" t="s">
        <v>261</v>
      </c>
      <c r="E161" s="9" t="s">
        <v>86</v>
      </c>
      <c r="F161" s="9" t="s">
        <v>200</v>
      </c>
      <c r="H161" s="9"/>
      <c r="I161" s="9" t="s">
        <v>4945</v>
      </c>
      <c r="J161" s="9" t="s">
        <v>2939</v>
      </c>
      <c r="K161" t="s">
        <v>4946</v>
      </c>
      <c r="L161" t="s">
        <v>4947</v>
      </c>
      <c r="M161" s="3" t="str">
        <f>HYPERLINK(склад2въезд13192021[[#This Row],[RelativePath]])</f>
        <v>7 Площадка 2 бетонщики\K07156189_18_20251201T095346Z.jpg</v>
      </c>
    </row>
    <row r="162" spans="1:13" x14ac:dyDescent="0.25">
      <c r="A162" s="2" t="s">
        <v>13</v>
      </c>
      <c r="B162" s="4">
        <v>45992</v>
      </c>
      <c r="C162" s="5">
        <v>0.41675925925925927</v>
      </c>
      <c r="D162" s="9" t="s">
        <v>1066</v>
      </c>
      <c r="E162" s="9" t="s">
        <v>4188</v>
      </c>
      <c r="F162" s="9" t="s">
        <v>58</v>
      </c>
      <c r="H162" s="9"/>
      <c r="I162" s="9" t="s">
        <v>4948</v>
      </c>
      <c r="J162" s="9" t="s">
        <v>2939</v>
      </c>
      <c r="K162" t="s">
        <v>4949</v>
      </c>
      <c r="L162" t="s">
        <v>4950</v>
      </c>
      <c r="M162" s="3" t="str">
        <f>HYPERLINK(склад2въезд13192021[[#This Row],[RelativePath]])</f>
        <v>7 Площадка 2 бетонщики\K07156189_18_20251201T100008Z.jpg</v>
      </c>
    </row>
    <row r="163" spans="1:13" x14ac:dyDescent="0.25">
      <c r="A163" s="2" t="s">
        <v>13</v>
      </c>
      <c r="B163" s="4">
        <v>45992</v>
      </c>
      <c r="C163" s="5">
        <v>0.4213425925925926</v>
      </c>
      <c r="D163" s="9" t="s">
        <v>1066</v>
      </c>
      <c r="E163" s="9" t="s">
        <v>503</v>
      </c>
      <c r="F163" s="9" t="s">
        <v>58</v>
      </c>
      <c r="H163" s="9"/>
      <c r="I163" s="9" t="s">
        <v>4951</v>
      </c>
      <c r="J163" s="9" t="s">
        <v>2939</v>
      </c>
      <c r="K163" t="s">
        <v>4952</v>
      </c>
      <c r="L163" t="s">
        <v>4953</v>
      </c>
      <c r="M163" s="3" t="str">
        <f>HYPERLINK(склад2въезд13192021[[#This Row],[RelativePath]])</f>
        <v>7 Площадка 2 бетонщики\K07156189_18_20251201T100644Z.jpg</v>
      </c>
    </row>
    <row r="164" spans="1:13" x14ac:dyDescent="0.25">
      <c r="A164" s="2" t="s">
        <v>13</v>
      </c>
      <c r="B164" s="4">
        <v>45992</v>
      </c>
      <c r="C164" s="5">
        <v>0.42820601851851853</v>
      </c>
      <c r="D164" s="9" t="s">
        <v>4</v>
      </c>
      <c r="E164" s="9" t="s">
        <v>8</v>
      </c>
      <c r="F164" s="9"/>
      <c r="H164" s="9"/>
      <c r="I164" s="9" t="s">
        <v>4954</v>
      </c>
      <c r="J164" s="9" t="s">
        <v>2939</v>
      </c>
      <c r="K164" t="s">
        <v>4955</v>
      </c>
      <c r="L164" t="s">
        <v>4956</v>
      </c>
      <c r="M164" s="3" t="str">
        <f>HYPERLINK(склад2въезд13192021[[#This Row],[RelativePath]])</f>
        <v>7 Площадка 2 бетонщики\K07156189_18_20251201T101637Z.jpg</v>
      </c>
    </row>
    <row r="165" spans="1:13" x14ac:dyDescent="0.25">
      <c r="A165" s="2" t="s">
        <v>13</v>
      </c>
      <c r="B165" s="4">
        <v>45992</v>
      </c>
      <c r="C165" s="5">
        <v>0.49869212962962961</v>
      </c>
      <c r="D165" s="9" t="s">
        <v>261</v>
      </c>
      <c r="E165" s="9" t="s">
        <v>86</v>
      </c>
      <c r="F165" s="9" t="s">
        <v>60</v>
      </c>
      <c r="H165" s="9"/>
      <c r="I165" s="9" t="s">
        <v>4957</v>
      </c>
      <c r="J165" s="9" t="s">
        <v>2939</v>
      </c>
      <c r="K165" t="s">
        <v>4958</v>
      </c>
      <c r="L165" t="s">
        <v>4959</v>
      </c>
      <c r="M165" s="3" t="str">
        <f>HYPERLINK(склад2въезд13192021[[#This Row],[RelativePath]])</f>
        <v>7 Площадка 2 бетонщики\K07156189_18_20251201T115807Z.jpg</v>
      </c>
    </row>
    <row r="166" spans="1:13" x14ac:dyDescent="0.25">
      <c r="A166" s="2" t="s">
        <v>13</v>
      </c>
      <c r="B166" s="4">
        <v>45992</v>
      </c>
      <c r="C166" s="5">
        <v>0.50869212962962962</v>
      </c>
      <c r="D166" s="9" t="s">
        <v>261</v>
      </c>
      <c r="E166" s="9" t="s">
        <v>86</v>
      </c>
      <c r="F166" s="9" t="s">
        <v>60</v>
      </c>
      <c r="H166" s="9"/>
      <c r="I166" s="9" t="s">
        <v>4960</v>
      </c>
      <c r="J166" s="9" t="s">
        <v>2939</v>
      </c>
      <c r="K166" t="s">
        <v>4961</v>
      </c>
      <c r="L166" t="s">
        <v>4962</v>
      </c>
      <c r="M166" s="3" t="str">
        <f>HYPERLINK(склад2въезд13192021[[#This Row],[RelativePath]])</f>
        <v>7 Площадка 2 бетонщики\K07156189_18_20251201T121231Z.jpg</v>
      </c>
    </row>
    <row r="167" spans="1:13" x14ac:dyDescent="0.25">
      <c r="A167" s="2" t="s">
        <v>13</v>
      </c>
      <c r="B167" s="4">
        <v>45992</v>
      </c>
      <c r="C167" s="5">
        <v>0.64046296296296301</v>
      </c>
      <c r="D167" s="9" t="s">
        <v>261</v>
      </c>
      <c r="E167" s="9" t="s">
        <v>86</v>
      </c>
      <c r="F167" s="9" t="s">
        <v>200</v>
      </c>
      <c r="H167" s="9"/>
      <c r="I167" s="9" t="s">
        <v>4963</v>
      </c>
      <c r="J167" s="9" t="s">
        <v>2939</v>
      </c>
      <c r="K167" t="s">
        <v>4964</v>
      </c>
      <c r="L167" t="s">
        <v>4965</v>
      </c>
      <c r="M167" s="3" t="str">
        <f>HYPERLINK(склад2въезд13192021[[#This Row],[RelativePath]])</f>
        <v>7 Площадка 2 бетонщики\K07156189_18_20251201T152216Z.jpg</v>
      </c>
    </row>
    <row r="168" spans="1:13" x14ac:dyDescent="0.25">
      <c r="A168" s="2" t="s">
        <v>13</v>
      </c>
      <c r="B168" s="4">
        <v>45992</v>
      </c>
      <c r="C168" s="5">
        <v>0.66629629629629628</v>
      </c>
      <c r="D168" s="9" t="s">
        <v>4</v>
      </c>
      <c r="E168" s="9" t="s">
        <v>8</v>
      </c>
      <c r="F168" s="9"/>
      <c r="H168" s="9"/>
      <c r="I168" s="9" t="s">
        <v>4966</v>
      </c>
      <c r="J168" s="9" t="s">
        <v>2939</v>
      </c>
      <c r="K168" t="s">
        <v>4967</v>
      </c>
      <c r="L168" t="s">
        <v>4968</v>
      </c>
      <c r="M168" s="3" t="str">
        <f>HYPERLINK(склад2въезд13192021[[#This Row],[RelativePath]])</f>
        <v>7 Площадка 2 бетонщики\K07156189_18_20251201T155928Z.jpg</v>
      </c>
    </row>
    <row r="169" spans="1:13" x14ac:dyDescent="0.25">
      <c r="A169" s="2" t="s">
        <v>14</v>
      </c>
      <c r="B169" s="4">
        <v>45993</v>
      </c>
      <c r="C169" s="5">
        <v>0.51998842592592598</v>
      </c>
      <c r="D169" s="9" t="s">
        <v>261</v>
      </c>
      <c r="E169" s="9" t="s">
        <v>86</v>
      </c>
      <c r="F169" s="9" t="s">
        <v>60</v>
      </c>
      <c r="H169" s="9"/>
      <c r="I169" s="9" t="s">
        <v>4969</v>
      </c>
      <c r="J169" s="9" t="s">
        <v>2939</v>
      </c>
      <c r="K169" t="s">
        <v>4970</v>
      </c>
      <c r="L169" t="s">
        <v>4971</v>
      </c>
      <c r="M169" s="3" t="str">
        <f>HYPERLINK(склад2въезд13192021[[#This Row],[RelativePath]])</f>
        <v>7 Площадка 2 бетонщики\K07156189_18_20251202T122847Z.jpg</v>
      </c>
    </row>
    <row r="170" spans="1:13" x14ac:dyDescent="0.25">
      <c r="A170" s="2" t="s">
        <v>14</v>
      </c>
      <c r="B170" s="4">
        <v>45993</v>
      </c>
      <c r="C170" s="5">
        <v>0.62709490740740736</v>
      </c>
      <c r="D170" s="9" t="s">
        <v>261</v>
      </c>
      <c r="E170" s="9" t="s">
        <v>86</v>
      </c>
      <c r="F170" s="9" t="s">
        <v>60</v>
      </c>
      <c r="H170" s="9"/>
      <c r="I170" s="9" t="s">
        <v>4972</v>
      </c>
      <c r="J170" s="9" t="s">
        <v>2939</v>
      </c>
      <c r="K170" t="s">
        <v>4973</v>
      </c>
      <c r="L170" t="s">
        <v>4974</v>
      </c>
      <c r="M170" s="3" t="str">
        <f>HYPERLINK(склад2въезд13192021[[#This Row],[RelativePath]])</f>
        <v>7 Площадка 2 бетонщики\K07156189_18_20251202T150301Z.jpg</v>
      </c>
    </row>
    <row r="171" spans="1:13" x14ac:dyDescent="0.25">
      <c r="A171" s="2" t="s">
        <v>14</v>
      </c>
      <c r="B171" s="4">
        <v>45993</v>
      </c>
      <c r="C171" s="5">
        <v>0.64246527777777773</v>
      </c>
      <c r="D171" s="9" t="s">
        <v>4</v>
      </c>
      <c r="E171" s="9" t="s">
        <v>8</v>
      </c>
      <c r="F171" s="9"/>
      <c r="H171" s="9"/>
      <c r="I171" s="9" t="s">
        <v>4975</v>
      </c>
      <c r="J171" s="9" t="s">
        <v>2939</v>
      </c>
      <c r="K171" t="s">
        <v>4976</v>
      </c>
      <c r="L171" t="s">
        <v>4977</v>
      </c>
      <c r="M171" s="3" t="str">
        <f>HYPERLINK(склад2въезд13192021[[#This Row],[RelativePath]])</f>
        <v>7 Площадка 2 бетонщики\K07156189_18_20251202T152509Z.jpg</v>
      </c>
    </row>
    <row r="172" spans="1:13" x14ac:dyDescent="0.25">
      <c r="A172" s="2" t="s">
        <v>15</v>
      </c>
      <c r="B172" s="4">
        <v>45994</v>
      </c>
      <c r="C172" s="5">
        <v>0.48568287037037039</v>
      </c>
      <c r="D172" s="9" t="s">
        <v>1066</v>
      </c>
      <c r="E172" s="9" t="s">
        <v>4188</v>
      </c>
      <c r="F172" s="9" t="s">
        <v>60</v>
      </c>
      <c r="H172" s="9"/>
      <c r="I172" s="9" t="s">
        <v>5050</v>
      </c>
      <c r="J172" s="9" t="s">
        <v>2939</v>
      </c>
      <c r="K172" t="s">
        <v>5051</v>
      </c>
      <c r="L172" t="s">
        <v>5052</v>
      </c>
      <c r="M172" s="3" t="str">
        <f>HYPERLINK(склад2въезд13192021[[#This Row],[RelativePath]])</f>
        <v>7 Площадка 2 бетонщики\K07156189_18_20251203T113923Z.jpg</v>
      </c>
    </row>
    <row r="173" spans="1:13" x14ac:dyDescent="0.25">
      <c r="A173" s="2" t="s">
        <v>15</v>
      </c>
      <c r="B173" s="4">
        <v>45994</v>
      </c>
      <c r="C173" s="5">
        <v>0.53263888888888888</v>
      </c>
      <c r="D173" s="9" t="s">
        <v>1066</v>
      </c>
      <c r="E173" s="9" t="s">
        <v>4188</v>
      </c>
      <c r="F173" s="9" t="s">
        <v>200</v>
      </c>
      <c r="H173" s="9"/>
      <c r="I173" s="9" t="s">
        <v>5053</v>
      </c>
      <c r="J173" s="9" t="s">
        <v>2939</v>
      </c>
      <c r="K173" t="s">
        <v>5054</v>
      </c>
      <c r="L173" t="s">
        <v>5055</v>
      </c>
      <c r="M173" s="3" t="str">
        <f>HYPERLINK(склад2въезд13192021[[#This Row],[RelativePath]])</f>
        <v>7 Площадка 2 бетонщики\K07156189_18_20251203T124700Z.jpg</v>
      </c>
    </row>
    <row r="174" spans="1:13" x14ac:dyDescent="0.25">
      <c r="A174" s="2" t="s">
        <v>15</v>
      </c>
      <c r="B174" s="4">
        <v>45994</v>
      </c>
      <c r="C174" s="5">
        <v>0.53356481481481477</v>
      </c>
      <c r="D174" s="9" t="s">
        <v>1066</v>
      </c>
      <c r="E174" s="9" t="s">
        <v>4188</v>
      </c>
      <c r="F174" s="9" t="s">
        <v>200</v>
      </c>
      <c r="H174" s="9"/>
      <c r="I174" s="9" t="s">
        <v>5056</v>
      </c>
      <c r="J174" s="9" t="s">
        <v>2939</v>
      </c>
      <c r="K174" t="s">
        <v>5057</v>
      </c>
      <c r="L174" t="s">
        <v>5058</v>
      </c>
      <c r="M174" s="3" t="str">
        <f>HYPERLINK(склад2въезд13192021[[#This Row],[RelativePath]])</f>
        <v>7 Площадка 2 бетонщики\K07156189_18_20251203T124820Z.jpg</v>
      </c>
    </row>
    <row r="175" spans="1:13" x14ac:dyDescent="0.25">
      <c r="A175" s="2" t="s">
        <v>15</v>
      </c>
      <c r="B175" s="4">
        <v>45994</v>
      </c>
      <c r="C175" s="5">
        <v>0.63846064814814818</v>
      </c>
      <c r="D175" s="9" t="s">
        <v>4</v>
      </c>
      <c r="E175" s="9" t="s">
        <v>8</v>
      </c>
      <c r="F175" s="9"/>
      <c r="H175" s="9" t="s">
        <v>2891</v>
      </c>
      <c r="I175" s="9" t="s">
        <v>5059</v>
      </c>
      <c r="J175" s="9" t="s">
        <v>2939</v>
      </c>
      <c r="K175" t="s">
        <v>5060</v>
      </c>
      <c r="L175" t="s">
        <v>5061</v>
      </c>
      <c r="M175" s="3" t="str">
        <f>HYPERLINK(склад2въезд13192021[[#This Row],[RelativePath]])</f>
        <v>7 Площадка 2 бетонщики\K07156189_18_20251203T151923Z.jpg</v>
      </c>
    </row>
    <row r="176" spans="1:13" x14ac:dyDescent="0.25">
      <c r="A176" s="2" t="s">
        <v>15</v>
      </c>
      <c r="B176" s="4">
        <v>45994</v>
      </c>
      <c r="C176" s="5">
        <v>0.66462962962962968</v>
      </c>
      <c r="D176" s="9" t="s">
        <v>4</v>
      </c>
      <c r="E176" s="9" t="s">
        <v>8</v>
      </c>
      <c r="F176" s="9"/>
      <c r="H176" s="9" t="s">
        <v>2891</v>
      </c>
      <c r="I176" s="9" t="s">
        <v>5062</v>
      </c>
      <c r="J176" s="9" t="s">
        <v>2939</v>
      </c>
      <c r="K176" t="s">
        <v>5063</v>
      </c>
      <c r="L176" t="s">
        <v>5064</v>
      </c>
      <c r="M176" s="3" t="str">
        <f>HYPERLINK(склад2въезд13192021[[#This Row],[RelativePath]])</f>
        <v>7 Площадка 2 бетонщики\K07156189_18_20251203T155704Z.jpg</v>
      </c>
    </row>
    <row r="177" spans="1:13" x14ac:dyDescent="0.25">
      <c r="A177" s="2" t="s">
        <v>15</v>
      </c>
      <c r="B177" s="4">
        <v>45994</v>
      </c>
      <c r="C177" s="5">
        <v>0.69067129629629631</v>
      </c>
      <c r="D177" s="9" t="s">
        <v>4</v>
      </c>
      <c r="E177" s="9" t="s">
        <v>8</v>
      </c>
      <c r="F177" s="9"/>
      <c r="H177" s="9" t="s">
        <v>2891</v>
      </c>
      <c r="I177" s="9" t="s">
        <v>5065</v>
      </c>
      <c r="J177" s="9" t="s">
        <v>2939</v>
      </c>
      <c r="K177" t="s">
        <v>5066</v>
      </c>
      <c r="L177" t="s">
        <v>5067</v>
      </c>
      <c r="M177" s="3" t="str">
        <f>HYPERLINK(склад2въезд13192021[[#This Row],[RelativePath]])</f>
        <v>7 Площадка 2 бетонщики\K07156189_18_20251203T163434Z.jpg</v>
      </c>
    </row>
    <row r="178" spans="1:13" x14ac:dyDescent="0.25">
      <c r="A178" s="2" t="s">
        <v>16</v>
      </c>
      <c r="B178" s="4">
        <v>45995</v>
      </c>
      <c r="C178" s="5">
        <v>0.39061342592592591</v>
      </c>
      <c r="D178" s="9" t="s">
        <v>4</v>
      </c>
      <c r="E178" s="9" t="s">
        <v>8</v>
      </c>
      <c r="F178" s="9"/>
      <c r="H178" s="9" t="s">
        <v>2891</v>
      </c>
      <c r="I178" s="9" t="s">
        <v>4978</v>
      </c>
      <c r="J178" s="9" t="s">
        <v>2939</v>
      </c>
      <c r="K178" t="s">
        <v>4979</v>
      </c>
      <c r="L178" t="s">
        <v>4980</v>
      </c>
      <c r="M178" s="3" t="str">
        <f>HYPERLINK(склад2въезд13192021[[#This Row],[RelativePath]])</f>
        <v>7 Площадка 2 бетонщики\K07156189_18_20251204T092229Z.jpg</v>
      </c>
    </row>
    <row r="179" spans="1:13" x14ac:dyDescent="0.25">
      <c r="A179" s="2" t="s">
        <v>16</v>
      </c>
      <c r="B179" s="4">
        <v>45995</v>
      </c>
      <c r="C179" s="5">
        <v>0.48304398148148148</v>
      </c>
      <c r="D179" s="9" t="s">
        <v>4</v>
      </c>
      <c r="E179" s="9" t="s">
        <v>8</v>
      </c>
      <c r="F179" s="9"/>
      <c r="H179" s="9" t="s">
        <v>2891</v>
      </c>
      <c r="I179" s="9" t="s">
        <v>4981</v>
      </c>
      <c r="J179" s="9" t="s">
        <v>2939</v>
      </c>
      <c r="K179" t="s">
        <v>4982</v>
      </c>
      <c r="L179" t="s">
        <v>4983</v>
      </c>
      <c r="M179" s="3" t="str">
        <f>HYPERLINK(склад2въезд13192021[[#This Row],[RelativePath]])</f>
        <v>7 Площадка 2 бетонщики\K07156189_18_20251204T113535Z.jpg</v>
      </c>
    </row>
    <row r="180" spans="1:13" x14ac:dyDescent="0.25">
      <c r="A180" s="2" t="s">
        <v>16</v>
      </c>
      <c r="B180" s="4">
        <v>45995</v>
      </c>
      <c r="C180" s="5">
        <v>0.55384259259259261</v>
      </c>
      <c r="D180" s="9" t="s">
        <v>4</v>
      </c>
      <c r="E180" s="9" t="s">
        <v>8</v>
      </c>
      <c r="F180" s="9"/>
      <c r="H180" s="9" t="s">
        <v>2891</v>
      </c>
      <c r="I180" s="9" t="s">
        <v>4984</v>
      </c>
      <c r="J180" s="9" t="s">
        <v>2939</v>
      </c>
      <c r="K180" t="s">
        <v>4985</v>
      </c>
      <c r="L180" t="s">
        <v>4986</v>
      </c>
      <c r="M180" s="3" t="str">
        <f>HYPERLINK(склад2въезд13192021[[#This Row],[RelativePath]])</f>
        <v>7 Площадка 2 бетонщики\K07156189_18_20251204T131732Z.jpg</v>
      </c>
    </row>
    <row r="181" spans="1:13" x14ac:dyDescent="0.25">
      <c r="A181" s="2" t="s">
        <v>17</v>
      </c>
      <c r="B181" s="4">
        <v>45996</v>
      </c>
      <c r="C181" s="5">
        <v>0.51432870370370365</v>
      </c>
      <c r="D181" s="9" t="s">
        <v>261</v>
      </c>
      <c r="E181" s="9" t="s">
        <v>86</v>
      </c>
      <c r="F181" s="9" t="s">
        <v>200</v>
      </c>
      <c r="H181" s="9"/>
      <c r="I181" s="9" t="s">
        <v>4987</v>
      </c>
      <c r="J181" s="9" t="s">
        <v>2939</v>
      </c>
      <c r="K181" t="s">
        <v>4988</v>
      </c>
      <c r="L181" t="s">
        <v>4989</v>
      </c>
      <c r="M181" s="3" t="str">
        <f>HYPERLINK(склад2въезд13192021[[#This Row],[RelativePath]])</f>
        <v>7 Площадка 2 бетонщики\K07156189_18_20251205T122038Z.jpg</v>
      </c>
    </row>
    <row r="182" spans="1:13" x14ac:dyDescent="0.25">
      <c r="A182" s="2" t="s">
        <v>17</v>
      </c>
      <c r="B182" s="4">
        <v>45996</v>
      </c>
      <c r="C182" s="5">
        <v>0.52172453703703703</v>
      </c>
      <c r="D182" s="9" t="s">
        <v>261</v>
      </c>
      <c r="E182" s="9" t="s">
        <v>86</v>
      </c>
      <c r="F182" s="9" t="s">
        <v>200</v>
      </c>
      <c r="H182" s="9"/>
      <c r="I182" s="9" t="s">
        <v>4990</v>
      </c>
      <c r="J182" s="9" t="s">
        <v>2939</v>
      </c>
      <c r="K182" t="s">
        <v>4991</v>
      </c>
      <c r="L182" t="s">
        <v>4992</v>
      </c>
      <c r="M182" s="3" t="str">
        <f>HYPERLINK(склад2въезд13192021[[#This Row],[RelativePath]])</f>
        <v>7 Площадка 2 бетонщики\K07156189_18_20251205T123117Z.jpg</v>
      </c>
    </row>
    <row r="183" spans="1:13" x14ac:dyDescent="0.25">
      <c r="A183" s="2" t="s">
        <v>17</v>
      </c>
      <c r="B183" s="4">
        <v>45996</v>
      </c>
      <c r="C183" s="5">
        <v>0.59886574074074073</v>
      </c>
      <c r="D183" s="9" t="s">
        <v>261</v>
      </c>
      <c r="E183" s="9" t="s">
        <v>86</v>
      </c>
      <c r="F183" s="9" t="s">
        <v>200</v>
      </c>
      <c r="H183" s="9"/>
      <c r="I183" s="9" t="s">
        <v>4993</v>
      </c>
      <c r="J183" s="9" t="s">
        <v>2939</v>
      </c>
      <c r="K183" t="s">
        <v>4994</v>
      </c>
      <c r="L183" t="s">
        <v>4995</v>
      </c>
      <c r="M183" s="3" t="str">
        <f>HYPERLINK(склад2въезд13192021[[#This Row],[RelativePath]])</f>
        <v>7 Площадка 2 бетонщики\K07156189_18_20251205T142222Z.jpg</v>
      </c>
    </row>
    <row r="184" spans="1:13" x14ac:dyDescent="0.25">
      <c r="A184" s="2" t="s">
        <v>17</v>
      </c>
      <c r="B184" s="4">
        <v>45996</v>
      </c>
      <c r="C184" s="5">
        <v>0.60388888888888892</v>
      </c>
      <c r="D184" s="9" t="s">
        <v>261</v>
      </c>
      <c r="E184" s="9" t="s">
        <v>86</v>
      </c>
      <c r="F184" s="9" t="s">
        <v>200</v>
      </c>
      <c r="H184" s="9"/>
      <c r="I184" s="9" t="s">
        <v>4996</v>
      </c>
      <c r="J184" s="9" t="s">
        <v>2939</v>
      </c>
      <c r="K184" t="s">
        <v>4997</v>
      </c>
      <c r="L184" t="s">
        <v>4998</v>
      </c>
      <c r="M184" s="3" t="str">
        <f>HYPERLINK(склад2въезд13192021[[#This Row],[RelativePath]])</f>
        <v>7 Площадка 2 бетонщики\K07156189_18_20251205T142936Z.jpg</v>
      </c>
    </row>
    <row r="185" spans="1:13" x14ac:dyDescent="0.25">
      <c r="A185" s="2" t="s">
        <v>17</v>
      </c>
      <c r="B185" s="4">
        <v>45996</v>
      </c>
      <c r="C185" s="5">
        <v>0.6116435185185185</v>
      </c>
      <c r="D185" s="9" t="s">
        <v>261</v>
      </c>
      <c r="E185" s="9" t="s">
        <v>86</v>
      </c>
      <c r="F185" s="9" t="s">
        <v>200</v>
      </c>
      <c r="H185" s="9"/>
      <c r="I185" s="9" t="s">
        <v>4999</v>
      </c>
      <c r="J185" s="9" t="s">
        <v>2939</v>
      </c>
      <c r="K185" t="s">
        <v>5000</v>
      </c>
      <c r="L185" t="s">
        <v>5001</v>
      </c>
      <c r="M185" s="3" t="str">
        <f>HYPERLINK(склад2въезд13192021[[#This Row],[RelativePath]])</f>
        <v>7 Площадка 2 бетонщики\K07156189_18_20251205T144046Z.jpg</v>
      </c>
    </row>
    <row r="186" spans="1:13" x14ac:dyDescent="0.25">
      <c r="A186" s="2" t="s">
        <v>17</v>
      </c>
      <c r="B186" s="4">
        <v>45996</v>
      </c>
      <c r="C186" s="5">
        <v>0.61321759259259256</v>
      </c>
      <c r="D186" s="9" t="s">
        <v>5068</v>
      </c>
      <c r="E186" s="9"/>
      <c r="F186" s="9"/>
      <c r="H186" s="9"/>
      <c r="I186" s="9" t="s">
        <v>5002</v>
      </c>
      <c r="J186" s="9" t="s">
        <v>2939</v>
      </c>
      <c r="K186" t="s">
        <v>5003</v>
      </c>
      <c r="L186" t="s">
        <v>5004</v>
      </c>
      <c r="M186" s="3" t="str">
        <f>HYPERLINK(склад2въезд13192021[[#This Row],[RelativePath]])</f>
        <v>7 Площадка 2 бетонщики\K07156189_18_20251205T144302Z.jpg</v>
      </c>
    </row>
    <row r="187" spans="1:13" x14ac:dyDescent="0.25">
      <c r="A187" s="2" t="s">
        <v>18</v>
      </c>
      <c r="B187" s="4">
        <v>45997</v>
      </c>
      <c r="C187" s="5">
        <v>0.68306712962962968</v>
      </c>
      <c r="D187" s="9" t="s">
        <v>1967</v>
      </c>
      <c r="E187" s="9"/>
      <c r="F187" s="9"/>
      <c r="H187" s="9"/>
      <c r="I187" s="9" t="s">
        <v>5005</v>
      </c>
      <c r="J187" s="9" t="s">
        <v>2939</v>
      </c>
      <c r="K187" t="s">
        <v>5006</v>
      </c>
      <c r="L187" t="s">
        <v>5007</v>
      </c>
      <c r="M187" s="3" t="str">
        <f>HYPERLINK(склад2въезд13192021[[#This Row],[RelativePath]])</f>
        <v>7 Площадка 2 бетонщики\K07156189_18_20251206T162337Z.jpg</v>
      </c>
    </row>
    <row r="188" spans="1:13" x14ac:dyDescent="0.25">
      <c r="A188" s="2" t="s">
        <v>22</v>
      </c>
      <c r="B188" s="4">
        <v>45998</v>
      </c>
      <c r="C188" s="5">
        <v>0.64466435185185189</v>
      </c>
      <c r="D188" s="9" t="s">
        <v>1967</v>
      </c>
      <c r="E188" s="9"/>
      <c r="F188" s="9"/>
      <c r="H188" s="9"/>
      <c r="I188" s="9" t="s">
        <v>5162</v>
      </c>
      <c r="J188" s="9" t="s">
        <v>2939</v>
      </c>
      <c r="K188" t="s">
        <v>5163</v>
      </c>
      <c r="L188" t="s">
        <v>5164</v>
      </c>
      <c r="M188" s="3" t="str">
        <f>HYPERLINK(склад2въезд13192021[[#This Row],[RelativePath]])</f>
        <v>7 Площадка 2 бетонщики\K07156189_18_20251207T152819Z.jpg</v>
      </c>
    </row>
    <row r="189" spans="1:13" x14ac:dyDescent="0.25">
      <c r="A189" s="2" t="s">
        <v>13</v>
      </c>
      <c r="B189" s="4">
        <v>45999</v>
      </c>
      <c r="C189" s="5">
        <v>0.51755787037037038</v>
      </c>
      <c r="D189" s="9" t="s">
        <v>4</v>
      </c>
      <c r="E189" s="9" t="s">
        <v>8</v>
      </c>
      <c r="F189" s="9"/>
      <c r="H189" s="9"/>
      <c r="I189" s="9" t="s">
        <v>5247</v>
      </c>
      <c r="J189" s="9" t="s">
        <v>2939</v>
      </c>
      <c r="K189" t="s">
        <v>5248</v>
      </c>
      <c r="L189" t="s">
        <v>5249</v>
      </c>
      <c r="M189" s="3" t="str">
        <f>HYPERLINK(склад2въезд13192021[[#This Row],[RelativePath]])</f>
        <v>7 Площадка 2 бетонщики\K07156189_18_20251208T122517Z.jpg</v>
      </c>
    </row>
    <row r="190" spans="1:13" x14ac:dyDescent="0.25">
      <c r="A190" s="2" t="s">
        <v>13</v>
      </c>
      <c r="B190" s="4">
        <v>45999</v>
      </c>
      <c r="C190" s="5">
        <v>0.63056712962962957</v>
      </c>
      <c r="D190" s="9" t="s">
        <v>261</v>
      </c>
      <c r="E190" s="9" t="s">
        <v>86</v>
      </c>
      <c r="F190" s="9" t="s">
        <v>200</v>
      </c>
      <c r="H190" s="9"/>
      <c r="I190" s="9" t="s">
        <v>5250</v>
      </c>
      <c r="J190" s="9" t="s">
        <v>2939</v>
      </c>
      <c r="K190" t="s">
        <v>5251</v>
      </c>
      <c r="L190" t="s">
        <v>5252</v>
      </c>
      <c r="M190" s="3" t="str">
        <f>HYPERLINK(склад2въезд13192021[[#This Row],[RelativePath]])</f>
        <v>7 Площадка 2 бетонщики\K07156189_18_20251208T150801Z.jpg</v>
      </c>
    </row>
    <row r="191" spans="1:13" x14ac:dyDescent="0.25">
      <c r="A191" s="2" t="s">
        <v>13</v>
      </c>
      <c r="B191" s="4">
        <v>45999</v>
      </c>
      <c r="C191" s="5">
        <v>0.63185185185185189</v>
      </c>
      <c r="D191" s="9" t="s">
        <v>261</v>
      </c>
      <c r="E191" s="9" t="s">
        <v>86</v>
      </c>
      <c r="F191" s="9" t="s">
        <v>200</v>
      </c>
      <c r="H191" s="9"/>
      <c r="I191" s="9" t="s">
        <v>5253</v>
      </c>
      <c r="J191" s="9" t="s">
        <v>2939</v>
      </c>
      <c r="K191" t="s">
        <v>5254</v>
      </c>
      <c r="L191" t="s">
        <v>5255</v>
      </c>
      <c r="M191" s="3" t="str">
        <f>HYPERLINK(склад2въезд13192021[[#This Row],[RelativePath]])</f>
        <v>7 Площадка 2 бетонщики\K07156189_18_20251208T150952Z.jpg</v>
      </c>
    </row>
    <row r="192" spans="1:13" x14ac:dyDescent="0.25">
      <c r="A192" s="2" t="s">
        <v>14</v>
      </c>
      <c r="B192" s="4">
        <v>46000</v>
      </c>
      <c r="C192" s="5">
        <v>0.73812500000000003</v>
      </c>
      <c r="D192" s="9" t="s">
        <v>1967</v>
      </c>
      <c r="E192" s="9" t="s">
        <v>8</v>
      </c>
      <c r="F192" s="9"/>
      <c r="H192" s="9"/>
      <c r="I192" s="9" t="s">
        <v>5479</v>
      </c>
      <c r="J192" s="9" t="s">
        <v>2939</v>
      </c>
      <c r="K192" t="s">
        <v>5480</v>
      </c>
      <c r="L192" t="s">
        <v>5481</v>
      </c>
      <c r="M192" s="3" t="str">
        <f>HYPERLINK(склад2въезд13192021[[#This Row],[RelativePath]])</f>
        <v>7 Площадка 2 бетонщики\K07156189_18_20251209T174254Z.jpg</v>
      </c>
    </row>
    <row r="193" spans="1:13" x14ac:dyDescent="0.25">
      <c r="A193" s="2" t="s">
        <v>15</v>
      </c>
      <c r="B193" s="4">
        <v>46001</v>
      </c>
      <c r="C193" s="5">
        <v>0.68521990740740746</v>
      </c>
      <c r="D193" s="9" t="s">
        <v>1967</v>
      </c>
      <c r="E193" s="9" t="s">
        <v>8</v>
      </c>
      <c r="F193" s="9"/>
      <c r="H193" s="9"/>
      <c r="I193" s="9" t="s">
        <v>5482</v>
      </c>
      <c r="J193" s="9" t="s">
        <v>2939</v>
      </c>
      <c r="K193" t="s">
        <v>5483</v>
      </c>
      <c r="L193" t="s">
        <v>5484</v>
      </c>
      <c r="M193" s="3" t="str">
        <f>HYPERLINK(склад2въезд13192021[[#This Row],[RelativePath]])</f>
        <v>7 Площадка 2 бетонщики\K07156189_18_20251210T162643Z.jpg</v>
      </c>
    </row>
    <row r="194" spans="1:13" x14ac:dyDescent="0.25">
      <c r="A194" s="2" t="s">
        <v>16</v>
      </c>
      <c r="B194" s="4">
        <v>46002</v>
      </c>
      <c r="C194" s="5">
        <v>0.60978009259259258</v>
      </c>
      <c r="D194" s="9" t="s">
        <v>1967</v>
      </c>
      <c r="E194" s="9" t="s">
        <v>8</v>
      </c>
      <c r="F194" s="9"/>
      <c r="H194" s="9"/>
      <c r="I194" s="9" t="s">
        <v>5485</v>
      </c>
      <c r="J194" s="9" t="s">
        <v>2939</v>
      </c>
      <c r="K194" t="s">
        <v>5486</v>
      </c>
      <c r="L194" t="s">
        <v>5487</v>
      </c>
      <c r="M194" s="3" t="str">
        <f>HYPERLINK(склад2въезд13192021[[#This Row],[RelativePath]])</f>
        <v>7 Площадка 2 бетонщики\K07156189_18_20251211T143805Z.jpg</v>
      </c>
    </row>
    <row r="195" spans="1:13" x14ac:dyDescent="0.25">
      <c r="A195" s="2" t="s">
        <v>17</v>
      </c>
      <c r="B195" s="4">
        <v>46003</v>
      </c>
      <c r="C195" s="5">
        <v>0.73907407407407411</v>
      </c>
      <c r="D195" s="9" t="s">
        <v>4153</v>
      </c>
      <c r="E195" s="9"/>
      <c r="F195" s="9"/>
      <c r="H195" s="9"/>
      <c r="I195" s="9" t="s">
        <v>6249</v>
      </c>
      <c r="J195" s="9" t="s">
        <v>2939</v>
      </c>
      <c r="K195" t="s">
        <v>6250</v>
      </c>
      <c r="L195" t="s">
        <v>6251</v>
      </c>
      <c r="M195" s="3" t="str">
        <f>HYPERLINK(склад2въезд13192021[[#This Row],[RelativePath]])</f>
        <v>7 Площадка 2 бетонщики\K07156189_18_20251212T174416Z.jpg</v>
      </c>
    </row>
    <row r="196" spans="1:13" x14ac:dyDescent="0.25">
      <c r="A196" s="2" t="s">
        <v>18</v>
      </c>
      <c r="B196" s="4">
        <v>46004</v>
      </c>
      <c r="C196" s="5">
        <v>0.73907407407407411</v>
      </c>
      <c r="D196" s="9" t="s">
        <v>4153</v>
      </c>
      <c r="E196" s="9"/>
      <c r="F196" s="9"/>
      <c r="H196" s="9"/>
      <c r="I196" s="9" t="s">
        <v>6252</v>
      </c>
      <c r="J196" s="9" t="s">
        <v>2939</v>
      </c>
      <c r="K196" t="s">
        <v>6253</v>
      </c>
      <c r="L196" t="s">
        <v>6254</v>
      </c>
      <c r="M196" s="3" t="str">
        <f>HYPERLINK(склад2въезд13192021[[#This Row],[RelativePath]])</f>
        <v>7 Площадка 2 бетонщики\K07156189_18_20251213T174416Z.jpg</v>
      </c>
    </row>
    <row r="197" spans="1:13" x14ac:dyDescent="0.25">
      <c r="A197" s="2" t="s">
        <v>22</v>
      </c>
      <c r="B197" s="4">
        <v>46005</v>
      </c>
      <c r="C197" s="5">
        <v>0.73907407407407411</v>
      </c>
      <c r="D197" s="9" t="s">
        <v>4153</v>
      </c>
      <c r="E197" s="9"/>
      <c r="F197" s="9"/>
      <c r="H197" s="9"/>
      <c r="I197" s="9" t="s">
        <v>6255</v>
      </c>
      <c r="J197" s="9" t="s">
        <v>2939</v>
      </c>
      <c r="K197" t="s">
        <v>6256</v>
      </c>
      <c r="L197" t="s">
        <v>6257</v>
      </c>
      <c r="M197" s="3" t="str">
        <f>HYPERLINK(склад2въезд13192021[[#This Row],[RelativePath]])</f>
        <v>7 Площадка 2 бетонщики\K07156189_18_20251214T174416Z.jpg</v>
      </c>
    </row>
    <row r="198" spans="1:13" x14ac:dyDescent="0.25">
      <c r="A198" s="2" t="s">
        <v>13</v>
      </c>
      <c r="B198" s="4">
        <v>46006</v>
      </c>
      <c r="C198" s="5">
        <v>0.73907407407407411</v>
      </c>
      <c r="D198" s="9" t="s">
        <v>1967</v>
      </c>
      <c r="E198" s="9" t="s">
        <v>8</v>
      </c>
      <c r="F198" s="9"/>
      <c r="H198" s="9"/>
      <c r="I198" s="9" t="s">
        <v>6240</v>
      </c>
      <c r="J198" s="9" t="s">
        <v>2939</v>
      </c>
      <c r="K198" t="s">
        <v>6241</v>
      </c>
      <c r="L198" t="s">
        <v>6242</v>
      </c>
      <c r="M198" s="3" t="str">
        <f>HYPERLINK(склад2въезд13192021[[#This Row],[RelativePath]])</f>
        <v>7 Площадка 2 бетонщики\K07156189_18_20251215T174416Z.jpg</v>
      </c>
    </row>
    <row r="199" spans="1:13" x14ac:dyDescent="0.25">
      <c r="A199" s="2" t="s">
        <v>14</v>
      </c>
      <c r="B199" s="4">
        <v>46007</v>
      </c>
      <c r="C199" s="5">
        <v>0.70337962962962963</v>
      </c>
      <c r="D199" s="9" t="s">
        <v>1967</v>
      </c>
      <c r="E199" s="9" t="s">
        <v>8</v>
      </c>
      <c r="F199" s="9"/>
      <c r="H199" s="9"/>
      <c r="I199" s="9" t="s">
        <v>6478</v>
      </c>
      <c r="J199" s="9" t="s">
        <v>2939</v>
      </c>
      <c r="K199" t="s">
        <v>6479</v>
      </c>
      <c r="L199" t="s">
        <v>6480</v>
      </c>
      <c r="M199" s="3" t="str">
        <f>HYPERLINK(склад2въезд13192021[[#This Row],[RelativePath]])</f>
        <v>7 Площадка 2 бетонщики\K07156189_18_20251216T165252Z.jpg</v>
      </c>
    </row>
    <row r="200" spans="1:13" x14ac:dyDescent="0.25">
      <c r="A200" s="2" t="s">
        <v>15</v>
      </c>
      <c r="B200" s="4">
        <v>46008</v>
      </c>
      <c r="C200" s="5">
        <v>0.65531249999999996</v>
      </c>
      <c r="D200" s="9" t="s">
        <v>4</v>
      </c>
      <c r="E200" s="9" t="s">
        <v>6784</v>
      </c>
      <c r="F200" s="9"/>
      <c r="H200" s="9"/>
      <c r="I200" s="9" t="s">
        <v>6791</v>
      </c>
      <c r="J200" s="9" t="s">
        <v>2939</v>
      </c>
      <c r="K200" t="s">
        <v>6792</v>
      </c>
      <c r="L200" t="s">
        <v>6793</v>
      </c>
      <c r="M200" s="3" t="str">
        <f>HYPERLINK(склад2въезд13192021[[#This Row],[RelativePath]])</f>
        <v>7 Площадка 2 бетонщики\K07156189_18_20251217T154339Z.jpg</v>
      </c>
    </row>
    <row r="201" spans="1:13" x14ac:dyDescent="0.25">
      <c r="A201" s="2" t="s">
        <v>16</v>
      </c>
      <c r="B201" s="4">
        <v>46009</v>
      </c>
      <c r="C201" s="5">
        <v>0.56559027777777782</v>
      </c>
      <c r="D201" s="9" t="s">
        <v>1967</v>
      </c>
      <c r="E201" s="9" t="s">
        <v>8</v>
      </c>
      <c r="F201" s="9"/>
      <c r="H201" s="9"/>
      <c r="I201" s="9" t="s">
        <v>6840</v>
      </c>
      <c r="J201" s="9" t="s">
        <v>2939</v>
      </c>
      <c r="K201" t="s">
        <v>6841</v>
      </c>
      <c r="L201" t="s">
        <v>6842</v>
      </c>
      <c r="M201" s="3" t="str">
        <f>HYPERLINK(склад2въезд13192021[[#This Row],[RelativePath]])</f>
        <v>7 Площадка 2 бетонщики\K07156189_18_20251218T133427Z.jpg</v>
      </c>
    </row>
    <row r="202" spans="1:13" x14ac:dyDescent="0.25">
      <c r="A202" s="2" t="s">
        <v>17</v>
      </c>
      <c r="B202" s="4">
        <v>46010</v>
      </c>
      <c r="C202" s="5">
        <v>0.73245370370370366</v>
      </c>
      <c r="D202" s="9" t="s">
        <v>4153</v>
      </c>
      <c r="E202" s="9"/>
      <c r="F202" s="9"/>
      <c r="H202" s="9"/>
      <c r="I202" s="9" t="s">
        <v>7074</v>
      </c>
      <c r="J202" s="9" t="s">
        <v>2939</v>
      </c>
      <c r="K202" t="s">
        <v>7075</v>
      </c>
      <c r="L202" t="s">
        <v>7076</v>
      </c>
      <c r="M202" s="3" t="str">
        <f>HYPERLINK(склад2въезд13192021[[#This Row],[RelativePath]])</f>
        <v>7 Площадка 2 бетонщики\K07156189_18_20251219T173444Z.jpg</v>
      </c>
    </row>
    <row r="203" spans="1:13" x14ac:dyDescent="0.25">
      <c r="A203" s="2" t="s">
        <v>18</v>
      </c>
      <c r="B203" s="4">
        <v>46011</v>
      </c>
      <c r="C203" s="5">
        <v>0.73245370370370366</v>
      </c>
      <c r="D203" s="9" t="s">
        <v>1967</v>
      </c>
      <c r="E203" s="9" t="s">
        <v>8</v>
      </c>
      <c r="F203" s="9"/>
      <c r="H203" s="9"/>
      <c r="I203" s="9" t="s">
        <v>6843</v>
      </c>
      <c r="J203" s="9" t="s">
        <v>2939</v>
      </c>
      <c r="K203" t="s">
        <v>6844</v>
      </c>
      <c r="L203" t="s">
        <v>6845</v>
      </c>
      <c r="M203" s="3" t="str">
        <f>HYPERLINK(склад2въезд13192021[[#This Row],[RelativePath]])</f>
        <v>7 Площадка 2 бетонщики\K07156189_18_20251220T173444Z.jpg</v>
      </c>
    </row>
    <row r="204" spans="1:13" x14ac:dyDescent="0.25">
      <c r="A204" s="2" t="s">
        <v>22</v>
      </c>
      <c r="B204" s="4">
        <v>46012</v>
      </c>
      <c r="C204" s="5">
        <v>0.73245370370370366</v>
      </c>
      <c r="D204" s="9" t="s">
        <v>1967</v>
      </c>
      <c r="E204" s="9" t="s">
        <v>8</v>
      </c>
      <c r="F204" s="9"/>
      <c r="H204" s="9"/>
      <c r="I204" s="9" t="s">
        <v>7127</v>
      </c>
      <c r="J204" s="9" t="s">
        <v>2939</v>
      </c>
      <c r="K204" t="s">
        <v>7128</v>
      </c>
      <c r="L204" t="s">
        <v>7129</v>
      </c>
      <c r="M204" s="3" t="str">
        <f>HYPERLINK(склад2въезд13192021[[#This Row],[RelativePath]])</f>
        <v>7 Площадка 2 бетонщики\K07156189_18_20251221T173444Z.jpg</v>
      </c>
    </row>
    <row r="205" spans="1:13" x14ac:dyDescent="0.25">
      <c r="A205" s="2" t="s">
        <v>13</v>
      </c>
      <c r="B205" s="4">
        <v>46013</v>
      </c>
      <c r="C205" s="5">
        <v>0.67813657407407413</v>
      </c>
      <c r="D205" s="9" t="s">
        <v>1967</v>
      </c>
      <c r="E205" s="9" t="s">
        <v>8</v>
      </c>
      <c r="F205" s="9"/>
      <c r="H205" s="9"/>
      <c r="I205" s="9" t="s">
        <v>7321</v>
      </c>
      <c r="J205" s="9" t="s">
        <v>2939</v>
      </c>
      <c r="K205" t="s">
        <v>7322</v>
      </c>
      <c r="L205" t="s">
        <v>7323</v>
      </c>
      <c r="M205" s="3" t="str">
        <f>HYPERLINK(склад2въезд13192021[[#This Row],[RelativePath]])</f>
        <v>7 Площадка 2 бетонщики\K07156189_18_20251222T161631Z.jpg</v>
      </c>
    </row>
    <row r="206" spans="1:13" x14ac:dyDescent="0.25">
      <c r="A206" s="2" t="s">
        <v>14</v>
      </c>
      <c r="B206" s="4">
        <v>46014</v>
      </c>
      <c r="C206" s="5">
        <v>0.41690972222222222</v>
      </c>
      <c r="D206" s="9" t="s">
        <v>1967</v>
      </c>
      <c r="E206" s="9" t="s">
        <v>8</v>
      </c>
      <c r="F206" s="9"/>
      <c r="H206" s="9"/>
      <c r="I206" s="9" t="s">
        <v>7324</v>
      </c>
      <c r="J206" s="9" t="s">
        <v>2939</v>
      </c>
      <c r="K206" t="s">
        <v>7325</v>
      </c>
      <c r="L206" t="s">
        <v>7326</v>
      </c>
      <c r="M206" s="3" t="str">
        <f>HYPERLINK(склад2въезд13192021[[#This Row],[RelativePath]])</f>
        <v>7 Площадка 2 бетонщики\K07156189_18_20251223T100021Z.jpg</v>
      </c>
    </row>
    <row r="207" spans="1:13" x14ac:dyDescent="0.25">
      <c r="A207" s="2" t="s">
        <v>15</v>
      </c>
      <c r="B207" s="4">
        <v>46015</v>
      </c>
      <c r="C207" s="5">
        <v>0.73089120370370375</v>
      </c>
      <c r="D207" s="9" t="s">
        <v>1967</v>
      </c>
      <c r="E207" s="9" t="s">
        <v>8</v>
      </c>
      <c r="F207" s="9"/>
      <c r="H207" s="9"/>
      <c r="I207" s="9" t="s">
        <v>7606</v>
      </c>
      <c r="J207" s="9" t="s">
        <v>2939</v>
      </c>
      <c r="K207" t="s">
        <v>7607</v>
      </c>
      <c r="L207" t="s">
        <v>7608</v>
      </c>
      <c r="M207" s="3" t="str">
        <f>HYPERLINK(склад2въезд13192021[[#This Row],[RelativePath]])</f>
        <v>7 Площадка 2 бетонщики\K07156189_18_20251224T173229Z.jpg</v>
      </c>
    </row>
    <row r="208" spans="1:13" x14ac:dyDescent="0.25">
      <c r="A208" s="2" t="s">
        <v>16</v>
      </c>
      <c r="B208" s="4">
        <v>46016</v>
      </c>
      <c r="C208" s="5">
        <v>0.74277777777777776</v>
      </c>
      <c r="D208" s="9" t="s">
        <v>1967</v>
      </c>
      <c r="E208" s="9" t="s">
        <v>8</v>
      </c>
      <c r="F208" s="9"/>
      <c r="H208" s="9"/>
      <c r="I208" s="9" t="s">
        <v>7609</v>
      </c>
      <c r="J208" s="9" t="s">
        <v>2939</v>
      </c>
      <c r="K208" t="s">
        <v>7610</v>
      </c>
      <c r="L208" t="s">
        <v>7611</v>
      </c>
      <c r="M208" s="3" t="str">
        <f>HYPERLINK(склад2въезд13192021[[#This Row],[RelativePath]])</f>
        <v>7 Площадка 2 бетонщики\K07156189_18_20251225T174936Z.jpg</v>
      </c>
    </row>
    <row r="209" spans="1:13" x14ac:dyDescent="0.25">
      <c r="A209" s="2" t="s">
        <v>17</v>
      </c>
      <c r="B209" s="4">
        <v>46017</v>
      </c>
      <c r="C209" s="5">
        <v>0.74277777777777776</v>
      </c>
      <c r="D209" s="9" t="s">
        <v>1967</v>
      </c>
      <c r="E209" s="9" t="s">
        <v>8</v>
      </c>
      <c r="F209" s="9"/>
      <c r="H209" s="9"/>
      <c r="I209" s="9" t="s">
        <v>7773</v>
      </c>
      <c r="J209" s="9" t="s">
        <v>2939</v>
      </c>
      <c r="K209" t="s">
        <v>7774</v>
      </c>
      <c r="L209" t="s">
        <v>7775</v>
      </c>
      <c r="M209" s="3" t="str">
        <f>HYPERLINK(склад2въезд13192021[[#This Row],[RelativePath]])</f>
        <v>7 Площадка 2 бетонщики\K07156189_18_20251226T174936Z.jpg</v>
      </c>
    </row>
    <row r="210" spans="1:13" x14ac:dyDescent="0.25">
      <c r="A210" s="2" t="s">
        <v>18</v>
      </c>
      <c r="B210" s="4">
        <v>46018</v>
      </c>
      <c r="C210" s="5">
        <v>0.74277777777777776</v>
      </c>
      <c r="D210" s="9" t="s">
        <v>1967</v>
      </c>
      <c r="E210" s="9" t="s">
        <v>8</v>
      </c>
      <c r="F210" s="9"/>
      <c r="H210" s="9"/>
      <c r="I210" s="9" t="s">
        <v>7948</v>
      </c>
      <c r="J210" s="9" t="s">
        <v>2939</v>
      </c>
      <c r="K210" t="s">
        <v>7949</v>
      </c>
      <c r="L210" t="s">
        <v>7950</v>
      </c>
      <c r="M210" s="3" t="str">
        <f>HYPERLINK(склад2въезд13192021[[#This Row],[RelativePath]])</f>
        <v>7 Площадка 2 бетонщики\K07156189_18_20251227T174936Z.jpg</v>
      </c>
    </row>
    <row r="211" spans="1:13" x14ac:dyDescent="0.25">
      <c r="A211" s="2" t="s">
        <v>22</v>
      </c>
      <c r="B211" s="4">
        <v>46019</v>
      </c>
      <c r="C211" s="5">
        <v>0.74277777777777776</v>
      </c>
      <c r="D211" s="9" t="s">
        <v>1967</v>
      </c>
      <c r="E211" s="9" t="s">
        <v>8</v>
      </c>
      <c r="F211" s="9"/>
      <c r="H211" s="9"/>
      <c r="I211" s="9" t="s">
        <v>7951</v>
      </c>
      <c r="J211" s="9" t="s">
        <v>2939</v>
      </c>
      <c r="K211" t="s">
        <v>7952</v>
      </c>
      <c r="L211" t="s">
        <v>7953</v>
      </c>
      <c r="M211" s="3" t="str">
        <f>HYPERLINK(склад2въезд13192021[[#This Row],[RelativePath]])</f>
        <v>7 Площадка 2 бетонщики\K07156189_18_20251228T174936Z.jpg</v>
      </c>
    </row>
    <row r="212" spans="1:13" x14ac:dyDescent="0.25">
      <c r="A212" s="2" t="s">
        <v>13</v>
      </c>
      <c r="B212" s="4">
        <v>46020</v>
      </c>
      <c r="C212" s="5">
        <v>0.74277777777777776</v>
      </c>
      <c r="D212" s="9" t="s">
        <v>1967</v>
      </c>
      <c r="E212" s="9" t="s">
        <v>8</v>
      </c>
      <c r="F212" s="9"/>
      <c r="H212" s="9"/>
      <c r="I212" s="9" t="s">
        <v>8234</v>
      </c>
      <c r="J212" s="9" t="s">
        <v>2939</v>
      </c>
      <c r="K212" t="s">
        <v>8235</v>
      </c>
      <c r="L212" t="s">
        <v>8236</v>
      </c>
      <c r="M212" s="3" t="str">
        <f>HYPERLINK(склад2въезд13192021[[#This Row],[RelativePath]])</f>
        <v>7 Площадка 2 бетонщики\K07156189_18_20251229T174936Z.jpg</v>
      </c>
    </row>
    <row r="213" spans="1:13" x14ac:dyDescent="0.25">
      <c r="A213" s="2" t="s">
        <v>14</v>
      </c>
      <c r="B213" s="4">
        <v>46021</v>
      </c>
      <c r="C213" s="5">
        <v>0.74277777777777776</v>
      </c>
      <c r="D213" s="9" t="s">
        <v>1967</v>
      </c>
      <c r="E213" s="9" t="s">
        <v>8</v>
      </c>
      <c r="F213" s="9"/>
      <c r="H213" s="9"/>
      <c r="I213" s="9" t="s">
        <v>8237</v>
      </c>
      <c r="J213" s="9" t="s">
        <v>2939</v>
      </c>
      <c r="K213" t="s">
        <v>8238</v>
      </c>
      <c r="L213" t="s">
        <v>8239</v>
      </c>
      <c r="M213" s="3" t="str">
        <f>HYPERLINK(склад2въезд13192021[[#This Row],[RelativePath]])</f>
        <v>7 Площадка 2 бетонщики\K07156189_18_20251230T174936Z.jpg</v>
      </c>
    </row>
    <row r="214" spans="1:13" x14ac:dyDescent="0.25">
      <c r="A214" s="2" t="s">
        <v>15</v>
      </c>
      <c r="B214" s="4">
        <v>46022</v>
      </c>
      <c r="C214" s="5">
        <v>0.74277777777777776</v>
      </c>
      <c r="D214" s="9" t="s">
        <v>1967</v>
      </c>
      <c r="E214" s="9" t="s">
        <v>8</v>
      </c>
      <c r="F214" s="9"/>
      <c r="H214" s="9"/>
      <c r="I214" s="9" t="s">
        <v>8240</v>
      </c>
      <c r="J214" s="9" t="s">
        <v>2939</v>
      </c>
      <c r="K214" t="s">
        <v>8241</v>
      </c>
      <c r="L214" t="s">
        <v>8242</v>
      </c>
      <c r="M214" s="3" t="str">
        <f>HYPERLINK(склад2въезд13192021[[#This Row],[RelativePath]])</f>
        <v>7 Площадка 2 бетонщики\K07156189_18_20251231T174936Z.jpg</v>
      </c>
    </row>
    <row r="215" spans="1:13" x14ac:dyDescent="0.25">
      <c r="A215" s="2" t="s">
        <v>16</v>
      </c>
      <c r="B215" s="4">
        <v>46023</v>
      </c>
      <c r="C215" s="5">
        <v>0.74277777777777776</v>
      </c>
      <c r="D215" s="9" t="s">
        <v>1967</v>
      </c>
      <c r="E215" s="9" t="s">
        <v>8</v>
      </c>
      <c r="F215" s="9"/>
      <c r="H215" s="9"/>
      <c r="I215" s="9" t="s">
        <v>8246</v>
      </c>
      <c r="J215" s="9" t="s">
        <v>2939</v>
      </c>
      <c r="K215" t="s">
        <v>8247</v>
      </c>
      <c r="L215" t="s">
        <v>8243</v>
      </c>
      <c r="M215" s="3" t="str">
        <f>HYPERLINK(склад2въезд13192021[[#This Row],[RelativePath]])</f>
        <v>7 Площадка 2 бетонщики\K09156189_18_20260101T174936Z.jpg</v>
      </c>
    </row>
    <row r="216" spans="1:13" x14ac:dyDescent="0.25">
      <c r="A216" s="2" t="s">
        <v>16</v>
      </c>
      <c r="B216" s="4">
        <v>46023</v>
      </c>
      <c r="C216" s="5">
        <v>0.74277777777777776</v>
      </c>
      <c r="D216" s="9" t="s">
        <v>1967</v>
      </c>
      <c r="E216" s="9" t="s">
        <v>8</v>
      </c>
      <c r="F216" s="9"/>
      <c r="H216" s="9"/>
      <c r="I216" s="9" t="s">
        <v>8244</v>
      </c>
      <c r="J216" s="9" t="s">
        <v>2939</v>
      </c>
      <c r="K216" t="s">
        <v>8245</v>
      </c>
      <c r="L216" t="s">
        <v>8243</v>
      </c>
      <c r="M216" s="3" t="str">
        <f>HYPERLINK(склад2въезд13192021[[#This Row],[RelativePath]])</f>
        <v>7 Площадка 2 бетонщики\K08156189_18_20260101T174936Z.jpg</v>
      </c>
    </row>
    <row r="217" spans="1:13" x14ac:dyDescent="0.25">
      <c r="A217" s="2" t="s">
        <v>17</v>
      </c>
      <c r="B217" s="4">
        <v>46024</v>
      </c>
      <c r="C217" s="5">
        <v>0.67616898148148152</v>
      </c>
      <c r="D217" s="9" t="s">
        <v>1967</v>
      </c>
      <c r="E217" s="9" t="s">
        <v>8</v>
      </c>
      <c r="F217" s="9"/>
      <c r="H217" s="9"/>
      <c r="I217" s="9" t="s">
        <v>8369</v>
      </c>
      <c r="J217" s="9" t="s">
        <v>2939</v>
      </c>
      <c r="K217" t="s">
        <v>8370</v>
      </c>
      <c r="L217" t="s">
        <v>8371</v>
      </c>
      <c r="M217" s="3" t="str">
        <f>HYPERLINK(склад2въезд13192021[[#This Row],[RelativePath]])</f>
        <v>7 Площадка 2 бетонщики\K09156189_18_20260102T161341Z.jpg</v>
      </c>
    </row>
    <row r="218" spans="1:13" x14ac:dyDescent="0.25">
      <c r="A218" s="2" t="s">
        <v>18</v>
      </c>
      <c r="B218" s="4">
        <v>46025</v>
      </c>
      <c r="C218" s="5">
        <v>0.73359953703703706</v>
      </c>
      <c r="D218" s="9" t="s">
        <v>1967</v>
      </c>
      <c r="E218" s="9" t="s">
        <v>8</v>
      </c>
      <c r="F218" s="9"/>
      <c r="H218" s="9"/>
      <c r="I218" s="9" t="s">
        <v>8372</v>
      </c>
      <c r="J218" s="9" t="s">
        <v>2939</v>
      </c>
      <c r="K218" t="s">
        <v>8373</v>
      </c>
      <c r="L218" t="s">
        <v>8374</v>
      </c>
      <c r="M218" s="3" t="str">
        <f>HYPERLINK(склад2въезд13192021[[#This Row],[RelativePath]])</f>
        <v>7 Площадка 2 бетонщики\K09156189_18_20260103T173623Z.jpg</v>
      </c>
    </row>
    <row r="219" spans="1:13" x14ac:dyDescent="0.25">
      <c r="A219" s="2" t="s">
        <v>22</v>
      </c>
      <c r="B219" s="4">
        <v>46026</v>
      </c>
      <c r="C219" s="5">
        <v>0.69012731481481482</v>
      </c>
      <c r="D219" s="9" t="s">
        <v>1967</v>
      </c>
      <c r="E219" s="9" t="s">
        <v>8</v>
      </c>
      <c r="F219" s="9"/>
      <c r="H219" s="9"/>
      <c r="I219" s="9" t="s">
        <v>8375</v>
      </c>
      <c r="J219" s="9" t="s">
        <v>2939</v>
      </c>
      <c r="K219" t="s">
        <v>8376</v>
      </c>
      <c r="L219" t="s">
        <v>8377</v>
      </c>
      <c r="M219" s="3" t="str">
        <f>HYPERLINK(склад2въезд13192021[[#This Row],[RelativePath]])</f>
        <v>7 Площадка 2 бетонщики\K09156189_18_20260104T163347Z.jpg</v>
      </c>
    </row>
    <row r="220" spans="1:13" x14ac:dyDescent="0.25">
      <c r="A220" s="2" t="s">
        <v>13</v>
      </c>
      <c r="B220" s="4">
        <v>46027</v>
      </c>
      <c r="C220" s="5">
        <v>0.65591435185185187</v>
      </c>
      <c r="D220" s="9" t="s">
        <v>1967</v>
      </c>
      <c r="E220" s="9" t="s">
        <v>8</v>
      </c>
      <c r="F220" s="9"/>
      <c r="H220" s="9"/>
      <c r="I220" s="9" t="s">
        <v>8567</v>
      </c>
      <c r="J220" s="9" t="s">
        <v>2939</v>
      </c>
      <c r="K220" t="s">
        <v>8568</v>
      </c>
      <c r="L220" t="s">
        <v>8569</v>
      </c>
      <c r="M220" s="3" t="str">
        <f>HYPERLINK(склад2въезд13192021[[#This Row],[RelativePath]])</f>
        <v>7 Площадка 2 бетонщики\K07156189_18_20260105T154431Z.jpg</v>
      </c>
    </row>
    <row r="221" spans="1:13" x14ac:dyDescent="0.25">
      <c r="A221" s="2" t="s">
        <v>14</v>
      </c>
      <c r="B221" s="4">
        <v>46028</v>
      </c>
      <c r="C221" s="5">
        <v>0.65072916666666669</v>
      </c>
      <c r="D221" s="9" t="s">
        <v>1967</v>
      </c>
      <c r="E221" s="9" t="s">
        <v>8</v>
      </c>
      <c r="F221" s="9"/>
      <c r="H221" s="9"/>
      <c r="I221" s="9" t="s">
        <v>8694</v>
      </c>
      <c r="J221" s="9" t="s">
        <v>2939</v>
      </c>
      <c r="K221" t="s">
        <v>8695</v>
      </c>
      <c r="L221" t="s">
        <v>8696</v>
      </c>
      <c r="M221" s="3" t="str">
        <f>HYPERLINK(склад2въезд13192021[[#This Row],[RelativePath]])</f>
        <v>7 Площадка 2 бетонщики\K07156189_18_20260106T153703Z.jpg</v>
      </c>
    </row>
    <row r="222" spans="1:13" x14ac:dyDescent="0.25">
      <c r="A222" s="2" t="s">
        <v>15</v>
      </c>
      <c r="B222" s="4">
        <v>46029</v>
      </c>
      <c r="C222" s="5">
        <v>0.75291666666666668</v>
      </c>
      <c r="D222" s="9" t="s">
        <v>1967</v>
      </c>
      <c r="E222" s="9" t="s">
        <v>8</v>
      </c>
      <c r="F222" s="9"/>
      <c r="H222" s="9"/>
      <c r="I222" s="9" t="s">
        <v>8697</v>
      </c>
      <c r="J222" s="9" t="s">
        <v>2939</v>
      </c>
      <c r="K222" t="s">
        <v>8698</v>
      </c>
      <c r="L222" t="s">
        <v>8699</v>
      </c>
      <c r="M222" s="3" t="str">
        <f>HYPERLINK(склад2въезд13192021[[#This Row],[RelativePath]])</f>
        <v>7 Площадка 2 бетонщики\K07156189_18_20260107T180412Z.jpg</v>
      </c>
    </row>
    <row r="223" spans="1:13" x14ac:dyDescent="0.25">
      <c r="A223" s="2" t="s">
        <v>16</v>
      </c>
      <c r="B223" s="4">
        <v>46030</v>
      </c>
      <c r="C223" s="5">
        <v>0.75424768518518515</v>
      </c>
      <c r="D223" s="9" t="s">
        <v>1967</v>
      </c>
      <c r="E223" s="9" t="s">
        <v>8</v>
      </c>
      <c r="F223" s="9"/>
      <c r="H223" s="9"/>
      <c r="I223" s="9" t="s">
        <v>8700</v>
      </c>
      <c r="J223" s="9" t="s">
        <v>2939</v>
      </c>
      <c r="K223" t="s">
        <v>8701</v>
      </c>
      <c r="L223" t="s">
        <v>8702</v>
      </c>
      <c r="M223" s="3" t="str">
        <f>HYPERLINK(склад2въезд13192021[[#This Row],[RelativePath]])</f>
        <v>7 Площадка 2 бетонщики\K07156189_18_20260108T180607Z.jpg</v>
      </c>
    </row>
    <row r="224" spans="1:13" x14ac:dyDescent="0.25">
      <c r="A224" s="2" t="s">
        <v>17</v>
      </c>
      <c r="B224" s="4">
        <v>46031</v>
      </c>
      <c r="C224" s="5">
        <v>0.75417824074074069</v>
      </c>
      <c r="D224" s="9" t="s">
        <v>1967</v>
      </c>
      <c r="E224" s="9" t="s">
        <v>8</v>
      </c>
      <c r="F224" s="9"/>
      <c r="H224" s="9"/>
      <c r="I224" s="9" t="s">
        <v>8703</v>
      </c>
      <c r="J224" s="9" t="s">
        <v>2939</v>
      </c>
      <c r="K224" t="s">
        <v>8704</v>
      </c>
      <c r="L224" t="s">
        <v>8705</v>
      </c>
      <c r="M224" s="3" t="str">
        <f>HYPERLINK(склад2въезд13192021[[#This Row],[RelativePath]])</f>
        <v>7 Площадка 2 бетонщики\K07156189_18_20260109T180601Z.jpg</v>
      </c>
    </row>
    <row r="225" spans="1:13" x14ac:dyDescent="0.25">
      <c r="A225" s="2" t="s">
        <v>18</v>
      </c>
      <c r="B225" s="4">
        <v>46032</v>
      </c>
      <c r="C225" s="5">
        <v>0.60555555555555551</v>
      </c>
      <c r="D225" s="9" t="s">
        <v>1967</v>
      </c>
      <c r="E225" s="9" t="s">
        <v>8</v>
      </c>
      <c r="F225" s="9"/>
      <c r="H225" s="9"/>
      <c r="I225" s="9" t="s">
        <v>8706</v>
      </c>
      <c r="J225" s="9" t="s">
        <v>2939</v>
      </c>
      <c r="K225" t="s">
        <v>8707</v>
      </c>
      <c r="L225" t="s">
        <v>8708</v>
      </c>
      <c r="M225" s="3" t="str">
        <f>HYPERLINK(склад2въезд13192021[[#This Row],[RelativePath]])</f>
        <v>7 Площадка 2 бетонщики\K07156189_18_20260110T143200Z.jpg</v>
      </c>
    </row>
    <row r="226" spans="1:13" x14ac:dyDescent="0.25">
      <c r="A226" s="2" t="s">
        <v>22</v>
      </c>
      <c r="B226" s="4">
        <v>46033</v>
      </c>
      <c r="C226" s="5">
        <v>0.75715277777777779</v>
      </c>
      <c r="D226" s="9" t="s">
        <v>1967</v>
      </c>
      <c r="E226" s="9" t="s">
        <v>8</v>
      </c>
      <c r="F226" s="9"/>
      <c r="H226" s="9"/>
      <c r="I226" s="9" t="s">
        <v>8709</v>
      </c>
      <c r="J226" s="9" t="s">
        <v>2939</v>
      </c>
      <c r="K226" t="s">
        <v>8710</v>
      </c>
      <c r="L226" t="s">
        <v>8711</v>
      </c>
      <c r="M226" s="3" t="str">
        <f>HYPERLINK(склад2въезд13192021[[#This Row],[RelativePath]])</f>
        <v>7 Площадка 2 бетонщики\K07156189_18_20260111T181018Z.jpg</v>
      </c>
    </row>
    <row r="227" spans="1:13" x14ac:dyDescent="0.25">
      <c r="A227" s="2" t="s">
        <v>13</v>
      </c>
      <c r="B227" s="4">
        <v>46034</v>
      </c>
      <c r="C227" s="5">
        <v>0.6799074074074074</v>
      </c>
      <c r="D227" s="9" t="s">
        <v>1967</v>
      </c>
      <c r="E227" s="9" t="s">
        <v>8</v>
      </c>
      <c r="F227" s="9"/>
      <c r="H227" s="9"/>
      <c r="I227" s="9" t="s">
        <v>9078</v>
      </c>
      <c r="J227" s="9" t="s">
        <v>2939</v>
      </c>
      <c r="K227" t="s">
        <v>9079</v>
      </c>
      <c r="L227" t="s">
        <v>9080</v>
      </c>
      <c r="M227" s="3" t="str">
        <f>HYPERLINK(склад2въезд13192021[[#This Row],[RelativePath]])</f>
        <v>7 Площадка 2 бетонщики\K07156189_18_20260112T161904Z.jpg</v>
      </c>
    </row>
    <row r="228" spans="1:13" x14ac:dyDescent="0.25">
      <c r="A228" s="2" t="s">
        <v>14</v>
      </c>
      <c r="B228" s="4">
        <v>46035</v>
      </c>
      <c r="C228" s="5">
        <v>0.3943402777777778</v>
      </c>
      <c r="D228" s="9" t="s">
        <v>1967</v>
      </c>
      <c r="E228" s="9" t="s">
        <v>8</v>
      </c>
      <c r="F228" s="9"/>
      <c r="H228" s="9"/>
      <c r="I228" s="9" t="s">
        <v>9081</v>
      </c>
      <c r="J228" s="9" t="s">
        <v>2939</v>
      </c>
      <c r="K228" t="s">
        <v>9082</v>
      </c>
      <c r="L228" t="s">
        <v>9083</v>
      </c>
      <c r="M228" s="3" t="str">
        <f>HYPERLINK(склад2въезд13192021[[#This Row],[RelativePath]])</f>
        <v>7 Площадка 2 бетонщики\K07156189_18_20260113T092751Z.jpg</v>
      </c>
    </row>
    <row r="229" spans="1:13" x14ac:dyDescent="0.25">
      <c r="A229" s="2" t="s">
        <v>15</v>
      </c>
      <c r="B229" s="4">
        <v>46036</v>
      </c>
      <c r="C229" s="5">
        <v>0.56313657407407403</v>
      </c>
      <c r="D229" s="9" t="s">
        <v>1967</v>
      </c>
      <c r="E229" s="9" t="s">
        <v>8</v>
      </c>
      <c r="F229" s="9"/>
      <c r="H229" s="9"/>
      <c r="I229" s="9" t="s">
        <v>9282</v>
      </c>
      <c r="J229" s="9" t="s">
        <v>2939</v>
      </c>
      <c r="K229" t="s">
        <v>9283</v>
      </c>
      <c r="L229" t="s">
        <v>9284</v>
      </c>
      <c r="M229" s="3" t="str">
        <f>HYPERLINK(склад2въезд13192021[[#This Row],[RelativePath]])</f>
        <v>7 Площадка 2 бетонщики\K07156189_18_20260114T133055Z.jpg</v>
      </c>
    </row>
    <row r="230" spans="1:13" x14ac:dyDescent="0.25">
      <c r="A230" s="2" t="s">
        <v>16</v>
      </c>
      <c r="B230" s="4">
        <v>46037</v>
      </c>
      <c r="C230" s="5">
        <v>0.65937500000000004</v>
      </c>
      <c r="D230" s="9" t="s">
        <v>1967</v>
      </c>
      <c r="E230" s="9" t="s">
        <v>8</v>
      </c>
      <c r="F230" s="9"/>
      <c r="H230" s="9"/>
      <c r="I230" s="9" t="s">
        <v>9285</v>
      </c>
      <c r="J230" s="9" t="s">
        <v>2939</v>
      </c>
      <c r="K230" t="s">
        <v>9286</v>
      </c>
      <c r="L230" t="s">
        <v>9287</v>
      </c>
      <c r="M230" s="3" t="str">
        <f>HYPERLINK(склад2въезд13192021[[#This Row],[RelativePath]])</f>
        <v>7 Площадка 2 бетонщики\K07156189_18_20260115T154930Z.jpg</v>
      </c>
    </row>
    <row r="231" spans="1:13" x14ac:dyDescent="0.25">
      <c r="A231" s="2" t="s">
        <v>17</v>
      </c>
      <c r="B231" s="4">
        <v>46038</v>
      </c>
      <c r="C231" s="5">
        <v>0.74118055555555551</v>
      </c>
      <c r="D231" s="9" t="s">
        <v>1967</v>
      </c>
      <c r="E231" s="9" t="s">
        <v>8</v>
      </c>
      <c r="F231" s="9"/>
      <c r="H231" s="9"/>
      <c r="I231" s="9" t="s">
        <v>9288</v>
      </c>
      <c r="J231" s="9" t="s">
        <v>2939</v>
      </c>
      <c r="K231" t="s">
        <v>9289</v>
      </c>
      <c r="L231" t="s">
        <v>9290</v>
      </c>
      <c r="M231" s="3" t="str">
        <f>HYPERLINK(склад2въезд13192021[[#This Row],[RelativePath]])</f>
        <v>7 Площадка 2 бетонщики\K07156189_18_20260116T174718Z.jpg</v>
      </c>
    </row>
    <row r="232" spans="1:13" x14ac:dyDescent="0.25">
      <c r="A232" s="2" t="s">
        <v>18</v>
      </c>
      <c r="B232" s="4">
        <v>46039</v>
      </c>
      <c r="C232" s="5">
        <v>0.76306712962962964</v>
      </c>
      <c r="D232" s="9" t="s">
        <v>1967</v>
      </c>
      <c r="E232" s="9" t="s">
        <v>8</v>
      </c>
      <c r="F232" s="9"/>
      <c r="H232" s="9"/>
      <c r="I232" s="9" t="s">
        <v>9566</v>
      </c>
      <c r="J232" s="9" t="s">
        <v>2939</v>
      </c>
      <c r="K232" t="s">
        <v>9567</v>
      </c>
      <c r="L232" t="s">
        <v>9497</v>
      </c>
      <c r="M232" s="3" t="str">
        <f>HYPERLINK(склад2въезд13192021[[#This Row],[RelativePath]])</f>
        <v>7 Площадка 2 бетонщики\K07156189_18_20260117T181849Z.jpg</v>
      </c>
    </row>
    <row r="233" spans="1:13" x14ac:dyDescent="0.25">
      <c r="A233" s="2" t="s">
        <v>22</v>
      </c>
      <c r="B233" s="4">
        <v>46040</v>
      </c>
      <c r="C233" s="5">
        <v>0.61505787037037041</v>
      </c>
      <c r="D233" s="9" t="s">
        <v>1967</v>
      </c>
      <c r="E233" s="9" t="s">
        <v>8</v>
      </c>
      <c r="F233" s="9"/>
      <c r="H233" s="9"/>
      <c r="I233" s="9" t="s">
        <v>9568</v>
      </c>
      <c r="J233" s="9" t="s">
        <v>2939</v>
      </c>
      <c r="K233" t="s">
        <v>9569</v>
      </c>
      <c r="L233" t="s">
        <v>9570</v>
      </c>
      <c r="M233" s="3" t="str">
        <f>HYPERLINK(склад2въезд13192021[[#This Row],[RelativePath]])</f>
        <v>7 Площадка 2 бетонщики\K07156189_18_20260118T144541Z.jpg</v>
      </c>
    </row>
    <row r="234" spans="1:13" x14ac:dyDescent="0.25">
      <c r="A234" s="2" t="s">
        <v>13</v>
      </c>
      <c r="B234" s="4">
        <v>46041</v>
      </c>
      <c r="C234" s="5">
        <v>0.6087731481481482</v>
      </c>
      <c r="D234" s="9" t="s">
        <v>4</v>
      </c>
      <c r="E234" s="9" t="s">
        <v>9791</v>
      </c>
      <c r="F234" s="9"/>
      <c r="H234" s="9"/>
      <c r="I234" s="9" t="s">
        <v>9755</v>
      </c>
      <c r="J234" s="9" t="s">
        <v>2939</v>
      </c>
      <c r="K234" t="s">
        <v>9756</v>
      </c>
      <c r="L234" t="s">
        <v>9757</v>
      </c>
      <c r="M234" s="3" t="str">
        <f>HYPERLINK(склад2въезд13192021[[#This Row],[RelativePath]])</f>
        <v>7 Площадка 2 бетонщики\K07156189_18_20260119T143638Z.jpg</v>
      </c>
    </row>
    <row r="235" spans="1:13" x14ac:dyDescent="0.25">
      <c r="A235" s="2" t="s">
        <v>13</v>
      </c>
      <c r="B235" s="4">
        <v>46041</v>
      </c>
      <c r="C235" s="5">
        <v>0.64523148148148146</v>
      </c>
      <c r="D235" s="9" t="s">
        <v>4</v>
      </c>
      <c r="E235" s="9" t="s">
        <v>9791</v>
      </c>
      <c r="F235" s="9"/>
      <c r="H235" s="9" t="s">
        <v>2891</v>
      </c>
      <c r="I235" s="9" t="s">
        <v>9758</v>
      </c>
      <c r="J235" s="9" t="s">
        <v>2939</v>
      </c>
      <c r="K235" t="s">
        <v>9759</v>
      </c>
      <c r="L235" t="s">
        <v>9760</v>
      </c>
      <c r="M235" s="3" t="str">
        <f>HYPERLINK(склад2въезд13192021[[#This Row],[RelativePath]])</f>
        <v>7 Площадка 2 бетонщики\K07156189_18_20260119T152908Z.jpg</v>
      </c>
    </row>
    <row r="236" spans="1:13" x14ac:dyDescent="0.25">
      <c r="A236" s="2" t="s">
        <v>13</v>
      </c>
      <c r="B236" s="4">
        <v>46041</v>
      </c>
      <c r="C236" s="5">
        <v>0.67918981481481477</v>
      </c>
      <c r="D236" s="9" t="s">
        <v>4</v>
      </c>
      <c r="E236" s="9" t="s">
        <v>9791</v>
      </c>
      <c r="F236" s="9"/>
      <c r="H236" s="9" t="s">
        <v>2891</v>
      </c>
      <c r="I236" s="9" t="s">
        <v>9761</v>
      </c>
      <c r="J236" s="9" t="s">
        <v>2939</v>
      </c>
      <c r="K236" t="s">
        <v>9762</v>
      </c>
      <c r="L236" t="s">
        <v>9763</v>
      </c>
      <c r="M236" s="3" t="str">
        <f>HYPERLINK(склад2въезд13192021[[#This Row],[RelativePath]])</f>
        <v>7 Площадка 2 бетонщики\K07156189_18_20260119T161802Z.jpg</v>
      </c>
    </row>
    <row r="237" spans="1:13" x14ac:dyDescent="0.25">
      <c r="A237" s="2" t="s">
        <v>13</v>
      </c>
      <c r="B237" s="4">
        <v>46041</v>
      </c>
      <c r="C237" s="5">
        <v>0.70503472222222219</v>
      </c>
      <c r="D237" s="9" t="s">
        <v>4</v>
      </c>
      <c r="E237" s="9" t="s">
        <v>9791</v>
      </c>
      <c r="F237" s="9"/>
      <c r="H237" s="9" t="s">
        <v>2891</v>
      </c>
      <c r="I237" s="9" t="s">
        <v>9764</v>
      </c>
      <c r="J237" s="9" t="s">
        <v>2939</v>
      </c>
      <c r="K237" t="s">
        <v>9765</v>
      </c>
      <c r="L237" t="s">
        <v>9766</v>
      </c>
      <c r="M237" s="3" t="str">
        <f>HYPERLINK(склад2въезд13192021[[#This Row],[RelativePath]])</f>
        <v>7 Площадка 2 бетонщики\K07156189_18_20260119T165515Z.jpg</v>
      </c>
    </row>
    <row r="238" spans="1:13" x14ac:dyDescent="0.25">
      <c r="A238" s="2" t="s">
        <v>14</v>
      </c>
      <c r="B238" s="4">
        <v>46042</v>
      </c>
      <c r="C238" s="5">
        <v>0.4791435185185185</v>
      </c>
      <c r="D238" s="9" t="s">
        <v>4</v>
      </c>
      <c r="E238" s="9" t="s">
        <v>9791</v>
      </c>
      <c r="F238" s="9"/>
      <c r="H238" s="9" t="s">
        <v>2891</v>
      </c>
      <c r="I238" s="9" t="s">
        <v>9767</v>
      </c>
      <c r="J238" s="9" t="s">
        <v>2939</v>
      </c>
      <c r="K238" t="s">
        <v>9768</v>
      </c>
      <c r="L238" t="s">
        <v>9769</v>
      </c>
      <c r="M238" s="3" t="str">
        <f>HYPERLINK(склад2въезд13192021[[#This Row],[RelativePath]])</f>
        <v>7 Площадка 2 бетонщики\K07156189_18_20260120T112958Z.jpg</v>
      </c>
    </row>
    <row r="239" spans="1:13" x14ac:dyDescent="0.25">
      <c r="A239" s="2" t="s">
        <v>14</v>
      </c>
      <c r="B239" s="4">
        <v>46042</v>
      </c>
      <c r="C239" s="5">
        <v>0.48581018518518521</v>
      </c>
      <c r="D239" s="9" t="s">
        <v>4</v>
      </c>
      <c r="E239" s="9" t="s">
        <v>9791</v>
      </c>
      <c r="F239" s="9"/>
      <c r="H239" s="9" t="s">
        <v>2891</v>
      </c>
      <c r="I239" s="9" t="s">
        <v>9770</v>
      </c>
      <c r="J239" s="9" t="s">
        <v>2939</v>
      </c>
      <c r="K239" t="s">
        <v>9771</v>
      </c>
      <c r="L239" t="s">
        <v>9772</v>
      </c>
      <c r="M239" s="3" t="str">
        <f>HYPERLINK(склад2въезд13192021[[#This Row],[RelativePath]])</f>
        <v>7 Площадка 2 бетонщики\K07156189_18_20260120T113934Z.jpg</v>
      </c>
    </row>
    <row r="240" spans="1:13" x14ac:dyDescent="0.25">
      <c r="A240" s="2" t="s">
        <v>14</v>
      </c>
      <c r="B240" s="4">
        <v>46042</v>
      </c>
      <c r="C240" s="5">
        <v>0.51609953703703704</v>
      </c>
      <c r="D240" s="9" t="s">
        <v>4</v>
      </c>
      <c r="E240" s="9" t="s">
        <v>9791</v>
      </c>
      <c r="F240" s="9"/>
      <c r="H240" s="9" t="s">
        <v>2891</v>
      </c>
      <c r="I240" s="9" t="s">
        <v>9773</v>
      </c>
      <c r="J240" s="9" t="s">
        <v>2939</v>
      </c>
      <c r="K240" t="s">
        <v>9774</v>
      </c>
      <c r="L240" t="s">
        <v>9775</v>
      </c>
      <c r="M240" s="3" t="str">
        <f>HYPERLINK(склад2въезд13192021[[#This Row],[RelativePath]])</f>
        <v>7 Площадка 2 бетонщики\K07156189_18_20260120T122311Z.jpg</v>
      </c>
    </row>
    <row r="241" spans="1:13" x14ac:dyDescent="0.25">
      <c r="A241" s="2" t="s">
        <v>14</v>
      </c>
      <c r="B241" s="4">
        <v>46042</v>
      </c>
      <c r="C241" s="5">
        <v>0.54896990740740736</v>
      </c>
      <c r="D241" s="9" t="s">
        <v>4</v>
      </c>
      <c r="E241" s="9" t="s">
        <v>9791</v>
      </c>
      <c r="F241" s="9"/>
      <c r="H241" s="9" t="s">
        <v>2891</v>
      </c>
      <c r="I241" s="9" t="s">
        <v>9776</v>
      </c>
      <c r="J241" s="9" t="s">
        <v>2939</v>
      </c>
      <c r="K241" t="s">
        <v>9777</v>
      </c>
      <c r="L241" t="s">
        <v>9778</v>
      </c>
      <c r="M241" s="3" t="str">
        <f>HYPERLINK(склад2въезд13192021[[#This Row],[RelativePath]])</f>
        <v>7 Площадка 2 бетонщики\K07156189_18_20260120T131031Z.jpg</v>
      </c>
    </row>
    <row r="242" spans="1:13" x14ac:dyDescent="0.25">
      <c r="A242" s="2" t="s">
        <v>14</v>
      </c>
      <c r="B242" s="4">
        <v>46042</v>
      </c>
      <c r="C242" s="5">
        <v>0.59947916666666667</v>
      </c>
      <c r="D242" s="9" t="s">
        <v>4</v>
      </c>
      <c r="E242" s="9" t="s">
        <v>9791</v>
      </c>
      <c r="F242" s="9"/>
      <c r="H242" s="9" t="s">
        <v>2891</v>
      </c>
      <c r="I242" s="9" t="s">
        <v>9779</v>
      </c>
      <c r="J242" s="9" t="s">
        <v>2939</v>
      </c>
      <c r="K242" t="s">
        <v>9780</v>
      </c>
      <c r="L242" t="s">
        <v>9781</v>
      </c>
      <c r="M242" s="3" t="str">
        <f>HYPERLINK(склад2въезд13192021[[#This Row],[RelativePath]])</f>
        <v>7 Площадка 2 бетонщики\K07156189_18_20260120T142315Z.jpg</v>
      </c>
    </row>
    <row r="243" spans="1:13" x14ac:dyDescent="0.25">
      <c r="A243" s="2" t="s">
        <v>14</v>
      </c>
      <c r="B243" s="4">
        <v>46042</v>
      </c>
      <c r="C243" s="5">
        <v>0.61100694444444448</v>
      </c>
      <c r="D243" s="9" t="s">
        <v>4</v>
      </c>
      <c r="E243" s="9" t="s">
        <v>9791</v>
      </c>
      <c r="F243" s="9"/>
      <c r="H243" s="9" t="s">
        <v>2891</v>
      </c>
      <c r="I243" s="9" t="s">
        <v>9782</v>
      </c>
      <c r="J243" s="9" t="s">
        <v>2939</v>
      </c>
      <c r="K243" t="s">
        <v>9783</v>
      </c>
      <c r="L243" t="s">
        <v>9784</v>
      </c>
      <c r="M243" s="3" t="str">
        <f>HYPERLINK(склад2въезд13192021[[#This Row],[RelativePath]])</f>
        <v>7 Площадка 2 бетонщики\K07156189_18_20260120T143951Z.jpg</v>
      </c>
    </row>
    <row r="244" spans="1:13" x14ac:dyDescent="0.25">
      <c r="A244" s="2" t="s">
        <v>14</v>
      </c>
      <c r="B244" s="4">
        <v>46042</v>
      </c>
      <c r="C244" s="5">
        <v>0.62930555555555556</v>
      </c>
      <c r="D244" s="9" t="s">
        <v>4</v>
      </c>
      <c r="E244" s="9" t="s">
        <v>9791</v>
      </c>
      <c r="F244" s="9"/>
      <c r="H244" s="9" t="s">
        <v>2891</v>
      </c>
      <c r="I244" s="9" t="s">
        <v>9785</v>
      </c>
      <c r="J244" s="9" t="s">
        <v>2939</v>
      </c>
      <c r="K244" t="s">
        <v>9786</v>
      </c>
      <c r="L244" t="s">
        <v>9787</v>
      </c>
      <c r="M244" s="3" t="str">
        <f>HYPERLINK(склад2въезд13192021[[#This Row],[RelativePath]])</f>
        <v>7 Площадка 2 бетонщики\K07156189_18_20260120T150612Z.jpg</v>
      </c>
    </row>
    <row r="245" spans="1:13" x14ac:dyDescent="0.25">
      <c r="A245" s="2" t="s">
        <v>14</v>
      </c>
      <c r="B245" s="4">
        <v>46042</v>
      </c>
      <c r="C245" s="5">
        <v>0.74508101851851849</v>
      </c>
      <c r="D245" s="9" t="s">
        <v>4</v>
      </c>
      <c r="E245" s="9" t="s">
        <v>9791</v>
      </c>
      <c r="F245" s="9"/>
      <c r="H245" s="9" t="s">
        <v>2891</v>
      </c>
      <c r="I245" s="9" t="s">
        <v>9788</v>
      </c>
      <c r="J245" s="9" t="s">
        <v>2939</v>
      </c>
      <c r="K245" t="s">
        <v>9789</v>
      </c>
      <c r="L245" t="s">
        <v>9790</v>
      </c>
      <c r="M245" s="3" t="str">
        <f>HYPERLINK(склад2въезд13192021[[#This Row],[RelativePath]])</f>
        <v>7 Площадка 2 бетонщики\K07156189_18_20260120T175255Z.jpg</v>
      </c>
    </row>
    <row r="246" spans="1:13" x14ac:dyDescent="0.25">
      <c r="A246" s="2" t="s">
        <v>15</v>
      </c>
      <c r="B246" s="4">
        <v>46043</v>
      </c>
      <c r="C246" s="5">
        <v>0.38614583333333335</v>
      </c>
      <c r="D246" s="9" t="s">
        <v>4</v>
      </c>
      <c r="E246" s="9" t="s">
        <v>9791</v>
      </c>
      <c r="F246" s="9"/>
      <c r="H246" s="9" t="s">
        <v>2891</v>
      </c>
      <c r="I246" s="9" t="s">
        <v>10000</v>
      </c>
      <c r="J246" s="9" t="s">
        <v>2939</v>
      </c>
      <c r="K246" t="s">
        <v>10001</v>
      </c>
      <c r="L246" t="s">
        <v>10002</v>
      </c>
      <c r="M246" s="3" t="str">
        <f>HYPERLINK(склад2въезд13192021[[#This Row],[RelativePath]])</f>
        <v>7 Площадка 2 бетонщики\K07156189_18_20260121T091603Z.jpg</v>
      </c>
    </row>
    <row r="247" spans="1:13" x14ac:dyDescent="0.25">
      <c r="A247" s="2" t="s">
        <v>15</v>
      </c>
      <c r="B247" s="4">
        <v>46043</v>
      </c>
      <c r="C247" s="5">
        <v>0.4481134259259259</v>
      </c>
      <c r="D247" s="9" t="s">
        <v>4</v>
      </c>
      <c r="E247" s="9" t="s">
        <v>9791</v>
      </c>
      <c r="F247" s="9"/>
      <c r="H247" s="9" t="s">
        <v>2891</v>
      </c>
      <c r="I247" s="9" t="s">
        <v>10003</v>
      </c>
      <c r="J247" s="9" t="s">
        <v>2939</v>
      </c>
      <c r="K247" t="s">
        <v>10004</v>
      </c>
      <c r="L247" t="s">
        <v>10005</v>
      </c>
      <c r="M247" s="3" t="str">
        <f>HYPERLINK(склад2въезд13192021[[#This Row],[RelativePath]])</f>
        <v>7 Площадка 2 бетонщики\K07156189_18_20260121T104517Z.jpg</v>
      </c>
    </row>
    <row r="248" spans="1:13" x14ac:dyDescent="0.25">
      <c r="A248" s="2" t="s">
        <v>15</v>
      </c>
      <c r="B248" s="4">
        <v>46043</v>
      </c>
      <c r="C248" s="5">
        <v>0.53672453703703704</v>
      </c>
      <c r="D248" s="9" t="s">
        <v>4</v>
      </c>
      <c r="E248" s="9" t="s">
        <v>9791</v>
      </c>
      <c r="F248" s="9"/>
      <c r="H248" s="9" t="s">
        <v>2891</v>
      </c>
      <c r="I248" s="9" t="s">
        <v>10006</v>
      </c>
      <c r="J248" s="9" t="s">
        <v>2939</v>
      </c>
      <c r="K248" t="s">
        <v>10007</v>
      </c>
      <c r="L248" t="s">
        <v>10008</v>
      </c>
      <c r="M248" s="3" t="str">
        <f>HYPERLINK(склад2въезд13192021[[#This Row],[RelativePath]])</f>
        <v>7 Площадка 2 бетонщики\K07156189_18_20260121T125253Z.jpg</v>
      </c>
    </row>
    <row r="249" spans="1:13" x14ac:dyDescent="0.25">
      <c r="A249" s="2" t="s">
        <v>15</v>
      </c>
      <c r="B249" s="4">
        <v>46043</v>
      </c>
      <c r="C249" s="5">
        <v>0.69086805555555553</v>
      </c>
      <c r="D249" s="9" t="s">
        <v>4</v>
      </c>
      <c r="E249" s="9" t="s">
        <v>9791</v>
      </c>
      <c r="F249" s="9"/>
      <c r="H249" s="9" t="s">
        <v>2891</v>
      </c>
      <c r="I249" s="9" t="s">
        <v>10009</v>
      </c>
      <c r="J249" s="9" t="s">
        <v>2939</v>
      </c>
      <c r="K249" t="s">
        <v>10010</v>
      </c>
      <c r="L249" t="s">
        <v>10011</v>
      </c>
      <c r="M249" s="3" t="str">
        <f>HYPERLINK(склад2въезд13192021[[#This Row],[RelativePath]])</f>
        <v>7 Площадка 2 бетонщики\K07156189_18_20260121T163451Z.jpg</v>
      </c>
    </row>
    <row r="250" spans="1:13" x14ac:dyDescent="0.25">
      <c r="A250" s="2" t="s">
        <v>16</v>
      </c>
      <c r="B250" s="4">
        <v>46044</v>
      </c>
      <c r="C250" s="5">
        <v>0.71340277777777783</v>
      </c>
      <c r="D250" s="9" t="s">
        <v>1967</v>
      </c>
      <c r="E250" s="9" t="s">
        <v>8</v>
      </c>
      <c r="F250" s="9"/>
      <c r="H250" s="9"/>
      <c r="I250" s="9" t="s">
        <v>10012</v>
      </c>
      <c r="J250" s="9" t="s">
        <v>2939</v>
      </c>
      <c r="K250" t="s">
        <v>10013</v>
      </c>
      <c r="L250" t="s">
        <v>10014</v>
      </c>
      <c r="M250" s="3" t="str">
        <f>HYPERLINK(склад2въезд13192021[[#This Row],[RelativePath]])</f>
        <v>7 Площадка 2 бетонщики\K07156189_18_20260122T170718Z.jpg</v>
      </c>
    </row>
    <row r="251" spans="1:13" x14ac:dyDescent="0.25">
      <c r="A251" s="2" t="s">
        <v>17</v>
      </c>
      <c r="B251" s="4">
        <v>46045</v>
      </c>
      <c r="C251" s="5">
        <v>0.70863425925925927</v>
      </c>
      <c r="D251" s="9" t="s">
        <v>4</v>
      </c>
      <c r="E251" s="9" t="s">
        <v>10266</v>
      </c>
      <c r="F251" s="9"/>
      <c r="H251" s="9"/>
      <c r="I251" s="9" t="s">
        <v>10263</v>
      </c>
      <c r="J251" s="9" t="s">
        <v>2939</v>
      </c>
      <c r="K251" t="s">
        <v>10264</v>
      </c>
      <c r="L251" t="s">
        <v>10265</v>
      </c>
      <c r="M251" s="3" t="str">
        <f>HYPERLINK(склад2въезд13192021[[#This Row],[RelativePath]])</f>
        <v>7 Площадка 2 бетонщики\K07156189_18_20260123T170026Z.jpg</v>
      </c>
    </row>
    <row r="252" spans="1:13" x14ac:dyDescent="0.25">
      <c r="A252" s="2" t="s">
        <v>18</v>
      </c>
      <c r="B252" s="4">
        <v>46046</v>
      </c>
      <c r="C252" s="5">
        <v>0.76748842592592592</v>
      </c>
      <c r="D252" s="9" t="s">
        <v>1967</v>
      </c>
      <c r="E252" s="9" t="s">
        <v>8</v>
      </c>
      <c r="F252" s="9"/>
      <c r="H252" s="9"/>
      <c r="I252" s="9" t="s">
        <v>10385</v>
      </c>
      <c r="J252" s="9" t="s">
        <v>2939</v>
      </c>
      <c r="K252" t="s">
        <v>10386</v>
      </c>
      <c r="L252" t="s">
        <v>10387</v>
      </c>
      <c r="M252" s="3" t="str">
        <f>HYPERLINK(склад2въезд13192021[[#This Row],[RelativePath]])</f>
        <v>7 Площадка 2 бетонщики\K07156189_18_20260124T182511Z.jpg</v>
      </c>
    </row>
    <row r="253" spans="1:13" x14ac:dyDescent="0.25">
      <c r="A253" s="2" t="s">
        <v>22</v>
      </c>
      <c r="B253" s="4">
        <v>46047</v>
      </c>
      <c r="C253" s="5">
        <v>0.66824074074074069</v>
      </c>
      <c r="D253" s="9" t="s">
        <v>1967</v>
      </c>
      <c r="E253" s="9" t="s">
        <v>8</v>
      </c>
      <c r="F253" s="9"/>
      <c r="H253" s="9"/>
      <c r="I253" s="9" t="s">
        <v>10388</v>
      </c>
      <c r="J253" s="9" t="s">
        <v>2939</v>
      </c>
      <c r="K253" t="s">
        <v>10389</v>
      </c>
      <c r="L253" t="s">
        <v>10390</v>
      </c>
      <c r="M253" s="3" t="str">
        <f>HYPERLINK(склад2въезд13192021[[#This Row],[RelativePath]])</f>
        <v>7 Площадка 2 бетонщики\K07156189_18_20260125T160216Z.jpg</v>
      </c>
    </row>
    <row r="254" spans="1:13" x14ac:dyDescent="0.25">
      <c r="A254" s="2" t="s">
        <v>13</v>
      </c>
      <c r="B254" s="4">
        <v>46048</v>
      </c>
      <c r="C254" s="5">
        <v>0.68172453703703706</v>
      </c>
      <c r="D254" s="9" t="s">
        <v>1967</v>
      </c>
      <c r="E254" s="9" t="s">
        <v>8</v>
      </c>
      <c r="F254" s="9"/>
      <c r="H254" s="9"/>
      <c r="I254" s="9" t="s">
        <v>10501</v>
      </c>
      <c r="J254" s="9" t="s">
        <v>2939</v>
      </c>
      <c r="K254" t="s">
        <v>10502</v>
      </c>
      <c r="L254" t="s">
        <v>10503</v>
      </c>
      <c r="M254" s="3" t="str">
        <f>HYPERLINK(склад2въезд13192021[[#This Row],[RelativePath]])</f>
        <v>7 Площадка 2 бетонщики\K07156189_18_20260126T162141Z.jpg</v>
      </c>
    </row>
    <row r="255" spans="1:13" x14ac:dyDescent="0.25">
      <c r="A255" s="2" t="s">
        <v>14</v>
      </c>
      <c r="B255" s="4">
        <v>46049</v>
      </c>
      <c r="C255" s="5">
        <v>0.58978009259259256</v>
      </c>
      <c r="D255" s="9" t="s">
        <v>1967</v>
      </c>
      <c r="E255" s="9" t="s">
        <v>8</v>
      </c>
      <c r="F255" s="9"/>
      <c r="H255" s="9"/>
      <c r="I255" s="9" t="s">
        <v>10504</v>
      </c>
      <c r="J255" s="9" t="s">
        <v>2939</v>
      </c>
      <c r="K255" t="s">
        <v>10505</v>
      </c>
      <c r="L255" t="s">
        <v>10506</v>
      </c>
      <c r="M255" s="3" t="str">
        <f>HYPERLINK(склад2въезд13192021[[#This Row],[RelativePath]])</f>
        <v>7 Площадка 2 бетонщики\K07156189_18_20260127T140917Z.jpg</v>
      </c>
    </row>
    <row r="256" spans="1:13" x14ac:dyDescent="0.25">
      <c r="A256" s="2" t="s">
        <v>15</v>
      </c>
      <c r="B256" s="4">
        <v>46050</v>
      </c>
      <c r="C256" s="5">
        <v>0.69539351851851849</v>
      </c>
      <c r="D256" s="9" t="s">
        <v>1967</v>
      </c>
      <c r="E256" s="9" t="s">
        <v>8</v>
      </c>
      <c r="F256" s="9"/>
      <c r="H256" s="9"/>
      <c r="I256" s="9" t="s">
        <v>10746</v>
      </c>
      <c r="J256" s="9" t="s">
        <v>2939</v>
      </c>
      <c r="K256" t="s">
        <v>10747</v>
      </c>
      <c r="L256" t="s">
        <v>10748</v>
      </c>
      <c r="M256" s="3" t="str">
        <f>HYPERLINK(склад2въезд13192021[[#This Row],[RelativePath]])</f>
        <v>7 Площадка 2 бетонщики\K07156189_18_20260128T164122Z.jpg</v>
      </c>
    </row>
    <row r="257" spans="1:13" x14ac:dyDescent="0.25">
      <c r="A257" s="2" t="s">
        <v>16</v>
      </c>
      <c r="B257" s="4">
        <v>46051</v>
      </c>
      <c r="C257" s="5">
        <v>0.74454861111111115</v>
      </c>
      <c r="D257" s="9" t="s">
        <v>1967</v>
      </c>
      <c r="E257" s="9" t="s">
        <v>8</v>
      </c>
      <c r="F257" s="9"/>
      <c r="H257" s="9"/>
      <c r="I257" s="9" t="s">
        <v>10749</v>
      </c>
      <c r="J257" s="9" t="s">
        <v>2939</v>
      </c>
      <c r="K257" t="s">
        <v>10750</v>
      </c>
      <c r="L257" t="s">
        <v>10751</v>
      </c>
      <c r="M257" s="3" t="str">
        <f>HYPERLINK(склад2въезд13192021[[#This Row],[RelativePath]])</f>
        <v>7 Площадка 2 бетонщики\K07156189_18_20260129T175209Z.jpg</v>
      </c>
    </row>
    <row r="258" spans="1:13" x14ac:dyDescent="0.25">
      <c r="A258" s="2" t="s">
        <v>17</v>
      </c>
      <c r="B258" s="4">
        <v>46052</v>
      </c>
      <c r="C258" s="5">
        <v>0.75040509259259258</v>
      </c>
      <c r="D258" s="9" t="s">
        <v>1967</v>
      </c>
      <c r="E258" s="9" t="s">
        <v>8</v>
      </c>
      <c r="F258" s="9"/>
      <c r="H258" s="9"/>
      <c r="I258" s="9" t="s">
        <v>10870</v>
      </c>
      <c r="J258" s="9" t="s">
        <v>2939</v>
      </c>
      <c r="K258" t="s">
        <v>10871</v>
      </c>
      <c r="L258" t="s">
        <v>10872</v>
      </c>
      <c r="M258" s="3" t="str">
        <f>HYPERLINK(склад2въезд13192021[[#This Row],[RelativePath]])</f>
        <v>7 Площадка 2 бетонщики\K07156189_18_20260130T180035Z.jpg</v>
      </c>
    </row>
    <row r="259" spans="1:13" x14ac:dyDescent="0.25">
      <c r="A259" s="2" t="s">
        <v>18</v>
      </c>
      <c r="B259" s="4">
        <v>46053</v>
      </c>
      <c r="C259" s="5">
        <v>0.74990740740740736</v>
      </c>
      <c r="D259" s="9" t="s">
        <v>1967</v>
      </c>
      <c r="E259" s="9" t="s">
        <v>8</v>
      </c>
      <c r="F259" s="9"/>
      <c r="H259" s="9"/>
      <c r="I259" s="9" t="s">
        <v>10991</v>
      </c>
      <c r="J259" s="9" t="s">
        <v>2939</v>
      </c>
      <c r="K259" t="s">
        <v>10992</v>
      </c>
      <c r="L259" t="s">
        <v>10993</v>
      </c>
      <c r="M259" s="3" t="str">
        <f>HYPERLINK(склад2въезд13192021[[#This Row],[RelativePath]])</f>
        <v>7 Площадка 2 бетонщики\K07156189_18_20260131T175952Z.jpg</v>
      </c>
    </row>
    <row r="260" spans="1:13" x14ac:dyDescent="0.25">
      <c r="A260" s="2" t="s">
        <v>22</v>
      </c>
      <c r="B260" s="4">
        <v>46054</v>
      </c>
      <c r="C260" s="5">
        <v>0.4538773148148148</v>
      </c>
      <c r="D260" s="9" t="s">
        <v>1967</v>
      </c>
      <c r="E260" s="9" t="s">
        <v>8</v>
      </c>
      <c r="F260" s="9"/>
      <c r="H260" s="9"/>
      <c r="I260" s="9" t="s">
        <v>10994</v>
      </c>
      <c r="J260" s="9" t="s">
        <v>2939</v>
      </c>
      <c r="K260" t="s">
        <v>10995</v>
      </c>
      <c r="L260" t="s">
        <v>10996</v>
      </c>
      <c r="M260" s="3" t="str">
        <f>HYPERLINK(склад2въезд13192021[[#This Row],[RelativePath]])</f>
        <v>7 Площадка 2 бетонщики\K07156189_18_20260201T105335Z.jpg</v>
      </c>
    </row>
    <row r="261" spans="1:13" x14ac:dyDescent="0.25">
      <c r="A261" s="2" t="s">
        <v>13</v>
      </c>
      <c r="B261" s="4">
        <v>46055</v>
      </c>
      <c r="C261" s="5">
        <v>0.72077546296296291</v>
      </c>
      <c r="D261" s="9" t="s">
        <v>1967</v>
      </c>
      <c r="E261" s="9" t="s">
        <v>8</v>
      </c>
      <c r="F261" s="9"/>
      <c r="H261" s="9"/>
      <c r="I261" s="9" t="s">
        <v>11275</v>
      </c>
      <c r="J261" s="9" t="s">
        <v>2939</v>
      </c>
      <c r="K261" t="s">
        <v>11276</v>
      </c>
      <c r="L261" t="s">
        <v>11277</v>
      </c>
      <c r="M261" s="3" t="str">
        <f>HYPERLINK(склад2въезд13192021[[#This Row],[RelativePath]])</f>
        <v>7 Площадка 2 бетонщики\K07156189_18_20260202T171755Z.jpg</v>
      </c>
    </row>
    <row r="262" spans="1:13" x14ac:dyDescent="0.25">
      <c r="A262" s="2" t="s">
        <v>14</v>
      </c>
      <c r="B262" s="4">
        <v>46056</v>
      </c>
      <c r="C262" s="5">
        <v>0.69887731481481485</v>
      </c>
      <c r="D262" s="9" t="s">
        <v>1967</v>
      </c>
      <c r="E262" s="9" t="s">
        <v>8</v>
      </c>
      <c r="F262" s="9"/>
      <c r="H262" s="9"/>
      <c r="I262" s="9" t="s">
        <v>11278</v>
      </c>
      <c r="J262" s="9" t="s">
        <v>2939</v>
      </c>
      <c r="K262" t="s">
        <v>11279</v>
      </c>
      <c r="L262" t="s">
        <v>11280</v>
      </c>
      <c r="M262" s="3" t="str">
        <f>HYPERLINK(склад2въезд13192021[[#This Row],[RelativePath]])</f>
        <v>7 Площадка 2 бетонщики\K07156189_18_20260203T164623Z.jpg</v>
      </c>
    </row>
    <row r="263" spans="1:13" x14ac:dyDescent="0.25">
      <c r="A263" s="2" t="s">
        <v>15</v>
      </c>
      <c r="B263" s="4">
        <v>46057</v>
      </c>
      <c r="C263" s="5">
        <v>0.66939814814814813</v>
      </c>
      <c r="D263" s="9" t="s">
        <v>1967</v>
      </c>
      <c r="E263" s="9" t="s">
        <v>8</v>
      </c>
      <c r="F263" s="9"/>
      <c r="H263" s="9"/>
      <c r="I263" s="9" t="s">
        <v>11494</v>
      </c>
      <c r="J263" s="9" t="s">
        <v>2939</v>
      </c>
      <c r="K263" t="s">
        <v>11495</v>
      </c>
      <c r="L263" t="s">
        <v>11496</v>
      </c>
      <c r="M263" s="3" t="str">
        <f>HYPERLINK(склад2въезд13192021[[#This Row],[RelativePath]])</f>
        <v>7 Площадка 2 бетонщики\K07156189_18_20260204T160356Z.jpg</v>
      </c>
    </row>
    <row r="264" spans="1:13" x14ac:dyDescent="0.25">
      <c r="A264" s="2" t="s">
        <v>16</v>
      </c>
      <c r="B264" s="4">
        <v>46058</v>
      </c>
      <c r="C264" s="5">
        <v>0.69550925925925922</v>
      </c>
      <c r="D264" s="9" t="s">
        <v>1967</v>
      </c>
      <c r="E264" s="9" t="s">
        <v>8</v>
      </c>
      <c r="F264" s="9"/>
      <c r="H264" s="9"/>
      <c r="I264" s="9" t="s">
        <v>11497</v>
      </c>
      <c r="J264" s="9" t="s">
        <v>2939</v>
      </c>
      <c r="K264" t="s">
        <v>11498</v>
      </c>
      <c r="L264" t="s">
        <v>11499</v>
      </c>
      <c r="M264" s="3" t="str">
        <f>HYPERLINK(склад2въезд13192021[[#This Row],[RelativePath]])</f>
        <v>7 Площадка 2 бетонщики\K07156189_18_20260205T164132Z.jpg</v>
      </c>
    </row>
    <row r="265" spans="1:13" x14ac:dyDescent="0.25">
      <c r="A265" s="2" t="s">
        <v>17</v>
      </c>
      <c r="B265" s="4">
        <v>46059</v>
      </c>
      <c r="C265" s="5">
        <v>0.67675925925925928</v>
      </c>
      <c r="D265" s="9" t="s">
        <v>1967</v>
      </c>
      <c r="E265" s="9" t="s">
        <v>8</v>
      </c>
      <c r="F265" s="9"/>
      <c r="H265" s="9"/>
      <c r="I265" s="9" t="s">
        <v>11500</v>
      </c>
      <c r="J265" s="9" t="s">
        <v>2939</v>
      </c>
      <c r="K265" t="s">
        <v>11501</v>
      </c>
      <c r="L265" t="s">
        <v>11502</v>
      </c>
      <c r="M265" s="3" t="str">
        <f>HYPERLINK(склад2въезд13192021[[#This Row],[RelativePath]])</f>
        <v>7 Площадка 2 бетонщики\K07156189_18_20260206T161432Z.jpg</v>
      </c>
    </row>
    <row r="266" spans="1:13" x14ac:dyDescent="0.25">
      <c r="A266" s="2" t="s">
        <v>18</v>
      </c>
      <c r="B266" s="4">
        <v>46060</v>
      </c>
      <c r="C266" s="5">
        <v>0.75275462962962958</v>
      </c>
      <c r="D266" s="9" t="s">
        <v>1967</v>
      </c>
      <c r="E266" s="9" t="s">
        <v>8</v>
      </c>
      <c r="F266" s="9"/>
      <c r="H266" s="9"/>
      <c r="I266" s="9" t="s">
        <v>11626</v>
      </c>
      <c r="J266" s="9" t="s">
        <v>2939</v>
      </c>
      <c r="K266" t="s">
        <v>11627</v>
      </c>
      <c r="L266" t="s">
        <v>11628</v>
      </c>
      <c r="M266" s="3" t="str">
        <f>HYPERLINK(склад2въезд13192021[[#This Row],[RelativePath]])</f>
        <v>7 Площадка 2 бетонщики\K07156189_18_20260207T180358Z.jpg</v>
      </c>
    </row>
    <row r="267" spans="1:13" x14ac:dyDescent="0.25">
      <c r="A267" s="2" t="s">
        <v>22</v>
      </c>
      <c r="B267" s="4">
        <v>46061</v>
      </c>
      <c r="C267" s="5">
        <v>0.70277777777777772</v>
      </c>
      <c r="D267" s="9" t="s">
        <v>1967</v>
      </c>
      <c r="E267" s="9" t="s">
        <v>8</v>
      </c>
      <c r="F267" s="9"/>
      <c r="H267" s="9"/>
      <c r="I267" s="9" t="s">
        <v>11629</v>
      </c>
      <c r="J267" s="9" t="s">
        <v>2939</v>
      </c>
      <c r="K267" t="s">
        <v>11630</v>
      </c>
      <c r="L267" t="s">
        <v>11631</v>
      </c>
      <c r="M267" s="3" t="str">
        <f>HYPERLINK(склад2въезд13192021[[#This Row],[RelativePath]])</f>
        <v>7 Площадка 2 бетонщики\K07156189_18_20260208T165200Z.jpg</v>
      </c>
    </row>
    <row r="268" spans="1:13" x14ac:dyDescent="0.25">
      <c r="A268" s="2" t="s">
        <v>13</v>
      </c>
      <c r="B268" s="4">
        <v>46062</v>
      </c>
      <c r="C268" s="5">
        <v>0.66651620370370368</v>
      </c>
      <c r="D268" s="9" t="s">
        <v>4</v>
      </c>
      <c r="E268" s="9" t="s">
        <v>9791</v>
      </c>
      <c r="F268" s="9"/>
      <c r="H268" s="9"/>
      <c r="I268" s="9" t="s">
        <v>11634</v>
      </c>
      <c r="J268" s="9" t="s">
        <v>2939</v>
      </c>
      <c r="K268" t="s">
        <v>11635</v>
      </c>
      <c r="L268" t="s">
        <v>11636</v>
      </c>
      <c r="M268" s="3" t="str">
        <f>HYPERLINK(склад2въезд13192021[[#This Row],[RelativePath]])</f>
        <v>7 Площадка 2 бетонщики\K07156189_18_20260209T155947Z.jpg</v>
      </c>
    </row>
    <row r="269" spans="1:13" x14ac:dyDescent="0.25">
      <c r="A269" s="2" t="s">
        <v>13</v>
      </c>
      <c r="B269" s="4">
        <v>46062</v>
      </c>
      <c r="C269" s="5">
        <v>0.75518518518518518</v>
      </c>
      <c r="D269" s="9" t="s">
        <v>4</v>
      </c>
      <c r="E269" s="9" t="s">
        <v>8</v>
      </c>
      <c r="F269" s="9"/>
      <c r="H269" s="9"/>
      <c r="I269" s="9" t="s">
        <v>11637</v>
      </c>
      <c r="J269" s="9" t="s">
        <v>2939</v>
      </c>
      <c r="K269" t="s">
        <v>11638</v>
      </c>
      <c r="L269" t="s">
        <v>11639</v>
      </c>
      <c r="M269" s="3" t="str">
        <f>HYPERLINK(склад2въезд13192021[[#This Row],[RelativePath]])</f>
        <v>7 Площадка 2 бетонщики\K07156189_18_20260209T180728Z.jpg</v>
      </c>
    </row>
    <row r="270" spans="1:13" x14ac:dyDescent="0.25">
      <c r="A270" s="2" t="s">
        <v>14</v>
      </c>
      <c r="B270" s="4">
        <v>46063</v>
      </c>
      <c r="C270" s="5">
        <v>0.40858796296296296</v>
      </c>
      <c r="D270" s="9" t="s">
        <v>4</v>
      </c>
      <c r="E270" s="9" t="s">
        <v>9791</v>
      </c>
      <c r="F270" s="9"/>
      <c r="H270" s="9"/>
      <c r="I270" s="9" t="s">
        <v>11640</v>
      </c>
      <c r="J270" s="9" t="s">
        <v>2939</v>
      </c>
      <c r="K270" t="s">
        <v>11641</v>
      </c>
      <c r="L270" t="s">
        <v>11642</v>
      </c>
      <c r="M270" s="3" t="str">
        <f>HYPERLINK(склад2въезд13192021[[#This Row],[RelativePath]])</f>
        <v>7 Площадка 2 бетонщики\K07156189_18_20260210T094822Z.jpg</v>
      </c>
    </row>
    <row r="271" spans="1:13" x14ac:dyDescent="0.25">
      <c r="A271" s="2" t="s">
        <v>14</v>
      </c>
      <c r="B271" s="4">
        <v>46063</v>
      </c>
      <c r="C271" s="5">
        <v>0.62464120370370368</v>
      </c>
      <c r="D271" s="9" t="s">
        <v>4</v>
      </c>
      <c r="E271" s="9" t="s">
        <v>9791</v>
      </c>
      <c r="F271" s="9"/>
      <c r="H271" s="9"/>
      <c r="I271" s="9" t="s">
        <v>11643</v>
      </c>
      <c r="J271" s="9" t="s">
        <v>2939</v>
      </c>
      <c r="K271" t="s">
        <v>11644</v>
      </c>
      <c r="L271" t="s">
        <v>11645</v>
      </c>
      <c r="M271" s="3" t="str">
        <f>HYPERLINK(склад2въезд13192021[[#This Row],[RelativePath]])</f>
        <v>7 Площадка 2 бетонщики\K07156189_18_20260210T145929Z.jpg</v>
      </c>
    </row>
    <row r="272" spans="1:13" x14ac:dyDescent="0.25">
      <c r="A272" s="2" t="s">
        <v>14</v>
      </c>
      <c r="B272" s="4">
        <v>46063</v>
      </c>
      <c r="C272" s="5">
        <v>0.76784722222222224</v>
      </c>
      <c r="D272" s="9" t="s">
        <v>11811</v>
      </c>
      <c r="E272" s="9"/>
      <c r="F272" s="9"/>
      <c r="H272" s="9"/>
      <c r="I272" s="9" t="s">
        <v>11646</v>
      </c>
      <c r="J272" s="9" t="s">
        <v>2939</v>
      </c>
      <c r="K272" t="s">
        <v>11647</v>
      </c>
      <c r="L272" t="s">
        <v>11648</v>
      </c>
      <c r="M272" s="3" t="str">
        <f>HYPERLINK(склад2въезд13192021[[#This Row],[RelativePath]])</f>
        <v>7 Площадка 2 бетонщики\K07156189_18_20260210T182542Z.jpg</v>
      </c>
    </row>
    <row r="273" spans="1:13" x14ac:dyDescent="0.25">
      <c r="A273" s="2" t="s">
        <v>14</v>
      </c>
      <c r="B273" s="4">
        <v>46063</v>
      </c>
      <c r="C273" s="5">
        <v>0.77371527777777782</v>
      </c>
      <c r="D273" s="9" t="s">
        <v>4</v>
      </c>
      <c r="E273" s="9" t="s">
        <v>8</v>
      </c>
      <c r="F273" s="9"/>
      <c r="H273" s="9"/>
      <c r="I273" s="9" t="s">
        <v>11649</v>
      </c>
      <c r="J273" s="9" t="s">
        <v>2939</v>
      </c>
      <c r="K273" t="s">
        <v>11650</v>
      </c>
      <c r="L273" t="s">
        <v>11651</v>
      </c>
      <c r="M273" s="3" t="str">
        <f>HYPERLINK(склад2въезд13192021[[#This Row],[RelativePath]])</f>
        <v>7 Площадка 2 бетонщики\K07156189_18_20260210T183409Z.jpg</v>
      </c>
    </row>
    <row r="274" spans="1:13" x14ac:dyDescent="0.25">
      <c r="A274" s="2" t="s">
        <v>15</v>
      </c>
      <c r="B274" s="4">
        <v>46064</v>
      </c>
      <c r="C274" s="5">
        <v>0.45231481481481484</v>
      </c>
      <c r="D274" s="9" t="s">
        <v>4</v>
      </c>
      <c r="E274" s="9" t="s">
        <v>8</v>
      </c>
      <c r="F274" s="9"/>
      <c r="H274" s="9"/>
      <c r="I274" s="9" t="s">
        <v>11652</v>
      </c>
      <c r="J274" s="9" t="s">
        <v>2939</v>
      </c>
      <c r="K274" t="s">
        <v>11653</v>
      </c>
      <c r="L274" t="s">
        <v>11654</v>
      </c>
      <c r="M274" s="3" t="str">
        <f>HYPERLINK(склад2въезд13192021[[#This Row],[RelativePath]])</f>
        <v>7 Площадка 2 бетонщики\K07156189_18_20260211T105120Z.jpg</v>
      </c>
    </row>
    <row r="275" spans="1:13" x14ac:dyDescent="0.25">
      <c r="A275" s="2" t="s">
        <v>15</v>
      </c>
      <c r="B275" s="4">
        <v>46064</v>
      </c>
      <c r="C275" s="5">
        <v>0.5962615740740741</v>
      </c>
      <c r="D275" s="9" t="s">
        <v>4</v>
      </c>
      <c r="E275" s="9" t="s">
        <v>8</v>
      </c>
      <c r="F275" s="9"/>
      <c r="H275" s="9"/>
      <c r="I275" s="9" t="s">
        <v>11655</v>
      </c>
      <c r="J275" s="9" t="s">
        <v>2939</v>
      </c>
      <c r="K275" t="s">
        <v>11656</v>
      </c>
      <c r="L275" t="s">
        <v>11657</v>
      </c>
      <c r="M275" s="3" t="str">
        <f>HYPERLINK(склад2въезд13192021[[#This Row],[RelativePath]])</f>
        <v>7 Площадка 2 бетонщики\K07156189_18_20260211T141837Z.jpg</v>
      </c>
    </row>
    <row r="276" spans="1:13" x14ac:dyDescent="0.25">
      <c r="A276" s="2" t="s">
        <v>16</v>
      </c>
      <c r="B276" s="4">
        <v>46065</v>
      </c>
      <c r="C276" s="5">
        <v>0.4445486111111111</v>
      </c>
      <c r="D276" s="9" t="s">
        <v>4</v>
      </c>
      <c r="E276" s="9" t="s">
        <v>8</v>
      </c>
      <c r="F276" s="9"/>
      <c r="H276" s="9"/>
      <c r="I276" s="9" t="s">
        <v>11658</v>
      </c>
      <c r="J276" s="9" t="s">
        <v>2939</v>
      </c>
      <c r="K276" t="s">
        <v>11659</v>
      </c>
      <c r="L276" t="s">
        <v>11660</v>
      </c>
      <c r="M276" s="3" t="str">
        <f>HYPERLINK(склад2въезд13192021[[#This Row],[RelativePath]])</f>
        <v>7 Площадка 2 бетонщики\K07156189_18_20260212T104009Z.jpg</v>
      </c>
    </row>
    <row r="277" spans="1:13" x14ac:dyDescent="0.25">
      <c r="A277" s="2" t="s">
        <v>16</v>
      </c>
      <c r="B277" s="4">
        <v>46065</v>
      </c>
      <c r="C277" s="5">
        <v>0.50905092592592593</v>
      </c>
      <c r="D277" s="9" t="s">
        <v>11812</v>
      </c>
      <c r="E277" s="9" t="s">
        <v>2887</v>
      </c>
      <c r="F277" s="9"/>
      <c r="H277" s="9"/>
      <c r="I277" s="9" t="s">
        <v>11661</v>
      </c>
      <c r="J277" s="9" t="s">
        <v>2939</v>
      </c>
      <c r="K277" t="s">
        <v>11662</v>
      </c>
      <c r="L277" t="s">
        <v>11663</v>
      </c>
      <c r="M277" s="3" t="str">
        <f>HYPERLINK(склад2въезд13192021[[#This Row],[RelativePath]])</f>
        <v>7 Площадка 2 бетонщики\K07156189_18_20260212T121302Z.jpg</v>
      </c>
    </row>
    <row r="278" spans="1:13" x14ac:dyDescent="0.25">
      <c r="A278" s="2" t="s">
        <v>16</v>
      </c>
      <c r="B278" s="4">
        <v>46065</v>
      </c>
      <c r="C278" s="5">
        <v>0.51561342592592596</v>
      </c>
      <c r="D278" s="9" t="s">
        <v>4</v>
      </c>
      <c r="E278" s="9" t="s">
        <v>9791</v>
      </c>
      <c r="F278" s="9"/>
      <c r="H278" s="9"/>
      <c r="I278" s="9" t="s">
        <v>11664</v>
      </c>
      <c r="J278" s="9" t="s">
        <v>2939</v>
      </c>
      <c r="K278" t="s">
        <v>11665</v>
      </c>
      <c r="L278" t="s">
        <v>11666</v>
      </c>
      <c r="M278" s="3" t="str">
        <f>HYPERLINK(склад2въезд13192021[[#This Row],[RelativePath]])</f>
        <v>7 Площадка 2 бетонщики\K07156189_18_20260212T122229Z.jpg</v>
      </c>
    </row>
    <row r="279" spans="1:13" x14ac:dyDescent="0.25">
      <c r="A279" s="2" t="s">
        <v>16</v>
      </c>
      <c r="B279" s="4">
        <v>46065</v>
      </c>
      <c r="C279" s="5">
        <v>0.73291666666666666</v>
      </c>
      <c r="D279" s="9" t="s">
        <v>4</v>
      </c>
      <c r="E279" s="9" t="s">
        <v>8</v>
      </c>
      <c r="F279" s="9"/>
      <c r="H279" s="9"/>
      <c r="I279" s="9" t="s">
        <v>11667</v>
      </c>
      <c r="J279" s="9" t="s">
        <v>2939</v>
      </c>
      <c r="K279" t="s">
        <v>11668</v>
      </c>
      <c r="L279" t="s">
        <v>11669</v>
      </c>
      <c r="M279" s="3" t="str">
        <f>HYPERLINK(склад2въезд13192021[[#This Row],[RelativePath]])</f>
        <v>7 Площадка 2 бетонщики\K07156189_18_20260212T173524Z.jpg</v>
      </c>
    </row>
    <row r="280" spans="1:13" x14ac:dyDescent="0.25">
      <c r="A280" s="2" t="s">
        <v>17</v>
      </c>
      <c r="B280" s="4">
        <v>46066</v>
      </c>
      <c r="C280" s="5">
        <v>0.39611111111111114</v>
      </c>
      <c r="D280" s="9" t="s">
        <v>4</v>
      </c>
      <c r="E280" s="9" t="s">
        <v>4189</v>
      </c>
      <c r="F280" s="9"/>
      <c r="H280" s="9"/>
      <c r="I280" s="9" t="s">
        <v>11868</v>
      </c>
      <c r="J280" s="9" t="s">
        <v>2939</v>
      </c>
      <c r="K280" t="s">
        <v>11869</v>
      </c>
      <c r="L280" t="s">
        <v>11870</v>
      </c>
      <c r="M280" s="3" t="str">
        <f>HYPERLINK(склад2въезд13192021[[#This Row],[RelativePath]])</f>
        <v>7 Площадка 2 бетонщики\K07156189_18_20260213T093024Z.jpg</v>
      </c>
    </row>
    <row r="281" spans="1:13" x14ac:dyDescent="0.25">
      <c r="A281" s="2" t="s">
        <v>17</v>
      </c>
      <c r="B281" s="4">
        <v>46066</v>
      </c>
      <c r="C281" s="5">
        <v>0.70337962962962963</v>
      </c>
      <c r="D281" s="9" t="s">
        <v>4</v>
      </c>
      <c r="E281" s="9" t="s">
        <v>4189</v>
      </c>
      <c r="F281" s="9"/>
      <c r="H281" s="9" t="s">
        <v>2891</v>
      </c>
      <c r="I281" s="9" t="s">
        <v>11871</v>
      </c>
      <c r="J281" s="9" t="s">
        <v>2939</v>
      </c>
      <c r="K281" t="s">
        <v>11872</v>
      </c>
      <c r="L281" t="s">
        <v>11873</v>
      </c>
      <c r="M281" s="3" t="str">
        <f>HYPERLINK(склад2въезд13192021[[#This Row],[RelativePath]])</f>
        <v>7 Площадка 2 бетонщики\K07156189_18_20260213T165252Z.jpg</v>
      </c>
    </row>
    <row r="282" spans="1:13" x14ac:dyDescent="0.25">
      <c r="A282" s="2" t="s">
        <v>18</v>
      </c>
      <c r="B282" s="4">
        <v>46067</v>
      </c>
      <c r="C282" s="5">
        <v>0.64269675925925929</v>
      </c>
      <c r="D282" s="9" t="s">
        <v>1967</v>
      </c>
      <c r="E282" s="9" t="s">
        <v>8</v>
      </c>
      <c r="F282" s="9"/>
      <c r="H282" s="9"/>
      <c r="I282" s="9" t="s">
        <v>11874</v>
      </c>
      <c r="J282" s="9" t="s">
        <v>2939</v>
      </c>
      <c r="K282" t="s">
        <v>11875</v>
      </c>
      <c r="L282" t="s">
        <v>11876</v>
      </c>
      <c r="M282" s="3" t="str">
        <f>HYPERLINK(склад2въезд13192021[[#This Row],[RelativePath]])</f>
        <v>7 Площадка 2 бетонщики\K07156189_18_20260214T152529Z.jpg</v>
      </c>
    </row>
    <row r="283" spans="1:13" x14ac:dyDescent="0.25">
      <c r="A283" s="2" t="s">
        <v>22</v>
      </c>
      <c r="B283" s="4">
        <v>46068</v>
      </c>
      <c r="C283" s="5">
        <v>0.67565972222222226</v>
      </c>
      <c r="D283" s="9" t="s">
        <v>1967</v>
      </c>
      <c r="E283" s="9" t="s">
        <v>8</v>
      </c>
      <c r="F283" s="9"/>
      <c r="H283" s="9"/>
      <c r="I283" s="9" t="s">
        <v>11908</v>
      </c>
      <c r="J283" s="9" t="s">
        <v>2939</v>
      </c>
      <c r="K283" t="s">
        <v>11909</v>
      </c>
      <c r="L283" t="s">
        <v>11910</v>
      </c>
      <c r="M283" s="3" t="str">
        <f>HYPERLINK(склад2въезд13192021[[#This Row],[RelativePath]])</f>
        <v>7 Площадка 2 бетонщики\K07156189_18_20260215T161257Z.jpg</v>
      </c>
    </row>
    <row r="284" spans="1:13" x14ac:dyDescent="0.25">
      <c r="A284" s="2" t="s">
        <v>13</v>
      </c>
      <c r="B284" s="4">
        <v>46069</v>
      </c>
      <c r="C284" s="5">
        <v>0.50343749999999998</v>
      </c>
      <c r="D284" s="9" t="s">
        <v>4</v>
      </c>
      <c r="E284" s="9" t="s">
        <v>12232</v>
      </c>
      <c r="F284" s="9"/>
      <c r="H284" s="9"/>
      <c r="I284" s="9" t="s">
        <v>12061</v>
      </c>
      <c r="J284" s="9" t="s">
        <v>2939</v>
      </c>
      <c r="K284" t="s">
        <v>12062</v>
      </c>
      <c r="L284" t="s">
        <v>12209</v>
      </c>
      <c r="M284" s="3" t="str">
        <f>HYPERLINK(склад2въезд13192021[[#This Row],[RelativePath]])</f>
        <v>7 Площадка 2 бетонщики\134160575_1_20260216T120457Z.jpg</v>
      </c>
    </row>
    <row r="285" spans="1:13" x14ac:dyDescent="0.25">
      <c r="A285" s="2" t="s">
        <v>13</v>
      </c>
      <c r="B285" s="4">
        <v>46069</v>
      </c>
      <c r="C285" s="5">
        <v>0.51503472222222224</v>
      </c>
      <c r="D285" s="9" t="s">
        <v>9754</v>
      </c>
      <c r="E285" s="9"/>
      <c r="F285" s="9"/>
      <c r="H285" s="9"/>
      <c r="I285" s="9" t="s">
        <v>12063</v>
      </c>
      <c r="J285" s="9" t="s">
        <v>2939</v>
      </c>
      <c r="K285" t="s">
        <v>12064</v>
      </c>
      <c r="L285" t="s">
        <v>12210</v>
      </c>
      <c r="M285" s="3" t="str">
        <f>HYPERLINK(склад2въезд13192021[[#This Row],[RelativePath]])</f>
        <v>7 Площадка 2 бетонщики\134160575_1_20260216T122139Z.jpg</v>
      </c>
    </row>
    <row r="286" spans="1:13" x14ac:dyDescent="0.25">
      <c r="A286" s="2" t="s">
        <v>13</v>
      </c>
      <c r="B286" s="4">
        <v>46069</v>
      </c>
      <c r="C286" s="5">
        <v>0.56626157407407407</v>
      </c>
      <c r="D286" s="9" t="s">
        <v>9754</v>
      </c>
      <c r="E286" s="9"/>
      <c r="F286" s="9"/>
      <c r="H286" s="9"/>
      <c r="I286" s="9" t="s">
        <v>12065</v>
      </c>
      <c r="J286" s="9" t="s">
        <v>2939</v>
      </c>
      <c r="K286" t="s">
        <v>12066</v>
      </c>
      <c r="L286" t="s">
        <v>12211</v>
      </c>
      <c r="M286" s="3" t="str">
        <f>HYPERLINK(склад2въезд13192021[[#This Row],[RelativePath]])</f>
        <v>7 Площадка 2 бетонщики\134160575_1_20260216T133525Z.jpg</v>
      </c>
    </row>
    <row r="287" spans="1:13" x14ac:dyDescent="0.25">
      <c r="A287" s="2" t="s">
        <v>13</v>
      </c>
      <c r="B287" s="4">
        <v>46069</v>
      </c>
      <c r="C287" s="5">
        <v>0.68730324074074078</v>
      </c>
      <c r="D287" s="9" t="s">
        <v>9754</v>
      </c>
      <c r="E287" s="9"/>
      <c r="F287" s="9"/>
      <c r="H287" s="9"/>
      <c r="I287" s="9" t="s">
        <v>12067</v>
      </c>
      <c r="J287" s="9" t="s">
        <v>2939</v>
      </c>
      <c r="K287" t="s">
        <v>12068</v>
      </c>
      <c r="L287" t="s">
        <v>12212</v>
      </c>
      <c r="M287" s="3" t="str">
        <f>HYPERLINK(склад2въезд13192021[[#This Row],[RelativePath]])</f>
        <v>7 Площадка 2 бетонщики\134160575_1_20260216T162943Z.jpg</v>
      </c>
    </row>
    <row r="288" spans="1:13" x14ac:dyDescent="0.25">
      <c r="A288" s="2" t="s">
        <v>14</v>
      </c>
      <c r="B288" s="4">
        <v>46070</v>
      </c>
      <c r="C288" s="5">
        <v>0.44559027777777777</v>
      </c>
      <c r="D288" s="9" t="s">
        <v>9754</v>
      </c>
      <c r="E288" s="9"/>
      <c r="F288" s="9"/>
      <c r="H288" s="9"/>
      <c r="I288" s="9" t="s">
        <v>12069</v>
      </c>
      <c r="J288" s="9" t="s">
        <v>2939</v>
      </c>
      <c r="K288" t="s">
        <v>12070</v>
      </c>
      <c r="L288" t="s">
        <v>12213</v>
      </c>
      <c r="M288" s="3" t="str">
        <f>HYPERLINK(склад2въезд13192021[[#This Row],[RelativePath]])</f>
        <v>7 Площадка 2 бетонщики\134160575_1_20260217T104139Z.jpg</v>
      </c>
    </row>
    <row r="289" spans="1:13" x14ac:dyDescent="0.25">
      <c r="A289" s="2" t="s">
        <v>14</v>
      </c>
      <c r="B289" s="4">
        <v>46070</v>
      </c>
      <c r="C289" s="5">
        <v>0.60366898148148151</v>
      </c>
      <c r="D289" s="9" t="s">
        <v>9754</v>
      </c>
      <c r="E289" s="9"/>
      <c r="F289" s="9"/>
      <c r="H289" s="9"/>
      <c r="I289" s="9" t="s">
        <v>12071</v>
      </c>
      <c r="J289" s="9" t="s">
        <v>2939</v>
      </c>
      <c r="K289" t="s">
        <v>12072</v>
      </c>
      <c r="L289" t="s">
        <v>12214</v>
      </c>
      <c r="M289" s="3" t="str">
        <f>HYPERLINK(склад2въезд13192021[[#This Row],[RelativePath]])</f>
        <v>7 Площадка 2 бетонщики\134160575_1_20260217T142917Z.jpg</v>
      </c>
    </row>
    <row r="290" spans="1:13" x14ac:dyDescent="0.25">
      <c r="A290" s="2" t="s">
        <v>14</v>
      </c>
      <c r="B290" s="4">
        <v>46070</v>
      </c>
      <c r="C290" s="5">
        <v>0.71502314814814816</v>
      </c>
      <c r="D290" s="9" t="s">
        <v>9754</v>
      </c>
      <c r="E290" s="9"/>
      <c r="F290" s="9"/>
      <c r="H290" s="9"/>
      <c r="I290" s="9" t="s">
        <v>12073</v>
      </c>
      <c r="J290" s="9" t="s">
        <v>2939</v>
      </c>
      <c r="K290" t="s">
        <v>12074</v>
      </c>
      <c r="L290" t="s">
        <v>12215</v>
      </c>
      <c r="M290" s="3" t="str">
        <f>HYPERLINK(склад2въезд13192021[[#This Row],[RelativePath]])</f>
        <v>7 Площадка 2 бетонщики\134160575_1_20260217T170938Z.jpg</v>
      </c>
    </row>
    <row r="291" spans="1:13" x14ac:dyDescent="0.25">
      <c r="A291" s="2" t="s">
        <v>15</v>
      </c>
      <c r="B291" s="4">
        <v>46071</v>
      </c>
      <c r="C291" s="5">
        <v>0.40998842592592594</v>
      </c>
      <c r="D291" s="9" t="s">
        <v>9754</v>
      </c>
      <c r="E291" s="9"/>
      <c r="F291" s="9"/>
      <c r="H291" s="9"/>
      <c r="I291" s="9" t="s">
        <v>12075</v>
      </c>
      <c r="J291" s="9" t="s">
        <v>2939</v>
      </c>
      <c r="K291" t="s">
        <v>12076</v>
      </c>
      <c r="L291" t="s">
        <v>12216</v>
      </c>
      <c r="M291" s="3" t="str">
        <f>HYPERLINK(склад2въезд13192021[[#This Row],[RelativePath]])</f>
        <v>7 Площадка 2 бетонщики\134160575_1_20260218T095023Z.jpg</v>
      </c>
    </row>
    <row r="292" spans="1:13" x14ac:dyDescent="0.25">
      <c r="A292" s="2" t="s">
        <v>15</v>
      </c>
      <c r="B292" s="4">
        <v>46071</v>
      </c>
      <c r="C292" s="5">
        <v>0.42702546296296295</v>
      </c>
      <c r="D292" s="9" t="s">
        <v>9754</v>
      </c>
      <c r="E292" s="9"/>
      <c r="F292" s="9"/>
      <c r="H292" s="9"/>
      <c r="I292" s="9" t="s">
        <v>12077</v>
      </c>
      <c r="J292" s="9" t="s">
        <v>2939</v>
      </c>
      <c r="K292" t="s">
        <v>12078</v>
      </c>
      <c r="L292" t="s">
        <v>12217</v>
      </c>
      <c r="M292" s="3" t="str">
        <f>HYPERLINK(склад2въезд13192021[[#This Row],[RelativePath]])</f>
        <v>7 Площадка 2 бетонщики\134160575_1_20260218T101455Z.jpg</v>
      </c>
    </row>
    <row r="293" spans="1:13" x14ac:dyDescent="0.25">
      <c r="A293" s="2" t="s">
        <v>15</v>
      </c>
      <c r="B293" s="4">
        <v>46071</v>
      </c>
      <c r="C293" s="5">
        <v>0.51657407407407407</v>
      </c>
      <c r="D293" s="9" t="s">
        <v>159</v>
      </c>
      <c r="E293" s="9" t="s">
        <v>12222</v>
      </c>
      <c r="F293" s="9"/>
      <c r="H293" s="9"/>
      <c r="I293" s="9" t="s">
        <v>12079</v>
      </c>
      <c r="J293" s="9" t="s">
        <v>2939</v>
      </c>
      <c r="K293" t="s">
        <v>12080</v>
      </c>
      <c r="L293" t="s">
        <v>12218</v>
      </c>
      <c r="M293" s="3" t="str">
        <f>HYPERLINK(склад2въезд13192021[[#This Row],[RelativePath]])</f>
        <v>7 Площадка 2 бетонщики\134160575_1_20260218T122352Z.jpg</v>
      </c>
    </row>
    <row r="294" spans="1:13" x14ac:dyDescent="0.25">
      <c r="A294" s="2" t="s">
        <v>15</v>
      </c>
      <c r="B294" s="4">
        <v>46071</v>
      </c>
      <c r="C294" s="5">
        <v>0.77922453703703709</v>
      </c>
      <c r="D294" s="9" t="s">
        <v>4</v>
      </c>
      <c r="E294" s="9" t="s">
        <v>8</v>
      </c>
      <c r="F294" s="9"/>
      <c r="H294" s="9"/>
      <c r="I294" s="9" t="s">
        <v>12081</v>
      </c>
      <c r="J294" s="9" t="s">
        <v>2939</v>
      </c>
      <c r="K294" t="s">
        <v>12082</v>
      </c>
      <c r="L294" t="s">
        <v>12219</v>
      </c>
      <c r="M294" s="3" t="str">
        <f>HYPERLINK(склад2въезд13192021[[#This Row],[RelativePath]])</f>
        <v>7 Площадка 2 бетонщики\134160575_1_20260218T184205Z.jpg</v>
      </c>
    </row>
    <row r="295" spans="1:13" x14ac:dyDescent="0.25">
      <c r="A295" s="2" t="s">
        <v>16</v>
      </c>
      <c r="B295" s="4">
        <v>46072</v>
      </c>
      <c r="C295" s="5">
        <v>0.42626157407407406</v>
      </c>
      <c r="D295" s="9" t="s">
        <v>11</v>
      </c>
      <c r="E295" s="9"/>
      <c r="F295" s="9"/>
      <c r="H295" s="9" t="s">
        <v>2891</v>
      </c>
      <c r="I295" s="9" t="s">
        <v>12323</v>
      </c>
      <c r="J295" s="9" t="s">
        <v>2939</v>
      </c>
      <c r="K295" t="s">
        <v>12324</v>
      </c>
      <c r="L295" t="s">
        <v>12325</v>
      </c>
      <c r="M295" s="3" t="str">
        <f>HYPERLINK(склад2въезд13192021[[#This Row],[RelativePath]])</f>
        <v>7 Площадка 2 бетонщики\134160575_1_20260219T101349Z.jpg</v>
      </c>
    </row>
    <row r="296" spans="1:13" x14ac:dyDescent="0.25">
      <c r="A296" s="2" t="s">
        <v>16</v>
      </c>
      <c r="B296" s="4">
        <v>46072</v>
      </c>
      <c r="C296" s="5">
        <v>0.50531250000000005</v>
      </c>
      <c r="D296" s="9" t="s">
        <v>11</v>
      </c>
      <c r="E296" s="9"/>
      <c r="F296" s="9"/>
      <c r="H296" s="9" t="s">
        <v>2891</v>
      </c>
      <c r="I296" s="9" t="s">
        <v>12326</v>
      </c>
      <c r="J296" s="9" t="s">
        <v>2939</v>
      </c>
      <c r="K296" t="s">
        <v>12327</v>
      </c>
      <c r="L296" t="s">
        <v>12328</v>
      </c>
      <c r="M296" s="3" t="str">
        <f>HYPERLINK(склад2въезд13192021[[#This Row],[RelativePath]])</f>
        <v>7 Площадка 2 бетонщики\134160575_1_20260219T120739Z.jpg</v>
      </c>
    </row>
    <row r="297" spans="1:13" x14ac:dyDescent="0.25">
      <c r="A297" s="2" t="s">
        <v>16</v>
      </c>
      <c r="B297" s="4">
        <v>46072</v>
      </c>
      <c r="C297" s="5">
        <v>0.51907407407407402</v>
      </c>
      <c r="D297" s="9" t="s">
        <v>11</v>
      </c>
      <c r="E297" s="9"/>
      <c r="F297" s="9"/>
      <c r="H297" s="9"/>
      <c r="I297" s="9" t="s">
        <v>12329</v>
      </c>
      <c r="J297" s="9" t="s">
        <v>2939</v>
      </c>
      <c r="K297" t="s">
        <v>12330</v>
      </c>
      <c r="L297" t="s">
        <v>12331</v>
      </c>
      <c r="M297" s="3" t="str">
        <f>HYPERLINK(склад2въезд13192021[[#This Row],[RelativePath]])</f>
        <v>7 Площадка 2 бетонщики\134160575_1_20260219T122728Z.jpg</v>
      </c>
    </row>
    <row r="298" spans="1:13" x14ac:dyDescent="0.25">
      <c r="A298" s="2" t="s">
        <v>16</v>
      </c>
      <c r="B298" s="4">
        <v>46072</v>
      </c>
      <c r="C298" s="5">
        <v>0.64537037037037037</v>
      </c>
      <c r="D298" s="9" t="s">
        <v>11811</v>
      </c>
      <c r="E298" s="9"/>
      <c r="F298" s="9"/>
      <c r="H298" s="9"/>
      <c r="I298" s="9" t="s">
        <v>12332</v>
      </c>
      <c r="J298" s="9" t="s">
        <v>2939</v>
      </c>
      <c r="K298" t="s">
        <v>12333</v>
      </c>
      <c r="L298" t="s">
        <v>12334</v>
      </c>
      <c r="M298" s="3" t="str">
        <f>HYPERLINK(склад2въезд13192021[[#This Row],[RelativePath]])</f>
        <v>7 Площадка 2 бетонщики\134160575_1_20260219T152920Z.jpg</v>
      </c>
    </row>
    <row r="299" spans="1:13" x14ac:dyDescent="0.25">
      <c r="A299" s="2" t="s">
        <v>16</v>
      </c>
      <c r="B299" s="4">
        <v>46072</v>
      </c>
      <c r="C299" s="5">
        <v>0.76968749999999997</v>
      </c>
      <c r="D299" s="9" t="s">
        <v>12231</v>
      </c>
      <c r="E299" s="9"/>
      <c r="F299" s="9"/>
      <c r="H299" s="9"/>
      <c r="I299" s="9" t="s">
        <v>12335</v>
      </c>
      <c r="J299" s="9" t="s">
        <v>2939</v>
      </c>
      <c r="K299" t="s">
        <v>12336</v>
      </c>
      <c r="L299" t="s">
        <v>12337</v>
      </c>
      <c r="M299" s="3" t="str">
        <f>HYPERLINK(склад2въезд13192021[[#This Row],[RelativePath]])</f>
        <v>7 Площадка 2 бетонщики\134160575_1_20260219T182821Z.jpg</v>
      </c>
    </row>
    <row r="300" spans="1:13" x14ac:dyDescent="0.25">
      <c r="A300" s="2" t="s">
        <v>16</v>
      </c>
      <c r="B300" s="4">
        <v>46072</v>
      </c>
      <c r="C300" s="5">
        <v>0.79420138888888892</v>
      </c>
      <c r="D300" s="9" t="s">
        <v>12231</v>
      </c>
      <c r="E300" s="9"/>
      <c r="F300" s="9"/>
      <c r="H300" s="9"/>
      <c r="I300" s="9" t="s">
        <v>12338</v>
      </c>
      <c r="J300" s="9" t="s">
        <v>2939</v>
      </c>
      <c r="K300" t="s">
        <v>12339</v>
      </c>
      <c r="L300" t="s">
        <v>12340</v>
      </c>
      <c r="M300" s="3" t="str">
        <f>HYPERLINK(склад2въезд13192021[[#This Row],[RelativePath]])</f>
        <v>7 Площадка 2 бетонщики\134160575_1_20260219T190339Z.jpg</v>
      </c>
    </row>
    <row r="301" spans="1:13" x14ac:dyDescent="0.25">
      <c r="A301" s="2" t="s">
        <v>17</v>
      </c>
      <c r="B301" s="4">
        <v>46073</v>
      </c>
      <c r="C301" s="5">
        <v>0.40586805555555555</v>
      </c>
      <c r="D301" s="9" t="s">
        <v>4</v>
      </c>
      <c r="E301" s="9" t="s">
        <v>8</v>
      </c>
      <c r="F301" s="9"/>
      <c r="H301" s="9"/>
      <c r="I301" s="9" t="s">
        <v>12363</v>
      </c>
      <c r="J301" s="9" t="s">
        <v>2939</v>
      </c>
      <c r="K301" t="s">
        <v>12364</v>
      </c>
      <c r="L301" t="s">
        <v>12365</v>
      </c>
      <c r="M301" s="3" t="str">
        <f>HYPERLINK(склад2въезд13192021[[#This Row],[RelativePath]])</f>
        <v>7 Площадка 2 бетонщики\134160575_1_20260220T094427Z.jpg</v>
      </c>
    </row>
    <row r="302" spans="1:13" x14ac:dyDescent="0.25">
      <c r="A302" s="2" t="s">
        <v>17</v>
      </c>
      <c r="B302" s="4">
        <v>46073</v>
      </c>
      <c r="C302" s="5">
        <v>0.55472222222222223</v>
      </c>
      <c r="D302" s="9" t="s">
        <v>9754</v>
      </c>
      <c r="E302" s="9"/>
      <c r="F302" s="9"/>
      <c r="H302" s="9"/>
      <c r="I302" s="9" t="s">
        <v>12366</v>
      </c>
      <c r="J302" s="9" t="s">
        <v>2939</v>
      </c>
      <c r="K302" t="s">
        <v>12367</v>
      </c>
      <c r="L302" t="s">
        <v>12368</v>
      </c>
      <c r="M302" s="3" t="str">
        <f>HYPERLINK(склад2въезд13192021[[#This Row],[RelativePath]])</f>
        <v>7 Площадка 2 бетонщики\134160575_1_20260220T131848Z.jpg</v>
      </c>
    </row>
    <row r="303" spans="1:13" x14ac:dyDescent="0.25">
      <c r="A303" s="2" t="s">
        <v>17</v>
      </c>
      <c r="B303" s="4">
        <v>46073</v>
      </c>
      <c r="C303" s="5">
        <v>0.65971064814814817</v>
      </c>
      <c r="D303" s="9" t="s">
        <v>12450</v>
      </c>
      <c r="E303" s="9" t="s">
        <v>12343</v>
      </c>
      <c r="F303" s="9"/>
      <c r="H303" s="9" t="s">
        <v>12451</v>
      </c>
      <c r="I303" s="9" t="s">
        <v>12369</v>
      </c>
      <c r="J303" s="9" t="s">
        <v>2939</v>
      </c>
      <c r="K303" t="s">
        <v>12370</v>
      </c>
      <c r="L303" t="s">
        <v>12371</v>
      </c>
      <c r="M303" s="3" t="str">
        <f>HYPERLINK(склад2въезд13192021[[#This Row],[RelativePath]])</f>
        <v>7 Площадка 2 бетонщики\134160575_1_20260220T154959Z.jpg</v>
      </c>
    </row>
    <row r="304" spans="1:13" x14ac:dyDescent="0.25">
      <c r="A304" s="2" t="s">
        <v>17</v>
      </c>
      <c r="B304" s="4">
        <v>46073</v>
      </c>
      <c r="C304" s="5">
        <v>0.7880787037037037</v>
      </c>
      <c r="D304" s="9" t="s">
        <v>4</v>
      </c>
      <c r="E304" s="9" t="s">
        <v>8</v>
      </c>
      <c r="F304" s="9"/>
      <c r="H304" s="9"/>
      <c r="I304" s="9" t="s">
        <v>12372</v>
      </c>
      <c r="J304" s="9" t="s">
        <v>2939</v>
      </c>
      <c r="K304" t="s">
        <v>12373</v>
      </c>
      <c r="L304" t="s">
        <v>12374</v>
      </c>
      <c r="M304" s="3" t="str">
        <f>HYPERLINK(склад2въезд13192021[[#This Row],[RelativePath]])</f>
        <v>7 Площадка 2 бетонщики\134160575_1_20260220T185450Z.jpg</v>
      </c>
    </row>
    <row r="305" spans="1:13" x14ac:dyDescent="0.25">
      <c r="A305" s="2" t="s">
        <v>18</v>
      </c>
      <c r="B305" s="4">
        <v>46074</v>
      </c>
      <c r="C305" s="5">
        <v>0.37921296296296297</v>
      </c>
      <c r="D305" s="9" t="s">
        <v>12231</v>
      </c>
      <c r="E305" s="9"/>
      <c r="F305" s="9"/>
      <c r="H305" s="9"/>
      <c r="I305" s="9" t="s">
        <v>12602</v>
      </c>
      <c r="J305" s="9" t="s">
        <v>2939</v>
      </c>
      <c r="K305" t="s">
        <v>12603</v>
      </c>
      <c r="L305" t="s">
        <v>12604</v>
      </c>
      <c r="M305" s="3" t="str">
        <f>HYPERLINK(склад2въезд13192021[[#This Row],[RelativePath]])</f>
        <v>7 Площадка 2 бетонщики\134160575_1_20260221T090604Z.jpg</v>
      </c>
    </row>
    <row r="306" spans="1:13" x14ac:dyDescent="0.25">
      <c r="A306" s="2" t="s">
        <v>18</v>
      </c>
      <c r="B306" s="4">
        <v>46074</v>
      </c>
      <c r="C306" s="5">
        <v>0.38472222222222224</v>
      </c>
      <c r="D306" s="9" t="s">
        <v>12231</v>
      </c>
      <c r="E306" s="9"/>
      <c r="F306" s="9"/>
      <c r="H306" s="9"/>
      <c r="I306" s="9" t="s">
        <v>12605</v>
      </c>
      <c r="J306" s="9" t="s">
        <v>2939</v>
      </c>
      <c r="K306" t="s">
        <v>12606</v>
      </c>
      <c r="L306" t="s">
        <v>12607</v>
      </c>
      <c r="M306" s="3" t="str">
        <f>HYPERLINK(склад2въезд13192021[[#This Row],[RelativePath]])</f>
        <v>7 Площадка 2 бетонщики\134160575_1_20260221T091400Z.jpg</v>
      </c>
    </row>
    <row r="307" spans="1:13" x14ac:dyDescent="0.25">
      <c r="A307" s="2" t="s">
        <v>18</v>
      </c>
      <c r="B307" s="4">
        <v>46074</v>
      </c>
      <c r="C307" s="5">
        <v>0.44068287037037035</v>
      </c>
      <c r="D307" s="9" t="s">
        <v>12231</v>
      </c>
      <c r="E307" s="9"/>
      <c r="F307" s="9"/>
      <c r="H307" s="9"/>
      <c r="I307" s="9" t="s">
        <v>12608</v>
      </c>
      <c r="J307" s="9" t="s">
        <v>2939</v>
      </c>
      <c r="K307" t="s">
        <v>12609</v>
      </c>
      <c r="L307" t="s">
        <v>12610</v>
      </c>
      <c r="M307" s="3" t="str">
        <f>HYPERLINK(склад2въезд13192021[[#This Row],[RelativePath]])</f>
        <v>7 Площадка 2 бетонщики\134160575_1_20260221T103435Z.jpg</v>
      </c>
    </row>
    <row r="308" spans="1:13" x14ac:dyDescent="0.25">
      <c r="A308" s="2" t="s">
        <v>18</v>
      </c>
      <c r="B308" s="4">
        <v>46074</v>
      </c>
      <c r="C308" s="5">
        <v>0.47728009259259258</v>
      </c>
      <c r="D308" s="9" t="s">
        <v>12231</v>
      </c>
      <c r="E308" s="9"/>
      <c r="F308" s="9"/>
      <c r="H308" s="9"/>
      <c r="I308" s="9" t="s">
        <v>12611</v>
      </c>
      <c r="J308" s="9" t="s">
        <v>2939</v>
      </c>
      <c r="K308" t="s">
        <v>12612</v>
      </c>
      <c r="L308" t="s">
        <v>12613</v>
      </c>
      <c r="M308" s="3" t="str">
        <f>HYPERLINK(склад2въезд13192021[[#This Row],[RelativePath]])</f>
        <v>7 Площадка 2 бетонщики\134160575_1_20260221T112717Z.jpg</v>
      </c>
    </row>
    <row r="309" spans="1:13" x14ac:dyDescent="0.25">
      <c r="A309" s="2" t="s">
        <v>18</v>
      </c>
      <c r="B309" s="4">
        <v>46074</v>
      </c>
      <c r="C309" s="5">
        <v>0.77474537037037039</v>
      </c>
      <c r="D309" s="9" t="s">
        <v>4</v>
      </c>
      <c r="E309" s="9" t="s">
        <v>8</v>
      </c>
      <c r="F309" s="9"/>
      <c r="H309" s="9"/>
      <c r="I309" s="9" t="s">
        <v>12614</v>
      </c>
      <c r="J309" s="9" t="s">
        <v>2939</v>
      </c>
      <c r="K309" t="s">
        <v>12615</v>
      </c>
      <c r="L309" t="s">
        <v>12616</v>
      </c>
      <c r="M309" s="3" t="str">
        <f>HYPERLINK(склад2въезд13192021[[#This Row],[RelativePath]])</f>
        <v>7 Площадка 2 бетонщики\134160575_1_20260221T183538Z.jpg</v>
      </c>
    </row>
    <row r="310" spans="1:13" x14ac:dyDescent="0.25">
      <c r="A310" s="2" t="s">
        <v>22</v>
      </c>
      <c r="B310" s="4">
        <v>46075</v>
      </c>
      <c r="C310" s="5">
        <v>0.46891203703703704</v>
      </c>
      <c r="D310" s="9" t="s">
        <v>12231</v>
      </c>
      <c r="E310" s="9"/>
      <c r="F310" s="9"/>
      <c r="H310" s="9"/>
      <c r="I310" s="9" t="s">
        <v>12617</v>
      </c>
      <c r="J310" s="9" t="s">
        <v>2939</v>
      </c>
      <c r="K310" t="s">
        <v>12618</v>
      </c>
      <c r="L310" t="s">
        <v>12619</v>
      </c>
      <c r="M310" s="3" t="str">
        <f>HYPERLINK(склад2въезд13192021[[#This Row],[RelativePath]])</f>
        <v>7 Площадка 2 бетонщики\134160575_1_20260222T111514Z.jpg</v>
      </c>
    </row>
    <row r="311" spans="1:13" x14ac:dyDescent="0.25">
      <c r="A311" s="2" t="s">
        <v>22</v>
      </c>
      <c r="B311" s="4">
        <v>46075</v>
      </c>
      <c r="C311" s="5">
        <v>0.68982638888888892</v>
      </c>
      <c r="D311" s="9" t="s">
        <v>12231</v>
      </c>
      <c r="E311" s="9"/>
      <c r="F311" s="9"/>
      <c r="H311" s="9"/>
      <c r="I311" s="9" t="s">
        <v>12620</v>
      </c>
      <c r="J311" s="9" t="s">
        <v>2939</v>
      </c>
      <c r="K311" t="s">
        <v>12621</v>
      </c>
      <c r="L311" t="s">
        <v>12622</v>
      </c>
      <c r="M311" s="3" t="str">
        <f>HYPERLINK(склад2въезд13192021[[#This Row],[RelativePath]])</f>
        <v>7 Площадка 2 бетонщики\134160575_1_20260222T163321Z.jpg</v>
      </c>
    </row>
    <row r="312" spans="1:13" x14ac:dyDescent="0.25">
      <c r="A312" s="2" t="s">
        <v>22</v>
      </c>
      <c r="B312" s="4">
        <v>46075</v>
      </c>
      <c r="C312" s="5">
        <v>0.78350694444444446</v>
      </c>
      <c r="D312" s="9" t="s">
        <v>4</v>
      </c>
      <c r="E312" s="9" t="s">
        <v>8</v>
      </c>
      <c r="F312" s="9"/>
      <c r="H312" s="9"/>
      <c r="I312" s="9" t="s">
        <v>12623</v>
      </c>
      <c r="J312" s="9" t="s">
        <v>2939</v>
      </c>
      <c r="K312" t="s">
        <v>12624</v>
      </c>
      <c r="L312" t="s">
        <v>12625</v>
      </c>
      <c r="M312" s="3" t="str">
        <f>HYPERLINK(склад2въезд13192021[[#This Row],[RelativePath]])</f>
        <v>7 Площадка 2 бетонщики\134160575_1_20260222T184815Z.jpg</v>
      </c>
    </row>
    <row r="313" spans="1:13" x14ac:dyDescent="0.25">
      <c r="A313" s="2" t="s">
        <v>13</v>
      </c>
      <c r="B313" s="4">
        <v>46076</v>
      </c>
      <c r="C313" s="5">
        <v>0.48528935185185185</v>
      </c>
      <c r="D313" s="9" t="s">
        <v>12231</v>
      </c>
      <c r="E313" s="9"/>
      <c r="F313" s="9"/>
      <c r="H313" s="9"/>
      <c r="I313" s="9" t="s">
        <v>12749</v>
      </c>
      <c r="J313" s="9" t="s">
        <v>2939</v>
      </c>
      <c r="K313" t="s">
        <v>12750</v>
      </c>
      <c r="L313" t="s">
        <v>12751</v>
      </c>
      <c r="M313" s="3" t="str">
        <f>HYPERLINK(склад2въезд13192021[[#This Row],[RelativePath]])</f>
        <v>7 Площадка 2 бетонщики\134160575_1_20260223T113849Z.jpg</v>
      </c>
    </row>
    <row r="314" spans="1:13" x14ac:dyDescent="0.25">
      <c r="A314" s="2" t="s">
        <v>13</v>
      </c>
      <c r="B314" s="4">
        <v>46076</v>
      </c>
      <c r="C314" s="5">
        <v>0.78184027777777776</v>
      </c>
      <c r="D314" s="9" t="s">
        <v>7</v>
      </c>
      <c r="E314" s="9"/>
      <c r="F314" s="9"/>
      <c r="H314" s="9"/>
      <c r="I314" s="9" t="s">
        <v>12752</v>
      </c>
      <c r="J314" s="9" t="s">
        <v>2939</v>
      </c>
      <c r="K314" t="s">
        <v>12753</v>
      </c>
      <c r="L314" t="s">
        <v>12754</v>
      </c>
      <c r="M314" s="3" t="str">
        <f>HYPERLINK(склад2въезд13192021[[#This Row],[RelativePath]])</f>
        <v>7 Площадка 2 бетонщики\134160575_1_20260223T184551Z.jpg</v>
      </c>
    </row>
    <row r="315" spans="1:13" x14ac:dyDescent="0.25">
      <c r="A315" s="2" t="s">
        <v>13</v>
      </c>
      <c r="B315" s="4">
        <v>46076</v>
      </c>
      <c r="C315" s="5">
        <v>0.79394675925925928</v>
      </c>
      <c r="D315" s="9" t="s">
        <v>4</v>
      </c>
      <c r="E315" s="9" t="s">
        <v>8</v>
      </c>
      <c r="F315" s="9"/>
      <c r="H315" s="9"/>
      <c r="I315" s="9" t="s">
        <v>12755</v>
      </c>
      <c r="J315" s="9" t="s">
        <v>2939</v>
      </c>
      <c r="K315" t="s">
        <v>12756</v>
      </c>
      <c r="L315" t="s">
        <v>12757</v>
      </c>
      <c r="M315" s="3" t="str">
        <f>HYPERLINK(склад2въезд13192021[[#This Row],[RelativePath]])</f>
        <v>7 Площадка 2 бетонщики\134160575_1_20260223T190317Z.jpg</v>
      </c>
    </row>
    <row r="316" spans="1:13" x14ac:dyDescent="0.25">
      <c r="A316" s="2" t="s">
        <v>14</v>
      </c>
      <c r="B316" s="4">
        <v>46077</v>
      </c>
      <c r="C316" s="5">
        <v>0.42260416666666667</v>
      </c>
      <c r="D316" s="9"/>
      <c r="E316" s="9"/>
      <c r="F316" s="9"/>
      <c r="H316" s="9"/>
      <c r="I316" s="9" t="s">
        <v>13035</v>
      </c>
      <c r="J316" s="9" t="s">
        <v>13036</v>
      </c>
      <c r="K316" t="s">
        <v>13037</v>
      </c>
      <c r="L316" t="s">
        <v>13038</v>
      </c>
      <c r="M316" s="3" t="str">
        <f>HYPERLINK(склад2въезд13192021[[#This Row],[RelativePath]])</f>
        <v>7 Площадка 2 бетонщики\134160575_1_20260224T100833Z.jpg</v>
      </c>
    </row>
    <row r="317" spans="1:13" x14ac:dyDescent="0.25">
      <c r="A317" s="2" t="s">
        <v>14</v>
      </c>
      <c r="B317" s="4">
        <v>46077</v>
      </c>
      <c r="C317" s="5">
        <v>0.42325231481481479</v>
      </c>
      <c r="D317" s="9"/>
      <c r="E317" s="9"/>
      <c r="F317" s="9"/>
      <c r="H317" s="9"/>
      <c r="I317" s="9" t="s">
        <v>13039</v>
      </c>
      <c r="J317" s="9" t="s">
        <v>13036</v>
      </c>
      <c r="K317" t="s">
        <v>13040</v>
      </c>
      <c r="L317" t="s">
        <v>13041</v>
      </c>
      <c r="M317" s="3" t="str">
        <f>HYPERLINK(склад2въезд13192021[[#This Row],[RelativePath]])</f>
        <v>7 Площадка 2 бетонщики\134160575_1_20260224T100929Z.jpg</v>
      </c>
    </row>
    <row r="318" spans="1:13" x14ac:dyDescent="0.25">
      <c r="A318" s="2" t="s">
        <v>14</v>
      </c>
      <c r="B318" s="4">
        <v>46077</v>
      </c>
      <c r="C318" s="5">
        <v>0.4238425925925926</v>
      </c>
      <c r="D318" s="9"/>
      <c r="E318" s="9"/>
      <c r="F318" s="9"/>
      <c r="H318" s="9"/>
      <c r="I318" s="9" t="s">
        <v>13042</v>
      </c>
      <c r="J318" s="9" t="s">
        <v>13036</v>
      </c>
      <c r="K318" t="s">
        <v>13043</v>
      </c>
      <c r="L318" t="s">
        <v>13044</v>
      </c>
      <c r="M318" s="3" t="str">
        <f>HYPERLINK(склад2въезд13192021[[#This Row],[RelativePath]])</f>
        <v>7 Площадка 2 бетонщики\134160575_1_20260224T101020Z.jpg</v>
      </c>
    </row>
    <row r="319" spans="1:13" x14ac:dyDescent="0.25">
      <c r="A319" s="2" t="s">
        <v>14</v>
      </c>
      <c r="B319" s="4">
        <v>46077</v>
      </c>
      <c r="C319" s="5">
        <v>0.42395833333333333</v>
      </c>
      <c r="D319" s="9"/>
      <c r="E319" s="9"/>
      <c r="F319" s="9"/>
      <c r="H319" s="9"/>
      <c r="I319" s="9" t="s">
        <v>13045</v>
      </c>
      <c r="J319" s="9" t="s">
        <v>13036</v>
      </c>
      <c r="K319" t="s">
        <v>13046</v>
      </c>
      <c r="L319" t="s">
        <v>13047</v>
      </c>
      <c r="M319" s="3" t="str">
        <f>HYPERLINK(склад2въезд13192021[[#This Row],[RelativePath]])</f>
        <v>7 Площадка 2 бетонщики\134160575_1_20260224T101030Z.jpg</v>
      </c>
    </row>
    <row r="320" spans="1:13" x14ac:dyDescent="0.25">
      <c r="A320" s="2" t="s">
        <v>14</v>
      </c>
      <c r="B320" s="4">
        <v>46077</v>
      </c>
      <c r="C320" s="5">
        <v>0.42472222222222222</v>
      </c>
      <c r="D320" s="9"/>
      <c r="E320" s="9"/>
      <c r="F320" s="9"/>
      <c r="H320" s="9"/>
      <c r="I320" s="9" t="s">
        <v>13048</v>
      </c>
      <c r="J320" s="9" t="s">
        <v>13036</v>
      </c>
      <c r="K320" t="s">
        <v>13049</v>
      </c>
      <c r="L320" t="s">
        <v>13050</v>
      </c>
      <c r="M320" s="3" t="str">
        <f>HYPERLINK(склад2въезд13192021[[#This Row],[RelativePath]])</f>
        <v>7 Площадка 2 бетонщики\134160575_1_20260224T101136Z.jpg</v>
      </c>
    </row>
    <row r="321" spans="1:13" x14ac:dyDescent="0.25">
      <c r="A321" s="2" t="s">
        <v>14</v>
      </c>
      <c r="B321" s="4">
        <v>46077</v>
      </c>
      <c r="C321" s="5">
        <v>0.6358449074074074</v>
      </c>
      <c r="D321" s="9"/>
      <c r="E321" s="9"/>
      <c r="F321" s="9"/>
      <c r="H321" s="9"/>
      <c r="I321" s="9" t="s">
        <v>13051</v>
      </c>
      <c r="J321" s="9" t="s">
        <v>13036</v>
      </c>
      <c r="K321" t="s">
        <v>13052</v>
      </c>
      <c r="L321" t="s">
        <v>13053</v>
      </c>
      <c r="M321" s="3" t="str">
        <f>HYPERLINK(склад2въезд13192021[[#This Row],[RelativePath]])</f>
        <v>7 Площадка 2 бетонщики\134160575_1_20260224T151537Z.jpg</v>
      </c>
    </row>
    <row r="322" spans="1:13" x14ac:dyDescent="0.25">
      <c r="A322" s="2" t="s">
        <v>15</v>
      </c>
      <c r="B322" s="4">
        <v>46078</v>
      </c>
      <c r="C322" s="5">
        <v>0.41594907407407405</v>
      </c>
      <c r="D322" s="9"/>
      <c r="E322" s="9"/>
      <c r="F322" s="9"/>
      <c r="H322" s="9"/>
      <c r="I322" s="9" t="s">
        <v>13054</v>
      </c>
      <c r="J322" s="9" t="s">
        <v>13036</v>
      </c>
      <c r="K322" t="s">
        <v>13055</v>
      </c>
      <c r="L322" t="s">
        <v>13056</v>
      </c>
      <c r="M322" s="3" t="str">
        <f>HYPERLINK(склад2въезд13192021[[#This Row],[RelativePath]])</f>
        <v>7 Площадка 2 бетонщики\134160575_1_20260225T095858Z.jpg</v>
      </c>
    </row>
    <row r="323" spans="1:13" x14ac:dyDescent="0.25">
      <c r="A323" s="2" t="s">
        <v>15</v>
      </c>
      <c r="B323" s="4">
        <v>46078</v>
      </c>
      <c r="C323" s="5">
        <v>0.41641203703703705</v>
      </c>
      <c r="D323" s="9"/>
      <c r="E323" s="9"/>
      <c r="F323" s="9"/>
      <c r="H323" s="9"/>
      <c r="I323" s="9" t="s">
        <v>13057</v>
      </c>
      <c r="J323" s="9" t="s">
        <v>13036</v>
      </c>
      <c r="K323" t="s">
        <v>13058</v>
      </c>
      <c r="L323" t="s">
        <v>13059</v>
      </c>
      <c r="M323" s="3" t="str">
        <f>HYPERLINK(склад2въезд13192021[[#This Row],[RelativePath]])</f>
        <v>7 Площадка 2 бетонщики\134160575_1_20260225T095938Z.jpg</v>
      </c>
    </row>
    <row r="324" spans="1:13" x14ac:dyDescent="0.25">
      <c r="A324" s="2" t="s">
        <v>15</v>
      </c>
      <c r="B324" s="4">
        <v>46078</v>
      </c>
      <c r="C324" s="5">
        <v>0.41699074074074072</v>
      </c>
      <c r="D324" s="9"/>
      <c r="E324" s="9"/>
      <c r="F324" s="9"/>
      <c r="H324" s="9"/>
      <c r="I324" s="9" t="s">
        <v>13060</v>
      </c>
      <c r="J324" s="9" t="s">
        <v>13036</v>
      </c>
      <c r="K324" t="s">
        <v>13061</v>
      </c>
      <c r="L324" t="s">
        <v>13062</v>
      </c>
      <c r="M324" s="3" t="str">
        <f>HYPERLINK(склад2въезд13192021[[#This Row],[RelativePath]])</f>
        <v>7 Площадка 2 бетонщики\134160575_1_20260225T100028Z.jpg</v>
      </c>
    </row>
    <row r="325" spans="1:13" x14ac:dyDescent="0.25">
      <c r="A325" s="2" t="s">
        <v>15</v>
      </c>
      <c r="B325" s="4">
        <v>46078</v>
      </c>
      <c r="C325" s="5">
        <v>0.5110069444444445</v>
      </c>
      <c r="D325" s="9"/>
      <c r="E325" s="9"/>
      <c r="F325" s="9"/>
      <c r="H325" s="9"/>
      <c r="I325" s="9" t="s">
        <v>13063</v>
      </c>
      <c r="J325" s="9" t="s">
        <v>13036</v>
      </c>
      <c r="K325" t="s">
        <v>13064</v>
      </c>
      <c r="L325" t="s">
        <v>13065</v>
      </c>
      <c r="M325" s="3" t="str">
        <f>HYPERLINK(склад2въезд13192021[[#This Row],[RelativePath]])</f>
        <v>7 Площадка 2 бетонщики\134160575_1_20260225T121551Z.jpg</v>
      </c>
    </row>
    <row r="326" spans="1:13" x14ac:dyDescent="0.25">
      <c r="A326" s="2" t="s">
        <v>15</v>
      </c>
      <c r="B326" s="4">
        <v>46078</v>
      </c>
      <c r="C326" s="5">
        <v>0.51324074074074078</v>
      </c>
      <c r="D326" s="9"/>
      <c r="E326" s="9"/>
      <c r="F326" s="9"/>
      <c r="H326" s="9"/>
      <c r="I326" s="9" t="s">
        <v>13066</v>
      </c>
      <c r="J326" s="9" t="s">
        <v>13036</v>
      </c>
      <c r="K326" t="s">
        <v>13067</v>
      </c>
      <c r="L326" t="s">
        <v>13068</v>
      </c>
      <c r="M326" s="3" t="str">
        <f>HYPERLINK(склад2въезд13192021[[#This Row],[RelativePath]])</f>
        <v>7 Площадка 2 бетонщики\134160575_1_20260225T121904Z.jpg</v>
      </c>
    </row>
    <row r="327" spans="1:13" x14ac:dyDescent="0.25">
      <c r="A327" s="2" t="s">
        <v>15</v>
      </c>
      <c r="B327" s="4">
        <v>46078</v>
      </c>
      <c r="C327" s="5">
        <v>0.71091435185185181</v>
      </c>
      <c r="D327" s="9"/>
      <c r="E327" s="9"/>
      <c r="F327" s="9"/>
      <c r="H327" s="9"/>
      <c r="I327" s="9" t="s">
        <v>13069</v>
      </c>
      <c r="J327" s="9" t="s">
        <v>13036</v>
      </c>
      <c r="K327" t="s">
        <v>13070</v>
      </c>
      <c r="L327" t="s">
        <v>13071</v>
      </c>
      <c r="M327" s="3" t="str">
        <f>HYPERLINK(склад2въезд13192021[[#This Row],[RelativePath]])</f>
        <v>7 Площадка 2 бетонщики\134160575_1_20260225T170343Z.jpg</v>
      </c>
    </row>
    <row r="328" spans="1:13" x14ac:dyDescent="0.25">
      <c r="A328" s="2" t="s">
        <v>15</v>
      </c>
      <c r="B328" s="4">
        <v>46078</v>
      </c>
      <c r="C328" s="5">
        <v>0.79429398148148145</v>
      </c>
      <c r="D328" s="9"/>
      <c r="E328" s="9"/>
      <c r="F328" s="9"/>
      <c r="H328" s="9"/>
      <c r="I328" s="9" t="s">
        <v>13072</v>
      </c>
      <c r="J328" s="9" t="s">
        <v>13036</v>
      </c>
      <c r="K328" t="s">
        <v>13073</v>
      </c>
      <c r="L328" t="s">
        <v>13074</v>
      </c>
      <c r="M328" s="3" t="str">
        <f>HYPERLINK(склад2въезд13192021[[#This Row],[RelativePath]])</f>
        <v>7 Площадка 2 бетонщики\134160575_1_20260225T190347Z.jpg</v>
      </c>
    </row>
  </sheetData>
  <conditionalFormatting sqref="E329:E342 D1:D197 D329:D1048576 G2:H328 D2:E328">
    <cfRule type="containsText" dxfId="319" priority="18" operator="containsText" text="Выезд с территории">
      <formula>NOT(ISERROR(SEARCH("Выезд с территории",D1)))</formula>
    </cfRule>
  </conditionalFormatting>
  <conditionalFormatting sqref="F2:F328">
    <cfRule type="notContainsText" dxfId="318" priority="17" operator="notContains" text="порожний">
      <formula>ISERROR(SEARCH("порожний",F2))</formula>
    </cfRule>
  </conditionalFormatting>
  <conditionalFormatting sqref="E2:E342">
    <cfRule type="containsText" dxfId="317" priority="15" operator="containsText" text="Газель базы">
      <formula>NOT(ISERROR(SEARCH("Газель базы",E2)))</formula>
    </cfRule>
    <cfRule type="containsText" dxfId="316" priority="16" operator="containsText" text="Погрузчик базы">
      <formula>NOT(ISERROR(SEARCH("Погрузчик базы",E2)))</formula>
    </cfRule>
  </conditionalFormatting>
  <conditionalFormatting sqref="E2:E342">
    <cfRule type="containsText" dxfId="315" priority="14" operator="containsText" text="Трактор базы">
      <formula>NOT(ISERROR(SEARCH("Трактор базы",E2)))</formula>
    </cfRule>
  </conditionalFormatting>
  <conditionalFormatting sqref="A2:C328">
    <cfRule type="expression" dxfId="314" priority="13">
      <formula>$A2="пн"</formula>
    </cfRule>
  </conditionalFormatting>
  <conditionalFormatting sqref="A2:C330">
    <cfRule type="expression" dxfId="313" priority="7">
      <formula>$A2="вс"</formula>
    </cfRule>
    <cfRule type="expression" dxfId="312" priority="8">
      <formula>$A2="сб"</formula>
    </cfRule>
    <cfRule type="expression" dxfId="311" priority="9">
      <formula>$A2="пт"</formula>
    </cfRule>
    <cfRule type="expression" dxfId="310" priority="10">
      <formula>$A2="чт"</formula>
    </cfRule>
    <cfRule type="expression" dxfId="309" priority="11">
      <formula>$A2="ср"</formula>
    </cfRule>
    <cfRule type="expression" dxfId="308" priority="12">
      <formula>$A2="вт"</formula>
    </cfRule>
  </conditionalFormatting>
  <conditionalFormatting sqref="D1:D1048576">
    <cfRule type="containsText" dxfId="307" priority="6" operator="containsText" text="Въезд на второстепенную дорогу">
      <formula>NOT(ISERROR(SEARCH("Въезд на второстепенную дорогу",D1)))</formula>
    </cfRule>
  </conditionalFormatting>
  <conditionalFormatting sqref="D1:D1048576">
    <cfRule type="containsText" dxfId="306" priority="5" operator="containsText" text="Выезд со второстепенной дороги">
      <formula>NOT(ISERROR(SEARCH("Выезд со второстепенной дороги",D1)))</formula>
    </cfRule>
  </conditionalFormatting>
  <conditionalFormatting sqref="D1:D1048576">
    <cfRule type="containsText" dxfId="305" priority="1" operator="containsText" text="Камера не работала">
      <formula>NOT(ISERROR(SEARCH("Камера не работала",D1)))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082B-1C40-462A-9F65-646A7D1E45A4}">
  <sheetPr>
    <tabColor rgb="FFFFC000"/>
  </sheetPr>
  <dimension ref="A1:M299"/>
  <sheetViews>
    <sheetView zoomScale="90" zoomScaleNormal="90" workbookViewId="0">
      <pane ySplit="1" topLeftCell="A284" activePane="bottomLeft" state="frozen"/>
      <selection pane="bottomLeft" activeCell="I287" sqref="I287:I29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40.28515625" bestFit="1" customWidth="1"/>
    <col min="5" max="5" width="30.28515625" bestFit="1" customWidth="1"/>
    <col min="6" max="6" width="18.7109375" bestFit="1" customWidth="1"/>
    <col min="7" max="7" width="7.28515625" bestFit="1" customWidth="1"/>
    <col min="8" max="8" width="18.42578125" bestFit="1" customWidth="1"/>
    <col min="9" max="9" width="35.7109375" bestFit="1" customWidth="1"/>
    <col min="10" max="10" width="34.5703125" hidden="1" customWidth="1"/>
    <col min="11" max="11" width="45.5703125" hidden="1" customWidth="1"/>
    <col min="12" max="12" width="24.5703125" hidden="1" customWidth="1"/>
    <col min="13" max="13" width="45.57031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0.38630787037037034</v>
      </c>
      <c r="D2" s="9" t="s">
        <v>4</v>
      </c>
      <c r="E2" s="9" t="s">
        <v>9</v>
      </c>
      <c r="F2" s="9"/>
      <c r="H2" s="9"/>
      <c r="I2" s="9" t="s">
        <v>626</v>
      </c>
      <c r="J2" s="9" t="s">
        <v>2947</v>
      </c>
      <c r="K2" t="s">
        <v>627</v>
      </c>
      <c r="L2" t="s">
        <v>628</v>
      </c>
      <c r="M2" s="3" t="str">
        <f>HYPERLINK(склад2въезд1319202122[[#This Row],[RelativePath]])</f>
        <v>8 Рейсмус\E33149364_2_20251110T091617Z.jpg</v>
      </c>
    </row>
    <row r="3" spans="1:13" x14ac:dyDescent="0.25">
      <c r="A3" s="2" t="s">
        <v>13</v>
      </c>
      <c r="B3" s="4">
        <v>45971</v>
      </c>
      <c r="C3" s="5">
        <v>0.38763888888888887</v>
      </c>
      <c r="D3" s="9" t="s">
        <v>1064</v>
      </c>
      <c r="E3" s="9" t="s">
        <v>1065</v>
      </c>
      <c r="F3" s="9"/>
      <c r="H3" s="9"/>
      <c r="I3" s="9" t="s">
        <v>629</v>
      </c>
      <c r="J3" s="9" t="s">
        <v>2947</v>
      </c>
      <c r="K3" t="s">
        <v>630</v>
      </c>
      <c r="L3" t="s">
        <v>631</v>
      </c>
      <c r="M3" s="3" t="str">
        <f>HYPERLINK(склад2въезд1319202122[[#This Row],[RelativePath]])</f>
        <v>8 Рейсмус\E33149364_2_20251110T091812Z.jpg</v>
      </c>
    </row>
    <row r="4" spans="1:13" x14ac:dyDescent="0.25">
      <c r="A4" s="2" t="s">
        <v>13</v>
      </c>
      <c r="B4" s="4">
        <v>45971</v>
      </c>
      <c r="C4" s="5">
        <v>0.38777777777777778</v>
      </c>
      <c r="D4" s="9" t="s">
        <v>1064</v>
      </c>
      <c r="E4" s="9" t="s">
        <v>1065</v>
      </c>
      <c r="F4" s="9"/>
      <c r="H4" s="9"/>
      <c r="I4" s="9" t="s">
        <v>632</v>
      </c>
      <c r="J4" s="9" t="s">
        <v>2947</v>
      </c>
      <c r="K4" t="s">
        <v>633</v>
      </c>
      <c r="L4" t="s">
        <v>634</v>
      </c>
      <c r="M4" s="3" t="str">
        <f>HYPERLINK(склад2въезд1319202122[[#This Row],[RelativePath]])</f>
        <v>8 Рейсмус\E33149364_2_20251110T091824Z.jpg</v>
      </c>
    </row>
    <row r="5" spans="1:13" x14ac:dyDescent="0.25">
      <c r="A5" s="2" t="s">
        <v>13</v>
      </c>
      <c r="B5" s="4">
        <v>45971</v>
      </c>
      <c r="C5" s="5">
        <v>0.39273148148148146</v>
      </c>
      <c r="D5" s="9" t="s">
        <v>4</v>
      </c>
      <c r="E5" s="9" t="s">
        <v>764</v>
      </c>
      <c r="F5" s="9"/>
      <c r="H5" s="9"/>
      <c r="I5" s="9" t="s">
        <v>635</v>
      </c>
      <c r="J5" s="9" t="s">
        <v>2947</v>
      </c>
      <c r="K5" t="s">
        <v>636</v>
      </c>
      <c r="L5" t="s">
        <v>637</v>
      </c>
      <c r="M5" s="3" t="str">
        <f>HYPERLINK(склад2въезд1319202122[[#This Row],[RelativePath]])</f>
        <v>8 Рейсмус\E33149364_2_20251110T092532Z.jpg</v>
      </c>
    </row>
    <row r="6" spans="1:13" x14ac:dyDescent="0.25">
      <c r="A6" s="2" t="s">
        <v>13</v>
      </c>
      <c r="B6" s="4">
        <v>45971</v>
      </c>
      <c r="C6" s="5">
        <v>0.39909722222222221</v>
      </c>
      <c r="D6" s="9" t="s">
        <v>4</v>
      </c>
      <c r="E6" s="9" t="s">
        <v>9</v>
      </c>
      <c r="F6" s="9"/>
      <c r="H6" s="9"/>
      <c r="I6" s="9" t="s">
        <v>638</v>
      </c>
      <c r="J6" s="9" t="s">
        <v>2947</v>
      </c>
      <c r="K6" t="s">
        <v>639</v>
      </c>
      <c r="L6" t="s">
        <v>640</v>
      </c>
      <c r="M6" s="3" t="str">
        <f>HYPERLINK(склад2въезд1319202122[[#This Row],[RelativePath]])</f>
        <v>8 Рейсмус\E33149364_2_20251110T093442Z.jpg</v>
      </c>
    </row>
    <row r="7" spans="1:13" x14ac:dyDescent="0.25">
      <c r="A7" s="2" t="s">
        <v>13</v>
      </c>
      <c r="B7" s="4">
        <v>45971</v>
      </c>
      <c r="C7" s="5">
        <v>0.39928240740740739</v>
      </c>
      <c r="D7" s="9" t="s">
        <v>765</v>
      </c>
      <c r="E7" s="9" t="s">
        <v>503</v>
      </c>
      <c r="F7" s="9"/>
      <c r="H7" s="9"/>
      <c r="I7" s="9" t="s">
        <v>641</v>
      </c>
      <c r="J7" s="9" t="s">
        <v>2947</v>
      </c>
      <c r="K7" t="s">
        <v>642</v>
      </c>
      <c r="L7" t="s">
        <v>643</v>
      </c>
      <c r="M7" s="3" t="str">
        <f>HYPERLINK(склад2въезд1319202122[[#This Row],[RelativePath]])</f>
        <v>8 Рейсмус\E33149364_2_20251110T093458Z.jpg</v>
      </c>
    </row>
    <row r="8" spans="1:13" x14ac:dyDescent="0.25">
      <c r="A8" s="2" t="s">
        <v>13</v>
      </c>
      <c r="B8" s="4">
        <v>45971</v>
      </c>
      <c r="C8" s="5">
        <v>0.40165509259259258</v>
      </c>
      <c r="D8" s="9" t="s">
        <v>765</v>
      </c>
      <c r="E8" s="9" t="s">
        <v>503</v>
      </c>
      <c r="F8" s="9"/>
      <c r="H8" s="9"/>
      <c r="I8" s="9" t="s">
        <v>644</v>
      </c>
      <c r="J8" s="9" t="s">
        <v>2947</v>
      </c>
      <c r="K8" t="s">
        <v>645</v>
      </c>
      <c r="L8" t="s">
        <v>646</v>
      </c>
      <c r="M8" s="3" t="str">
        <f>HYPERLINK(склад2въезд1319202122[[#This Row],[RelativePath]])</f>
        <v>8 Рейсмус\E33149364_2_20251110T093823Z.jpg</v>
      </c>
    </row>
    <row r="9" spans="1:13" x14ac:dyDescent="0.25">
      <c r="A9" s="2" t="s">
        <v>13</v>
      </c>
      <c r="B9" s="4">
        <v>45971</v>
      </c>
      <c r="C9" s="5">
        <v>0.40336805555555555</v>
      </c>
      <c r="D9" s="9" t="s">
        <v>4</v>
      </c>
      <c r="E9" s="9" t="s">
        <v>9</v>
      </c>
      <c r="F9" s="9"/>
      <c r="H9" s="9"/>
      <c r="I9" s="9" t="s">
        <v>647</v>
      </c>
      <c r="J9" s="9" t="s">
        <v>2947</v>
      </c>
      <c r="K9" t="s">
        <v>648</v>
      </c>
      <c r="L9" t="s">
        <v>649</v>
      </c>
      <c r="M9" s="3" t="str">
        <f>HYPERLINK(склад2въезд1319202122[[#This Row],[RelativePath]])</f>
        <v>8 Рейсмус\E33149364_2_20251110T094051Z.jpg</v>
      </c>
    </row>
    <row r="10" spans="1:13" x14ac:dyDescent="0.25">
      <c r="A10" s="2" t="s">
        <v>13</v>
      </c>
      <c r="B10" s="4">
        <v>45971</v>
      </c>
      <c r="C10" s="5">
        <v>0.41108796296296296</v>
      </c>
      <c r="D10" s="9" t="s">
        <v>766</v>
      </c>
      <c r="E10" s="9"/>
      <c r="F10" s="9"/>
      <c r="H10" s="9"/>
      <c r="I10" s="9" t="s">
        <v>650</v>
      </c>
      <c r="J10" s="9" t="s">
        <v>2947</v>
      </c>
      <c r="K10" t="s">
        <v>651</v>
      </c>
      <c r="L10" t="s">
        <v>652</v>
      </c>
      <c r="M10" s="3" t="str">
        <f>HYPERLINK(склад2въезд1319202122[[#This Row],[RelativePath]])</f>
        <v>8 Рейсмус\E33149364_2_20251110T095158Z.jpg</v>
      </c>
    </row>
    <row r="11" spans="1:13" x14ac:dyDescent="0.25">
      <c r="A11" s="2" t="s">
        <v>13</v>
      </c>
      <c r="B11" s="4">
        <v>45971</v>
      </c>
      <c r="C11" s="5">
        <v>0.41479166666666667</v>
      </c>
      <c r="D11" s="9" t="s">
        <v>1068</v>
      </c>
      <c r="E11" s="9" t="s">
        <v>503</v>
      </c>
      <c r="F11" s="9"/>
      <c r="H11" s="9"/>
      <c r="I11" s="9" t="s">
        <v>653</v>
      </c>
      <c r="J11" s="9" t="s">
        <v>2947</v>
      </c>
      <c r="K11" t="s">
        <v>654</v>
      </c>
      <c r="L11" t="s">
        <v>655</v>
      </c>
      <c r="M11" s="3" t="str">
        <f>HYPERLINK(склад2въезд1319202122[[#This Row],[RelativePath]])</f>
        <v>8 Рейсмус\E33149364_2_20251110T095718Z.jpg</v>
      </c>
    </row>
    <row r="12" spans="1:13" x14ac:dyDescent="0.25">
      <c r="A12" s="2" t="s">
        <v>13</v>
      </c>
      <c r="B12" s="4">
        <v>45971</v>
      </c>
      <c r="C12" s="5">
        <v>0.43128472222222225</v>
      </c>
      <c r="D12" s="9" t="s">
        <v>4</v>
      </c>
      <c r="E12" s="9" t="s">
        <v>9</v>
      </c>
      <c r="F12" s="9"/>
      <c r="H12" s="9"/>
      <c r="I12" s="9" t="s">
        <v>656</v>
      </c>
      <c r="J12" s="9" t="s">
        <v>2947</v>
      </c>
      <c r="K12" t="s">
        <v>657</v>
      </c>
      <c r="L12" t="s">
        <v>658</v>
      </c>
      <c r="M12" s="3" t="str">
        <f>HYPERLINK(склад2въезд1319202122[[#This Row],[RelativePath]])</f>
        <v>8 Рейсмус\E33149364_2_20251110T102103Z.jpg</v>
      </c>
    </row>
    <row r="13" spans="1:13" x14ac:dyDescent="0.25">
      <c r="A13" s="2" t="s">
        <v>13</v>
      </c>
      <c r="B13" s="4">
        <v>45971</v>
      </c>
      <c r="C13" s="5">
        <v>0.4430324074074074</v>
      </c>
      <c r="D13" s="9" t="s">
        <v>4</v>
      </c>
      <c r="E13" s="9" t="s">
        <v>9</v>
      </c>
      <c r="F13" s="9"/>
      <c r="H13" s="9"/>
      <c r="I13" s="9" t="s">
        <v>659</v>
      </c>
      <c r="J13" s="9" t="s">
        <v>2947</v>
      </c>
      <c r="K13" t="s">
        <v>660</v>
      </c>
      <c r="L13" t="s">
        <v>661</v>
      </c>
      <c r="M13" s="3" t="str">
        <f>HYPERLINK(склад2въезд1319202122[[#This Row],[RelativePath]])</f>
        <v>8 Рейсмус\E33149364_2_20251110T103758Z.jpg</v>
      </c>
    </row>
    <row r="14" spans="1:13" x14ac:dyDescent="0.25">
      <c r="A14" s="2" t="s">
        <v>13</v>
      </c>
      <c r="B14" s="4">
        <v>45971</v>
      </c>
      <c r="C14" s="5">
        <v>0.44513888888888886</v>
      </c>
      <c r="D14" s="9" t="s">
        <v>767</v>
      </c>
      <c r="E14" s="9" t="s">
        <v>768</v>
      </c>
      <c r="F14" s="9"/>
      <c r="H14" s="9"/>
      <c r="I14" s="9" t="s">
        <v>662</v>
      </c>
      <c r="J14" s="9" t="s">
        <v>2947</v>
      </c>
      <c r="K14" t="s">
        <v>663</v>
      </c>
      <c r="L14" t="s">
        <v>664</v>
      </c>
      <c r="M14" s="3" t="str">
        <f>HYPERLINK(склад2въезд1319202122[[#This Row],[RelativePath]])</f>
        <v>8 Рейсмус\E33149364_2_20251110T104100Z.jpg</v>
      </c>
    </row>
    <row r="15" spans="1:13" x14ac:dyDescent="0.25">
      <c r="A15" s="2" t="s">
        <v>13</v>
      </c>
      <c r="B15" s="4">
        <v>45971</v>
      </c>
      <c r="C15" s="5">
        <v>0.44547453703703704</v>
      </c>
      <c r="D15" s="9" t="s">
        <v>767</v>
      </c>
      <c r="E15" s="9" t="s">
        <v>768</v>
      </c>
      <c r="F15" s="9"/>
      <c r="H15" s="9"/>
      <c r="I15" s="9" t="s">
        <v>665</v>
      </c>
      <c r="J15" s="9" t="s">
        <v>2947</v>
      </c>
      <c r="K15" t="s">
        <v>666</v>
      </c>
      <c r="L15" t="s">
        <v>667</v>
      </c>
      <c r="M15" s="3" t="str">
        <f>HYPERLINK(склад2въезд1319202122[[#This Row],[RelativePath]])</f>
        <v>8 Рейсмус\E33149364_2_20251110T104129Z.jpg</v>
      </c>
    </row>
    <row r="16" spans="1:13" x14ac:dyDescent="0.25">
      <c r="A16" s="2" t="s">
        <v>13</v>
      </c>
      <c r="B16" s="4">
        <v>45971</v>
      </c>
      <c r="C16" s="5">
        <v>0.51064814814814818</v>
      </c>
      <c r="D16" s="9" t="s">
        <v>767</v>
      </c>
      <c r="E16" s="9" t="s">
        <v>768</v>
      </c>
      <c r="F16" s="9"/>
      <c r="H16" s="9"/>
      <c r="I16" s="9" t="s">
        <v>668</v>
      </c>
      <c r="J16" s="9" t="s">
        <v>2947</v>
      </c>
      <c r="K16" t="s">
        <v>669</v>
      </c>
      <c r="L16" t="s">
        <v>670</v>
      </c>
      <c r="M16" s="3" t="str">
        <f>HYPERLINK(склад2въезд1319202122[[#This Row],[RelativePath]])</f>
        <v>8 Рейсмус\E33149364_2_20251110T121520Z.jpg</v>
      </c>
    </row>
    <row r="17" spans="1:13" x14ac:dyDescent="0.25">
      <c r="A17" s="2" t="s">
        <v>13</v>
      </c>
      <c r="B17" s="4">
        <v>45971</v>
      </c>
      <c r="C17" s="5">
        <v>0.5201041666666667</v>
      </c>
      <c r="D17" s="9" t="s">
        <v>4</v>
      </c>
      <c r="E17" s="9" t="s">
        <v>9</v>
      </c>
      <c r="F17" s="9"/>
      <c r="H17" s="9"/>
      <c r="I17" s="9" t="s">
        <v>671</v>
      </c>
      <c r="J17" s="9" t="s">
        <v>2947</v>
      </c>
      <c r="K17" t="s">
        <v>672</v>
      </c>
      <c r="L17" t="s">
        <v>673</v>
      </c>
      <c r="M17" s="3" t="str">
        <f>HYPERLINK(склад2въезд1319202122[[#This Row],[RelativePath]])</f>
        <v>8 Рейсмус\E33149364_2_20251110T122857Z.jpg</v>
      </c>
    </row>
    <row r="18" spans="1:13" x14ac:dyDescent="0.25">
      <c r="A18" s="2" t="s">
        <v>13</v>
      </c>
      <c r="B18" s="4">
        <v>45971</v>
      </c>
      <c r="C18" s="5">
        <v>0.52864583333333337</v>
      </c>
      <c r="D18" s="9" t="s">
        <v>4</v>
      </c>
      <c r="E18" s="9" t="s">
        <v>9</v>
      </c>
      <c r="F18" s="9"/>
      <c r="H18" s="9"/>
      <c r="I18" s="9" t="s">
        <v>674</v>
      </c>
      <c r="J18" s="9" t="s">
        <v>2947</v>
      </c>
      <c r="K18" t="s">
        <v>675</v>
      </c>
      <c r="L18" t="s">
        <v>676</v>
      </c>
      <c r="M18" s="3" t="str">
        <f>HYPERLINK(склад2въезд1319202122[[#This Row],[RelativePath]])</f>
        <v>8 Рейсмус\E33149364_2_20251110T124115Z.jpg</v>
      </c>
    </row>
    <row r="19" spans="1:13" x14ac:dyDescent="0.25">
      <c r="A19" s="2" t="s">
        <v>13</v>
      </c>
      <c r="B19" s="4">
        <v>45971</v>
      </c>
      <c r="C19" s="5">
        <v>0.60958333333333337</v>
      </c>
      <c r="D19" s="9" t="s">
        <v>4</v>
      </c>
      <c r="E19" s="9" t="s">
        <v>9</v>
      </c>
      <c r="F19" s="9"/>
      <c r="H19" s="9"/>
      <c r="I19" s="9" t="s">
        <v>677</v>
      </c>
      <c r="J19" s="9" t="s">
        <v>2947</v>
      </c>
      <c r="K19" t="s">
        <v>678</v>
      </c>
      <c r="L19" t="s">
        <v>679</v>
      </c>
      <c r="M19" s="3" t="str">
        <f>HYPERLINK(склад2въезд1319202122[[#This Row],[RelativePath]])</f>
        <v>8 Рейсмус\E33149364_2_20251110T143748Z.jpg</v>
      </c>
    </row>
    <row r="20" spans="1:13" x14ac:dyDescent="0.25">
      <c r="A20" s="2" t="s">
        <v>13</v>
      </c>
      <c r="B20" s="4">
        <v>45971</v>
      </c>
      <c r="C20" s="5">
        <v>0.62804398148148144</v>
      </c>
      <c r="D20" s="9" t="s">
        <v>4</v>
      </c>
      <c r="E20" s="9" t="s">
        <v>9</v>
      </c>
      <c r="F20" s="9"/>
      <c r="H20" s="9"/>
      <c r="I20" s="9" t="s">
        <v>680</v>
      </c>
      <c r="J20" s="9" t="s">
        <v>2947</v>
      </c>
      <c r="K20" t="s">
        <v>681</v>
      </c>
      <c r="L20" t="s">
        <v>682</v>
      </c>
      <c r="M20" s="3" t="str">
        <f>HYPERLINK(склад2въезд1319202122[[#This Row],[RelativePath]])</f>
        <v>8 Рейсмус\E33149364_2_20251110T150423Z.jpg</v>
      </c>
    </row>
    <row r="21" spans="1:13" x14ac:dyDescent="0.25">
      <c r="A21" s="2" t="s">
        <v>13</v>
      </c>
      <c r="B21" s="4">
        <v>45971</v>
      </c>
      <c r="C21" s="5">
        <v>0.65113425925925927</v>
      </c>
      <c r="D21" s="9" t="s">
        <v>4</v>
      </c>
      <c r="E21" s="9" t="s">
        <v>9</v>
      </c>
      <c r="F21" s="9"/>
      <c r="H21" s="9"/>
      <c r="I21" s="9" t="s">
        <v>683</v>
      </c>
      <c r="J21" s="9" t="s">
        <v>2947</v>
      </c>
      <c r="K21" t="s">
        <v>684</v>
      </c>
      <c r="L21" t="s">
        <v>685</v>
      </c>
      <c r="M21" s="3" t="str">
        <f>HYPERLINK(склад2въезд1319202122[[#This Row],[RelativePath]])</f>
        <v>8 Рейсмус\E33149364_2_20251110T153738Z.jpg</v>
      </c>
    </row>
    <row r="22" spans="1:13" x14ac:dyDescent="0.25">
      <c r="A22" s="2" t="s">
        <v>14</v>
      </c>
      <c r="B22" s="4">
        <v>45972</v>
      </c>
      <c r="C22" s="5">
        <v>0.5983680555555555</v>
      </c>
      <c r="D22" s="9" t="s">
        <v>4</v>
      </c>
      <c r="E22" s="9" t="s">
        <v>9</v>
      </c>
      <c r="F22" s="9"/>
      <c r="H22" s="9"/>
      <c r="I22" s="9" t="s">
        <v>686</v>
      </c>
      <c r="J22" s="9" t="s">
        <v>2947</v>
      </c>
      <c r="K22" t="s">
        <v>687</v>
      </c>
      <c r="L22" t="s">
        <v>688</v>
      </c>
      <c r="M22" s="3" t="str">
        <f>HYPERLINK(склад2въезд1319202122[[#This Row],[RelativePath]])</f>
        <v>8 Рейсмус\E33149364_2_20251111T142139Z.jpg</v>
      </c>
    </row>
    <row r="23" spans="1:13" x14ac:dyDescent="0.25">
      <c r="A23" s="2" t="s">
        <v>14</v>
      </c>
      <c r="B23" s="4">
        <v>45972</v>
      </c>
      <c r="C23" s="5">
        <v>0.61909722222222219</v>
      </c>
      <c r="D23" s="9" t="s">
        <v>767</v>
      </c>
      <c r="E23" s="9" t="s">
        <v>768</v>
      </c>
      <c r="F23" s="9"/>
      <c r="H23" s="9"/>
      <c r="I23" s="9" t="s">
        <v>689</v>
      </c>
      <c r="J23" s="9" t="s">
        <v>2947</v>
      </c>
      <c r="K23" t="s">
        <v>690</v>
      </c>
      <c r="L23" t="s">
        <v>691</v>
      </c>
      <c r="M23" s="3" t="str">
        <f>HYPERLINK(склад2въезд1319202122[[#This Row],[RelativePath]])</f>
        <v>8 Рейсмус\E33149364_2_20251111T145130Z.jpg</v>
      </c>
    </row>
    <row r="24" spans="1:13" x14ac:dyDescent="0.25">
      <c r="A24" s="2" t="s">
        <v>14</v>
      </c>
      <c r="B24" s="4">
        <v>45972</v>
      </c>
      <c r="C24" s="5">
        <v>0.87284722222222222</v>
      </c>
      <c r="D24" s="9" t="s">
        <v>4</v>
      </c>
      <c r="E24" s="9" t="s">
        <v>9</v>
      </c>
      <c r="F24" s="9"/>
      <c r="H24" s="9"/>
      <c r="I24" s="9" t="s">
        <v>692</v>
      </c>
      <c r="J24" s="9" t="s">
        <v>2947</v>
      </c>
      <c r="K24" t="s">
        <v>693</v>
      </c>
      <c r="L24" t="s">
        <v>694</v>
      </c>
      <c r="M24" s="3" t="str">
        <f>HYPERLINK(склад2въезд1319202122[[#This Row],[RelativePath]])</f>
        <v>8 Рейсмус\E33149364_2_20251111T205654Z.jpg</v>
      </c>
    </row>
    <row r="25" spans="1:13" x14ac:dyDescent="0.25">
      <c r="A25" s="2" t="s">
        <v>14</v>
      </c>
      <c r="B25" s="4">
        <v>45972</v>
      </c>
      <c r="C25" s="5">
        <v>0.89824074074074078</v>
      </c>
      <c r="D25" s="9" t="s">
        <v>4</v>
      </c>
      <c r="E25" s="9" t="s">
        <v>9</v>
      </c>
      <c r="F25" s="9"/>
      <c r="H25" s="9"/>
      <c r="I25" s="9" t="s">
        <v>695</v>
      </c>
      <c r="J25" s="9" t="s">
        <v>2947</v>
      </c>
      <c r="K25" t="s">
        <v>696</v>
      </c>
      <c r="L25" t="s">
        <v>697</v>
      </c>
      <c r="M25" s="3" t="str">
        <f>HYPERLINK(склад2въезд1319202122[[#This Row],[RelativePath]])</f>
        <v>8 Рейсмус\E33149364_2_20251111T213328Z.jpg</v>
      </c>
    </row>
    <row r="26" spans="1:13" x14ac:dyDescent="0.25">
      <c r="A26" s="2" t="s">
        <v>15</v>
      </c>
      <c r="B26" s="4">
        <v>45973</v>
      </c>
      <c r="C26" s="5">
        <v>0.15965277777777778</v>
      </c>
      <c r="D26" s="9" t="s">
        <v>4</v>
      </c>
      <c r="E26" s="9" t="s">
        <v>9</v>
      </c>
      <c r="F26" s="9"/>
      <c r="H26" s="9"/>
      <c r="I26" s="9" t="s">
        <v>698</v>
      </c>
      <c r="J26" s="9" t="s">
        <v>2947</v>
      </c>
      <c r="K26" t="s">
        <v>699</v>
      </c>
      <c r="L26" t="s">
        <v>700</v>
      </c>
      <c r="M26" s="3" t="str">
        <f>HYPERLINK(склад2въезд1319202122[[#This Row],[RelativePath]])</f>
        <v>8 Рейсмус\E33149364_2_20251112T034954Z.jpg</v>
      </c>
    </row>
    <row r="27" spans="1:13" x14ac:dyDescent="0.25">
      <c r="A27" s="2" t="s">
        <v>15</v>
      </c>
      <c r="B27" s="4">
        <v>45973</v>
      </c>
      <c r="C27" s="5">
        <v>0.43035879629629631</v>
      </c>
      <c r="D27" s="9" t="s">
        <v>4</v>
      </c>
      <c r="E27" s="9" t="s">
        <v>9</v>
      </c>
      <c r="F27" s="9"/>
      <c r="H27" s="9"/>
      <c r="I27" s="9" t="s">
        <v>701</v>
      </c>
      <c r="J27" s="9" t="s">
        <v>2947</v>
      </c>
      <c r="K27" t="s">
        <v>702</v>
      </c>
      <c r="L27" t="s">
        <v>703</v>
      </c>
      <c r="M27" s="3" t="str">
        <f>HYPERLINK(склад2въезд1319202122[[#This Row],[RelativePath]])</f>
        <v>8 Рейсмус\E33149364_2_20251112T101943Z.jpg</v>
      </c>
    </row>
    <row r="28" spans="1:13" x14ac:dyDescent="0.25">
      <c r="A28" s="2" t="s">
        <v>15</v>
      </c>
      <c r="B28" s="4">
        <v>45973</v>
      </c>
      <c r="C28" s="5">
        <v>0.43611111111111112</v>
      </c>
      <c r="D28" s="9" t="s">
        <v>4</v>
      </c>
      <c r="E28" s="9" t="s">
        <v>9</v>
      </c>
      <c r="F28" s="9"/>
      <c r="H28" s="9"/>
      <c r="I28" s="9" t="s">
        <v>704</v>
      </c>
      <c r="J28" s="9" t="s">
        <v>2947</v>
      </c>
      <c r="K28" t="s">
        <v>705</v>
      </c>
      <c r="L28" t="s">
        <v>706</v>
      </c>
      <c r="M28" s="3" t="str">
        <f>HYPERLINK(склад2въезд1319202122[[#This Row],[RelativePath]])</f>
        <v>8 Рейсмус\E33149364_2_20251112T102800Z.jpg</v>
      </c>
    </row>
    <row r="29" spans="1:13" x14ac:dyDescent="0.25">
      <c r="A29" s="2" t="s">
        <v>15</v>
      </c>
      <c r="B29" s="4">
        <v>45973</v>
      </c>
      <c r="C29" s="5">
        <v>0.5944328703703704</v>
      </c>
      <c r="D29" s="9" t="s">
        <v>4</v>
      </c>
      <c r="E29" s="9" t="s">
        <v>9</v>
      </c>
      <c r="F29" s="9"/>
      <c r="H29" s="9"/>
      <c r="I29" s="9" t="s">
        <v>707</v>
      </c>
      <c r="J29" s="9" t="s">
        <v>2947</v>
      </c>
      <c r="K29" t="s">
        <v>708</v>
      </c>
      <c r="L29" t="s">
        <v>709</v>
      </c>
      <c r="M29" s="3" t="str">
        <f>HYPERLINK(склад2въезд1319202122[[#This Row],[RelativePath]])</f>
        <v>8 Рейсмус\E33149364_2_20251112T141559Z.jpg</v>
      </c>
    </row>
    <row r="30" spans="1:13" x14ac:dyDescent="0.25">
      <c r="A30" s="2" t="s">
        <v>15</v>
      </c>
      <c r="B30" s="4">
        <v>45973</v>
      </c>
      <c r="C30" s="5">
        <v>0.73126157407407411</v>
      </c>
      <c r="D30" s="9" t="s">
        <v>4</v>
      </c>
      <c r="E30" s="9" t="s">
        <v>9</v>
      </c>
      <c r="F30" s="9"/>
      <c r="H30" s="9"/>
      <c r="I30" s="9" t="s">
        <v>710</v>
      </c>
      <c r="J30" s="9" t="s">
        <v>2947</v>
      </c>
      <c r="K30" t="s">
        <v>711</v>
      </c>
      <c r="L30" t="s">
        <v>712</v>
      </c>
      <c r="M30" s="3" t="str">
        <f>HYPERLINK(склад2въезд1319202122[[#This Row],[RelativePath]])</f>
        <v>8 Рейсмус\E33149364_2_20251112T173301Z.jpg</v>
      </c>
    </row>
    <row r="31" spans="1:13" x14ac:dyDescent="0.25">
      <c r="A31" s="2" t="s">
        <v>15</v>
      </c>
      <c r="B31" s="4">
        <v>45973</v>
      </c>
      <c r="C31" s="5">
        <v>0.94906250000000003</v>
      </c>
      <c r="D31" s="9" t="s">
        <v>4</v>
      </c>
      <c r="E31" s="9" t="s">
        <v>9</v>
      </c>
      <c r="F31" s="9"/>
      <c r="H31" s="9"/>
      <c r="I31" s="9" t="s">
        <v>713</v>
      </c>
      <c r="J31" s="9" t="s">
        <v>2947</v>
      </c>
      <c r="K31" t="s">
        <v>714</v>
      </c>
      <c r="L31" t="s">
        <v>715</v>
      </c>
      <c r="M31" s="3" t="str">
        <f>HYPERLINK(склад2въезд1319202122[[#This Row],[RelativePath]])</f>
        <v>8 Рейсмус\E33149364_2_20251112T224639Z.jpg</v>
      </c>
    </row>
    <row r="32" spans="1:13" x14ac:dyDescent="0.25">
      <c r="A32" s="2" t="s">
        <v>15</v>
      </c>
      <c r="B32" s="4">
        <v>45973</v>
      </c>
      <c r="C32" s="5">
        <v>0.95269675925925923</v>
      </c>
      <c r="D32" s="9" t="s">
        <v>4</v>
      </c>
      <c r="E32" s="9" t="s">
        <v>9</v>
      </c>
      <c r="F32" s="9"/>
      <c r="H32" s="9"/>
      <c r="I32" s="9" t="s">
        <v>716</v>
      </c>
      <c r="J32" s="9" t="s">
        <v>2947</v>
      </c>
      <c r="K32" t="s">
        <v>717</v>
      </c>
      <c r="L32" t="s">
        <v>718</v>
      </c>
      <c r="M32" s="3" t="str">
        <f>HYPERLINK(склад2въезд1319202122[[#This Row],[RelativePath]])</f>
        <v>8 Рейсмус\E33149364_2_20251112T225153Z.jpg</v>
      </c>
    </row>
    <row r="33" spans="1:13" x14ac:dyDescent="0.25">
      <c r="A33" s="2" t="s">
        <v>15</v>
      </c>
      <c r="B33" s="4">
        <v>45973</v>
      </c>
      <c r="C33" s="5">
        <v>0.96589120370370374</v>
      </c>
      <c r="D33" s="9" t="s">
        <v>4</v>
      </c>
      <c r="E33" s="9" t="s">
        <v>9</v>
      </c>
      <c r="F33" s="9"/>
      <c r="H33" s="9"/>
      <c r="I33" s="9" t="s">
        <v>719</v>
      </c>
      <c r="J33" s="9" t="s">
        <v>2947</v>
      </c>
      <c r="K33" t="s">
        <v>720</v>
      </c>
      <c r="L33" t="s">
        <v>721</v>
      </c>
      <c r="M33" s="3" t="str">
        <f>HYPERLINK(склад2въезд1319202122[[#This Row],[RelativePath]])</f>
        <v>8 Рейсмус\E33149364_2_20251112T231053Z.jpg</v>
      </c>
    </row>
    <row r="34" spans="1:13" x14ac:dyDescent="0.25">
      <c r="A34" s="2" t="s">
        <v>16</v>
      </c>
      <c r="B34" s="4">
        <v>45974</v>
      </c>
      <c r="C34" s="5">
        <v>0.62966435185185188</v>
      </c>
      <c r="D34" s="9" t="s">
        <v>767</v>
      </c>
      <c r="E34" s="9" t="s">
        <v>768</v>
      </c>
      <c r="F34" s="9"/>
      <c r="H34" s="9"/>
      <c r="I34" s="9" t="s">
        <v>722</v>
      </c>
      <c r="J34" s="9" t="s">
        <v>2947</v>
      </c>
      <c r="K34" t="s">
        <v>723</v>
      </c>
      <c r="L34" t="s">
        <v>724</v>
      </c>
      <c r="M34" s="3" t="str">
        <f>HYPERLINK(склад2въезд1319202122[[#This Row],[RelativePath]])</f>
        <v>8 Рейсмус\E33149364_2_20251113T150643Z.jpg</v>
      </c>
    </row>
    <row r="35" spans="1:13" x14ac:dyDescent="0.25">
      <c r="A35" s="2" t="s">
        <v>16</v>
      </c>
      <c r="B35" s="4">
        <v>45974</v>
      </c>
      <c r="C35" s="5">
        <v>0.62993055555555555</v>
      </c>
      <c r="D35" s="9" t="s">
        <v>767</v>
      </c>
      <c r="E35" s="9" t="s">
        <v>768</v>
      </c>
      <c r="F35" s="9"/>
      <c r="H35" s="9"/>
      <c r="I35" s="9" t="s">
        <v>725</v>
      </c>
      <c r="J35" s="9" t="s">
        <v>2947</v>
      </c>
      <c r="K35" t="s">
        <v>726</v>
      </c>
      <c r="L35" t="s">
        <v>727</v>
      </c>
      <c r="M35" s="3" t="str">
        <f>HYPERLINK(склад2въезд1319202122[[#This Row],[RelativePath]])</f>
        <v>8 Рейсмус\E33149364_2_20251113T150706Z.jpg</v>
      </c>
    </row>
    <row r="36" spans="1:13" x14ac:dyDescent="0.25">
      <c r="A36" s="2" t="s">
        <v>16</v>
      </c>
      <c r="B36" s="4">
        <v>45974</v>
      </c>
      <c r="C36" s="5">
        <v>0.65113425925925927</v>
      </c>
      <c r="D36" s="9" t="s">
        <v>4</v>
      </c>
      <c r="E36" s="9" t="s">
        <v>9</v>
      </c>
      <c r="F36" s="9"/>
      <c r="H36" s="9"/>
      <c r="I36" s="9" t="s">
        <v>728</v>
      </c>
      <c r="J36" s="9" t="s">
        <v>2947</v>
      </c>
      <c r="K36" t="s">
        <v>729</v>
      </c>
      <c r="L36" t="s">
        <v>730</v>
      </c>
      <c r="M36" s="3" t="str">
        <f>HYPERLINK(склад2въезд1319202122[[#This Row],[RelativePath]])</f>
        <v>8 Рейсмус\E33149364_2_20251113T153738Z.jpg</v>
      </c>
    </row>
    <row r="37" spans="1:13" x14ac:dyDescent="0.25">
      <c r="A37" s="2" t="s">
        <v>17</v>
      </c>
      <c r="B37" s="4">
        <v>45975</v>
      </c>
      <c r="C37" s="5">
        <v>0.60239583333333335</v>
      </c>
      <c r="D37" s="9" t="s">
        <v>4</v>
      </c>
      <c r="E37" s="9" t="s">
        <v>9</v>
      </c>
      <c r="F37" s="9"/>
      <c r="H37" s="9"/>
      <c r="I37" s="9" t="s">
        <v>731</v>
      </c>
      <c r="J37" s="9" t="s">
        <v>2947</v>
      </c>
      <c r="K37" t="s">
        <v>732</v>
      </c>
      <c r="L37" t="s">
        <v>733</v>
      </c>
      <c r="M37" s="3" t="str">
        <f>HYPERLINK(склад2въезд1319202122[[#This Row],[RelativePath]])</f>
        <v>8 Рейсмус\E33149364_2_20251114T142727Z.jpg</v>
      </c>
    </row>
    <row r="38" spans="1:13" x14ac:dyDescent="0.25">
      <c r="A38" s="2" t="s">
        <v>17</v>
      </c>
      <c r="B38" s="4">
        <v>45975</v>
      </c>
      <c r="C38" s="5">
        <v>0.61465277777777783</v>
      </c>
      <c r="D38" s="9" t="s">
        <v>767</v>
      </c>
      <c r="E38" s="9" t="s">
        <v>768</v>
      </c>
      <c r="F38" s="9"/>
      <c r="H38" s="9"/>
      <c r="I38" s="9" t="s">
        <v>734</v>
      </c>
      <c r="J38" s="9" t="s">
        <v>2947</v>
      </c>
      <c r="K38" t="s">
        <v>735</v>
      </c>
      <c r="L38" t="s">
        <v>736</v>
      </c>
      <c r="M38" s="3" t="str">
        <f>HYPERLINK(склад2въезд1319202122[[#This Row],[RelativePath]])</f>
        <v>8 Рейсмус\E33149364_2_20251114T144506Z.jpg</v>
      </c>
    </row>
    <row r="39" spans="1:13" x14ac:dyDescent="0.25">
      <c r="A39" s="2" t="s">
        <v>17</v>
      </c>
      <c r="B39" s="4">
        <v>45975</v>
      </c>
      <c r="C39" s="5">
        <v>0.62283564814814818</v>
      </c>
      <c r="D39" s="9" t="s">
        <v>767</v>
      </c>
      <c r="E39" s="9" t="s">
        <v>768</v>
      </c>
      <c r="F39" s="9"/>
      <c r="H39" s="9"/>
      <c r="I39" s="9" t="s">
        <v>737</v>
      </c>
      <c r="J39" s="9" t="s">
        <v>2947</v>
      </c>
      <c r="K39" t="s">
        <v>738</v>
      </c>
      <c r="L39" t="s">
        <v>739</v>
      </c>
      <c r="M39" s="3" t="str">
        <f>HYPERLINK(склад2въезд1319202122[[#This Row],[RelativePath]])</f>
        <v>8 Рейсмус\E33149364_2_20251114T145653Z.jpg</v>
      </c>
    </row>
    <row r="40" spans="1:13" x14ac:dyDescent="0.25">
      <c r="A40" s="2" t="s">
        <v>17</v>
      </c>
      <c r="B40" s="4">
        <v>45975</v>
      </c>
      <c r="C40" s="5">
        <v>0.62613425925925925</v>
      </c>
      <c r="D40" s="9" t="s">
        <v>767</v>
      </c>
      <c r="E40" s="9" t="s">
        <v>768</v>
      </c>
      <c r="F40" s="9"/>
      <c r="H40" s="9"/>
      <c r="I40" s="9" t="s">
        <v>740</v>
      </c>
      <c r="J40" s="9" t="s">
        <v>2947</v>
      </c>
      <c r="K40" t="s">
        <v>741</v>
      </c>
      <c r="L40" t="s">
        <v>742</v>
      </c>
      <c r="M40" s="3" t="str">
        <f>HYPERLINK(склад2въезд1319202122[[#This Row],[RelativePath]])</f>
        <v>8 Рейсмус\E33149364_2_20251114T150138Z.jpg</v>
      </c>
    </row>
    <row r="41" spans="1:13" x14ac:dyDescent="0.25">
      <c r="A41" s="2" t="s">
        <v>17</v>
      </c>
      <c r="B41" s="4">
        <v>45975</v>
      </c>
      <c r="C41" s="5">
        <v>0.63078703703703709</v>
      </c>
      <c r="D41" s="9" t="s">
        <v>4</v>
      </c>
      <c r="E41" s="9" t="s">
        <v>9</v>
      </c>
      <c r="F41" s="9"/>
      <c r="H41" s="9"/>
      <c r="I41" s="9" t="s">
        <v>743</v>
      </c>
      <c r="J41" s="9" t="s">
        <v>2947</v>
      </c>
      <c r="K41" t="s">
        <v>744</v>
      </c>
      <c r="L41" t="s">
        <v>745</v>
      </c>
      <c r="M41" s="3" t="str">
        <f>HYPERLINK(склад2въезд1319202122[[#This Row],[RelativePath]])</f>
        <v>8 Рейсмус\E33149364_2_20251114T150820Z.jpg</v>
      </c>
    </row>
    <row r="42" spans="1:13" x14ac:dyDescent="0.25">
      <c r="A42" s="2" t="s">
        <v>17</v>
      </c>
      <c r="B42" s="4">
        <v>45975</v>
      </c>
      <c r="C42" s="5">
        <v>0.65038194444444442</v>
      </c>
      <c r="D42" s="9" t="s">
        <v>767</v>
      </c>
      <c r="E42" s="9" t="s">
        <v>768</v>
      </c>
      <c r="F42" s="9"/>
      <c r="H42" s="9"/>
      <c r="I42" s="9" t="s">
        <v>746</v>
      </c>
      <c r="J42" s="9" t="s">
        <v>2947</v>
      </c>
      <c r="K42" t="s">
        <v>747</v>
      </c>
      <c r="L42" t="s">
        <v>748</v>
      </c>
      <c r="M42" s="3" t="str">
        <f>HYPERLINK(склад2въезд1319202122[[#This Row],[RelativePath]])</f>
        <v>8 Рейсмус\E33149364_2_20251114T153633Z.jpg</v>
      </c>
    </row>
    <row r="43" spans="1:13" x14ac:dyDescent="0.25">
      <c r="A43" s="2" t="s">
        <v>17</v>
      </c>
      <c r="B43" s="4">
        <v>45975</v>
      </c>
      <c r="C43" s="5">
        <v>0.65563657407407405</v>
      </c>
      <c r="D43" s="9" t="s">
        <v>767</v>
      </c>
      <c r="E43" s="9" t="s">
        <v>768</v>
      </c>
      <c r="F43" s="9"/>
      <c r="H43" s="9"/>
      <c r="I43" s="9" t="s">
        <v>749</v>
      </c>
      <c r="J43" s="9" t="s">
        <v>2947</v>
      </c>
      <c r="K43" t="s">
        <v>750</v>
      </c>
      <c r="L43" t="s">
        <v>751</v>
      </c>
      <c r="M43" s="3" t="str">
        <f>HYPERLINK(склад2въезд1319202122[[#This Row],[RelativePath]])</f>
        <v>8 Рейсмус\E33149364_2_20251114T154407Z.jpg</v>
      </c>
    </row>
    <row r="44" spans="1:13" x14ac:dyDescent="0.25">
      <c r="A44" s="2" t="s">
        <v>17</v>
      </c>
      <c r="B44" s="4">
        <v>45975</v>
      </c>
      <c r="C44" s="5">
        <v>0.66194444444444445</v>
      </c>
      <c r="D44" s="9" t="s">
        <v>767</v>
      </c>
      <c r="E44" s="9" t="s">
        <v>768</v>
      </c>
      <c r="F44" s="9"/>
      <c r="H44" s="9"/>
      <c r="I44" s="9" t="s">
        <v>752</v>
      </c>
      <c r="J44" s="9" t="s">
        <v>2947</v>
      </c>
      <c r="K44" t="s">
        <v>753</v>
      </c>
      <c r="L44" t="s">
        <v>754</v>
      </c>
      <c r="M44" s="3" t="str">
        <f>HYPERLINK(склад2въезд1319202122[[#This Row],[RelativePath]])</f>
        <v>8 Рейсмус\E33149364_2_20251114T155312Z.jpg</v>
      </c>
    </row>
    <row r="45" spans="1:13" x14ac:dyDescent="0.25">
      <c r="A45" s="2" t="s">
        <v>17</v>
      </c>
      <c r="B45" s="4">
        <v>45975</v>
      </c>
      <c r="C45" s="5">
        <v>0.66549768518518515</v>
      </c>
      <c r="D45" s="9" t="s">
        <v>4</v>
      </c>
      <c r="E45" s="9" t="s">
        <v>9</v>
      </c>
      <c r="F45" s="9"/>
      <c r="H45" s="9"/>
      <c r="I45" s="9" t="s">
        <v>755</v>
      </c>
      <c r="J45" s="9" t="s">
        <v>2947</v>
      </c>
      <c r="K45" t="s">
        <v>756</v>
      </c>
      <c r="L45" t="s">
        <v>757</v>
      </c>
      <c r="M45" s="3" t="str">
        <f>HYPERLINK(склад2въезд1319202122[[#This Row],[RelativePath]])</f>
        <v>8 Рейсмус\E33149364_2_20251114T155819Z.jpg</v>
      </c>
    </row>
    <row r="46" spans="1:13" x14ac:dyDescent="0.25">
      <c r="A46" s="2" t="s">
        <v>17</v>
      </c>
      <c r="B46" s="4">
        <v>45975</v>
      </c>
      <c r="C46" s="5">
        <v>0.8056712962962963</v>
      </c>
      <c r="D46" s="9" t="s">
        <v>4</v>
      </c>
      <c r="E46" s="9" t="s">
        <v>9</v>
      </c>
      <c r="F46" s="9"/>
      <c r="H46" s="9"/>
      <c r="I46" s="9" t="s">
        <v>758</v>
      </c>
      <c r="J46" s="9" t="s">
        <v>2947</v>
      </c>
      <c r="K46" t="s">
        <v>759</v>
      </c>
      <c r="L46" t="s">
        <v>760</v>
      </c>
      <c r="M46" s="3" t="str">
        <f>HYPERLINK(склад2въезд1319202122[[#This Row],[RelativePath]])</f>
        <v>8 Рейсмус\E33149364_2_20251114T192010Z.jpg</v>
      </c>
    </row>
    <row r="47" spans="1:13" x14ac:dyDescent="0.25">
      <c r="A47" s="2" t="s">
        <v>17</v>
      </c>
      <c r="B47" s="4">
        <v>45975</v>
      </c>
      <c r="C47" s="5">
        <v>0.81442129629629634</v>
      </c>
      <c r="D47" s="9" t="s">
        <v>4</v>
      </c>
      <c r="E47" s="9" t="s">
        <v>9</v>
      </c>
      <c r="F47" s="9"/>
      <c r="H47" s="9" t="s">
        <v>20</v>
      </c>
      <c r="I47" s="9" t="s">
        <v>761</v>
      </c>
      <c r="J47" s="9" t="s">
        <v>2947</v>
      </c>
      <c r="K47" t="s">
        <v>762</v>
      </c>
      <c r="L47" t="s">
        <v>763</v>
      </c>
      <c r="M47" s="3" t="str">
        <f>HYPERLINK(склад2въезд1319202122[[#This Row],[RelativePath]])</f>
        <v>8 Рейсмус\E33149364_2_20251114T193246Z.jpg</v>
      </c>
    </row>
    <row r="48" spans="1:13" x14ac:dyDescent="0.25">
      <c r="A48" s="2" t="s">
        <v>18</v>
      </c>
      <c r="B48" s="4">
        <v>45976</v>
      </c>
      <c r="C48" s="5">
        <v>0.42851851851851852</v>
      </c>
      <c r="D48" s="9" t="s">
        <v>4</v>
      </c>
      <c r="E48" s="9" t="s">
        <v>9</v>
      </c>
      <c r="F48" s="9"/>
      <c r="H48" s="9"/>
      <c r="I48" s="9" t="s">
        <v>1102</v>
      </c>
      <c r="J48" s="9" t="s">
        <v>2947</v>
      </c>
      <c r="K48" t="s">
        <v>1103</v>
      </c>
      <c r="L48" t="s">
        <v>1104</v>
      </c>
      <c r="M48" s="3" t="str">
        <f>HYPERLINK(склад2въезд1319202122[[#This Row],[RelativePath]])</f>
        <v>8 Рейсмус\E33149364_2_20251115T101704Z.jpg</v>
      </c>
    </row>
    <row r="49" spans="1:13" x14ac:dyDescent="0.25">
      <c r="A49" s="2" t="s">
        <v>18</v>
      </c>
      <c r="B49" s="4">
        <v>45976</v>
      </c>
      <c r="C49" s="5">
        <v>0.4327199074074074</v>
      </c>
      <c r="D49" s="9" t="s">
        <v>4</v>
      </c>
      <c r="E49" s="9" t="s">
        <v>9</v>
      </c>
      <c r="F49" s="9"/>
      <c r="H49" s="9"/>
      <c r="I49" s="9" t="s">
        <v>1105</v>
      </c>
      <c r="J49" s="9" t="s">
        <v>2947</v>
      </c>
      <c r="K49" t="s">
        <v>1106</v>
      </c>
      <c r="L49" t="s">
        <v>1107</v>
      </c>
      <c r="M49" s="3" t="str">
        <f>HYPERLINK(склад2въезд1319202122[[#This Row],[RelativePath]])</f>
        <v>8 Рейсмус\E33149364_2_20251115T102307Z.jpg</v>
      </c>
    </row>
    <row r="50" spans="1:13" x14ac:dyDescent="0.25">
      <c r="A50" s="2" t="s">
        <v>18</v>
      </c>
      <c r="B50" s="4">
        <v>45976</v>
      </c>
      <c r="C50" s="5">
        <v>0.44187500000000002</v>
      </c>
      <c r="D50" s="9" t="s">
        <v>4</v>
      </c>
      <c r="E50" s="9" t="s">
        <v>9</v>
      </c>
      <c r="F50" s="9"/>
      <c r="H50" s="9"/>
      <c r="I50" s="9" t="s">
        <v>1108</v>
      </c>
      <c r="J50" s="9" t="s">
        <v>2947</v>
      </c>
      <c r="K50" t="s">
        <v>1109</v>
      </c>
      <c r="L50" t="s">
        <v>1110</v>
      </c>
      <c r="M50" s="3" t="str">
        <f>HYPERLINK(склад2въезд1319202122[[#This Row],[RelativePath]])</f>
        <v>8 Рейсмус\E33149364_2_20251115T103618Z.jpg</v>
      </c>
    </row>
    <row r="51" spans="1:13" x14ac:dyDescent="0.25">
      <c r="A51" s="2" t="s">
        <v>18</v>
      </c>
      <c r="B51" s="4">
        <v>45976</v>
      </c>
      <c r="C51" s="5">
        <v>0.45770833333333333</v>
      </c>
      <c r="D51" s="9" t="s">
        <v>1987</v>
      </c>
      <c r="E51" s="9" t="s">
        <v>768</v>
      </c>
      <c r="F51" s="9"/>
      <c r="H51" s="9"/>
      <c r="I51" s="9" t="s">
        <v>1111</v>
      </c>
      <c r="J51" s="9" t="s">
        <v>2947</v>
      </c>
      <c r="K51" t="s">
        <v>1112</v>
      </c>
      <c r="L51" t="s">
        <v>1113</v>
      </c>
      <c r="M51" s="3" t="str">
        <f>HYPERLINK(склад2въезд1319202122[[#This Row],[RelativePath]])</f>
        <v>8 Рейсмус\E33149364_2_20251115T105906Z.jpg</v>
      </c>
    </row>
    <row r="52" spans="1:13" x14ac:dyDescent="0.25">
      <c r="A52" s="2" t="s">
        <v>18</v>
      </c>
      <c r="B52" s="4">
        <v>45976</v>
      </c>
      <c r="C52" s="5">
        <v>0.46019675925925924</v>
      </c>
      <c r="D52" s="9" t="s">
        <v>4</v>
      </c>
      <c r="E52" s="9" t="s">
        <v>9</v>
      </c>
      <c r="F52" s="9"/>
      <c r="H52" s="9"/>
      <c r="I52" s="9" t="s">
        <v>1114</v>
      </c>
      <c r="J52" s="9" t="s">
        <v>2947</v>
      </c>
      <c r="K52" t="s">
        <v>1115</v>
      </c>
      <c r="L52" t="s">
        <v>1116</v>
      </c>
      <c r="M52" s="3" t="str">
        <f>HYPERLINK(склад2въезд1319202122[[#This Row],[RelativePath]])</f>
        <v>8 Рейсмус\E33149364_2_20251115T110241Z.jpg</v>
      </c>
    </row>
    <row r="53" spans="1:13" x14ac:dyDescent="0.25">
      <c r="A53" s="2" t="s">
        <v>18</v>
      </c>
      <c r="B53" s="4">
        <v>45976</v>
      </c>
      <c r="C53" s="5">
        <v>0.57002314814814814</v>
      </c>
      <c r="D53" s="9" t="s">
        <v>1987</v>
      </c>
      <c r="E53" s="9" t="s">
        <v>768</v>
      </c>
      <c r="F53" s="9"/>
      <c r="H53" s="9"/>
      <c r="I53" s="9" t="s">
        <v>1117</v>
      </c>
      <c r="J53" s="9" t="s">
        <v>2947</v>
      </c>
      <c r="K53" t="s">
        <v>1118</v>
      </c>
      <c r="L53" t="s">
        <v>1119</v>
      </c>
      <c r="M53" s="3" t="str">
        <f>HYPERLINK(склад2въезд1319202122[[#This Row],[RelativePath]])</f>
        <v>8 Рейсмус\E33149364_2_20251115T134050Z.jpg</v>
      </c>
    </row>
    <row r="54" spans="1:13" x14ac:dyDescent="0.25">
      <c r="A54" s="2" t="s">
        <v>18</v>
      </c>
      <c r="B54" s="4">
        <v>45976</v>
      </c>
      <c r="C54" s="5">
        <v>0.5809375</v>
      </c>
      <c r="D54" s="9" t="s">
        <v>1987</v>
      </c>
      <c r="E54" s="9" t="s">
        <v>768</v>
      </c>
      <c r="F54" s="9"/>
      <c r="H54" s="9"/>
      <c r="I54" s="9" t="s">
        <v>1120</v>
      </c>
      <c r="J54" s="9" t="s">
        <v>2947</v>
      </c>
      <c r="K54" t="s">
        <v>1121</v>
      </c>
      <c r="L54" t="s">
        <v>1122</v>
      </c>
      <c r="M54" s="3" t="str">
        <f>HYPERLINK(склад2въезд1319202122[[#This Row],[RelativePath]])</f>
        <v>8 Рейсмус\E33149364_2_20251115T135633Z.jpg</v>
      </c>
    </row>
    <row r="55" spans="1:13" x14ac:dyDescent="0.25">
      <c r="A55" s="2" t="s">
        <v>18</v>
      </c>
      <c r="B55" s="4">
        <v>45976</v>
      </c>
      <c r="C55" s="5">
        <v>0.61282407407407402</v>
      </c>
      <c r="D55" s="9" t="s">
        <v>1987</v>
      </c>
      <c r="E55" s="9" t="s">
        <v>768</v>
      </c>
      <c r="F55" s="9"/>
      <c r="H55" s="9"/>
      <c r="I55" s="9" t="s">
        <v>1123</v>
      </c>
      <c r="J55" s="9" t="s">
        <v>2947</v>
      </c>
      <c r="K55" t="s">
        <v>1124</v>
      </c>
      <c r="L55" t="s">
        <v>1125</v>
      </c>
      <c r="M55" s="3" t="str">
        <f>HYPERLINK(склад2въезд1319202122[[#This Row],[RelativePath]])</f>
        <v>8 Рейсмус\E33149364_2_20251115T144228Z.jpg</v>
      </c>
    </row>
    <row r="56" spans="1:13" x14ac:dyDescent="0.25">
      <c r="A56" s="2" t="s">
        <v>18</v>
      </c>
      <c r="B56" s="4">
        <v>45976</v>
      </c>
      <c r="C56" s="5">
        <v>0.65748842592592593</v>
      </c>
      <c r="D56" s="9" t="s">
        <v>1987</v>
      </c>
      <c r="E56" s="9" t="s">
        <v>768</v>
      </c>
      <c r="F56" s="9"/>
      <c r="H56" s="9"/>
      <c r="I56" s="9" t="s">
        <v>1126</v>
      </c>
      <c r="J56" s="9" t="s">
        <v>2947</v>
      </c>
      <c r="K56" t="s">
        <v>1127</v>
      </c>
      <c r="L56" t="s">
        <v>1128</v>
      </c>
      <c r="M56" s="3" t="str">
        <f>HYPERLINK(склад2въезд1319202122[[#This Row],[RelativePath]])</f>
        <v>8 Рейсмус\E33149364_2_20251115T154647Z.jpg</v>
      </c>
    </row>
    <row r="57" spans="1:13" x14ac:dyDescent="0.25">
      <c r="A57" s="2" t="s">
        <v>18</v>
      </c>
      <c r="B57" s="4">
        <v>45976</v>
      </c>
      <c r="C57" s="5">
        <v>0.6594444444444445</v>
      </c>
      <c r="D57" s="9" t="s">
        <v>4</v>
      </c>
      <c r="E57" s="9" t="s">
        <v>9</v>
      </c>
      <c r="F57" s="9"/>
      <c r="H57" s="9" t="s">
        <v>2891</v>
      </c>
      <c r="I57" s="9" t="s">
        <v>1129</v>
      </c>
      <c r="J57" s="9" t="s">
        <v>2947</v>
      </c>
      <c r="K57" t="s">
        <v>1130</v>
      </c>
      <c r="L57" t="s">
        <v>1131</v>
      </c>
      <c r="M57" s="3" t="str">
        <f>HYPERLINK(склад2въезд1319202122[[#This Row],[RelativePath]])</f>
        <v>8 Рейсмус\E33149364_2_20251115T154936Z.jpg</v>
      </c>
    </row>
    <row r="58" spans="1:13" x14ac:dyDescent="0.25">
      <c r="A58" s="2" t="s">
        <v>22</v>
      </c>
      <c r="B58" s="4">
        <v>45977</v>
      </c>
      <c r="C58" s="5">
        <v>0.72240740740740739</v>
      </c>
      <c r="D58" s="9" t="s">
        <v>4</v>
      </c>
      <c r="E58" s="9" t="s">
        <v>9</v>
      </c>
      <c r="F58" s="9"/>
      <c r="H58" s="9" t="s">
        <v>2891</v>
      </c>
      <c r="I58" s="9" t="s">
        <v>1132</v>
      </c>
      <c r="J58" s="9" t="s">
        <v>2947</v>
      </c>
      <c r="K58" t="s">
        <v>1133</v>
      </c>
      <c r="L58" t="s">
        <v>1134</v>
      </c>
      <c r="M58" s="3" t="str">
        <f>HYPERLINK(склад2въезд1319202122[[#This Row],[RelativePath]])</f>
        <v>8 Рейсмус\E33149364_2_20251116T172016Z.jpg</v>
      </c>
    </row>
    <row r="59" spans="1:13" x14ac:dyDescent="0.25">
      <c r="A59" s="2" t="s">
        <v>22</v>
      </c>
      <c r="B59" s="4">
        <v>45977</v>
      </c>
      <c r="C59" s="5">
        <v>0.7446990740740741</v>
      </c>
      <c r="D59" s="9" t="s">
        <v>4</v>
      </c>
      <c r="E59" s="9" t="s">
        <v>9</v>
      </c>
      <c r="F59" s="9"/>
      <c r="H59" s="9" t="s">
        <v>2891</v>
      </c>
      <c r="I59" s="9" t="s">
        <v>1135</v>
      </c>
      <c r="J59" s="9" t="s">
        <v>2947</v>
      </c>
      <c r="K59" t="s">
        <v>1136</v>
      </c>
      <c r="L59" t="s">
        <v>1137</v>
      </c>
      <c r="M59" s="3" t="str">
        <f>HYPERLINK(склад2въезд1319202122[[#This Row],[RelativePath]])</f>
        <v>8 Рейсмус\E33149364_2_20251116T175222Z.jpg</v>
      </c>
    </row>
    <row r="60" spans="1:13" x14ac:dyDescent="0.25">
      <c r="A60" s="2" t="s">
        <v>22</v>
      </c>
      <c r="B60" s="4">
        <v>45977</v>
      </c>
      <c r="C60" s="5">
        <v>0.8291087962962963</v>
      </c>
      <c r="D60" s="9" t="s">
        <v>4</v>
      </c>
      <c r="E60" s="9" t="s">
        <v>9</v>
      </c>
      <c r="F60" s="9"/>
      <c r="H60" s="9" t="s">
        <v>2891</v>
      </c>
      <c r="I60" s="9" t="s">
        <v>1138</v>
      </c>
      <c r="J60" s="9" t="s">
        <v>2947</v>
      </c>
      <c r="K60" t="s">
        <v>1139</v>
      </c>
      <c r="L60" t="s">
        <v>1140</v>
      </c>
      <c r="M60" s="3" t="str">
        <f>HYPERLINK(склад2въезд1319202122[[#This Row],[RelativePath]])</f>
        <v>8 Рейсмус\E33149364_2_20251116T195355Z.jpg</v>
      </c>
    </row>
    <row r="61" spans="1:13" x14ac:dyDescent="0.25">
      <c r="A61" s="2" t="s">
        <v>22</v>
      </c>
      <c r="B61" s="4">
        <v>45977</v>
      </c>
      <c r="C61" s="5">
        <v>0.85422453703703705</v>
      </c>
      <c r="D61" s="9" t="s">
        <v>4</v>
      </c>
      <c r="E61" s="9" t="s">
        <v>9</v>
      </c>
      <c r="F61" s="9"/>
      <c r="H61" s="9" t="s">
        <v>2891</v>
      </c>
      <c r="I61" s="9" t="s">
        <v>1141</v>
      </c>
      <c r="J61" s="9" t="s">
        <v>2947</v>
      </c>
      <c r="K61" t="s">
        <v>1142</v>
      </c>
      <c r="L61" t="s">
        <v>1143</v>
      </c>
      <c r="M61" s="3" t="str">
        <f>HYPERLINK(склад2въезд1319202122[[#This Row],[RelativePath]])</f>
        <v>8 Рейсмус\E33149364_2_20251116T203005Z.jpg</v>
      </c>
    </row>
    <row r="62" spans="1:13" x14ac:dyDescent="0.25">
      <c r="A62" s="2" t="s">
        <v>22</v>
      </c>
      <c r="B62" s="4">
        <v>45977</v>
      </c>
      <c r="C62" s="5">
        <v>0.86663194444444447</v>
      </c>
      <c r="D62" s="9" t="s">
        <v>4</v>
      </c>
      <c r="E62" s="9" t="s">
        <v>9</v>
      </c>
      <c r="F62" s="9"/>
      <c r="H62" s="9" t="s">
        <v>2891</v>
      </c>
      <c r="I62" s="9" t="s">
        <v>1144</v>
      </c>
      <c r="J62" s="9" t="s">
        <v>2947</v>
      </c>
      <c r="K62" t="s">
        <v>1145</v>
      </c>
      <c r="L62" t="s">
        <v>1146</v>
      </c>
      <c r="M62" s="3" t="str">
        <f>HYPERLINK(склад2въезд1319202122[[#This Row],[RelativePath]])</f>
        <v>8 Рейсмус\E33149364_2_20251116T204757Z.jpg</v>
      </c>
    </row>
    <row r="63" spans="1:13" x14ac:dyDescent="0.25">
      <c r="A63" s="2" t="s">
        <v>22</v>
      </c>
      <c r="B63" s="4">
        <v>45977</v>
      </c>
      <c r="C63" s="5">
        <v>0.87561342592592595</v>
      </c>
      <c r="D63" s="9" t="s">
        <v>4</v>
      </c>
      <c r="E63" s="9" t="s">
        <v>9</v>
      </c>
      <c r="F63" s="9"/>
      <c r="H63" s="9" t="s">
        <v>2891</v>
      </c>
      <c r="I63" s="9" t="s">
        <v>1147</v>
      </c>
      <c r="J63" s="9" t="s">
        <v>2947</v>
      </c>
      <c r="K63" t="s">
        <v>1148</v>
      </c>
      <c r="L63" t="s">
        <v>1149</v>
      </c>
      <c r="M63" s="3" t="str">
        <f>HYPERLINK(склад2въезд1319202122[[#This Row],[RelativePath]])</f>
        <v>8 Рейсмус\E33149364_2_20251116T210053Z.jpg</v>
      </c>
    </row>
    <row r="64" spans="1:13" x14ac:dyDescent="0.25">
      <c r="A64" s="2" t="s">
        <v>13</v>
      </c>
      <c r="B64" s="4">
        <v>45978</v>
      </c>
      <c r="C64" s="5">
        <v>0.40057870370370369</v>
      </c>
      <c r="D64" s="9" t="s">
        <v>4</v>
      </c>
      <c r="E64" s="9" t="s">
        <v>9</v>
      </c>
      <c r="F64" s="9"/>
      <c r="H64" s="9" t="s">
        <v>2891</v>
      </c>
      <c r="I64" s="9" t="s">
        <v>2187</v>
      </c>
      <c r="J64" s="9" t="s">
        <v>2947</v>
      </c>
      <c r="K64" t="s">
        <v>2188</v>
      </c>
      <c r="L64" t="s">
        <v>2189</v>
      </c>
      <c r="M64" s="3" t="str">
        <f>HYPERLINK(склад2въезд1319202122[[#This Row],[RelativePath]])</f>
        <v>8 Рейсмус\E33149364_2_20251117T093650Z.jpg</v>
      </c>
    </row>
    <row r="65" spans="1:13" x14ac:dyDescent="0.25">
      <c r="A65" s="2" t="s">
        <v>13</v>
      </c>
      <c r="B65" s="4">
        <v>45978</v>
      </c>
      <c r="C65" s="5">
        <v>0.41606481481481483</v>
      </c>
      <c r="D65" s="9" t="s">
        <v>4</v>
      </c>
      <c r="E65" s="9" t="s">
        <v>9</v>
      </c>
      <c r="F65" s="9"/>
      <c r="H65" s="9" t="s">
        <v>2891</v>
      </c>
      <c r="I65" s="9" t="s">
        <v>2190</v>
      </c>
      <c r="J65" s="9" t="s">
        <v>2947</v>
      </c>
      <c r="K65" t="s">
        <v>2191</v>
      </c>
      <c r="L65" t="s">
        <v>2192</v>
      </c>
      <c r="M65" s="3" t="str">
        <f>HYPERLINK(склад2въезд1319202122[[#This Row],[RelativePath]])</f>
        <v>8 Рейсмус\E33149364_2_20251117T095908Z.jpg</v>
      </c>
    </row>
    <row r="66" spans="1:13" x14ac:dyDescent="0.25">
      <c r="A66" s="2" t="s">
        <v>13</v>
      </c>
      <c r="B66" s="4">
        <v>45978</v>
      </c>
      <c r="C66" s="5">
        <v>0.4387152777777778</v>
      </c>
      <c r="D66" s="9" t="s">
        <v>4</v>
      </c>
      <c r="E66" s="9" t="s">
        <v>9</v>
      </c>
      <c r="F66" s="9"/>
      <c r="H66" s="9" t="s">
        <v>2891</v>
      </c>
      <c r="I66" s="9" t="s">
        <v>2193</v>
      </c>
      <c r="J66" s="9" t="s">
        <v>2947</v>
      </c>
      <c r="K66" t="s">
        <v>2194</v>
      </c>
      <c r="L66" t="s">
        <v>2195</v>
      </c>
      <c r="M66" s="3" t="str">
        <f>HYPERLINK(склад2въезд1319202122[[#This Row],[RelativePath]])</f>
        <v>8 Рейсмус\E33149364_2_20251117T103145Z.jpg</v>
      </c>
    </row>
    <row r="67" spans="1:13" x14ac:dyDescent="0.25">
      <c r="A67" s="2" t="s">
        <v>13</v>
      </c>
      <c r="B67" s="4">
        <v>45978</v>
      </c>
      <c r="C67" s="5">
        <v>0.45379629629629631</v>
      </c>
      <c r="D67" s="9" t="s">
        <v>1987</v>
      </c>
      <c r="E67" s="9" t="s">
        <v>768</v>
      </c>
      <c r="F67" s="9"/>
      <c r="H67" s="9"/>
      <c r="I67" s="9" t="s">
        <v>2196</v>
      </c>
      <c r="J67" s="9" t="s">
        <v>2947</v>
      </c>
      <c r="K67" t="s">
        <v>2197</v>
      </c>
      <c r="L67" t="s">
        <v>2198</v>
      </c>
      <c r="M67" s="3" t="str">
        <f>HYPERLINK(склад2въезд1319202122[[#This Row],[RelativePath]])</f>
        <v>8 Рейсмус\E33149364_2_20251117T105328Z.jpg</v>
      </c>
    </row>
    <row r="68" spans="1:13" x14ac:dyDescent="0.25">
      <c r="A68" s="2" t="s">
        <v>13</v>
      </c>
      <c r="B68" s="4">
        <v>45978</v>
      </c>
      <c r="C68" s="5">
        <v>0.47343750000000001</v>
      </c>
      <c r="D68" s="9" t="s">
        <v>4</v>
      </c>
      <c r="E68" s="9" t="s">
        <v>9</v>
      </c>
      <c r="F68" s="9"/>
      <c r="H68" s="9" t="s">
        <v>2891</v>
      </c>
      <c r="I68" s="9" t="s">
        <v>2199</v>
      </c>
      <c r="J68" s="9" t="s">
        <v>2947</v>
      </c>
      <c r="K68" t="s">
        <v>2200</v>
      </c>
      <c r="L68" t="s">
        <v>2201</v>
      </c>
      <c r="M68" s="3" t="str">
        <f>HYPERLINK(склад2въезд1319202122[[#This Row],[RelativePath]])</f>
        <v>8 Рейсмус\E33149364_2_20251117T112145Z.jpg</v>
      </c>
    </row>
    <row r="69" spans="1:13" x14ac:dyDescent="0.25">
      <c r="A69" s="2" t="s">
        <v>13</v>
      </c>
      <c r="B69" s="4">
        <v>45978</v>
      </c>
      <c r="C69" s="5">
        <v>0.50187499999999996</v>
      </c>
      <c r="D69" s="9" t="s">
        <v>4</v>
      </c>
      <c r="E69" s="9" t="s">
        <v>9</v>
      </c>
      <c r="F69" s="9"/>
      <c r="H69" s="9" t="s">
        <v>2891</v>
      </c>
      <c r="I69" s="9" t="s">
        <v>2202</v>
      </c>
      <c r="J69" s="9" t="s">
        <v>2947</v>
      </c>
      <c r="K69" t="s">
        <v>2203</v>
      </c>
      <c r="L69" t="s">
        <v>2204</v>
      </c>
      <c r="M69" s="3" t="str">
        <f>HYPERLINK(склад2въезд1319202122[[#This Row],[RelativePath]])</f>
        <v>8 Рейсмус\E33149364_2_20251117T120242Z.jpg</v>
      </c>
    </row>
    <row r="70" spans="1:13" x14ac:dyDescent="0.25">
      <c r="A70" s="2" t="s">
        <v>13</v>
      </c>
      <c r="B70" s="4">
        <v>45978</v>
      </c>
      <c r="C70" s="5">
        <v>0.62127314814814816</v>
      </c>
      <c r="D70" s="9" t="s">
        <v>1987</v>
      </c>
      <c r="E70" s="9" t="s">
        <v>768</v>
      </c>
      <c r="F70" s="9"/>
      <c r="H70" s="9"/>
      <c r="I70" s="9" t="s">
        <v>2205</v>
      </c>
      <c r="J70" s="9" t="s">
        <v>2947</v>
      </c>
      <c r="K70" t="s">
        <v>2206</v>
      </c>
      <c r="L70" t="s">
        <v>2207</v>
      </c>
      <c r="M70" s="3" t="str">
        <f>HYPERLINK(склад2въезд1319202122[[#This Row],[RelativePath]])</f>
        <v>8 Рейсмус\E33149364_2_20251117T145438Z.jpg</v>
      </c>
    </row>
    <row r="71" spans="1:13" x14ac:dyDescent="0.25">
      <c r="A71" s="2" t="s">
        <v>13</v>
      </c>
      <c r="B71" s="4">
        <v>45978</v>
      </c>
      <c r="C71" s="5">
        <v>0.62615740740740744</v>
      </c>
      <c r="D71" s="9" t="s">
        <v>1987</v>
      </c>
      <c r="E71" s="9" t="s">
        <v>768</v>
      </c>
      <c r="F71" s="9"/>
      <c r="H71" s="9"/>
      <c r="I71" s="9" t="s">
        <v>2208</v>
      </c>
      <c r="J71" s="9" t="s">
        <v>2947</v>
      </c>
      <c r="K71" t="s">
        <v>2209</v>
      </c>
      <c r="L71" t="s">
        <v>2210</v>
      </c>
      <c r="M71" s="3" t="str">
        <f>HYPERLINK(склад2въезд1319202122[[#This Row],[RelativePath]])</f>
        <v>8 Рейсмус\E33149364_2_20251117T150140Z.jpg</v>
      </c>
    </row>
    <row r="72" spans="1:13" x14ac:dyDescent="0.25">
      <c r="A72" s="2" t="s">
        <v>13</v>
      </c>
      <c r="B72" s="4">
        <v>45978</v>
      </c>
      <c r="C72" s="5">
        <v>0.74898148148148147</v>
      </c>
      <c r="D72" s="9" t="s">
        <v>1987</v>
      </c>
      <c r="E72" s="9" t="s">
        <v>768</v>
      </c>
      <c r="F72" s="9"/>
      <c r="H72" s="9"/>
      <c r="I72" s="9" t="s">
        <v>2211</v>
      </c>
      <c r="J72" s="9" t="s">
        <v>2947</v>
      </c>
      <c r="K72" t="s">
        <v>2212</v>
      </c>
      <c r="L72" t="s">
        <v>2213</v>
      </c>
      <c r="M72" s="3" t="str">
        <f>HYPERLINK(склад2въезд1319202122[[#This Row],[RelativePath]])</f>
        <v>8 Рейсмус\E33149364_2_20251117T175832Z.jpg</v>
      </c>
    </row>
    <row r="73" spans="1:13" x14ac:dyDescent="0.25">
      <c r="A73" s="2" t="s">
        <v>13</v>
      </c>
      <c r="B73" s="4">
        <v>45978</v>
      </c>
      <c r="C73" s="5">
        <v>0.80407407407407405</v>
      </c>
      <c r="D73" s="9" t="s">
        <v>4</v>
      </c>
      <c r="E73" s="9" t="s">
        <v>9</v>
      </c>
      <c r="F73" s="9"/>
      <c r="H73" s="9" t="s">
        <v>2891</v>
      </c>
      <c r="I73" s="9" t="s">
        <v>2214</v>
      </c>
      <c r="J73" s="9" t="s">
        <v>2947</v>
      </c>
      <c r="K73" t="s">
        <v>2215</v>
      </c>
      <c r="L73" t="s">
        <v>2216</v>
      </c>
      <c r="M73" s="3" t="str">
        <f>HYPERLINK(склад2въезд1319202122[[#This Row],[RelativePath]])</f>
        <v>8 Рейсмус\E33149364_2_20251117T191752Z.jpg</v>
      </c>
    </row>
    <row r="74" spans="1:13" x14ac:dyDescent="0.25">
      <c r="A74" s="2" t="s">
        <v>13</v>
      </c>
      <c r="B74" s="4">
        <v>45978</v>
      </c>
      <c r="C74" s="5">
        <v>0.82643518518518522</v>
      </c>
      <c r="D74" s="9" t="s">
        <v>4</v>
      </c>
      <c r="E74" s="9" t="s">
        <v>9</v>
      </c>
      <c r="F74" s="9"/>
      <c r="H74" s="9" t="s">
        <v>2891</v>
      </c>
      <c r="I74" s="9" t="s">
        <v>2217</v>
      </c>
      <c r="J74" s="9" t="s">
        <v>2947</v>
      </c>
      <c r="K74" t="s">
        <v>2218</v>
      </c>
      <c r="L74" t="s">
        <v>2219</v>
      </c>
      <c r="M74" s="3" t="str">
        <f>HYPERLINK(склад2въезд1319202122[[#This Row],[RelativePath]])</f>
        <v>8 Рейсмус\E33149364_2_20251117T195004Z.jpg</v>
      </c>
    </row>
    <row r="75" spans="1:13" x14ac:dyDescent="0.25">
      <c r="A75" s="2" t="s">
        <v>13</v>
      </c>
      <c r="B75" s="4">
        <v>45978</v>
      </c>
      <c r="C75" s="5">
        <v>0.97628472222222218</v>
      </c>
      <c r="D75" s="9" t="s">
        <v>4</v>
      </c>
      <c r="E75" s="9" t="s">
        <v>9</v>
      </c>
      <c r="F75" s="9"/>
      <c r="H75" s="9" t="s">
        <v>2891</v>
      </c>
      <c r="I75" s="9" t="s">
        <v>2220</v>
      </c>
      <c r="J75" s="9" t="s">
        <v>2947</v>
      </c>
      <c r="K75" t="s">
        <v>2221</v>
      </c>
      <c r="L75" t="s">
        <v>2222</v>
      </c>
      <c r="M75" s="3" t="str">
        <f>HYPERLINK(склад2въезд1319202122[[#This Row],[RelativePath]])</f>
        <v>8 Рейсмус\E33149364_2_20251117T232551Z.jpg</v>
      </c>
    </row>
    <row r="76" spans="1:13" x14ac:dyDescent="0.25">
      <c r="A76" s="2" t="s">
        <v>14</v>
      </c>
      <c r="B76" s="4">
        <v>45979</v>
      </c>
      <c r="C76" s="5">
        <v>0.7411226851851852</v>
      </c>
      <c r="D76" s="9" t="s">
        <v>4</v>
      </c>
      <c r="E76" s="9" t="s">
        <v>9</v>
      </c>
      <c r="F76" s="9"/>
      <c r="H76" s="9" t="s">
        <v>2891</v>
      </c>
      <c r="I76" s="9" t="s">
        <v>2223</v>
      </c>
      <c r="J76" s="9" t="s">
        <v>2947</v>
      </c>
      <c r="K76" t="s">
        <v>2224</v>
      </c>
      <c r="L76" t="s">
        <v>2225</v>
      </c>
      <c r="M76" s="3" t="str">
        <f>HYPERLINK(склад2въезд1319202122[[#This Row],[RelativePath]])</f>
        <v>8 Рейсмус\E33149364_2_20251118T174713Z.jpg</v>
      </c>
    </row>
    <row r="77" spans="1:13" x14ac:dyDescent="0.25">
      <c r="A77" s="2" t="s">
        <v>14</v>
      </c>
      <c r="B77" s="4">
        <v>45979</v>
      </c>
      <c r="C77" s="5">
        <v>0.75446759259259255</v>
      </c>
      <c r="D77" s="9" t="s">
        <v>1987</v>
      </c>
      <c r="E77" s="9" t="s">
        <v>1267</v>
      </c>
      <c r="F77" s="9"/>
      <c r="H77" s="9"/>
      <c r="I77" s="9" t="s">
        <v>2226</v>
      </c>
      <c r="J77" s="9" t="s">
        <v>2947</v>
      </c>
      <c r="K77" t="s">
        <v>2227</v>
      </c>
      <c r="L77" t="s">
        <v>2228</v>
      </c>
      <c r="M77" s="3" t="str">
        <f>HYPERLINK(склад2въезд1319202122[[#This Row],[RelativePath]])</f>
        <v>8 Рейсмус\E33149364_2_20251118T180626Z.jpg</v>
      </c>
    </row>
    <row r="78" spans="1:13" x14ac:dyDescent="0.25">
      <c r="A78" s="2" t="s">
        <v>14</v>
      </c>
      <c r="B78" s="4">
        <v>45979</v>
      </c>
      <c r="C78" s="5">
        <v>0.82543981481481477</v>
      </c>
      <c r="D78" s="9" t="s">
        <v>4</v>
      </c>
      <c r="E78" s="9" t="s">
        <v>9</v>
      </c>
      <c r="F78" s="9"/>
      <c r="H78" s="9" t="s">
        <v>2891</v>
      </c>
      <c r="I78" s="9" t="s">
        <v>2229</v>
      </c>
      <c r="J78" s="9" t="s">
        <v>2947</v>
      </c>
      <c r="K78" t="s">
        <v>2230</v>
      </c>
      <c r="L78" t="s">
        <v>2231</v>
      </c>
      <c r="M78" s="3" t="str">
        <f>HYPERLINK(склад2въезд1319202122[[#This Row],[RelativePath]])</f>
        <v>8 Рейсмус\E33149364_2_20251118T194838Z.jpg</v>
      </c>
    </row>
    <row r="79" spans="1:13" x14ac:dyDescent="0.25">
      <c r="A79" s="2" t="s">
        <v>14</v>
      </c>
      <c r="B79" s="4">
        <v>45979</v>
      </c>
      <c r="C79" s="5">
        <v>0.8402546296296296</v>
      </c>
      <c r="D79" s="9" t="s">
        <v>4</v>
      </c>
      <c r="E79" s="9" t="s">
        <v>9</v>
      </c>
      <c r="F79" s="9"/>
      <c r="H79" s="9" t="s">
        <v>2891</v>
      </c>
      <c r="I79" s="9" t="s">
        <v>2232</v>
      </c>
      <c r="J79" s="9" t="s">
        <v>2947</v>
      </c>
      <c r="K79" t="s">
        <v>2233</v>
      </c>
      <c r="L79" t="s">
        <v>2234</v>
      </c>
      <c r="M79" s="3" t="str">
        <f>HYPERLINK(склад2въезд1319202122[[#This Row],[RelativePath]])</f>
        <v>8 Рейсмус\E33149364_2_20251118T200958Z.jpg</v>
      </c>
    </row>
    <row r="80" spans="1:13" x14ac:dyDescent="0.25">
      <c r="A80" s="2" t="s">
        <v>14</v>
      </c>
      <c r="B80" s="4">
        <v>45979</v>
      </c>
      <c r="C80" s="5">
        <v>0.84327546296296296</v>
      </c>
      <c r="D80" s="9" t="s">
        <v>1987</v>
      </c>
      <c r="E80" s="9" t="s">
        <v>1267</v>
      </c>
      <c r="F80" s="9"/>
      <c r="H80" s="9"/>
      <c r="I80" s="9" t="s">
        <v>2235</v>
      </c>
      <c r="J80" s="9" t="s">
        <v>2947</v>
      </c>
      <c r="K80" t="s">
        <v>2236</v>
      </c>
      <c r="L80" t="s">
        <v>2237</v>
      </c>
      <c r="M80" s="3" t="str">
        <f>HYPERLINK(склад2въезд1319202122[[#This Row],[RelativePath]])</f>
        <v>8 Рейсмус\E33149364_2_20251118T201419Z.jpg</v>
      </c>
    </row>
    <row r="81" spans="1:13" x14ac:dyDescent="0.25">
      <c r="A81" s="2" t="s">
        <v>14</v>
      </c>
      <c r="B81" s="4">
        <v>45979</v>
      </c>
      <c r="C81" s="5">
        <v>0.84695601851851854</v>
      </c>
      <c r="D81" s="9" t="s">
        <v>4</v>
      </c>
      <c r="E81" s="9" t="s">
        <v>9</v>
      </c>
      <c r="F81" s="9"/>
      <c r="H81" s="9" t="s">
        <v>2891</v>
      </c>
      <c r="I81" s="9" t="s">
        <v>2238</v>
      </c>
      <c r="J81" s="9" t="s">
        <v>2947</v>
      </c>
      <c r="K81" t="s">
        <v>2239</v>
      </c>
      <c r="L81" t="s">
        <v>2240</v>
      </c>
      <c r="M81" s="3" t="str">
        <f>HYPERLINK(склад2въезд1319202122[[#This Row],[RelativePath]])</f>
        <v>8 Рейсмус\E33149364_2_20251118T201937Z.jpg</v>
      </c>
    </row>
    <row r="82" spans="1:13" x14ac:dyDescent="0.25">
      <c r="A82" s="2" t="s">
        <v>14</v>
      </c>
      <c r="B82" s="4">
        <v>45979</v>
      </c>
      <c r="C82" s="5">
        <v>0.89165509259259257</v>
      </c>
      <c r="D82" s="9" t="s">
        <v>4</v>
      </c>
      <c r="E82" s="9" t="s">
        <v>9</v>
      </c>
      <c r="F82" s="9"/>
      <c r="H82" s="9" t="s">
        <v>2891</v>
      </c>
      <c r="I82" s="9" t="s">
        <v>2241</v>
      </c>
      <c r="J82" s="9" t="s">
        <v>2947</v>
      </c>
      <c r="K82" t="s">
        <v>2242</v>
      </c>
      <c r="L82" t="s">
        <v>2243</v>
      </c>
      <c r="M82" s="3" t="str">
        <f>HYPERLINK(склад2въезд1319202122[[#This Row],[RelativePath]])</f>
        <v>8 Рейсмус\E33149364_2_20251118T212359Z.jpg</v>
      </c>
    </row>
    <row r="83" spans="1:13" x14ac:dyDescent="0.25">
      <c r="A83" s="2" t="s">
        <v>15</v>
      </c>
      <c r="B83" s="4">
        <v>45980</v>
      </c>
      <c r="C83" s="5">
        <v>3.3912037037037039E-2</v>
      </c>
      <c r="D83" s="9" t="s">
        <v>4</v>
      </c>
      <c r="E83" s="9" t="s">
        <v>9</v>
      </c>
      <c r="F83" s="9"/>
      <c r="H83" s="9" t="s">
        <v>2891</v>
      </c>
      <c r="I83" s="9" t="s">
        <v>2244</v>
      </c>
      <c r="J83" s="9" t="s">
        <v>2947</v>
      </c>
      <c r="K83" t="s">
        <v>2245</v>
      </c>
      <c r="L83" t="s">
        <v>2246</v>
      </c>
      <c r="M83" s="3" t="str">
        <f>HYPERLINK(склад2въезд1319202122[[#This Row],[RelativePath]])</f>
        <v>8 Рейсмус\E33149364_2_20251119T004850Z.jpg</v>
      </c>
    </row>
    <row r="84" spans="1:13" x14ac:dyDescent="0.25">
      <c r="A84" s="2" t="s">
        <v>15</v>
      </c>
      <c r="B84" s="4">
        <v>45980</v>
      </c>
      <c r="C84" s="5">
        <v>0.46322916666666669</v>
      </c>
      <c r="D84" s="9" t="s">
        <v>4</v>
      </c>
      <c r="E84" s="9" t="s">
        <v>9</v>
      </c>
      <c r="F84" s="9"/>
      <c r="H84" s="9" t="s">
        <v>2891</v>
      </c>
      <c r="I84" s="9" t="s">
        <v>2247</v>
      </c>
      <c r="J84" s="9" t="s">
        <v>2947</v>
      </c>
      <c r="K84" t="s">
        <v>2248</v>
      </c>
      <c r="L84" t="s">
        <v>2249</v>
      </c>
      <c r="M84" s="3" t="str">
        <f>HYPERLINK(склад2въезд1319202122[[#This Row],[RelativePath]])</f>
        <v>8 Рейсмус\E33149364_2_20251119T110703Z.jpg</v>
      </c>
    </row>
    <row r="85" spans="1:13" x14ac:dyDescent="0.25">
      <c r="A85" s="2" t="s">
        <v>15</v>
      </c>
      <c r="B85" s="4">
        <v>45980</v>
      </c>
      <c r="C85" s="5">
        <v>0.47085648148148146</v>
      </c>
      <c r="D85" s="9" t="s">
        <v>4</v>
      </c>
      <c r="E85" s="9" t="s">
        <v>9</v>
      </c>
      <c r="F85" s="9"/>
      <c r="H85" s="9" t="s">
        <v>2891</v>
      </c>
      <c r="I85" s="9" t="s">
        <v>2250</v>
      </c>
      <c r="J85" s="9" t="s">
        <v>2947</v>
      </c>
      <c r="K85" t="s">
        <v>2251</v>
      </c>
      <c r="L85" t="s">
        <v>2252</v>
      </c>
      <c r="M85" s="3" t="str">
        <f>HYPERLINK(склад2въезд1319202122[[#This Row],[RelativePath]])</f>
        <v>8 Рейсмус\E33149364_2_20251119T111802Z.jpg</v>
      </c>
    </row>
    <row r="86" spans="1:13" x14ac:dyDescent="0.25">
      <c r="A86" s="2" t="s">
        <v>15</v>
      </c>
      <c r="B86" s="4">
        <v>45980</v>
      </c>
      <c r="C86" s="5">
        <v>0.47964120370370372</v>
      </c>
      <c r="D86" s="9" t="s">
        <v>4</v>
      </c>
      <c r="E86" s="9" t="s">
        <v>9</v>
      </c>
      <c r="F86" s="9"/>
      <c r="H86" s="9" t="s">
        <v>2891</v>
      </c>
      <c r="I86" s="9" t="s">
        <v>2253</v>
      </c>
      <c r="J86" s="9" t="s">
        <v>2947</v>
      </c>
      <c r="K86" t="s">
        <v>2254</v>
      </c>
      <c r="L86" t="s">
        <v>2255</v>
      </c>
      <c r="M86" s="3" t="str">
        <f>HYPERLINK(склад2въезд1319202122[[#This Row],[RelativePath]])</f>
        <v>8 Рейсмус\E33149364_2_20251119T113041Z.jpg</v>
      </c>
    </row>
    <row r="87" spans="1:13" x14ac:dyDescent="0.25">
      <c r="A87" s="2" t="s">
        <v>15</v>
      </c>
      <c r="B87" s="4">
        <v>45980</v>
      </c>
      <c r="C87" s="5">
        <v>0.53275462962962961</v>
      </c>
      <c r="D87" s="9" t="s">
        <v>4</v>
      </c>
      <c r="E87" s="9" t="s">
        <v>9</v>
      </c>
      <c r="F87" s="9"/>
      <c r="H87" s="9" t="s">
        <v>2891</v>
      </c>
      <c r="I87" s="9" t="s">
        <v>2256</v>
      </c>
      <c r="J87" s="9" t="s">
        <v>2947</v>
      </c>
      <c r="K87" t="s">
        <v>2257</v>
      </c>
      <c r="L87" t="s">
        <v>2258</v>
      </c>
      <c r="M87" s="3" t="str">
        <f>HYPERLINK(склад2въезд1319202122[[#This Row],[RelativePath]])</f>
        <v>8 Рейсмус\E33149364_2_20251119T124710Z.jpg</v>
      </c>
    </row>
    <row r="88" spans="1:13" x14ac:dyDescent="0.25">
      <c r="A88" s="2" t="s">
        <v>15</v>
      </c>
      <c r="B88" s="4">
        <v>45980</v>
      </c>
      <c r="C88" s="5">
        <v>0.54168981481481482</v>
      </c>
      <c r="D88" s="9" t="s">
        <v>1987</v>
      </c>
      <c r="E88" s="9" t="s">
        <v>768</v>
      </c>
      <c r="F88" s="9"/>
      <c r="H88" s="9"/>
      <c r="I88" s="9" t="s">
        <v>2259</v>
      </c>
      <c r="J88" s="9" t="s">
        <v>2947</v>
      </c>
      <c r="K88" t="s">
        <v>2260</v>
      </c>
      <c r="L88" t="s">
        <v>2261</v>
      </c>
      <c r="M88" s="3" t="str">
        <f>HYPERLINK(склад2въезд1319202122[[#This Row],[RelativePath]])</f>
        <v>8 Рейсмус\E33149364_2_20251119T130002Z.jpg</v>
      </c>
    </row>
    <row r="89" spans="1:13" x14ac:dyDescent="0.25">
      <c r="A89" s="2" t="s">
        <v>15</v>
      </c>
      <c r="B89" s="4">
        <v>45980</v>
      </c>
      <c r="C89" s="5">
        <v>0.54248842592592594</v>
      </c>
      <c r="D89" s="9" t="s">
        <v>765</v>
      </c>
      <c r="E89" s="9" t="s">
        <v>503</v>
      </c>
      <c r="F89" s="9"/>
      <c r="H89" s="9"/>
      <c r="I89" s="9" t="s">
        <v>2262</v>
      </c>
      <c r="J89" s="9" t="s">
        <v>2947</v>
      </c>
      <c r="K89" t="s">
        <v>2263</v>
      </c>
      <c r="L89" t="s">
        <v>2264</v>
      </c>
      <c r="M89" s="3" t="str">
        <f>HYPERLINK(склад2въезд1319202122[[#This Row],[RelativePath]])</f>
        <v>8 Рейсмус\E33149364_2_20251119T130111Z.jpg</v>
      </c>
    </row>
    <row r="90" spans="1:13" x14ac:dyDescent="0.25">
      <c r="A90" s="2" t="s">
        <v>16</v>
      </c>
      <c r="B90" s="4">
        <v>45981</v>
      </c>
      <c r="C90" s="5">
        <v>0.50761574074074078</v>
      </c>
      <c r="D90" s="9" t="s">
        <v>1967</v>
      </c>
      <c r="E90" s="9" t="s">
        <v>8</v>
      </c>
      <c r="F90" s="9"/>
      <c r="H90" s="9"/>
      <c r="I90" s="9" t="s">
        <v>2265</v>
      </c>
      <c r="J90" s="9" t="s">
        <v>2947</v>
      </c>
      <c r="K90" t="s">
        <v>2266</v>
      </c>
      <c r="L90" t="s">
        <v>2267</v>
      </c>
      <c r="M90" s="3" t="str">
        <f>HYPERLINK(склад2въезд1319202122[[#This Row],[RelativePath]])</f>
        <v>8 Рейсмус\E33149364_2_20251120T121058Z.jpg</v>
      </c>
    </row>
    <row r="91" spans="1:13" x14ac:dyDescent="0.25">
      <c r="A91" s="2" t="s">
        <v>17</v>
      </c>
      <c r="B91" s="4">
        <v>45982</v>
      </c>
      <c r="C91" s="5">
        <v>0.40633101851851849</v>
      </c>
      <c r="D91" s="9" t="s">
        <v>4</v>
      </c>
      <c r="E91" s="9" t="s">
        <v>9</v>
      </c>
      <c r="F91" s="9"/>
      <c r="H91" s="9" t="s">
        <v>2891</v>
      </c>
      <c r="I91" s="9" t="s">
        <v>2268</v>
      </c>
      <c r="J91" s="9" t="s">
        <v>2947</v>
      </c>
      <c r="K91" t="s">
        <v>2269</v>
      </c>
      <c r="L91" t="s">
        <v>2270</v>
      </c>
      <c r="M91" s="3" t="str">
        <f>HYPERLINK(склад2въезд1319202122[[#This Row],[RelativePath]])</f>
        <v>8 Рейсмус\E33149364_2_20251121T094507Z.jpg</v>
      </c>
    </row>
    <row r="92" spans="1:13" x14ac:dyDescent="0.25">
      <c r="A92" s="2" t="s">
        <v>17</v>
      </c>
      <c r="B92" s="4">
        <v>45982</v>
      </c>
      <c r="C92" s="5">
        <v>0.62581018518518516</v>
      </c>
      <c r="D92" s="9" t="s">
        <v>4</v>
      </c>
      <c r="E92" s="9" t="s">
        <v>9</v>
      </c>
      <c r="F92" s="9"/>
      <c r="H92" s="9" t="s">
        <v>2891</v>
      </c>
      <c r="I92" s="9" t="s">
        <v>2271</v>
      </c>
      <c r="J92" s="9" t="s">
        <v>2947</v>
      </c>
      <c r="K92" t="s">
        <v>2272</v>
      </c>
      <c r="L92" t="s">
        <v>2273</v>
      </c>
      <c r="M92" s="3" t="str">
        <f>HYPERLINK(склад2въезд1319202122[[#This Row],[RelativePath]])</f>
        <v>8 Рейсмус\E33149364_2_20251121T150110Z.jpg</v>
      </c>
    </row>
    <row r="93" spans="1:13" x14ac:dyDescent="0.25">
      <c r="A93" s="2" t="s">
        <v>17</v>
      </c>
      <c r="B93" s="4">
        <v>45982</v>
      </c>
      <c r="C93" s="5">
        <v>0.63032407407407409</v>
      </c>
      <c r="D93" s="9" t="s">
        <v>4</v>
      </c>
      <c r="E93" s="9" t="s">
        <v>9</v>
      </c>
      <c r="F93" s="9"/>
      <c r="H93" s="9" t="s">
        <v>2891</v>
      </c>
      <c r="I93" s="9" t="s">
        <v>2274</v>
      </c>
      <c r="J93" s="9" t="s">
        <v>2947</v>
      </c>
      <c r="K93" t="s">
        <v>2275</v>
      </c>
      <c r="L93" t="s">
        <v>2276</v>
      </c>
      <c r="M93" s="3" t="str">
        <f>HYPERLINK(склад2въезд1319202122[[#This Row],[RelativePath]])</f>
        <v>8 Рейсмус\E33149364_2_20251121T150740Z.jpg</v>
      </c>
    </row>
    <row r="94" spans="1:13" x14ac:dyDescent="0.25">
      <c r="A94" s="2" t="s">
        <v>17</v>
      </c>
      <c r="B94" s="4">
        <v>45982</v>
      </c>
      <c r="C94" s="5">
        <v>0.6578356481481481</v>
      </c>
      <c r="D94" s="9" t="s">
        <v>1987</v>
      </c>
      <c r="E94" s="9" t="s">
        <v>768</v>
      </c>
      <c r="F94" s="9"/>
      <c r="H94" s="9"/>
      <c r="I94" s="9" t="s">
        <v>2277</v>
      </c>
      <c r="J94" s="9" t="s">
        <v>2947</v>
      </c>
      <c r="K94" t="s">
        <v>2278</v>
      </c>
      <c r="L94" t="s">
        <v>2279</v>
      </c>
      <c r="M94" s="3" t="str">
        <f>HYPERLINK(склад2въезд1319202122[[#This Row],[RelativePath]])</f>
        <v>8 Рейсмус\E33149364_2_20251121T154717Z.jpg</v>
      </c>
    </row>
    <row r="95" spans="1:13" x14ac:dyDescent="0.25">
      <c r="A95" s="2" t="s">
        <v>17</v>
      </c>
      <c r="B95" s="4">
        <v>45982</v>
      </c>
      <c r="C95" s="5">
        <v>0.66348379629629628</v>
      </c>
      <c r="D95" s="9" t="s">
        <v>2892</v>
      </c>
      <c r="E95" s="9" t="s">
        <v>503</v>
      </c>
      <c r="F95" s="9" t="s">
        <v>2893</v>
      </c>
      <c r="H95" s="9"/>
      <c r="I95" s="9" t="s">
        <v>2280</v>
      </c>
      <c r="J95" s="9" t="s">
        <v>2947</v>
      </c>
      <c r="K95" t="s">
        <v>2281</v>
      </c>
      <c r="L95" t="s">
        <v>2282</v>
      </c>
      <c r="M95" s="3" t="str">
        <f>HYPERLINK(склад2въезд1319202122[[#This Row],[RelativePath]])</f>
        <v>8 Рейсмус\E33149364_2_20251121T155525Z.jpg</v>
      </c>
    </row>
    <row r="96" spans="1:13" x14ac:dyDescent="0.25">
      <c r="A96" s="2" t="s">
        <v>17</v>
      </c>
      <c r="B96" s="4">
        <v>45982</v>
      </c>
      <c r="C96" s="5">
        <v>0.67273148148148143</v>
      </c>
      <c r="D96" s="9" t="s">
        <v>4</v>
      </c>
      <c r="E96" s="9" t="s">
        <v>9</v>
      </c>
      <c r="F96" s="9"/>
      <c r="H96" s="9" t="s">
        <v>2891</v>
      </c>
      <c r="I96" s="9" t="s">
        <v>2283</v>
      </c>
      <c r="J96" s="9" t="s">
        <v>2947</v>
      </c>
      <c r="K96" t="s">
        <v>2284</v>
      </c>
      <c r="L96" t="s">
        <v>2285</v>
      </c>
      <c r="M96" s="3" t="str">
        <f>HYPERLINK(склад2въезд1319202122[[#This Row],[RelativePath]])</f>
        <v>8 Рейсмус\E33149364_2_20251121T160844Z.jpg</v>
      </c>
    </row>
    <row r="97" spans="1:13" x14ac:dyDescent="0.25">
      <c r="A97" s="2" t="s">
        <v>17</v>
      </c>
      <c r="B97" s="4">
        <v>45982</v>
      </c>
      <c r="C97" s="5">
        <v>0.67839120370370365</v>
      </c>
      <c r="D97" s="9" t="s">
        <v>4</v>
      </c>
      <c r="E97" s="9" t="s">
        <v>9</v>
      </c>
      <c r="F97" s="9"/>
      <c r="H97" s="9" t="s">
        <v>2891</v>
      </c>
      <c r="I97" s="9" t="s">
        <v>2286</v>
      </c>
      <c r="J97" s="9" t="s">
        <v>2947</v>
      </c>
      <c r="K97" t="s">
        <v>2287</v>
      </c>
      <c r="L97" t="s">
        <v>2288</v>
      </c>
      <c r="M97" s="3" t="str">
        <f>HYPERLINK(склад2въезд1319202122[[#This Row],[RelativePath]])</f>
        <v>8 Рейсмус\E33149364_2_20251121T161653Z.jpg</v>
      </c>
    </row>
    <row r="98" spans="1:13" x14ac:dyDescent="0.25">
      <c r="A98" s="2" t="s">
        <v>18</v>
      </c>
      <c r="B98" s="4">
        <v>45983</v>
      </c>
      <c r="C98" s="5">
        <v>0.55412037037037032</v>
      </c>
      <c r="D98" s="9" t="s">
        <v>1967</v>
      </c>
      <c r="E98" s="9" t="s">
        <v>8</v>
      </c>
      <c r="F98" s="9"/>
      <c r="H98" s="9"/>
      <c r="I98" s="9" t="s">
        <v>2289</v>
      </c>
      <c r="J98" s="9" t="s">
        <v>2947</v>
      </c>
      <c r="K98" t="s">
        <v>2290</v>
      </c>
      <c r="L98" t="s">
        <v>2291</v>
      </c>
      <c r="M98" s="3" t="str">
        <f>HYPERLINK(склад2въезд1319202122[[#This Row],[RelativePath]])</f>
        <v>8 Рейсмус\E33149364_2_20251122T131756Z.jpg</v>
      </c>
    </row>
    <row r="99" spans="1:13" x14ac:dyDescent="0.25">
      <c r="A99" s="2" t="s">
        <v>22</v>
      </c>
      <c r="B99" s="4">
        <v>45984</v>
      </c>
      <c r="C99" s="5">
        <v>0.66503472222222226</v>
      </c>
      <c r="D99" s="9" t="s">
        <v>4</v>
      </c>
      <c r="E99" s="9" t="s">
        <v>9</v>
      </c>
      <c r="F99" s="9"/>
      <c r="H99" s="9" t="s">
        <v>1967</v>
      </c>
      <c r="I99" s="9" t="s">
        <v>2292</v>
      </c>
      <c r="J99" s="9" t="s">
        <v>2947</v>
      </c>
      <c r="K99" t="s">
        <v>2293</v>
      </c>
      <c r="L99" t="s">
        <v>2294</v>
      </c>
      <c r="M99" s="3" t="str">
        <f>HYPERLINK(склад2въезд1319202122[[#This Row],[RelativePath]])</f>
        <v>8 Рейсмус\E33149364_2_20251123T155739Z.jpg</v>
      </c>
    </row>
    <row r="100" spans="1:13" x14ac:dyDescent="0.25">
      <c r="A100" s="2" t="s">
        <v>13</v>
      </c>
      <c r="B100" s="4">
        <v>45985</v>
      </c>
      <c r="C100" s="5">
        <v>0.38841435185185186</v>
      </c>
      <c r="D100" s="9" t="s">
        <v>1967</v>
      </c>
      <c r="E100" s="9" t="s">
        <v>8</v>
      </c>
      <c r="F100" s="9"/>
      <c r="H100" s="9"/>
      <c r="I100" s="9" t="s">
        <v>3659</v>
      </c>
      <c r="J100" s="9" t="s">
        <v>2947</v>
      </c>
      <c r="K100" t="s">
        <v>3660</v>
      </c>
      <c r="L100" t="s">
        <v>3661</v>
      </c>
      <c r="M100" s="3" t="str">
        <f>HYPERLINK(склад2въезд1319202122[[#This Row],[RelativePath]])</f>
        <v>8 Рейсмус\E33149364_2_20251124T091919Z.jpg</v>
      </c>
    </row>
    <row r="101" spans="1:13" x14ac:dyDescent="0.25">
      <c r="A101" s="2" t="s">
        <v>14</v>
      </c>
      <c r="B101" s="4">
        <v>45986</v>
      </c>
      <c r="C101" s="5">
        <v>0.41233796296296299</v>
      </c>
      <c r="D101" s="9" t="s">
        <v>1967</v>
      </c>
      <c r="E101" s="9" t="s">
        <v>8</v>
      </c>
      <c r="F101" s="9"/>
      <c r="H101" s="9"/>
      <c r="I101" s="9" t="s">
        <v>3662</v>
      </c>
      <c r="J101" s="9" t="s">
        <v>2947</v>
      </c>
      <c r="K101" t="s">
        <v>3663</v>
      </c>
      <c r="L101" t="s">
        <v>3664</v>
      </c>
      <c r="M101" s="3" t="str">
        <f>HYPERLINK(склад2въезд1319202122[[#This Row],[RelativePath]])</f>
        <v>8 Рейсмус\E33149364_2_20251125T095346Z.jpg</v>
      </c>
    </row>
    <row r="102" spans="1:13" x14ac:dyDescent="0.25">
      <c r="A102" s="2" t="s">
        <v>15</v>
      </c>
      <c r="B102" s="4">
        <v>45987</v>
      </c>
      <c r="C102" s="5">
        <v>0.52053240740740736</v>
      </c>
      <c r="D102" s="9" t="s">
        <v>1967</v>
      </c>
      <c r="E102" s="9" t="s">
        <v>8</v>
      </c>
      <c r="F102" s="9"/>
      <c r="H102" s="9"/>
      <c r="I102" s="9" t="s">
        <v>3665</v>
      </c>
      <c r="J102" s="9" t="s">
        <v>2947</v>
      </c>
      <c r="K102" t="s">
        <v>3666</v>
      </c>
      <c r="L102" t="s">
        <v>3667</v>
      </c>
      <c r="M102" s="3" t="str">
        <f>HYPERLINK(склад2въезд1319202122[[#This Row],[RelativePath]])</f>
        <v>8 Рейсмус\E33149364_2_20251126T122934Z.jpg</v>
      </c>
    </row>
    <row r="103" spans="1:13" x14ac:dyDescent="0.25">
      <c r="A103" s="2" t="s">
        <v>16</v>
      </c>
      <c r="B103" s="4">
        <v>45988</v>
      </c>
      <c r="C103" s="5">
        <v>0.3759837962962963</v>
      </c>
      <c r="D103" s="9" t="s">
        <v>1967</v>
      </c>
      <c r="E103" s="9" t="s">
        <v>8</v>
      </c>
      <c r="F103" s="9"/>
      <c r="H103" s="9"/>
      <c r="I103" s="9" t="s">
        <v>3668</v>
      </c>
      <c r="J103" s="9" t="s">
        <v>2947</v>
      </c>
      <c r="K103" t="s">
        <v>3669</v>
      </c>
      <c r="L103" t="s">
        <v>3670</v>
      </c>
      <c r="M103" s="3" t="str">
        <f>HYPERLINK(склад2въезд1319202122[[#This Row],[RelativePath]])</f>
        <v>8 Рейсмус\E33149364_2_20251127T090125Z.jpg</v>
      </c>
    </row>
    <row r="104" spans="1:13" x14ac:dyDescent="0.25">
      <c r="A104" s="2" t="s">
        <v>17</v>
      </c>
      <c r="B104" s="4">
        <v>45989</v>
      </c>
      <c r="C104" s="5">
        <v>0.67268518518518516</v>
      </c>
      <c r="D104" s="9" t="s">
        <v>1967</v>
      </c>
      <c r="E104" s="9" t="s">
        <v>8</v>
      </c>
      <c r="F104" s="9"/>
      <c r="H104" s="9"/>
      <c r="I104" s="9" t="s">
        <v>3671</v>
      </c>
      <c r="J104" s="9" t="s">
        <v>2947</v>
      </c>
      <c r="K104" t="s">
        <v>3672</v>
      </c>
      <c r="L104" t="s">
        <v>3673</v>
      </c>
      <c r="M104" s="3" t="str">
        <f>HYPERLINK(склад2въезд1319202122[[#This Row],[RelativePath]])</f>
        <v>8 Рейсмус\E33149364_2_20251128T160840Z.jpg</v>
      </c>
    </row>
    <row r="105" spans="1:13" x14ac:dyDescent="0.25">
      <c r="A105" s="2" t="s">
        <v>18</v>
      </c>
      <c r="B105" s="4">
        <v>45990</v>
      </c>
      <c r="C105" s="5">
        <v>0.64809027777777772</v>
      </c>
      <c r="D105" s="9" t="s">
        <v>1063</v>
      </c>
      <c r="E105" s="9" t="s">
        <v>4161</v>
      </c>
      <c r="F105" s="9" t="s">
        <v>1071</v>
      </c>
      <c r="G105">
        <v>4</v>
      </c>
      <c r="H105" s="9"/>
      <c r="I105" s="9" t="s">
        <v>3674</v>
      </c>
      <c r="J105" s="9" t="s">
        <v>2947</v>
      </c>
      <c r="K105" t="s">
        <v>3675</v>
      </c>
      <c r="L105" t="s">
        <v>3676</v>
      </c>
      <c r="M105" s="3" t="str">
        <f>HYPERLINK(склад2въезд1319202122[[#This Row],[RelativePath]])</f>
        <v>8 Рейсмус\E33149364_2_20251129T153315Z.jpg</v>
      </c>
    </row>
    <row r="106" spans="1:13" x14ac:dyDescent="0.25">
      <c r="A106" s="2" t="s">
        <v>22</v>
      </c>
      <c r="B106" s="4">
        <v>45991</v>
      </c>
      <c r="C106" s="5">
        <v>0.53916666666666668</v>
      </c>
      <c r="D106" s="9" t="s">
        <v>1967</v>
      </c>
      <c r="E106" s="9" t="s">
        <v>8</v>
      </c>
      <c r="F106" s="9"/>
      <c r="H106" s="9"/>
      <c r="I106" s="9" t="s">
        <v>4219</v>
      </c>
      <c r="J106" s="9" t="s">
        <v>2947</v>
      </c>
      <c r="K106" t="s">
        <v>4220</v>
      </c>
      <c r="L106" t="s">
        <v>4221</v>
      </c>
      <c r="M106" s="3" t="str">
        <f>HYPERLINK(склад2въезд1319202122[[#This Row],[RelativePath]])</f>
        <v>8 Рейсмус\E33149364_2_20251130T125624Z.jpg</v>
      </c>
    </row>
    <row r="107" spans="1:13" x14ac:dyDescent="0.25">
      <c r="A107" s="2" t="s">
        <v>13</v>
      </c>
      <c r="B107" s="4">
        <v>45992</v>
      </c>
      <c r="C107" s="5">
        <v>0.50140046296296292</v>
      </c>
      <c r="D107" s="9" t="s">
        <v>4</v>
      </c>
      <c r="E107" s="9" t="s">
        <v>9</v>
      </c>
      <c r="F107" s="9"/>
      <c r="H107" s="9"/>
      <c r="I107" s="9" t="s">
        <v>4534</v>
      </c>
      <c r="J107" s="9" t="s">
        <v>2947</v>
      </c>
      <c r="K107" t="s">
        <v>4535</v>
      </c>
      <c r="L107" t="s">
        <v>4536</v>
      </c>
      <c r="M107" s="3" t="str">
        <f>HYPERLINK(склад2въезд1319202122[[#This Row],[RelativePath]])</f>
        <v>8 Рейсмус\E33149364_2_20251201T120201Z.jpg</v>
      </c>
    </row>
    <row r="108" spans="1:13" x14ac:dyDescent="0.25">
      <c r="A108" s="2" t="s">
        <v>13</v>
      </c>
      <c r="B108" s="4">
        <v>45992</v>
      </c>
      <c r="C108" s="5">
        <v>0.66497685185185185</v>
      </c>
      <c r="D108" s="9" t="s">
        <v>766</v>
      </c>
      <c r="E108" s="9" t="s">
        <v>5069</v>
      </c>
      <c r="F108" s="9"/>
      <c r="H108" s="9"/>
      <c r="I108" s="9" t="s">
        <v>4537</v>
      </c>
      <c r="J108" s="9" t="s">
        <v>2947</v>
      </c>
      <c r="K108" t="s">
        <v>4538</v>
      </c>
      <c r="L108" t="s">
        <v>4539</v>
      </c>
      <c r="M108" s="3" t="str">
        <f>HYPERLINK(склад2въезд1319202122[[#This Row],[RelativePath]])</f>
        <v>8 Рейсмус\E33149364_2_20251201T155734Z.jpg</v>
      </c>
    </row>
    <row r="109" spans="1:13" x14ac:dyDescent="0.25">
      <c r="A109" s="2" t="s">
        <v>13</v>
      </c>
      <c r="B109" s="4">
        <v>45992</v>
      </c>
      <c r="C109" s="5">
        <v>0.80954861111111109</v>
      </c>
      <c r="D109" s="9" t="s">
        <v>4</v>
      </c>
      <c r="E109" s="9" t="s">
        <v>53</v>
      </c>
      <c r="F109" s="9"/>
      <c r="H109" s="9"/>
      <c r="I109" s="9" t="s">
        <v>4540</v>
      </c>
      <c r="J109" s="9" t="s">
        <v>2947</v>
      </c>
      <c r="K109" t="s">
        <v>4541</v>
      </c>
      <c r="L109" t="s">
        <v>4542</v>
      </c>
      <c r="M109" s="3" t="str">
        <f>HYPERLINK(склад2въезд1319202122[[#This Row],[RelativePath]])</f>
        <v>8 Рейсмус\E33149364_2_20251201T192545Z.jpg</v>
      </c>
    </row>
    <row r="110" spans="1:13" x14ac:dyDescent="0.25">
      <c r="A110" s="2" t="s">
        <v>14</v>
      </c>
      <c r="B110" s="4">
        <v>45993</v>
      </c>
      <c r="C110" s="5">
        <v>0.49702546296296296</v>
      </c>
      <c r="D110" s="9" t="s">
        <v>1967</v>
      </c>
      <c r="E110" s="9" t="s">
        <v>8</v>
      </c>
      <c r="F110" s="9"/>
      <c r="H110" s="9"/>
      <c r="I110" s="9" t="s">
        <v>4543</v>
      </c>
      <c r="J110" s="9" t="s">
        <v>2947</v>
      </c>
      <c r="K110" t="s">
        <v>4544</v>
      </c>
      <c r="L110" t="s">
        <v>4545</v>
      </c>
      <c r="M110" s="3" t="str">
        <f>HYPERLINK(склад2въезд1319202122[[#This Row],[RelativePath]])</f>
        <v>8 Рейсмус\E33149364_2_20251202T115543Z.jpg</v>
      </c>
    </row>
    <row r="111" spans="1:13" x14ac:dyDescent="0.25">
      <c r="A111" s="2" t="s">
        <v>15</v>
      </c>
      <c r="B111" s="4">
        <v>45994</v>
      </c>
      <c r="C111" s="5">
        <v>0.62565972222222221</v>
      </c>
      <c r="D111" s="9" t="s">
        <v>1967</v>
      </c>
      <c r="E111" s="9" t="s">
        <v>8</v>
      </c>
      <c r="F111" s="9"/>
      <c r="H111" s="9"/>
      <c r="I111" s="9" t="s">
        <v>4546</v>
      </c>
      <c r="J111" s="9" t="s">
        <v>2947</v>
      </c>
      <c r="K111" t="s">
        <v>4547</v>
      </c>
      <c r="L111" t="s">
        <v>4548</v>
      </c>
      <c r="M111" s="3" t="str">
        <f>HYPERLINK(склад2въезд1319202122[[#This Row],[RelativePath]])</f>
        <v>8 Рейсмус\E33149364_2_20251203T150057Z.jpg</v>
      </c>
    </row>
    <row r="112" spans="1:13" x14ac:dyDescent="0.25">
      <c r="A112" s="2" t="s">
        <v>16</v>
      </c>
      <c r="B112" s="4">
        <v>45995</v>
      </c>
      <c r="C112" s="5">
        <v>0.93508101851851855</v>
      </c>
      <c r="D112" s="9" t="s">
        <v>1987</v>
      </c>
      <c r="E112" s="9" t="s">
        <v>768</v>
      </c>
      <c r="F112" s="9"/>
      <c r="H112" s="9"/>
      <c r="I112" s="9" t="s">
        <v>4549</v>
      </c>
      <c r="J112" s="9" t="s">
        <v>2947</v>
      </c>
      <c r="K112" t="s">
        <v>4550</v>
      </c>
      <c r="L112" t="s">
        <v>4551</v>
      </c>
      <c r="M112" s="3" t="str">
        <f>HYPERLINK(склад2въезд1319202122[[#This Row],[RelativePath]])</f>
        <v>8 Рейсмус\E33149364_2_20251204T222631Z.jpg</v>
      </c>
    </row>
    <row r="113" spans="1:13" x14ac:dyDescent="0.25">
      <c r="A113" s="2" t="s">
        <v>16</v>
      </c>
      <c r="B113" s="4">
        <v>45995</v>
      </c>
      <c r="C113" s="5">
        <v>0.9412152777777778</v>
      </c>
      <c r="D113" s="9" t="s">
        <v>1987</v>
      </c>
      <c r="E113" s="9" t="s">
        <v>768</v>
      </c>
      <c r="F113" s="9"/>
      <c r="H113" s="9"/>
      <c r="I113" s="9" t="s">
        <v>4552</v>
      </c>
      <c r="J113" s="9" t="s">
        <v>2947</v>
      </c>
      <c r="K113" t="s">
        <v>4553</v>
      </c>
      <c r="L113" t="s">
        <v>4554</v>
      </c>
      <c r="M113" s="3" t="str">
        <f>HYPERLINK(склад2въезд1319202122[[#This Row],[RelativePath]])</f>
        <v>8 Рейсмус\E33149364_2_20251204T223521Z.jpg</v>
      </c>
    </row>
    <row r="114" spans="1:13" x14ac:dyDescent="0.25">
      <c r="A114" s="2" t="s">
        <v>17</v>
      </c>
      <c r="B114" s="4">
        <v>45996</v>
      </c>
      <c r="C114" s="5">
        <v>0.38364583333333335</v>
      </c>
      <c r="D114" s="9" t="s">
        <v>1967</v>
      </c>
      <c r="E114" s="9" t="s">
        <v>8</v>
      </c>
      <c r="F114" s="9"/>
      <c r="H114" s="9"/>
      <c r="I114" s="9" t="s">
        <v>4555</v>
      </c>
      <c r="J114" s="9" t="s">
        <v>2947</v>
      </c>
      <c r="K114" t="s">
        <v>4556</v>
      </c>
      <c r="L114" t="s">
        <v>4557</v>
      </c>
      <c r="M114" s="3" t="str">
        <f>HYPERLINK(склад2въезд1319202122[[#This Row],[RelativePath]])</f>
        <v>8 Рейсмус\E33149364_2_20251205T091227Z.jpg</v>
      </c>
    </row>
    <row r="115" spans="1:13" x14ac:dyDescent="0.25">
      <c r="A115" s="2" t="s">
        <v>18</v>
      </c>
      <c r="B115" s="4">
        <v>45997</v>
      </c>
      <c r="C115" s="5">
        <v>0.4513773148148148</v>
      </c>
      <c r="D115" s="9" t="s">
        <v>1967</v>
      </c>
      <c r="E115" s="9" t="s">
        <v>8</v>
      </c>
      <c r="F115" s="9"/>
      <c r="H115" s="9"/>
      <c r="I115" s="9" t="s">
        <v>4558</v>
      </c>
      <c r="J115" s="9" t="s">
        <v>2947</v>
      </c>
      <c r="K115" t="s">
        <v>4559</v>
      </c>
      <c r="L115" t="s">
        <v>4560</v>
      </c>
      <c r="M115" s="3" t="str">
        <f>HYPERLINK(склад2въезд1319202122[[#This Row],[RelativePath]])</f>
        <v>8 Рейсмус\E33149364_2_20251206T104959Z.jpg</v>
      </c>
    </row>
    <row r="116" spans="1:13" x14ac:dyDescent="0.25">
      <c r="A116" s="2" t="s">
        <v>22</v>
      </c>
      <c r="B116" s="4">
        <v>45998</v>
      </c>
      <c r="C116" s="5">
        <v>0.68356481481481479</v>
      </c>
      <c r="D116" s="9" t="s">
        <v>1967</v>
      </c>
      <c r="E116" s="9" t="s">
        <v>8</v>
      </c>
      <c r="F116" s="9"/>
      <c r="H116" s="9"/>
      <c r="I116" s="9" t="s">
        <v>5111</v>
      </c>
      <c r="J116" s="9" t="s">
        <v>2947</v>
      </c>
      <c r="K116" t="s">
        <v>5112</v>
      </c>
      <c r="L116" t="s">
        <v>5113</v>
      </c>
      <c r="M116" s="3" t="str">
        <f>HYPERLINK(склад2въезд1319202122[[#This Row],[RelativePath]])</f>
        <v>8 Рейсмус\E33149364_2_20251207T162420Z.jpg</v>
      </c>
    </row>
    <row r="117" spans="1:13" x14ac:dyDescent="0.25">
      <c r="A117" s="2" t="s">
        <v>13</v>
      </c>
      <c r="B117" s="4">
        <v>45999</v>
      </c>
      <c r="C117" s="5">
        <v>0.33769675925925924</v>
      </c>
      <c r="D117" s="9" t="s">
        <v>1967</v>
      </c>
      <c r="E117" s="9" t="s">
        <v>8</v>
      </c>
      <c r="F117" s="9"/>
      <c r="H117" s="9"/>
      <c r="I117" s="9" t="s">
        <v>5256</v>
      </c>
      <c r="J117" s="9" t="s">
        <v>2947</v>
      </c>
      <c r="K117" t="s">
        <v>5257</v>
      </c>
      <c r="L117" t="s">
        <v>5258</v>
      </c>
      <c r="M117" s="3" t="str">
        <f>HYPERLINK(склад2въезд1319202122[[#This Row],[RelativePath]])</f>
        <v>8 Рейсмус\E33149364_2_20251208T080617Z.jpg</v>
      </c>
    </row>
    <row r="118" spans="1:13" x14ac:dyDescent="0.25">
      <c r="A118" s="2" t="s">
        <v>14</v>
      </c>
      <c r="B118" s="4">
        <v>46000</v>
      </c>
      <c r="C118" s="5">
        <v>0.68513888888888885</v>
      </c>
      <c r="D118" s="9" t="s">
        <v>1967</v>
      </c>
      <c r="E118" s="9" t="s">
        <v>8</v>
      </c>
      <c r="F118" s="9"/>
      <c r="H118" s="9"/>
      <c r="I118" s="9" t="s">
        <v>5644</v>
      </c>
      <c r="J118" s="9" t="s">
        <v>2947</v>
      </c>
      <c r="K118" t="s">
        <v>5645</v>
      </c>
      <c r="L118" t="s">
        <v>5646</v>
      </c>
      <c r="M118" s="3" t="str">
        <f>HYPERLINK(склад2въезд1319202122[[#This Row],[RelativePath]])</f>
        <v>8 Рейсмус\E33149364_2_20251209T162636Z.jpg</v>
      </c>
    </row>
    <row r="119" spans="1:13" x14ac:dyDescent="0.25">
      <c r="A119" s="2" t="s">
        <v>15</v>
      </c>
      <c r="B119" s="4">
        <v>46001</v>
      </c>
      <c r="C119" s="5">
        <v>0.45646990740740739</v>
      </c>
      <c r="D119" s="9" t="s">
        <v>4</v>
      </c>
      <c r="E119" s="9" t="s">
        <v>9</v>
      </c>
      <c r="F119" s="9"/>
      <c r="H119" s="9"/>
      <c r="I119" s="9" t="s">
        <v>5647</v>
      </c>
      <c r="J119" s="9" t="s">
        <v>2947</v>
      </c>
      <c r="K119" t="s">
        <v>5648</v>
      </c>
      <c r="L119" t="s">
        <v>5649</v>
      </c>
      <c r="M119" s="3" t="str">
        <f>HYPERLINK(склад2въезд1319202122[[#This Row],[RelativePath]])</f>
        <v>8 Рейсмус\E33149364_2_20251210T105719Z.jpg</v>
      </c>
    </row>
    <row r="120" spans="1:13" x14ac:dyDescent="0.25">
      <c r="A120" s="2" t="s">
        <v>15</v>
      </c>
      <c r="B120" s="4">
        <v>46001</v>
      </c>
      <c r="C120" s="5">
        <v>0.61502314814814818</v>
      </c>
      <c r="D120" s="9" t="s">
        <v>766</v>
      </c>
      <c r="E120" s="9"/>
      <c r="F120" s="9"/>
      <c r="H120" s="9"/>
      <c r="I120" s="9" t="s">
        <v>5650</v>
      </c>
      <c r="J120" s="9" t="s">
        <v>2947</v>
      </c>
      <c r="K120" t="s">
        <v>5651</v>
      </c>
      <c r="L120" t="s">
        <v>5652</v>
      </c>
      <c r="M120" s="3" t="str">
        <f>HYPERLINK(склад2въезд1319202122[[#This Row],[RelativePath]])</f>
        <v>8 Рейсмус\E33149364_2_20251210T144538Z.jpg</v>
      </c>
    </row>
    <row r="121" spans="1:13" x14ac:dyDescent="0.25">
      <c r="A121" s="2" t="s">
        <v>15</v>
      </c>
      <c r="B121" s="4">
        <v>46001</v>
      </c>
      <c r="C121" s="5">
        <v>0.61506944444444445</v>
      </c>
      <c r="D121" s="9" t="s">
        <v>766</v>
      </c>
      <c r="E121" s="9"/>
      <c r="F121" s="9"/>
      <c r="H121" s="9"/>
      <c r="I121" s="9" t="s">
        <v>5653</v>
      </c>
      <c r="J121" s="9" t="s">
        <v>2947</v>
      </c>
      <c r="K121" t="s">
        <v>5654</v>
      </c>
      <c r="L121" t="s">
        <v>5655</v>
      </c>
      <c r="M121" s="3" t="str">
        <f>HYPERLINK(склад2въезд1319202122[[#This Row],[RelativePath]])</f>
        <v>8 Рейсмус\E33149364_2_20251210T144542Z.jpg</v>
      </c>
    </row>
    <row r="122" spans="1:13" x14ac:dyDescent="0.25">
      <c r="A122" s="2" t="s">
        <v>15</v>
      </c>
      <c r="B122" s="4">
        <v>46001</v>
      </c>
      <c r="C122" s="5">
        <v>0.61586805555555557</v>
      </c>
      <c r="D122" s="9" t="s">
        <v>765</v>
      </c>
      <c r="E122" s="9" t="s">
        <v>503</v>
      </c>
      <c r="F122" s="9"/>
      <c r="H122" s="9"/>
      <c r="I122" s="9" t="s">
        <v>5656</v>
      </c>
      <c r="J122" s="9" t="s">
        <v>2947</v>
      </c>
      <c r="K122" t="s">
        <v>5657</v>
      </c>
      <c r="L122" t="s">
        <v>5658</v>
      </c>
      <c r="M122" s="3" t="str">
        <f>HYPERLINK(склад2въезд1319202122[[#This Row],[RelativePath]])</f>
        <v>8 Рейсмус\E33149364_2_20251210T144651Z.jpg</v>
      </c>
    </row>
    <row r="123" spans="1:13" x14ac:dyDescent="0.25">
      <c r="A123" s="2" t="s">
        <v>15</v>
      </c>
      <c r="B123" s="4">
        <v>46001</v>
      </c>
      <c r="C123" s="5">
        <v>0.64564814814814819</v>
      </c>
      <c r="D123" s="9" t="s">
        <v>4</v>
      </c>
      <c r="E123" s="9" t="s">
        <v>9</v>
      </c>
      <c r="F123" s="9"/>
      <c r="H123" s="9"/>
      <c r="I123" s="9" t="s">
        <v>5659</v>
      </c>
      <c r="J123" s="9" t="s">
        <v>2947</v>
      </c>
      <c r="K123" t="s">
        <v>5660</v>
      </c>
      <c r="L123" t="s">
        <v>5661</v>
      </c>
      <c r="M123" s="3" t="str">
        <f>HYPERLINK(склад2въезд1319202122[[#This Row],[RelativePath]])</f>
        <v>8 Рейсмус\E33149364_2_20251210T152944Z.jpg</v>
      </c>
    </row>
    <row r="124" spans="1:13" x14ac:dyDescent="0.25">
      <c r="A124" s="2" t="s">
        <v>15</v>
      </c>
      <c r="B124" s="4">
        <v>46001</v>
      </c>
      <c r="C124" s="5">
        <v>0.66070601851851851</v>
      </c>
      <c r="D124" s="9" t="s">
        <v>4</v>
      </c>
      <c r="E124" s="9" t="s">
        <v>9</v>
      </c>
      <c r="F124" s="9"/>
      <c r="H124" s="9" t="s">
        <v>2891</v>
      </c>
      <c r="I124" s="9" t="s">
        <v>5662</v>
      </c>
      <c r="J124" s="9" t="s">
        <v>2947</v>
      </c>
      <c r="K124" t="s">
        <v>5663</v>
      </c>
      <c r="L124" t="s">
        <v>5664</v>
      </c>
      <c r="M124" s="3" t="str">
        <f>HYPERLINK(склад2въезд1319202122[[#This Row],[RelativePath]])</f>
        <v>8 Рейсмус\E33149364_2_20251210T155125Z.jpg</v>
      </c>
    </row>
    <row r="125" spans="1:13" x14ac:dyDescent="0.25">
      <c r="A125" s="2" t="s">
        <v>15</v>
      </c>
      <c r="B125" s="4">
        <v>46001</v>
      </c>
      <c r="C125" s="5">
        <v>0.66422453703703699</v>
      </c>
      <c r="D125" s="9" t="s">
        <v>4</v>
      </c>
      <c r="E125" s="9" t="s">
        <v>9</v>
      </c>
      <c r="F125" s="9"/>
      <c r="H125" s="9" t="s">
        <v>2891</v>
      </c>
      <c r="I125" s="9" t="s">
        <v>5665</v>
      </c>
      <c r="J125" s="9" t="s">
        <v>2947</v>
      </c>
      <c r="K125" t="s">
        <v>5666</v>
      </c>
      <c r="L125" t="s">
        <v>5667</v>
      </c>
      <c r="M125" s="3" t="str">
        <f>HYPERLINK(склад2въезд1319202122[[#This Row],[RelativePath]])</f>
        <v>8 Рейсмус\E33149364_2_20251210T155629Z.jpg</v>
      </c>
    </row>
    <row r="126" spans="1:13" x14ac:dyDescent="0.25">
      <c r="A126" s="2" t="s">
        <v>16</v>
      </c>
      <c r="B126" s="4">
        <v>46002</v>
      </c>
      <c r="C126" s="5">
        <v>0.98526620370370366</v>
      </c>
      <c r="D126" s="9" t="s">
        <v>1967</v>
      </c>
      <c r="E126" s="9" t="s">
        <v>8</v>
      </c>
      <c r="F126" s="9"/>
      <c r="H126" s="9"/>
      <c r="I126" s="9" t="s">
        <v>5668</v>
      </c>
      <c r="J126" s="9" t="s">
        <v>2947</v>
      </c>
      <c r="K126" t="s">
        <v>5669</v>
      </c>
      <c r="L126" t="s">
        <v>5670</v>
      </c>
      <c r="M126" s="3" t="str">
        <f>HYPERLINK(склад2въезд1319202122[[#This Row],[RelativePath]])</f>
        <v>8 Рейсмус\E33149364_2_20251211T233847Z.jpg</v>
      </c>
    </row>
    <row r="127" spans="1:13" x14ac:dyDescent="0.25">
      <c r="A127" s="2" t="s">
        <v>17</v>
      </c>
      <c r="B127" s="4">
        <v>46003</v>
      </c>
      <c r="C127" s="5">
        <v>0.51637731481481486</v>
      </c>
      <c r="D127" s="9" t="s">
        <v>1967</v>
      </c>
      <c r="E127" s="9" t="s">
        <v>8</v>
      </c>
      <c r="F127" s="9"/>
      <c r="H127" s="9"/>
      <c r="I127" s="9" t="s">
        <v>5800</v>
      </c>
      <c r="J127" s="9" t="s">
        <v>2947</v>
      </c>
      <c r="K127" t="s">
        <v>5801</v>
      </c>
      <c r="L127" t="s">
        <v>5802</v>
      </c>
      <c r="M127" s="3" t="str">
        <f>HYPERLINK(склад2въезд1319202122[[#This Row],[RelativePath]])</f>
        <v>8 Рейсмус\E33149364_2_20251212T122335Z.jpg</v>
      </c>
    </row>
    <row r="128" spans="1:13" x14ac:dyDescent="0.25">
      <c r="A128" s="2" t="s">
        <v>18</v>
      </c>
      <c r="B128" s="4">
        <v>46004</v>
      </c>
      <c r="C128" s="5">
        <v>0.47920138888888891</v>
      </c>
      <c r="D128" s="9" t="s">
        <v>1967</v>
      </c>
      <c r="E128" s="9" t="s">
        <v>8</v>
      </c>
      <c r="F128" s="9"/>
      <c r="H128" s="9"/>
      <c r="I128" s="9" t="s">
        <v>6001</v>
      </c>
      <c r="J128" s="9" t="s">
        <v>2947</v>
      </c>
      <c r="K128" t="s">
        <v>6002</v>
      </c>
      <c r="L128" t="s">
        <v>6003</v>
      </c>
      <c r="M128" s="3" t="str">
        <f>HYPERLINK(склад2въезд1319202122[[#This Row],[RelativePath]])</f>
        <v>8 Рейсмус\E33149364_2_20251213T113003Z.jpg</v>
      </c>
    </row>
    <row r="129" spans="1:13" x14ac:dyDescent="0.25">
      <c r="A129" s="2" t="s">
        <v>22</v>
      </c>
      <c r="B129" s="4">
        <v>46005</v>
      </c>
      <c r="C129" s="5">
        <v>0.67769675925925921</v>
      </c>
      <c r="D129" s="9" t="s">
        <v>1967</v>
      </c>
      <c r="E129" s="9" t="s">
        <v>8</v>
      </c>
      <c r="F129" s="9"/>
      <c r="H129" s="9"/>
      <c r="I129" s="9" t="s">
        <v>6130</v>
      </c>
      <c r="J129" s="9" t="s">
        <v>2947</v>
      </c>
      <c r="K129" t="s">
        <v>6131</v>
      </c>
      <c r="L129" t="s">
        <v>6132</v>
      </c>
      <c r="M129" s="3" t="str">
        <f>HYPERLINK(склад2въезд1319202122[[#This Row],[RelativePath]])</f>
        <v>8 Рейсмус\E33149364_2_20251214T161553Z.jpg</v>
      </c>
    </row>
    <row r="130" spans="1:13" x14ac:dyDescent="0.25">
      <c r="A130" s="2" t="s">
        <v>13</v>
      </c>
      <c r="B130" s="4">
        <v>46006</v>
      </c>
      <c r="C130" s="5">
        <v>0.62486111111111109</v>
      </c>
      <c r="D130" s="9" t="s">
        <v>1967</v>
      </c>
      <c r="E130" s="9" t="s">
        <v>8</v>
      </c>
      <c r="F130" s="9"/>
      <c r="H130" s="9"/>
      <c r="I130" s="9" t="s">
        <v>6268</v>
      </c>
      <c r="J130" s="9" t="s">
        <v>2947</v>
      </c>
      <c r="K130" t="s">
        <v>6269</v>
      </c>
      <c r="L130" t="s">
        <v>6270</v>
      </c>
      <c r="M130" s="3" t="str">
        <f>HYPERLINK(склад2въезд1319202122[[#This Row],[RelativePath]])</f>
        <v>8 Рейсмус\E33149364_2_20251215T145948Z.jpg</v>
      </c>
    </row>
    <row r="131" spans="1:13" x14ac:dyDescent="0.25">
      <c r="A131" s="2" t="s">
        <v>14</v>
      </c>
      <c r="B131" s="4">
        <v>46007</v>
      </c>
      <c r="C131" s="5">
        <v>0.41891203703703705</v>
      </c>
      <c r="D131" s="9" t="s">
        <v>1987</v>
      </c>
      <c r="E131" s="9" t="s">
        <v>768</v>
      </c>
      <c r="F131" s="9"/>
      <c r="H131" s="9"/>
      <c r="I131" s="9" t="s">
        <v>6487</v>
      </c>
      <c r="J131" s="9" t="s">
        <v>2947</v>
      </c>
      <c r="K131" t="s">
        <v>6488</v>
      </c>
      <c r="L131" t="s">
        <v>6489</v>
      </c>
      <c r="M131" s="3" t="str">
        <f>HYPERLINK(склад2въезд1319202122[[#This Row],[RelativePath]])</f>
        <v>8 Рейсмус\E33149364_2_20251216T100314Z.jpg</v>
      </c>
    </row>
    <row r="132" spans="1:13" x14ac:dyDescent="0.25">
      <c r="A132" s="2" t="s">
        <v>14</v>
      </c>
      <c r="B132" s="4">
        <v>46007</v>
      </c>
      <c r="C132" s="5">
        <v>0.42146990740740742</v>
      </c>
      <c r="D132" s="9" t="s">
        <v>4</v>
      </c>
      <c r="E132" s="9" t="s">
        <v>9</v>
      </c>
      <c r="F132" s="9"/>
      <c r="H132" s="9"/>
      <c r="I132" s="9" t="s">
        <v>6490</v>
      </c>
      <c r="J132" s="9" t="s">
        <v>2947</v>
      </c>
      <c r="K132" t="s">
        <v>6491</v>
      </c>
      <c r="L132" t="s">
        <v>6492</v>
      </c>
      <c r="M132" s="3" t="str">
        <f>HYPERLINK(склад2въезд1319202122[[#This Row],[RelativePath]])</f>
        <v>8 Рейсмус\E33149364_2_20251216T100655Z.jpg</v>
      </c>
    </row>
    <row r="133" spans="1:13" x14ac:dyDescent="0.25">
      <c r="A133" s="2" t="s">
        <v>14</v>
      </c>
      <c r="B133" s="4">
        <v>46007</v>
      </c>
      <c r="C133" s="5">
        <v>0.4226388888888889</v>
      </c>
      <c r="D133" s="9" t="s">
        <v>1987</v>
      </c>
      <c r="E133" s="9" t="s">
        <v>768</v>
      </c>
      <c r="F133" s="9"/>
      <c r="H133" s="9"/>
      <c r="I133" s="9" t="s">
        <v>6493</v>
      </c>
      <c r="J133" s="9" t="s">
        <v>2947</v>
      </c>
      <c r="K133" t="s">
        <v>6494</v>
      </c>
      <c r="L133" t="s">
        <v>6495</v>
      </c>
      <c r="M133" s="3" t="str">
        <f>HYPERLINK(склад2въезд1319202122[[#This Row],[RelativePath]])</f>
        <v>8 Рейсмус\E33149364_2_20251216T100836Z.jpg</v>
      </c>
    </row>
    <row r="134" spans="1:13" x14ac:dyDescent="0.25">
      <c r="A134" s="2" t="s">
        <v>14</v>
      </c>
      <c r="B134" s="4">
        <v>46007</v>
      </c>
      <c r="C134" s="5">
        <v>0.43762731481481482</v>
      </c>
      <c r="D134" s="9" t="s">
        <v>1987</v>
      </c>
      <c r="E134" s="9" t="s">
        <v>768</v>
      </c>
      <c r="F134" s="9"/>
      <c r="H134" s="9"/>
      <c r="I134" s="9" t="s">
        <v>6496</v>
      </c>
      <c r="J134" s="9" t="s">
        <v>2947</v>
      </c>
      <c r="K134" t="s">
        <v>6497</v>
      </c>
      <c r="L134" t="s">
        <v>6498</v>
      </c>
      <c r="M134" s="3" t="str">
        <f>HYPERLINK(склад2въезд1319202122[[#This Row],[RelativePath]])</f>
        <v>8 Рейсмус\E33149364_2_20251216T103011Z.jpg</v>
      </c>
    </row>
    <row r="135" spans="1:13" x14ac:dyDescent="0.25">
      <c r="A135" s="2" t="s">
        <v>14</v>
      </c>
      <c r="B135" s="4">
        <v>46007</v>
      </c>
      <c r="C135" s="5">
        <v>0.49944444444444447</v>
      </c>
      <c r="D135" s="9" t="s">
        <v>4</v>
      </c>
      <c r="E135" s="9" t="s">
        <v>9</v>
      </c>
      <c r="F135" s="9"/>
      <c r="H135" s="9"/>
      <c r="I135" s="9" t="s">
        <v>6499</v>
      </c>
      <c r="J135" s="9" t="s">
        <v>2947</v>
      </c>
      <c r="K135" t="s">
        <v>6500</v>
      </c>
      <c r="L135" t="s">
        <v>6501</v>
      </c>
      <c r="M135" s="3" t="str">
        <f>HYPERLINK(склад2въезд1319202122[[#This Row],[RelativePath]])</f>
        <v>8 Рейсмус\E33149364_2_20251216T115912Z.jpg</v>
      </c>
    </row>
    <row r="136" spans="1:13" x14ac:dyDescent="0.25">
      <c r="A136" s="2" t="s">
        <v>15</v>
      </c>
      <c r="B136" s="4">
        <v>46008</v>
      </c>
      <c r="C136" s="5">
        <v>0.42181712962962964</v>
      </c>
      <c r="D136" s="9" t="s">
        <v>4</v>
      </c>
      <c r="E136" s="9" t="s">
        <v>9</v>
      </c>
      <c r="F136" s="9"/>
      <c r="H136" s="9"/>
      <c r="I136" s="9" t="s">
        <v>6634</v>
      </c>
      <c r="J136" s="9" t="s">
        <v>2947</v>
      </c>
      <c r="K136" t="s">
        <v>6635</v>
      </c>
      <c r="L136" t="s">
        <v>6636</v>
      </c>
      <c r="M136" s="3" t="str">
        <f>HYPERLINK(склад2въезд1319202122[[#This Row],[RelativePath]])</f>
        <v>8 Рейсмус\E33149364_2_20251217T100725Z.jpg</v>
      </c>
    </row>
    <row r="137" spans="1:13" x14ac:dyDescent="0.25">
      <c r="A137" s="2" t="s">
        <v>15</v>
      </c>
      <c r="B137" s="4">
        <v>46008</v>
      </c>
      <c r="C137" s="5">
        <v>0.65041666666666664</v>
      </c>
      <c r="D137" s="9" t="s">
        <v>1967</v>
      </c>
      <c r="E137" s="9" t="s">
        <v>9</v>
      </c>
      <c r="F137" s="9"/>
      <c r="H137" s="9"/>
      <c r="I137" s="9" t="s">
        <v>6637</v>
      </c>
      <c r="J137" s="9" t="s">
        <v>2947</v>
      </c>
      <c r="K137" t="s">
        <v>6638</v>
      </c>
      <c r="L137" t="s">
        <v>6639</v>
      </c>
      <c r="M137" s="3" t="str">
        <f>HYPERLINK(склад2въезд1319202122[[#This Row],[RelativePath]])</f>
        <v>8 Рейсмус\E33149364_2_20251217T153636Z.jpg</v>
      </c>
    </row>
    <row r="138" spans="1:13" x14ac:dyDescent="0.25">
      <c r="A138" s="2" t="s">
        <v>16</v>
      </c>
      <c r="B138" s="4">
        <v>46009</v>
      </c>
      <c r="C138" s="5">
        <v>0.63127314814814817</v>
      </c>
      <c r="D138" s="9" t="s">
        <v>1967</v>
      </c>
      <c r="E138" s="9" t="s">
        <v>9</v>
      </c>
      <c r="F138" s="9"/>
      <c r="H138" s="9"/>
      <c r="I138" s="9" t="s">
        <v>6846</v>
      </c>
      <c r="J138" s="9" t="s">
        <v>2947</v>
      </c>
      <c r="K138" t="s">
        <v>6847</v>
      </c>
      <c r="L138" t="s">
        <v>6848</v>
      </c>
      <c r="M138" s="3" t="str">
        <f>HYPERLINK(склад2въезд1319202122[[#This Row],[RelativePath]])</f>
        <v>8 Рейсмус\E33149364_2_20251218T150902Z.jpg</v>
      </c>
    </row>
    <row r="139" spans="1:13" x14ac:dyDescent="0.25">
      <c r="A139" s="2" t="s">
        <v>17</v>
      </c>
      <c r="B139" s="4">
        <v>46010</v>
      </c>
      <c r="C139" s="5">
        <v>0.38178240740740743</v>
      </c>
      <c r="D139" s="9" t="s">
        <v>4</v>
      </c>
      <c r="E139" s="9" t="s">
        <v>9</v>
      </c>
      <c r="F139" s="9"/>
      <c r="H139" s="9"/>
      <c r="I139" s="9" t="s">
        <v>6849</v>
      </c>
      <c r="J139" s="9" t="s">
        <v>2947</v>
      </c>
      <c r="K139" t="s">
        <v>6850</v>
      </c>
      <c r="L139" t="s">
        <v>6851</v>
      </c>
      <c r="M139" s="3" t="str">
        <f>HYPERLINK(склад2въезд1319202122[[#This Row],[RelativePath]])</f>
        <v>8 Рейсмус\E33149364_2_20251219T090946Z.jpg</v>
      </c>
    </row>
    <row r="140" spans="1:13" x14ac:dyDescent="0.25">
      <c r="A140" s="2" t="s">
        <v>17</v>
      </c>
      <c r="B140" s="4">
        <v>46010</v>
      </c>
      <c r="C140" s="5">
        <v>0.66002314814814811</v>
      </c>
      <c r="D140" s="9" t="s">
        <v>7080</v>
      </c>
      <c r="E140" s="9"/>
      <c r="F140" s="9"/>
      <c r="H140" s="9"/>
      <c r="I140" s="9" t="s">
        <v>6852</v>
      </c>
      <c r="J140" s="9" t="s">
        <v>2947</v>
      </c>
      <c r="K140" t="s">
        <v>6853</v>
      </c>
      <c r="L140" t="s">
        <v>6854</v>
      </c>
      <c r="M140" s="3" t="str">
        <f>HYPERLINK(склад2въезд1319202122[[#This Row],[RelativePath]])</f>
        <v>8 Рейсмус\E33149364_2_20251219T155026Z.jpg</v>
      </c>
    </row>
    <row r="141" spans="1:13" x14ac:dyDescent="0.25">
      <c r="A141" s="2" t="s">
        <v>17</v>
      </c>
      <c r="B141" s="4">
        <v>46010</v>
      </c>
      <c r="C141" s="5">
        <v>0.66162037037037036</v>
      </c>
      <c r="D141" s="9" t="s">
        <v>1063</v>
      </c>
      <c r="E141" s="9" t="s">
        <v>7081</v>
      </c>
      <c r="F141" s="9"/>
      <c r="H141" s="9"/>
      <c r="I141" s="9" t="s">
        <v>6855</v>
      </c>
      <c r="J141" s="9" t="s">
        <v>2947</v>
      </c>
      <c r="K141" t="s">
        <v>6856</v>
      </c>
      <c r="L141" t="s">
        <v>6857</v>
      </c>
      <c r="M141" s="3" t="str">
        <f>HYPERLINK(склад2въезд1319202122[[#This Row],[RelativePath]])</f>
        <v>8 Рейсмус\E33149364_2_20251219T155244Z.jpg</v>
      </c>
    </row>
    <row r="142" spans="1:13" x14ac:dyDescent="0.25">
      <c r="A142" s="2" t="s">
        <v>18</v>
      </c>
      <c r="B142" s="4">
        <v>46011</v>
      </c>
      <c r="C142" s="5">
        <v>0.68061342592592589</v>
      </c>
      <c r="D142" s="9" t="s">
        <v>1967</v>
      </c>
      <c r="E142" s="9" t="s">
        <v>9</v>
      </c>
      <c r="F142" s="9"/>
      <c r="H142" s="9"/>
      <c r="I142" s="9" t="s">
        <v>6858</v>
      </c>
      <c r="J142" s="9" t="s">
        <v>2947</v>
      </c>
      <c r="K142" t="s">
        <v>6859</v>
      </c>
      <c r="L142" t="s">
        <v>6860</v>
      </c>
      <c r="M142" s="3" t="str">
        <f>HYPERLINK(склад2въезд1319202122[[#This Row],[RelativePath]])</f>
        <v>8 Рейсмус\E33149364_2_20251220T162005Z.jpg</v>
      </c>
    </row>
    <row r="143" spans="1:13" x14ac:dyDescent="0.25">
      <c r="A143" s="2" t="s">
        <v>22</v>
      </c>
      <c r="B143" s="4">
        <v>46012</v>
      </c>
      <c r="C143" s="5">
        <v>0.52877314814814813</v>
      </c>
      <c r="D143" s="9" t="s">
        <v>1967</v>
      </c>
      <c r="E143" s="9" t="s">
        <v>9</v>
      </c>
      <c r="F143" s="9"/>
      <c r="H143" s="9"/>
      <c r="I143" s="9" t="s">
        <v>7103</v>
      </c>
      <c r="J143" s="9" t="s">
        <v>2947</v>
      </c>
      <c r="K143" t="s">
        <v>7104</v>
      </c>
      <c r="L143" t="s">
        <v>7105</v>
      </c>
      <c r="M143" s="3" t="str">
        <f>HYPERLINK(склад2въезд1319202122[[#This Row],[RelativePath]])</f>
        <v>8 Рейсмус\E33149364_2_20251221T124126Z.jpg</v>
      </c>
    </row>
    <row r="144" spans="1:13" x14ac:dyDescent="0.25">
      <c r="A144" s="2" t="s">
        <v>13</v>
      </c>
      <c r="B144" s="4">
        <v>46013</v>
      </c>
      <c r="C144" s="5">
        <v>0.60614583333333338</v>
      </c>
      <c r="D144" s="9" t="s">
        <v>1967</v>
      </c>
      <c r="E144" s="9" t="s">
        <v>9</v>
      </c>
      <c r="F144" s="9"/>
      <c r="H144" s="9"/>
      <c r="I144" s="9" t="s">
        <v>7305</v>
      </c>
      <c r="J144" s="9" t="s">
        <v>2947</v>
      </c>
      <c r="K144" t="s">
        <v>7306</v>
      </c>
      <c r="L144" t="s">
        <v>7307</v>
      </c>
      <c r="M144" s="3" t="str">
        <f>HYPERLINK(склад2въезд1319202122[[#This Row],[RelativePath]])</f>
        <v>8 Рейсмус\E33149364_2_20251222T143251Z.jpg</v>
      </c>
    </row>
    <row r="145" spans="1:13" x14ac:dyDescent="0.25">
      <c r="A145" s="2" t="s">
        <v>14</v>
      </c>
      <c r="B145" s="4">
        <v>46014</v>
      </c>
      <c r="C145" s="5">
        <v>0.75249999999999995</v>
      </c>
      <c r="D145" s="9" t="s">
        <v>1967</v>
      </c>
      <c r="E145" s="9" t="s">
        <v>9</v>
      </c>
      <c r="F145" s="9"/>
      <c r="H145" s="9"/>
      <c r="I145" s="9" t="s">
        <v>7308</v>
      </c>
      <c r="J145" s="9" t="s">
        <v>2947</v>
      </c>
      <c r="K145" t="s">
        <v>7309</v>
      </c>
      <c r="L145" t="s">
        <v>7310</v>
      </c>
      <c r="M145" s="3" t="str">
        <f>HYPERLINK(склад2въезд1319202122[[#This Row],[RelativePath]])</f>
        <v>8 Рейсмус\E33149364_2_20251223T180336Z.jpg</v>
      </c>
    </row>
    <row r="146" spans="1:13" x14ac:dyDescent="0.25">
      <c r="A146" s="2" t="s">
        <v>15</v>
      </c>
      <c r="B146" s="4">
        <v>46015</v>
      </c>
      <c r="C146" s="5">
        <v>0.49077546296296298</v>
      </c>
      <c r="D146" s="9" t="s">
        <v>1967</v>
      </c>
      <c r="E146" s="9" t="s">
        <v>9</v>
      </c>
      <c r="F146" s="9"/>
      <c r="H146" s="9"/>
      <c r="I146" s="9" t="s">
        <v>7355</v>
      </c>
      <c r="J146" s="9" t="s">
        <v>2947</v>
      </c>
      <c r="K146" t="s">
        <v>7356</v>
      </c>
      <c r="L146" t="s">
        <v>7357</v>
      </c>
      <c r="M146" s="3" t="str">
        <f>HYPERLINK(склад2въезд1319202122[[#This Row],[RelativePath]])</f>
        <v>8 Рейсмус\E33149364_2_20251224T114643Z.jpg</v>
      </c>
    </row>
    <row r="147" spans="1:13" x14ac:dyDescent="0.25">
      <c r="A147" s="2" t="s">
        <v>16</v>
      </c>
      <c r="B147" s="4">
        <v>46016</v>
      </c>
      <c r="C147" s="5">
        <v>0.41638888888888886</v>
      </c>
      <c r="D147" s="9" t="s">
        <v>1967</v>
      </c>
      <c r="E147" s="9" t="s">
        <v>9</v>
      </c>
      <c r="F147" s="9"/>
      <c r="H147" s="9"/>
      <c r="I147" s="9" t="s">
        <v>7358</v>
      </c>
      <c r="J147" s="9" t="s">
        <v>2947</v>
      </c>
      <c r="K147" t="s">
        <v>7359</v>
      </c>
      <c r="L147" t="s">
        <v>7360</v>
      </c>
      <c r="M147" s="3" t="str">
        <f>HYPERLINK(склад2въезд1319202122[[#This Row],[RelativePath]])</f>
        <v>8 Рейсмус\E33149364_2_20251225T095936Z.jpg</v>
      </c>
    </row>
    <row r="148" spans="1:13" x14ac:dyDescent="0.25">
      <c r="A148" s="2" t="s">
        <v>17</v>
      </c>
      <c r="B148" s="4">
        <v>46017</v>
      </c>
      <c r="C148" s="5">
        <v>0.63017361111111114</v>
      </c>
      <c r="D148" s="9" t="s">
        <v>1967</v>
      </c>
      <c r="E148" s="9" t="s">
        <v>9</v>
      </c>
      <c r="F148" s="9"/>
      <c r="H148" s="9"/>
      <c r="I148" s="9" t="s">
        <v>7770</v>
      </c>
      <c r="J148" s="9" t="s">
        <v>2947</v>
      </c>
      <c r="K148" t="s">
        <v>7771</v>
      </c>
      <c r="L148" t="s">
        <v>7772</v>
      </c>
      <c r="M148" s="3" t="str">
        <f>HYPERLINK(склад2въезд1319202122[[#This Row],[RelativePath]])</f>
        <v>8 Рейсмус\E33149364_2_20251226T150727Z.jpg</v>
      </c>
    </row>
    <row r="149" spans="1:13" x14ac:dyDescent="0.25">
      <c r="A149" s="2" t="s">
        <v>18</v>
      </c>
      <c r="B149" s="4">
        <v>46018</v>
      </c>
      <c r="C149" s="5">
        <v>0.59303240740740737</v>
      </c>
      <c r="D149" s="9" t="s">
        <v>1967</v>
      </c>
      <c r="E149" s="9" t="s">
        <v>9</v>
      </c>
      <c r="F149" s="9"/>
      <c r="H149" s="9"/>
      <c r="I149" s="9" t="s">
        <v>7924</v>
      </c>
      <c r="J149" s="9" t="s">
        <v>2947</v>
      </c>
      <c r="K149" t="s">
        <v>7925</v>
      </c>
      <c r="L149" t="s">
        <v>7926</v>
      </c>
      <c r="M149" s="3" t="str">
        <f>HYPERLINK(склад2въезд1319202122[[#This Row],[RelativePath]])</f>
        <v>8 Рейсмус\E33149364_2_20251227T141358Z.jpg</v>
      </c>
    </row>
    <row r="150" spans="1:13" x14ac:dyDescent="0.25">
      <c r="A150" s="2" t="s">
        <v>22</v>
      </c>
      <c r="B150" s="4">
        <v>46019</v>
      </c>
      <c r="C150" s="5">
        <v>0.61859953703703707</v>
      </c>
      <c r="D150" s="9" t="s">
        <v>1967</v>
      </c>
      <c r="E150" s="9" t="s">
        <v>9</v>
      </c>
      <c r="F150" s="9"/>
      <c r="H150" s="9"/>
      <c r="I150" s="9" t="s">
        <v>7927</v>
      </c>
      <c r="J150" s="9" t="s">
        <v>2947</v>
      </c>
      <c r="K150" t="s">
        <v>7928</v>
      </c>
      <c r="L150" t="s">
        <v>7929</v>
      </c>
      <c r="M150" s="3" t="str">
        <f>HYPERLINK(склад2въезд1319202122[[#This Row],[RelativePath]])</f>
        <v>8 Рейсмус\E33149364_2_20251228T145047Z.jpg</v>
      </c>
    </row>
    <row r="151" spans="1:13" x14ac:dyDescent="0.25">
      <c r="A151" s="2" t="s">
        <v>13</v>
      </c>
      <c r="B151" s="4">
        <v>46020</v>
      </c>
      <c r="C151" s="5">
        <v>0.39856481481481482</v>
      </c>
      <c r="D151" s="9" t="s">
        <v>7080</v>
      </c>
      <c r="E151" s="9"/>
      <c r="F151" s="9"/>
      <c r="H151" s="9"/>
      <c r="I151" s="9" t="s">
        <v>8042</v>
      </c>
      <c r="J151" s="9" t="s">
        <v>2947</v>
      </c>
      <c r="K151" t="s">
        <v>8043</v>
      </c>
      <c r="L151" t="s">
        <v>8044</v>
      </c>
      <c r="M151" s="3" t="str">
        <f>HYPERLINK(склад2въезд1319202122[[#This Row],[RelativePath]])</f>
        <v>8 Рейсмус\E33149364_2_20251229T093356Z.jpg</v>
      </c>
    </row>
    <row r="152" spans="1:13" x14ac:dyDescent="0.25">
      <c r="A152" s="2" t="s">
        <v>13</v>
      </c>
      <c r="B152" s="4">
        <v>46020</v>
      </c>
      <c r="C152" s="5">
        <v>0.41195601851851854</v>
      </c>
      <c r="D152" s="9" t="s">
        <v>1063</v>
      </c>
      <c r="E152" s="9" t="s">
        <v>53</v>
      </c>
      <c r="F152" s="9"/>
      <c r="G152">
        <v>5</v>
      </c>
      <c r="H152" s="9"/>
      <c r="I152" s="9" t="s">
        <v>8045</v>
      </c>
      <c r="J152" s="9" t="s">
        <v>2947</v>
      </c>
      <c r="K152" t="s">
        <v>8046</v>
      </c>
      <c r="L152" t="s">
        <v>8047</v>
      </c>
      <c r="M152" s="3" t="str">
        <f>HYPERLINK(склад2въезд1319202122[[#This Row],[RelativePath]])</f>
        <v>8 Рейсмус\E33149364_2_20251229T095313Z.jpg</v>
      </c>
    </row>
    <row r="153" spans="1:13" x14ac:dyDescent="0.25">
      <c r="A153" s="2" t="s">
        <v>13</v>
      </c>
      <c r="B153" s="4">
        <v>46020</v>
      </c>
      <c r="C153" s="5">
        <v>0.49357638888888888</v>
      </c>
      <c r="D153" s="9" t="s">
        <v>4</v>
      </c>
      <c r="E153" s="9" t="s">
        <v>503</v>
      </c>
      <c r="F153" s="9"/>
      <c r="H153" s="9"/>
      <c r="I153" s="9" t="s">
        <v>8048</v>
      </c>
      <c r="J153" s="9" t="s">
        <v>2947</v>
      </c>
      <c r="K153" t="s">
        <v>8049</v>
      </c>
      <c r="L153" t="s">
        <v>8050</v>
      </c>
      <c r="M153" s="3" t="str">
        <f>HYPERLINK(склад2въезд1319202122[[#This Row],[RelativePath]])</f>
        <v>8 Рейсмус\E33149364_2_20251229T115045Z.jpg</v>
      </c>
    </row>
    <row r="154" spans="1:13" x14ac:dyDescent="0.25">
      <c r="A154" s="2" t="s">
        <v>14</v>
      </c>
      <c r="B154" s="4">
        <v>46021</v>
      </c>
      <c r="C154" s="5">
        <v>0.52201388888888889</v>
      </c>
      <c r="D154" s="9" t="s">
        <v>1967</v>
      </c>
      <c r="E154" s="9" t="s">
        <v>9</v>
      </c>
      <c r="F154" s="9"/>
      <c r="H154" s="9"/>
      <c r="I154" s="9" t="s">
        <v>8051</v>
      </c>
      <c r="J154" s="9" t="s">
        <v>2947</v>
      </c>
      <c r="K154" t="s">
        <v>8052</v>
      </c>
      <c r="L154" t="s">
        <v>8053</v>
      </c>
      <c r="M154" s="3" t="str">
        <f>HYPERLINK(склад2въезд1319202122[[#This Row],[RelativePath]])</f>
        <v>8 Рейсмус\E33149364_2_20251230T123142Z.jpg</v>
      </c>
    </row>
    <row r="155" spans="1:13" x14ac:dyDescent="0.25">
      <c r="A155" s="2" t="s">
        <v>15</v>
      </c>
      <c r="B155" s="4">
        <v>46022</v>
      </c>
      <c r="C155" s="5">
        <v>0.60832175925925924</v>
      </c>
      <c r="D155" s="9" t="s">
        <v>1967</v>
      </c>
      <c r="E155" s="9" t="s">
        <v>9</v>
      </c>
      <c r="F155" s="9"/>
      <c r="H155" s="9"/>
      <c r="I155" s="9" t="s">
        <v>8230</v>
      </c>
      <c r="J155" s="9" t="s">
        <v>2947</v>
      </c>
      <c r="K155" t="s">
        <v>8231</v>
      </c>
      <c r="L155" t="s">
        <v>8232</v>
      </c>
      <c r="M155" s="3" t="str">
        <f>HYPERLINK(склад2въезд1319202122[[#This Row],[RelativePath]])</f>
        <v>8 Рейсмус\E33149364_2_20251231T143559Z.jpg</v>
      </c>
    </row>
    <row r="156" spans="1:13" x14ac:dyDescent="0.25">
      <c r="A156" s="2" t="s">
        <v>16</v>
      </c>
      <c r="B156" s="4">
        <v>46023</v>
      </c>
      <c r="C156" s="5">
        <v>0.67802083333333329</v>
      </c>
      <c r="D156" s="9" t="s">
        <v>1967</v>
      </c>
      <c r="E156" s="9" t="s">
        <v>9</v>
      </c>
      <c r="F156" s="9"/>
      <c r="H156" s="9"/>
      <c r="I156" s="9" t="s">
        <v>8054</v>
      </c>
      <c r="J156" s="9" t="s">
        <v>2947</v>
      </c>
      <c r="K156" t="s">
        <v>8055</v>
      </c>
      <c r="L156" t="s">
        <v>8056</v>
      </c>
      <c r="M156" s="3" t="str">
        <f>HYPERLINK(склад2въезд1319202122[[#This Row],[RelativePath]])</f>
        <v>8 Рейсмус\E33149364_2_20260101T161621Z.jpg</v>
      </c>
    </row>
    <row r="157" spans="1:13" x14ac:dyDescent="0.25">
      <c r="A157" s="2" t="s">
        <v>17</v>
      </c>
      <c r="B157" s="4">
        <v>46024</v>
      </c>
      <c r="C157" s="5">
        <v>0.47923611111111108</v>
      </c>
      <c r="D157" s="9" t="s">
        <v>1967</v>
      </c>
      <c r="E157" s="9" t="s">
        <v>9</v>
      </c>
      <c r="F157" s="9"/>
      <c r="H157" s="9"/>
      <c r="I157" s="9" t="s">
        <v>8306</v>
      </c>
      <c r="J157" s="9" t="s">
        <v>2947</v>
      </c>
      <c r="K157" t="s">
        <v>8307</v>
      </c>
      <c r="L157" t="s">
        <v>8308</v>
      </c>
      <c r="M157" s="3" t="str">
        <f>HYPERLINK(склад2въезд1319202122[[#This Row],[RelativePath]])</f>
        <v>8 Рейсмус\E33149364_2_20260102T113006Z.jpg</v>
      </c>
    </row>
    <row r="158" spans="1:13" x14ac:dyDescent="0.25">
      <c r="A158" s="2" t="s">
        <v>18</v>
      </c>
      <c r="B158" s="4">
        <v>46025</v>
      </c>
      <c r="C158" s="5">
        <v>0.68722222222222218</v>
      </c>
      <c r="D158" s="9" t="s">
        <v>1967</v>
      </c>
      <c r="E158" s="9" t="s">
        <v>9</v>
      </c>
      <c r="F158" s="9"/>
      <c r="H158" s="9"/>
      <c r="I158" s="9" t="s">
        <v>8309</v>
      </c>
      <c r="J158" s="9" t="s">
        <v>2947</v>
      </c>
      <c r="K158" t="s">
        <v>8310</v>
      </c>
      <c r="L158" t="s">
        <v>8311</v>
      </c>
      <c r="M158" s="3" t="str">
        <f>HYPERLINK(склад2въезд1319202122[[#This Row],[RelativePath]])</f>
        <v>8 Рейсмус\E33149364_2_20260103T162936Z.jpg</v>
      </c>
    </row>
    <row r="159" spans="1:13" x14ac:dyDescent="0.25">
      <c r="A159" s="2" t="s">
        <v>22</v>
      </c>
      <c r="B159" s="4">
        <v>46026</v>
      </c>
      <c r="C159" s="5">
        <v>0.62715277777777778</v>
      </c>
      <c r="D159" s="9" t="s">
        <v>1967</v>
      </c>
      <c r="E159" s="9" t="s">
        <v>9</v>
      </c>
      <c r="F159" s="9"/>
      <c r="H159" s="9"/>
      <c r="I159" s="9" t="s">
        <v>8312</v>
      </c>
      <c r="J159" s="9" t="s">
        <v>2947</v>
      </c>
      <c r="K159" t="s">
        <v>8313</v>
      </c>
      <c r="L159" t="s">
        <v>8314</v>
      </c>
      <c r="M159" s="3" t="str">
        <f>HYPERLINK(склад2въезд1319202122[[#This Row],[RelativePath]])</f>
        <v>8 Рейсмус\E33149364_2_20260104T150306Z.jpg</v>
      </c>
    </row>
    <row r="160" spans="1:13" x14ac:dyDescent="0.25">
      <c r="A160" s="2" t="s">
        <v>13</v>
      </c>
      <c r="B160" s="4">
        <v>46027</v>
      </c>
      <c r="C160" s="5">
        <v>0.60798611111111112</v>
      </c>
      <c r="D160" s="9" t="s">
        <v>1967</v>
      </c>
      <c r="E160" s="9" t="s">
        <v>9</v>
      </c>
      <c r="F160" s="9"/>
      <c r="H160" s="9"/>
      <c r="I160" s="9" t="s">
        <v>8493</v>
      </c>
      <c r="J160" s="9" t="s">
        <v>2947</v>
      </c>
      <c r="K160" t="s">
        <v>8494</v>
      </c>
      <c r="L160" t="s">
        <v>8495</v>
      </c>
      <c r="M160" s="3" t="str">
        <f>HYPERLINK(склад2въезд1319202122[[#This Row],[RelativePath]])</f>
        <v>8 Рейсмус\E33149364_2_20260105T143530Z.jpg</v>
      </c>
    </row>
    <row r="161" spans="1:13" x14ac:dyDescent="0.25">
      <c r="A161" s="2" t="s">
        <v>14</v>
      </c>
      <c r="B161" s="4">
        <v>46028</v>
      </c>
      <c r="C161" s="5">
        <v>0.66204861111111113</v>
      </c>
      <c r="D161" s="9" t="s">
        <v>1967</v>
      </c>
      <c r="E161" s="9" t="s">
        <v>9</v>
      </c>
      <c r="F161" s="9"/>
      <c r="H161" s="9"/>
      <c r="I161" s="9" t="s">
        <v>8496</v>
      </c>
      <c r="J161" s="9" t="s">
        <v>2947</v>
      </c>
      <c r="K161" t="s">
        <v>8497</v>
      </c>
      <c r="L161" t="s">
        <v>8498</v>
      </c>
      <c r="M161" s="3" t="str">
        <f>HYPERLINK(склад2въезд1319202122[[#This Row],[RelativePath]])</f>
        <v>8 Рейсмус\E33149364_2_20260106T155321Z.jpg</v>
      </c>
    </row>
    <row r="162" spans="1:13" x14ac:dyDescent="0.25">
      <c r="A162" s="2" t="s">
        <v>15</v>
      </c>
      <c r="B162" s="4">
        <v>46029</v>
      </c>
      <c r="C162" s="5">
        <v>0.50274305555555554</v>
      </c>
      <c r="D162" s="9" t="s">
        <v>1967</v>
      </c>
      <c r="E162" s="9" t="s">
        <v>9</v>
      </c>
      <c r="F162" s="9"/>
      <c r="H162" s="9"/>
      <c r="I162" s="9" t="s">
        <v>8499</v>
      </c>
      <c r="J162" s="9" t="s">
        <v>2947</v>
      </c>
      <c r="K162" t="s">
        <v>8500</v>
      </c>
      <c r="L162" t="s">
        <v>8501</v>
      </c>
      <c r="M162" s="3" t="str">
        <f>HYPERLINK(склад2въезд1319202122[[#This Row],[RelativePath]])</f>
        <v>8 Рейсмус\E33149364_2_20260107T120357Z.jpg</v>
      </c>
    </row>
    <row r="163" spans="1:13" x14ac:dyDescent="0.25">
      <c r="A163" s="2" t="s">
        <v>16</v>
      </c>
      <c r="B163" s="4">
        <v>46030</v>
      </c>
      <c r="C163" s="5">
        <v>0.59849537037037037</v>
      </c>
      <c r="D163" s="9" t="s">
        <v>1967</v>
      </c>
      <c r="E163" s="9" t="s">
        <v>9</v>
      </c>
      <c r="F163" s="9"/>
      <c r="H163" s="9"/>
      <c r="I163" s="9" t="s">
        <v>8502</v>
      </c>
      <c r="J163" s="9" t="s">
        <v>2947</v>
      </c>
      <c r="K163" t="s">
        <v>8503</v>
      </c>
      <c r="L163" t="s">
        <v>8504</v>
      </c>
      <c r="M163" s="3" t="str">
        <f>HYPERLINK(склад2въезд1319202122[[#This Row],[RelativePath]])</f>
        <v>8 Рейсмус\E33149364_2_20260108T142150Z.jpg</v>
      </c>
    </row>
    <row r="164" spans="1:13" x14ac:dyDescent="0.25">
      <c r="A164" s="2" t="s">
        <v>17</v>
      </c>
      <c r="B164" s="4">
        <v>46031</v>
      </c>
      <c r="C164" s="5">
        <v>0.69709490740740743</v>
      </c>
      <c r="D164" s="9" t="s">
        <v>1967</v>
      </c>
      <c r="E164" s="9" t="s">
        <v>9</v>
      </c>
      <c r="F164" s="9"/>
      <c r="H164" s="9"/>
      <c r="I164" s="9" t="s">
        <v>8505</v>
      </c>
      <c r="J164" s="9" t="s">
        <v>2947</v>
      </c>
      <c r="K164" t="s">
        <v>8506</v>
      </c>
      <c r="L164" t="s">
        <v>8507</v>
      </c>
      <c r="M164" s="3" t="str">
        <f>HYPERLINK(склад2въезд1319202122[[#This Row],[RelativePath]])</f>
        <v>8 Рейсмус\E33149364_2_20260109T164349Z.jpg</v>
      </c>
    </row>
    <row r="165" spans="1:13" x14ac:dyDescent="0.25">
      <c r="A165" s="2" t="s">
        <v>18</v>
      </c>
      <c r="B165" s="4">
        <v>46032</v>
      </c>
      <c r="C165" s="5">
        <v>0.67023148148148148</v>
      </c>
      <c r="D165" s="9" t="s">
        <v>1967</v>
      </c>
      <c r="E165" s="9" t="s">
        <v>9</v>
      </c>
      <c r="F165" s="9"/>
      <c r="H165" s="9"/>
      <c r="I165" s="9" t="s">
        <v>8508</v>
      </c>
      <c r="J165" s="9" t="s">
        <v>2947</v>
      </c>
      <c r="K165" t="s">
        <v>8509</v>
      </c>
      <c r="L165" t="s">
        <v>8510</v>
      </c>
      <c r="M165" s="3" t="str">
        <f>HYPERLINK(склад2въезд1319202122[[#This Row],[RelativePath]])</f>
        <v>8 Рейсмус\E33149364_2_20260110T160508Z.jpg</v>
      </c>
    </row>
    <row r="166" spans="1:13" x14ac:dyDescent="0.25">
      <c r="A166" s="2" t="s">
        <v>22</v>
      </c>
      <c r="B166" s="4">
        <v>46033</v>
      </c>
      <c r="C166" s="5">
        <v>0.63624999999999998</v>
      </c>
      <c r="D166" s="9" t="s">
        <v>1967</v>
      </c>
      <c r="E166" s="9" t="s">
        <v>8712</v>
      </c>
      <c r="F166" s="9"/>
      <c r="H166" s="9"/>
      <c r="I166" s="9" t="s">
        <v>8511</v>
      </c>
      <c r="J166" s="9" t="s">
        <v>2947</v>
      </c>
      <c r="K166" t="s">
        <v>8512</v>
      </c>
      <c r="L166" t="s">
        <v>8513</v>
      </c>
      <c r="M166" s="3" t="str">
        <f>HYPERLINK(склад2въезд1319202122[[#This Row],[RelativePath]])</f>
        <v>8 Рейсмус\E33149364_2_20260111T151612Z.jpg</v>
      </c>
    </row>
    <row r="167" spans="1:13" x14ac:dyDescent="0.25">
      <c r="A167" s="2" t="s">
        <v>13</v>
      </c>
      <c r="B167" s="4">
        <v>46034</v>
      </c>
      <c r="C167" s="5">
        <v>0.49069444444444443</v>
      </c>
      <c r="D167" s="9" t="s">
        <v>1967</v>
      </c>
      <c r="E167" s="9" t="s">
        <v>5408</v>
      </c>
      <c r="F167" s="9"/>
      <c r="H167" s="9"/>
      <c r="I167" s="9" t="s">
        <v>8886</v>
      </c>
      <c r="J167" s="9" t="s">
        <v>2947</v>
      </c>
      <c r="K167" t="s">
        <v>8887</v>
      </c>
      <c r="L167" t="s">
        <v>8888</v>
      </c>
      <c r="M167" s="3" t="str">
        <f>HYPERLINK(склад2въезд1319202122[[#This Row],[RelativePath]])</f>
        <v>8 Рейсмус\E33149364_2_20260112T114636Z.jpg</v>
      </c>
    </row>
    <row r="168" spans="1:13" x14ac:dyDescent="0.25">
      <c r="A168" s="2" t="s">
        <v>14</v>
      </c>
      <c r="B168" s="4">
        <v>46035</v>
      </c>
      <c r="C168" s="5">
        <v>0.40759259259259262</v>
      </c>
      <c r="D168" s="9" t="s">
        <v>4</v>
      </c>
      <c r="E168" s="9" t="s">
        <v>9</v>
      </c>
      <c r="F168" s="9"/>
      <c r="H168" s="9"/>
      <c r="I168" s="9" t="s">
        <v>8889</v>
      </c>
      <c r="J168" s="9" t="s">
        <v>2947</v>
      </c>
      <c r="K168" t="s">
        <v>8890</v>
      </c>
      <c r="L168" t="s">
        <v>8891</v>
      </c>
      <c r="M168" s="3" t="str">
        <f>HYPERLINK(склад2въезд1319202122[[#This Row],[RelativePath]])</f>
        <v>8 Рейсмус\E33149364_2_20260113T094656Z.jpg</v>
      </c>
    </row>
    <row r="169" spans="1:13" x14ac:dyDescent="0.25">
      <c r="A169" s="2" t="s">
        <v>14</v>
      </c>
      <c r="B169" s="4">
        <v>46035</v>
      </c>
      <c r="C169" s="5">
        <v>0.42978009259259259</v>
      </c>
      <c r="D169" s="9" t="s">
        <v>765</v>
      </c>
      <c r="E169" s="9" t="s">
        <v>1570</v>
      </c>
      <c r="F169" s="9"/>
      <c r="H169" s="9"/>
      <c r="I169" s="9" t="s">
        <v>8892</v>
      </c>
      <c r="J169" s="9" t="s">
        <v>2947</v>
      </c>
      <c r="K169" t="s">
        <v>8893</v>
      </c>
      <c r="L169" t="s">
        <v>8894</v>
      </c>
      <c r="M169" s="3" t="str">
        <f>HYPERLINK(склад2въезд1319202122[[#This Row],[RelativePath]])</f>
        <v>8 Рейсмус\E33149364_2_20260113T101853Z.jpg</v>
      </c>
    </row>
    <row r="170" spans="1:13" x14ac:dyDescent="0.25">
      <c r="A170" s="2" t="s">
        <v>14</v>
      </c>
      <c r="B170" s="4">
        <v>46035</v>
      </c>
      <c r="C170" s="5">
        <v>0.45549768518518519</v>
      </c>
      <c r="D170" s="9" t="s">
        <v>1987</v>
      </c>
      <c r="E170" s="9" t="s">
        <v>768</v>
      </c>
      <c r="F170" s="9"/>
      <c r="H170" s="9"/>
      <c r="I170" s="9" t="s">
        <v>8895</v>
      </c>
      <c r="J170" s="9" t="s">
        <v>2947</v>
      </c>
      <c r="K170" t="s">
        <v>8896</v>
      </c>
      <c r="L170" t="s">
        <v>8897</v>
      </c>
      <c r="M170" s="3" t="str">
        <f>HYPERLINK(склад2въезд1319202122[[#This Row],[RelativePath]])</f>
        <v>8 Рейсмус\E33149364_2_20260113T105555Z.jpg</v>
      </c>
    </row>
    <row r="171" spans="1:13" x14ac:dyDescent="0.25">
      <c r="A171" s="2" t="s">
        <v>14</v>
      </c>
      <c r="B171" s="4">
        <v>46035</v>
      </c>
      <c r="C171" s="5">
        <v>0.45629629629629631</v>
      </c>
      <c r="D171" s="9" t="s">
        <v>9084</v>
      </c>
      <c r="E171" s="9" t="s">
        <v>9085</v>
      </c>
      <c r="F171" s="9"/>
      <c r="H171" s="9"/>
      <c r="I171" s="9" t="s">
        <v>8898</v>
      </c>
      <c r="J171" s="9" t="s">
        <v>2947</v>
      </c>
      <c r="K171" t="s">
        <v>8899</v>
      </c>
      <c r="L171" t="s">
        <v>8900</v>
      </c>
      <c r="M171" s="3" t="str">
        <f>HYPERLINK(склад2въезд1319202122[[#This Row],[RelativePath]])</f>
        <v>8 Рейсмус\E33149364_2_20260113T105704Z.jpg</v>
      </c>
    </row>
    <row r="172" spans="1:13" x14ac:dyDescent="0.25">
      <c r="A172" s="2" t="s">
        <v>14</v>
      </c>
      <c r="B172" s="4">
        <v>46035</v>
      </c>
      <c r="C172" s="5">
        <v>0.46055555555555555</v>
      </c>
      <c r="D172" s="9" t="s">
        <v>1987</v>
      </c>
      <c r="E172" s="9" t="s">
        <v>768</v>
      </c>
      <c r="F172" s="9"/>
      <c r="H172" s="9"/>
      <c r="I172" s="9" t="s">
        <v>8901</v>
      </c>
      <c r="J172" s="9" t="s">
        <v>2947</v>
      </c>
      <c r="K172" t="s">
        <v>8902</v>
      </c>
      <c r="L172" t="s">
        <v>8903</v>
      </c>
      <c r="M172" s="3" t="str">
        <f>HYPERLINK(склад2въезд1319202122[[#This Row],[RelativePath]])</f>
        <v>8 Рейсмус\E33149364_2_20260113T110312Z.jpg</v>
      </c>
    </row>
    <row r="173" spans="1:13" x14ac:dyDescent="0.25">
      <c r="A173" s="2" t="s">
        <v>14</v>
      </c>
      <c r="B173" s="4">
        <v>46035</v>
      </c>
      <c r="C173" s="5">
        <v>0.47013888888888888</v>
      </c>
      <c r="D173" s="9" t="s">
        <v>1987</v>
      </c>
      <c r="E173" s="9" t="s">
        <v>768</v>
      </c>
      <c r="F173" s="9"/>
      <c r="H173" s="9" t="s">
        <v>2891</v>
      </c>
      <c r="I173" s="9" t="s">
        <v>8904</v>
      </c>
      <c r="J173" s="9" t="s">
        <v>2947</v>
      </c>
      <c r="K173" t="s">
        <v>8905</v>
      </c>
      <c r="L173" t="s">
        <v>8906</v>
      </c>
      <c r="M173" s="3" t="str">
        <f>HYPERLINK(склад2въезд1319202122[[#This Row],[RelativePath]])</f>
        <v>8 Рейсмус\E33149364_2_20260113T111700Z.jpg</v>
      </c>
    </row>
    <row r="174" spans="1:13" x14ac:dyDescent="0.25">
      <c r="A174" s="2" t="s">
        <v>14</v>
      </c>
      <c r="B174" s="4">
        <v>46035</v>
      </c>
      <c r="C174" s="5">
        <v>0.85482638888888884</v>
      </c>
      <c r="D174" s="9" t="s">
        <v>4</v>
      </c>
      <c r="E174" s="9" t="s">
        <v>9</v>
      </c>
      <c r="F174" s="9"/>
      <c r="H174" s="9"/>
      <c r="I174" s="9" t="s">
        <v>8907</v>
      </c>
      <c r="J174" s="9" t="s">
        <v>2947</v>
      </c>
      <c r="K174" t="s">
        <v>8908</v>
      </c>
      <c r="L174" t="s">
        <v>8909</v>
      </c>
      <c r="M174" s="3" t="str">
        <f>HYPERLINK(склад2въезд1319202122[[#This Row],[RelativePath]])</f>
        <v>8 Рейсмус\E33149364_2_20260113T203057Z.jpg</v>
      </c>
    </row>
    <row r="175" spans="1:13" x14ac:dyDescent="0.25">
      <c r="A175" s="2" t="s">
        <v>14</v>
      </c>
      <c r="B175" s="4">
        <v>46035</v>
      </c>
      <c r="C175" s="5">
        <v>0.86243055555555559</v>
      </c>
      <c r="D175" s="9" t="s">
        <v>4</v>
      </c>
      <c r="E175" s="9" t="s">
        <v>9</v>
      </c>
      <c r="F175" s="9"/>
      <c r="H175" s="9"/>
      <c r="I175" s="9" t="s">
        <v>8910</v>
      </c>
      <c r="J175" s="9" t="s">
        <v>2947</v>
      </c>
      <c r="K175" t="s">
        <v>8911</v>
      </c>
      <c r="L175" t="s">
        <v>8912</v>
      </c>
      <c r="M175" s="3" t="str">
        <f>HYPERLINK(склад2въезд1319202122[[#This Row],[RelativePath]])</f>
        <v>8 Рейсмус\E33149364_2_20260113T204154Z.jpg</v>
      </c>
    </row>
    <row r="176" spans="1:13" x14ac:dyDescent="0.25">
      <c r="A176" s="2" t="s">
        <v>15</v>
      </c>
      <c r="B176" s="4">
        <v>46036</v>
      </c>
      <c r="C176" s="5">
        <v>0.37813657407407408</v>
      </c>
      <c r="D176" s="9" t="s">
        <v>4</v>
      </c>
      <c r="E176" s="9" t="s">
        <v>9</v>
      </c>
      <c r="F176" s="9"/>
      <c r="H176" s="9"/>
      <c r="I176" s="9" t="s">
        <v>9155</v>
      </c>
      <c r="J176" s="9" t="s">
        <v>2947</v>
      </c>
      <c r="K176" t="s">
        <v>9156</v>
      </c>
      <c r="L176" t="s">
        <v>9157</v>
      </c>
      <c r="M176" s="3" t="str">
        <f>HYPERLINK(склад2въезд1319202122[[#This Row],[RelativePath]])</f>
        <v>8 Рейсмус\E33149364_2_20260114T090431Z.jpg</v>
      </c>
    </row>
    <row r="177" spans="1:13" x14ac:dyDescent="0.25">
      <c r="A177" s="2" t="s">
        <v>15</v>
      </c>
      <c r="B177" s="4">
        <v>46036</v>
      </c>
      <c r="C177" s="5">
        <v>0.84994212962962967</v>
      </c>
      <c r="D177" s="9" t="s">
        <v>4</v>
      </c>
      <c r="E177" s="9" t="s">
        <v>9</v>
      </c>
      <c r="F177" s="9"/>
      <c r="H177" s="9" t="s">
        <v>2891</v>
      </c>
      <c r="I177" s="9" t="s">
        <v>9158</v>
      </c>
      <c r="J177" s="9" t="s">
        <v>2947</v>
      </c>
      <c r="K177" t="s">
        <v>9159</v>
      </c>
      <c r="L177" t="s">
        <v>9160</v>
      </c>
      <c r="M177" s="3" t="str">
        <f>HYPERLINK(склад2въезд1319202122[[#This Row],[RelativePath]])</f>
        <v>8 Рейсмус\E33149364_2_20260114T202355Z.jpg</v>
      </c>
    </row>
    <row r="178" spans="1:13" x14ac:dyDescent="0.25">
      <c r="A178" s="2" t="s">
        <v>15</v>
      </c>
      <c r="B178" s="4">
        <v>46036</v>
      </c>
      <c r="C178" s="5">
        <v>0.85083333333333333</v>
      </c>
      <c r="D178" s="9" t="s">
        <v>9291</v>
      </c>
      <c r="E178" s="9" t="s">
        <v>1570</v>
      </c>
      <c r="F178" s="9"/>
      <c r="H178" s="9"/>
      <c r="I178" s="9" t="s">
        <v>9161</v>
      </c>
      <c r="J178" s="9" t="s">
        <v>2947</v>
      </c>
      <c r="K178" t="s">
        <v>9162</v>
      </c>
      <c r="L178" t="s">
        <v>9163</v>
      </c>
      <c r="M178" s="3" t="str">
        <f>HYPERLINK(склад2въезд1319202122[[#This Row],[RelativePath]])</f>
        <v>8 Рейсмус\E33149364_2_20260114T202512Z.jpg</v>
      </c>
    </row>
    <row r="179" spans="1:13" x14ac:dyDescent="0.25">
      <c r="A179" s="2" t="s">
        <v>15</v>
      </c>
      <c r="B179" s="4">
        <v>46036</v>
      </c>
      <c r="C179" s="5">
        <v>0.85103009259259255</v>
      </c>
      <c r="D179" s="9" t="s">
        <v>9291</v>
      </c>
      <c r="E179" s="9" t="s">
        <v>1570</v>
      </c>
      <c r="F179" s="9"/>
      <c r="H179" s="9" t="s">
        <v>2891</v>
      </c>
      <c r="I179" s="9" t="s">
        <v>9164</v>
      </c>
      <c r="J179" s="9" t="s">
        <v>2947</v>
      </c>
      <c r="K179" t="s">
        <v>9165</v>
      </c>
      <c r="L179" t="s">
        <v>9166</v>
      </c>
      <c r="M179" s="3" t="str">
        <f>HYPERLINK(склад2въезд1319202122[[#This Row],[RelativePath]])</f>
        <v>8 Рейсмус\E33149364_2_20260114T202529Z.jpg</v>
      </c>
    </row>
    <row r="180" spans="1:13" x14ac:dyDescent="0.25">
      <c r="A180" s="2" t="s">
        <v>15</v>
      </c>
      <c r="B180" s="4">
        <v>46036</v>
      </c>
      <c r="C180" s="5">
        <v>0.85888888888888892</v>
      </c>
      <c r="D180" s="9" t="s">
        <v>9291</v>
      </c>
      <c r="E180" s="9" t="s">
        <v>1570</v>
      </c>
      <c r="F180" s="9"/>
      <c r="H180" s="9" t="s">
        <v>2891</v>
      </c>
      <c r="I180" s="9" t="s">
        <v>9167</v>
      </c>
      <c r="J180" s="9" t="s">
        <v>2947</v>
      </c>
      <c r="K180" t="s">
        <v>9168</v>
      </c>
      <c r="L180" t="s">
        <v>9169</v>
      </c>
      <c r="M180" s="3" t="str">
        <f>HYPERLINK(склад2въезд1319202122[[#This Row],[RelativePath]])</f>
        <v>8 Рейсмус\E33149364_2_20260114T203648Z.jpg</v>
      </c>
    </row>
    <row r="181" spans="1:13" x14ac:dyDescent="0.25">
      <c r="A181" s="2" t="s">
        <v>15</v>
      </c>
      <c r="B181" s="4">
        <v>46036</v>
      </c>
      <c r="C181" s="5">
        <v>0.86230324074074072</v>
      </c>
      <c r="D181" s="9" t="s">
        <v>1987</v>
      </c>
      <c r="E181" s="9" t="s">
        <v>768</v>
      </c>
      <c r="F181" s="9"/>
      <c r="H181" s="9"/>
      <c r="I181" s="9" t="s">
        <v>9170</v>
      </c>
      <c r="J181" s="9" t="s">
        <v>2947</v>
      </c>
      <c r="K181" t="s">
        <v>9171</v>
      </c>
      <c r="L181" t="s">
        <v>9172</v>
      </c>
      <c r="M181" s="3" t="str">
        <f>HYPERLINK(склад2въезд1319202122[[#This Row],[RelativePath]])</f>
        <v>8 Рейсмус\E33149364_2_20260114T204143Z.jpg</v>
      </c>
    </row>
    <row r="182" spans="1:13" x14ac:dyDescent="0.25">
      <c r="A182" s="2" t="s">
        <v>16</v>
      </c>
      <c r="B182" s="4">
        <v>46037</v>
      </c>
      <c r="C182" s="5">
        <v>0.38729166666666665</v>
      </c>
      <c r="D182" s="9" t="s">
        <v>4</v>
      </c>
      <c r="E182" s="9" t="s">
        <v>9</v>
      </c>
      <c r="F182" s="9"/>
      <c r="H182" s="9"/>
      <c r="I182" s="9" t="s">
        <v>9292</v>
      </c>
      <c r="J182" s="9" t="s">
        <v>2947</v>
      </c>
      <c r="K182" t="s">
        <v>9293</v>
      </c>
      <c r="L182" t="s">
        <v>9294</v>
      </c>
      <c r="M182" s="3" t="str">
        <f>HYPERLINK(склад2въезд1319202122[[#This Row],[RelativePath]])</f>
        <v>8 Рейсмус\E33149364_2_20260115T091742Z.jpg</v>
      </c>
    </row>
    <row r="183" spans="1:13" x14ac:dyDescent="0.25">
      <c r="A183" s="2" t="s">
        <v>16</v>
      </c>
      <c r="B183" s="4">
        <v>46037</v>
      </c>
      <c r="C183" s="5">
        <v>0.42495370370370372</v>
      </c>
      <c r="D183" s="9" t="s">
        <v>1987</v>
      </c>
      <c r="E183" s="9" t="s">
        <v>768</v>
      </c>
      <c r="F183" s="9"/>
      <c r="H183" s="9"/>
      <c r="I183" s="9" t="s">
        <v>9295</v>
      </c>
      <c r="J183" s="9" t="s">
        <v>2947</v>
      </c>
      <c r="K183" t="s">
        <v>9296</v>
      </c>
      <c r="L183" t="s">
        <v>9297</v>
      </c>
      <c r="M183" s="3" t="str">
        <f>HYPERLINK(склад2въезд1319202122[[#This Row],[RelativePath]])</f>
        <v>8 Рейсмус\E33149364_2_20260115T101156Z.jpg</v>
      </c>
    </row>
    <row r="184" spans="1:13" x14ac:dyDescent="0.25">
      <c r="A184" s="2" t="s">
        <v>16</v>
      </c>
      <c r="B184" s="4">
        <v>46037</v>
      </c>
      <c r="C184" s="5">
        <v>0.4377314814814815</v>
      </c>
      <c r="D184" s="9" t="s">
        <v>1987</v>
      </c>
      <c r="E184" s="9" t="s">
        <v>768</v>
      </c>
      <c r="F184" s="9"/>
      <c r="H184" s="9"/>
      <c r="I184" s="9" t="s">
        <v>9298</v>
      </c>
      <c r="J184" s="9" t="s">
        <v>2947</v>
      </c>
      <c r="K184" t="s">
        <v>9299</v>
      </c>
      <c r="L184" t="s">
        <v>9300</v>
      </c>
      <c r="M184" s="3" t="str">
        <f>HYPERLINK(склад2въезд1319202122[[#This Row],[RelativePath]])</f>
        <v>8 Рейсмус\E33149364_2_20260115T103020Z.jpg</v>
      </c>
    </row>
    <row r="185" spans="1:13" x14ac:dyDescent="0.25">
      <c r="A185" s="2" t="s">
        <v>16</v>
      </c>
      <c r="B185" s="4">
        <v>46037</v>
      </c>
      <c r="C185" s="5">
        <v>0.45703703703703702</v>
      </c>
      <c r="D185" s="9" t="s">
        <v>9291</v>
      </c>
      <c r="E185" s="9" t="s">
        <v>1570</v>
      </c>
      <c r="F185" s="9"/>
      <c r="H185" s="9"/>
      <c r="I185" s="9" t="s">
        <v>9301</v>
      </c>
      <c r="J185" s="9" t="s">
        <v>2947</v>
      </c>
      <c r="K185" t="s">
        <v>9302</v>
      </c>
      <c r="L185" t="s">
        <v>9303</v>
      </c>
      <c r="M185" s="3" t="str">
        <f>HYPERLINK(склад2въезд1319202122[[#This Row],[RelativePath]])</f>
        <v>8 Рейсмус\E33149364_2_20260115T105808Z.jpg</v>
      </c>
    </row>
    <row r="186" spans="1:13" x14ac:dyDescent="0.25">
      <c r="A186" s="2" t="s">
        <v>16</v>
      </c>
      <c r="B186" s="4">
        <v>46037</v>
      </c>
      <c r="C186" s="5">
        <v>0.47192129629629631</v>
      </c>
      <c r="D186" s="9" t="s">
        <v>1987</v>
      </c>
      <c r="E186" s="9" t="s">
        <v>768</v>
      </c>
      <c r="F186" s="9"/>
      <c r="H186" s="9"/>
      <c r="I186" s="9" t="s">
        <v>9304</v>
      </c>
      <c r="J186" s="9" t="s">
        <v>2947</v>
      </c>
      <c r="K186" t="s">
        <v>9305</v>
      </c>
      <c r="L186" t="s">
        <v>9306</v>
      </c>
      <c r="M186" s="3" t="str">
        <f>HYPERLINK(склад2въезд1319202122[[#This Row],[RelativePath]])</f>
        <v>8 Рейсмус\E33149364_2_20260115T111934Z.jpg</v>
      </c>
    </row>
    <row r="187" spans="1:13" x14ac:dyDescent="0.25">
      <c r="A187" s="2" t="s">
        <v>16</v>
      </c>
      <c r="B187" s="4">
        <v>46037</v>
      </c>
      <c r="C187" s="5">
        <v>0.51744212962962965</v>
      </c>
      <c r="D187" s="9" t="s">
        <v>1987</v>
      </c>
      <c r="E187" s="9" t="s">
        <v>768</v>
      </c>
      <c r="F187" s="9"/>
      <c r="H187" s="9"/>
      <c r="I187" s="9" t="s">
        <v>9307</v>
      </c>
      <c r="J187" s="9" t="s">
        <v>2947</v>
      </c>
      <c r="K187" t="s">
        <v>9308</v>
      </c>
      <c r="L187" t="s">
        <v>9309</v>
      </c>
      <c r="M187" s="3" t="str">
        <f>HYPERLINK(склад2въезд1319202122[[#This Row],[RelativePath]])</f>
        <v>8 Рейсмус\E33149364_2_20260115T122507Z.jpg</v>
      </c>
    </row>
    <row r="188" spans="1:13" x14ac:dyDescent="0.25">
      <c r="A188" s="2" t="s">
        <v>16</v>
      </c>
      <c r="B188" s="4">
        <v>46037</v>
      </c>
      <c r="C188" s="5">
        <v>0.61798611111111112</v>
      </c>
      <c r="D188" s="9" t="s">
        <v>9291</v>
      </c>
      <c r="E188" s="9" t="s">
        <v>1570</v>
      </c>
      <c r="F188" s="9"/>
      <c r="H188" s="9"/>
      <c r="I188" s="9" t="s">
        <v>9310</v>
      </c>
      <c r="J188" s="9" t="s">
        <v>2947</v>
      </c>
      <c r="K188" t="s">
        <v>9311</v>
      </c>
      <c r="L188" t="s">
        <v>9312</v>
      </c>
      <c r="M188" s="3" t="str">
        <f>HYPERLINK(склад2въезд1319202122[[#This Row],[RelativePath]])</f>
        <v>8 Рейсмус\E33149364_2_20260115T144954Z.jpg</v>
      </c>
    </row>
    <row r="189" spans="1:13" x14ac:dyDescent="0.25">
      <c r="A189" s="2" t="s">
        <v>16</v>
      </c>
      <c r="B189" s="4">
        <v>46037</v>
      </c>
      <c r="C189" s="5">
        <v>0.69480324074074074</v>
      </c>
      <c r="D189" s="9" t="s">
        <v>1987</v>
      </c>
      <c r="E189" s="9" t="s">
        <v>768</v>
      </c>
      <c r="F189" s="9"/>
      <c r="H189" s="9"/>
      <c r="I189" s="9" t="s">
        <v>9313</v>
      </c>
      <c r="J189" s="9" t="s">
        <v>2947</v>
      </c>
      <c r="K189" t="s">
        <v>9314</v>
      </c>
      <c r="L189" t="s">
        <v>9315</v>
      </c>
      <c r="M189" s="3" t="str">
        <f>HYPERLINK(склад2въезд1319202122[[#This Row],[RelativePath]])</f>
        <v>8 Рейсмус\E33149364_2_20260115T164031Z.jpg</v>
      </c>
    </row>
    <row r="190" spans="1:13" x14ac:dyDescent="0.25">
      <c r="A190" s="2" t="s">
        <v>17</v>
      </c>
      <c r="B190" s="4">
        <v>46038</v>
      </c>
      <c r="C190" s="5">
        <v>0.39674768518518516</v>
      </c>
      <c r="D190" s="9" t="s">
        <v>1987</v>
      </c>
      <c r="E190" s="9" t="s">
        <v>768</v>
      </c>
      <c r="F190" s="9"/>
      <c r="H190" s="9"/>
      <c r="I190" s="9" t="s">
        <v>9316</v>
      </c>
      <c r="J190" s="9" t="s">
        <v>2947</v>
      </c>
      <c r="K190" t="s">
        <v>9317</v>
      </c>
      <c r="L190" t="s">
        <v>9318</v>
      </c>
      <c r="M190" s="3" t="str">
        <f>HYPERLINK(склад2въезд1319202122[[#This Row],[RelativePath]])</f>
        <v>8 Рейсмус\E33149364_2_20260116T093119Z.jpg</v>
      </c>
    </row>
    <row r="191" spans="1:13" x14ac:dyDescent="0.25">
      <c r="A191" s="2" t="s">
        <v>17</v>
      </c>
      <c r="B191" s="4">
        <v>46038</v>
      </c>
      <c r="C191" s="5">
        <v>0.49776620370370372</v>
      </c>
      <c r="D191" s="9" t="s">
        <v>9337</v>
      </c>
      <c r="E191" s="9" t="s">
        <v>503</v>
      </c>
      <c r="F191" s="9"/>
      <c r="H191" s="9"/>
      <c r="I191" s="9" t="s">
        <v>9319</v>
      </c>
      <c r="J191" s="9" t="s">
        <v>2947</v>
      </c>
      <c r="K191" t="s">
        <v>9320</v>
      </c>
      <c r="L191" t="s">
        <v>9321</v>
      </c>
      <c r="M191" s="3" t="str">
        <f>HYPERLINK(склад2въезд1319202122[[#This Row],[RelativePath]])</f>
        <v>8 Рейсмус\E33149364_2_20260116T115647Z.jpg</v>
      </c>
    </row>
    <row r="192" spans="1:13" x14ac:dyDescent="0.25">
      <c r="A192" s="2" t="s">
        <v>17</v>
      </c>
      <c r="B192" s="4">
        <v>46038</v>
      </c>
      <c r="C192" s="5">
        <v>0.51901620370370372</v>
      </c>
      <c r="D192" s="9" t="s">
        <v>9291</v>
      </c>
      <c r="E192" s="9" t="s">
        <v>1570</v>
      </c>
      <c r="F192" s="9"/>
      <c r="H192" s="9"/>
      <c r="I192" s="9" t="s">
        <v>9322</v>
      </c>
      <c r="J192" s="9" t="s">
        <v>2947</v>
      </c>
      <c r="K192" t="s">
        <v>9323</v>
      </c>
      <c r="L192" t="s">
        <v>9324</v>
      </c>
      <c r="M192" s="3" t="str">
        <f>HYPERLINK(склад2въезд1319202122[[#This Row],[RelativePath]])</f>
        <v>8 Рейсмус\E33149364_2_20260116T122723Z.jpg</v>
      </c>
    </row>
    <row r="193" spans="1:13" x14ac:dyDescent="0.25">
      <c r="A193" s="2" t="s">
        <v>17</v>
      </c>
      <c r="B193" s="4">
        <v>46038</v>
      </c>
      <c r="C193" s="5">
        <v>0.59623842592592591</v>
      </c>
      <c r="D193" s="9" t="s">
        <v>9291</v>
      </c>
      <c r="E193" s="9" t="s">
        <v>1570</v>
      </c>
      <c r="F193" s="9"/>
      <c r="H193" s="9"/>
      <c r="I193" s="9" t="s">
        <v>9325</v>
      </c>
      <c r="J193" s="9" t="s">
        <v>2947</v>
      </c>
      <c r="K193" t="s">
        <v>9326</v>
      </c>
      <c r="L193" t="s">
        <v>9327</v>
      </c>
      <c r="M193" s="3" t="str">
        <f>HYPERLINK(склад2въезд1319202122[[#This Row],[RelativePath]])</f>
        <v>8 Рейсмус\E33149364_2_20260116T141835Z.jpg</v>
      </c>
    </row>
    <row r="194" spans="1:13" x14ac:dyDescent="0.25">
      <c r="A194" s="2" t="s">
        <v>17</v>
      </c>
      <c r="B194" s="4">
        <v>46038</v>
      </c>
      <c r="C194" s="5">
        <v>0.62276620370370372</v>
      </c>
      <c r="D194" s="9" t="s">
        <v>9291</v>
      </c>
      <c r="E194" s="9" t="s">
        <v>1570</v>
      </c>
      <c r="F194" s="9"/>
      <c r="H194" s="9"/>
      <c r="I194" s="9" t="s">
        <v>9328</v>
      </c>
      <c r="J194" s="9" t="s">
        <v>2947</v>
      </c>
      <c r="K194" t="s">
        <v>9329</v>
      </c>
      <c r="L194" t="s">
        <v>9330</v>
      </c>
      <c r="M194" s="3" t="str">
        <f>HYPERLINK(склад2въезд1319202122[[#This Row],[RelativePath]])</f>
        <v>8 Рейсмус\E33149364_2_20260116T145647Z.jpg</v>
      </c>
    </row>
    <row r="195" spans="1:13" x14ac:dyDescent="0.25">
      <c r="A195" s="2" t="s">
        <v>17</v>
      </c>
      <c r="B195" s="4">
        <v>46038</v>
      </c>
      <c r="C195" s="5">
        <v>0.66480324074074071</v>
      </c>
      <c r="D195" s="9" t="s">
        <v>1987</v>
      </c>
      <c r="E195" s="9" t="s">
        <v>768</v>
      </c>
      <c r="F195" s="9"/>
      <c r="H195" s="9"/>
      <c r="I195" s="9" t="s">
        <v>9331</v>
      </c>
      <c r="J195" s="9" t="s">
        <v>2947</v>
      </c>
      <c r="K195" t="s">
        <v>9332</v>
      </c>
      <c r="L195" t="s">
        <v>9333</v>
      </c>
      <c r="M195" s="3" t="str">
        <f>HYPERLINK(склад2въезд1319202122[[#This Row],[RelativePath]])</f>
        <v>8 Рейсмус\E33149364_2_20260116T155719Z.jpg</v>
      </c>
    </row>
    <row r="196" spans="1:13" x14ac:dyDescent="0.25">
      <c r="A196" s="2" t="s">
        <v>17</v>
      </c>
      <c r="B196" s="4">
        <v>46038</v>
      </c>
      <c r="C196" s="5">
        <v>0.66701388888888891</v>
      </c>
      <c r="D196" s="9" t="s">
        <v>9291</v>
      </c>
      <c r="E196" s="9" t="s">
        <v>1570</v>
      </c>
      <c r="F196" s="9"/>
      <c r="H196" s="9"/>
      <c r="I196" s="9" t="s">
        <v>9334</v>
      </c>
      <c r="J196" s="9" t="s">
        <v>2947</v>
      </c>
      <c r="K196" t="s">
        <v>9335</v>
      </c>
      <c r="L196" t="s">
        <v>9336</v>
      </c>
      <c r="M196" s="3" t="str">
        <f>HYPERLINK(склад2въезд1319202122[[#This Row],[RelativePath]])</f>
        <v>8 Рейсмус\E33149364_2_20260116T160030Z.jpg</v>
      </c>
    </row>
    <row r="197" spans="1:13" x14ac:dyDescent="0.25">
      <c r="A197" s="2" t="s">
        <v>18</v>
      </c>
      <c r="B197" s="4">
        <v>46039</v>
      </c>
      <c r="C197" s="5">
        <v>0.42025462962962962</v>
      </c>
      <c r="D197" s="9" t="s">
        <v>9291</v>
      </c>
      <c r="E197" s="9" t="s">
        <v>1570</v>
      </c>
      <c r="F197" s="9"/>
      <c r="H197" s="9"/>
      <c r="I197" s="9" t="s">
        <v>9498</v>
      </c>
      <c r="J197" s="9" t="s">
        <v>2947</v>
      </c>
      <c r="K197" t="s">
        <v>9499</v>
      </c>
      <c r="L197" t="s">
        <v>9500</v>
      </c>
      <c r="M197" s="3" t="str">
        <f>HYPERLINK(склад2въезд1319202122[[#This Row],[RelativePath]])</f>
        <v>8 Рейсмус\E33149364_2_20260117T100510Z.jpg</v>
      </c>
    </row>
    <row r="198" spans="1:13" x14ac:dyDescent="0.25">
      <c r="A198" s="2" t="s">
        <v>18</v>
      </c>
      <c r="B198" s="4">
        <v>46039</v>
      </c>
      <c r="C198" s="5">
        <v>0.59825231481481478</v>
      </c>
      <c r="D198" s="9" t="s">
        <v>4</v>
      </c>
      <c r="E198" s="9" t="s">
        <v>9</v>
      </c>
      <c r="F198" s="9"/>
      <c r="H198" s="9"/>
      <c r="I198" s="9" t="s">
        <v>9501</v>
      </c>
      <c r="J198" s="9" t="s">
        <v>2947</v>
      </c>
      <c r="K198" t="s">
        <v>9502</v>
      </c>
      <c r="L198" t="s">
        <v>9503</v>
      </c>
      <c r="M198" s="3" t="str">
        <f>HYPERLINK(склад2въезд1319202122[[#This Row],[RelativePath]])</f>
        <v>8 Рейсмус\E33149364_2_20260117T142129Z.jpg</v>
      </c>
    </row>
    <row r="199" spans="1:13" x14ac:dyDescent="0.25">
      <c r="A199" s="2" t="s">
        <v>22</v>
      </c>
      <c r="B199" s="4">
        <v>46040</v>
      </c>
      <c r="C199" s="5">
        <v>0.62940972222222225</v>
      </c>
      <c r="D199" s="9" t="s">
        <v>9291</v>
      </c>
      <c r="E199" s="9" t="s">
        <v>1570</v>
      </c>
      <c r="F199" s="9"/>
      <c r="H199" s="9"/>
      <c r="I199" s="9" t="s">
        <v>9504</v>
      </c>
      <c r="J199" s="9" t="s">
        <v>2947</v>
      </c>
      <c r="K199" t="s">
        <v>9505</v>
      </c>
      <c r="L199" t="s">
        <v>9506</v>
      </c>
      <c r="M199" s="3" t="str">
        <f>HYPERLINK(склад2въезд1319202122[[#This Row],[RelativePath]])</f>
        <v>8 Рейсмус\E33149364_2_20260118T150621Z.jpg</v>
      </c>
    </row>
    <row r="200" spans="1:13" x14ac:dyDescent="0.25">
      <c r="A200" s="2" t="s">
        <v>22</v>
      </c>
      <c r="B200" s="4">
        <v>46040</v>
      </c>
      <c r="C200" s="5">
        <v>0.67388888888888887</v>
      </c>
      <c r="D200" s="9" t="s">
        <v>1987</v>
      </c>
      <c r="E200" s="9" t="s">
        <v>768</v>
      </c>
      <c r="F200" s="9"/>
      <c r="H200" s="9"/>
      <c r="I200" s="9" t="s">
        <v>9507</v>
      </c>
      <c r="J200" s="9" t="s">
        <v>2947</v>
      </c>
      <c r="K200" t="s">
        <v>9508</v>
      </c>
      <c r="L200" t="s">
        <v>9509</v>
      </c>
      <c r="M200" s="3" t="str">
        <f>HYPERLINK(склад2въезд1319202122[[#This Row],[RelativePath]])</f>
        <v>8 Рейсмус\E33149364_2_20260118T161024Z.jpg</v>
      </c>
    </row>
    <row r="201" spans="1:13" x14ac:dyDescent="0.25">
      <c r="A201" s="2" t="s">
        <v>22</v>
      </c>
      <c r="B201" s="4">
        <v>46040</v>
      </c>
      <c r="C201" s="5">
        <v>0.69202546296296297</v>
      </c>
      <c r="D201" s="9" t="s">
        <v>4</v>
      </c>
      <c r="E201" s="9" t="s">
        <v>9</v>
      </c>
      <c r="F201" s="9"/>
      <c r="H201" s="9"/>
      <c r="I201" s="9" t="s">
        <v>9510</v>
      </c>
      <c r="J201" s="9" t="s">
        <v>2947</v>
      </c>
      <c r="K201" t="s">
        <v>9511</v>
      </c>
      <c r="L201" t="s">
        <v>9512</v>
      </c>
      <c r="M201" s="3" t="str">
        <f>HYPERLINK(склад2въезд1319202122[[#This Row],[RelativePath]])</f>
        <v>8 Рейсмус\E33149364_2_20260118T163631Z.jpg</v>
      </c>
    </row>
    <row r="202" spans="1:13" x14ac:dyDescent="0.25">
      <c r="A202" s="2" t="s">
        <v>13</v>
      </c>
      <c r="B202" s="4">
        <v>46041</v>
      </c>
      <c r="C202" s="5">
        <v>0.39363425925925927</v>
      </c>
      <c r="D202" s="9" t="s">
        <v>9291</v>
      </c>
      <c r="E202" s="9" t="s">
        <v>1570</v>
      </c>
      <c r="F202" s="9"/>
      <c r="H202" s="9"/>
      <c r="I202" s="9" t="s">
        <v>9619</v>
      </c>
      <c r="J202" s="9" t="s">
        <v>2947</v>
      </c>
      <c r="K202" t="s">
        <v>9620</v>
      </c>
      <c r="L202" t="s">
        <v>9621</v>
      </c>
      <c r="M202" s="3" t="str">
        <f>HYPERLINK(склад2въезд1319202122[[#This Row],[RelativePath]])</f>
        <v>8 Рейсмус\E33149364_2_20260119T092650Z.jpg</v>
      </c>
    </row>
    <row r="203" spans="1:13" x14ac:dyDescent="0.25">
      <c r="A203" s="2" t="s">
        <v>13</v>
      </c>
      <c r="B203" s="4">
        <v>46041</v>
      </c>
      <c r="C203" s="5">
        <v>0.41575231481481484</v>
      </c>
      <c r="D203" s="9" t="s">
        <v>9291</v>
      </c>
      <c r="E203" s="9" t="s">
        <v>1570</v>
      </c>
      <c r="F203" s="9"/>
      <c r="H203" s="9"/>
      <c r="I203" s="9" t="s">
        <v>9622</v>
      </c>
      <c r="J203" s="9" t="s">
        <v>2947</v>
      </c>
      <c r="K203" t="s">
        <v>9623</v>
      </c>
      <c r="L203" t="s">
        <v>9624</v>
      </c>
      <c r="M203" s="3" t="str">
        <f>HYPERLINK(склад2въезд1319202122[[#This Row],[RelativePath]])</f>
        <v>8 Рейсмус\E33149364_2_20260119T095841Z.jpg</v>
      </c>
    </row>
    <row r="204" spans="1:13" x14ac:dyDescent="0.25">
      <c r="A204" s="2" t="s">
        <v>13</v>
      </c>
      <c r="B204" s="4">
        <v>46041</v>
      </c>
      <c r="C204" s="5">
        <v>0.43177083333333333</v>
      </c>
      <c r="D204" s="9" t="s">
        <v>9291</v>
      </c>
      <c r="E204" s="9" t="s">
        <v>1570</v>
      </c>
      <c r="F204" s="9"/>
      <c r="H204" s="9"/>
      <c r="I204" s="9" t="s">
        <v>9625</v>
      </c>
      <c r="J204" s="9" t="s">
        <v>2947</v>
      </c>
      <c r="K204" t="s">
        <v>9626</v>
      </c>
      <c r="L204" t="s">
        <v>9627</v>
      </c>
      <c r="M204" s="3" t="str">
        <f>HYPERLINK(склад2въезд1319202122[[#This Row],[RelativePath]])</f>
        <v>8 Рейсмус\E33149364_2_20260119T102145Z.jpg</v>
      </c>
    </row>
    <row r="205" spans="1:13" x14ac:dyDescent="0.25">
      <c r="A205" s="2" t="s">
        <v>13</v>
      </c>
      <c r="B205" s="4">
        <v>46041</v>
      </c>
      <c r="C205" s="5">
        <v>0.48458333333333331</v>
      </c>
      <c r="D205" s="9" t="s">
        <v>1987</v>
      </c>
      <c r="E205" s="9" t="s">
        <v>768</v>
      </c>
      <c r="F205" s="9"/>
      <c r="H205" s="9"/>
      <c r="I205" s="9" t="s">
        <v>9628</v>
      </c>
      <c r="J205" s="9" t="s">
        <v>2947</v>
      </c>
      <c r="K205" t="s">
        <v>9629</v>
      </c>
      <c r="L205" t="s">
        <v>9630</v>
      </c>
      <c r="M205" s="3" t="str">
        <f>HYPERLINK(склад2въезд1319202122[[#This Row],[RelativePath]])</f>
        <v>8 Рейсмус\E33149364_2_20260119T113748Z.jpg</v>
      </c>
    </row>
    <row r="206" spans="1:13" x14ac:dyDescent="0.25">
      <c r="A206" s="2" t="s">
        <v>13</v>
      </c>
      <c r="B206" s="4">
        <v>46041</v>
      </c>
      <c r="C206" s="5">
        <v>0.48930555555555555</v>
      </c>
      <c r="D206" s="9" t="s">
        <v>1987</v>
      </c>
      <c r="E206" s="9" t="s">
        <v>768</v>
      </c>
      <c r="F206" s="9"/>
      <c r="H206" s="9"/>
      <c r="I206" s="9" t="s">
        <v>9631</v>
      </c>
      <c r="J206" s="9" t="s">
        <v>2947</v>
      </c>
      <c r="K206" t="s">
        <v>9632</v>
      </c>
      <c r="L206" t="s">
        <v>9633</v>
      </c>
      <c r="M206" s="3" t="str">
        <f>HYPERLINK(склад2въезд1319202122[[#This Row],[RelativePath]])</f>
        <v>8 Рейсмус\E33149364_2_20260119T114436Z.jpg</v>
      </c>
    </row>
    <row r="207" spans="1:13" x14ac:dyDescent="0.25">
      <c r="A207" s="2" t="s">
        <v>13</v>
      </c>
      <c r="B207" s="4">
        <v>46041</v>
      </c>
      <c r="C207" s="5">
        <v>0.52443287037037034</v>
      </c>
      <c r="D207" s="9" t="s">
        <v>1987</v>
      </c>
      <c r="E207" s="9" t="s">
        <v>768</v>
      </c>
      <c r="F207" s="9"/>
      <c r="H207" s="9"/>
      <c r="I207" s="9" t="s">
        <v>9634</v>
      </c>
      <c r="J207" s="9" t="s">
        <v>2947</v>
      </c>
      <c r="K207" t="s">
        <v>9635</v>
      </c>
      <c r="L207" t="s">
        <v>9636</v>
      </c>
      <c r="M207" s="3" t="str">
        <f>HYPERLINK(склад2въезд1319202122[[#This Row],[RelativePath]])</f>
        <v>8 Рейсмус\E33149364_2_20260119T123511Z.jpg</v>
      </c>
    </row>
    <row r="208" spans="1:13" x14ac:dyDescent="0.25">
      <c r="A208" s="2" t="s">
        <v>14</v>
      </c>
      <c r="B208" s="4">
        <v>46042</v>
      </c>
      <c r="C208" s="5">
        <v>0.42226851851851854</v>
      </c>
      <c r="D208" s="9" t="s">
        <v>9291</v>
      </c>
      <c r="E208" s="9" t="s">
        <v>1570</v>
      </c>
      <c r="F208" s="9"/>
      <c r="H208" s="9"/>
      <c r="I208" s="9" t="s">
        <v>9637</v>
      </c>
      <c r="J208" s="9" t="s">
        <v>2947</v>
      </c>
      <c r="K208" t="s">
        <v>9638</v>
      </c>
      <c r="L208" t="s">
        <v>9639</v>
      </c>
      <c r="M208" s="3" t="str">
        <f>HYPERLINK(склад2въезд1319202122[[#This Row],[RelativePath]])</f>
        <v>8 Рейсмус\E33149364_2_20260120T100804Z.jpg</v>
      </c>
    </row>
    <row r="209" spans="1:13" x14ac:dyDescent="0.25">
      <c r="A209" s="2" t="s">
        <v>14</v>
      </c>
      <c r="B209" s="4">
        <v>46042</v>
      </c>
      <c r="C209" s="5">
        <v>0.49842592592592594</v>
      </c>
      <c r="D209" s="9" t="s">
        <v>4</v>
      </c>
      <c r="E209" s="9" t="s">
        <v>9</v>
      </c>
      <c r="F209" s="9"/>
      <c r="H209" s="9"/>
      <c r="I209" s="9" t="s">
        <v>9640</v>
      </c>
      <c r="J209" s="9" t="s">
        <v>2947</v>
      </c>
      <c r="K209" t="s">
        <v>9641</v>
      </c>
      <c r="L209" t="s">
        <v>9642</v>
      </c>
      <c r="M209" s="3" t="str">
        <f>HYPERLINK(склад2въезд1319202122[[#This Row],[RelativePath]])</f>
        <v>8 Рейсмус\E33149364_2_20260120T115744Z.jpg</v>
      </c>
    </row>
    <row r="210" spans="1:13" x14ac:dyDescent="0.25">
      <c r="A210" s="2" t="s">
        <v>14</v>
      </c>
      <c r="B210" s="4">
        <v>46042</v>
      </c>
      <c r="C210" s="5">
        <v>0.5012268518518519</v>
      </c>
      <c r="D210" s="9" t="s">
        <v>9291</v>
      </c>
      <c r="E210" s="9" t="s">
        <v>1570</v>
      </c>
      <c r="F210" s="9"/>
      <c r="H210" s="9"/>
      <c r="I210" s="9" t="s">
        <v>9643</v>
      </c>
      <c r="J210" s="9" t="s">
        <v>2947</v>
      </c>
      <c r="K210" t="s">
        <v>9644</v>
      </c>
      <c r="L210" t="s">
        <v>9645</v>
      </c>
      <c r="M210" s="3" t="str">
        <f>HYPERLINK(склад2въезд1319202122[[#This Row],[RelativePath]])</f>
        <v>8 Рейсмус\E33149364_2_20260120T120146Z.jpg</v>
      </c>
    </row>
    <row r="211" spans="1:13" x14ac:dyDescent="0.25">
      <c r="A211" s="2" t="s">
        <v>14</v>
      </c>
      <c r="B211" s="4">
        <v>46042</v>
      </c>
      <c r="C211" s="5">
        <v>0.50423611111111111</v>
      </c>
      <c r="D211" s="9" t="s">
        <v>1987</v>
      </c>
      <c r="E211" s="9" t="s">
        <v>768</v>
      </c>
      <c r="F211" s="9"/>
      <c r="H211" s="9"/>
      <c r="I211" s="9" t="s">
        <v>9646</v>
      </c>
      <c r="J211" s="9" t="s">
        <v>2947</v>
      </c>
      <c r="K211" t="s">
        <v>9647</v>
      </c>
      <c r="L211" t="s">
        <v>9648</v>
      </c>
      <c r="M211" s="3" t="str">
        <f>HYPERLINK(склад2въезд1319202122[[#This Row],[RelativePath]])</f>
        <v>8 Рейсмус\E33149364_2_20260120T120606Z.jpg</v>
      </c>
    </row>
    <row r="212" spans="1:13" x14ac:dyDescent="0.25">
      <c r="A212" s="2" t="s">
        <v>14</v>
      </c>
      <c r="B212" s="4">
        <v>46042</v>
      </c>
      <c r="C212" s="5">
        <v>0.61972222222222217</v>
      </c>
      <c r="D212" s="9" t="s">
        <v>9291</v>
      </c>
      <c r="E212" s="9" t="s">
        <v>1570</v>
      </c>
      <c r="F212" s="9"/>
      <c r="H212" s="9"/>
      <c r="I212" s="9" t="s">
        <v>9649</v>
      </c>
      <c r="J212" s="9" t="s">
        <v>2947</v>
      </c>
      <c r="K212" t="s">
        <v>9650</v>
      </c>
      <c r="L212" t="s">
        <v>9651</v>
      </c>
      <c r="M212" s="3" t="str">
        <f>HYPERLINK(склад2въезд1319202122[[#This Row],[RelativePath]])</f>
        <v>8 Рейсмус\E33149364_2_20260120T145224Z.jpg</v>
      </c>
    </row>
    <row r="213" spans="1:13" x14ac:dyDescent="0.25">
      <c r="A213" s="2" t="s">
        <v>14</v>
      </c>
      <c r="B213" s="4">
        <v>46042</v>
      </c>
      <c r="C213" s="5">
        <v>0.62640046296296292</v>
      </c>
      <c r="D213" s="9" t="s">
        <v>9291</v>
      </c>
      <c r="E213" s="9" t="s">
        <v>1570</v>
      </c>
      <c r="F213" s="9"/>
      <c r="H213" s="9"/>
      <c r="I213" s="9" t="s">
        <v>9652</v>
      </c>
      <c r="J213" s="9" t="s">
        <v>2947</v>
      </c>
      <c r="K213" t="s">
        <v>9653</v>
      </c>
      <c r="L213" t="s">
        <v>9654</v>
      </c>
      <c r="M213" s="3" t="str">
        <f>HYPERLINK(склад2въезд1319202122[[#This Row],[RelativePath]])</f>
        <v>8 Рейсмус\E33149364_2_20260120T150201Z.jpg</v>
      </c>
    </row>
    <row r="214" spans="1:13" x14ac:dyDescent="0.25">
      <c r="A214" s="2" t="s">
        <v>14</v>
      </c>
      <c r="B214" s="4">
        <v>46042</v>
      </c>
      <c r="C214" s="5">
        <v>0.64103009259259258</v>
      </c>
      <c r="D214" s="9" t="s">
        <v>9291</v>
      </c>
      <c r="E214" s="9" t="s">
        <v>1570</v>
      </c>
      <c r="F214" s="9"/>
      <c r="H214" s="9"/>
      <c r="I214" s="9" t="s">
        <v>9655</v>
      </c>
      <c r="J214" s="9" t="s">
        <v>2947</v>
      </c>
      <c r="K214" t="s">
        <v>9656</v>
      </c>
      <c r="L214" t="s">
        <v>9657</v>
      </c>
      <c r="M214" s="3" t="str">
        <f>HYPERLINK(склад2въезд1319202122[[#This Row],[RelativePath]])</f>
        <v>8 Рейсмус\E33149364_2_20260120T152305Z.jpg</v>
      </c>
    </row>
    <row r="215" spans="1:13" x14ac:dyDescent="0.25">
      <c r="A215" s="2" t="s">
        <v>14</v>
      </c>
      <c r="B215" s="4">
        <v>46042</v>
      </c>
      <c r="C215" s="5">
        <v>0.64179398148148148</v>
      </c>
      <c r="D215" s="9" t="s">
        <v>9337</v>
      </c>
      <c r="E215" s="9" t="s">
        <v>503</v>
      </c>
      <c r="F215" s="9"/>
      <c r="H215" s="9"/>
      <c r="I215" s="9" t="s">
        <v>9658</v>
      </c>
      <c r="J215" s="9" t="s">
        <v>2947</v>
      </c>
      <c r="K215" t="s">
        <v>9659</v>
      </c>
      <c r="L215" t="s">
        <v>9660</v>
      </c>
      <c r="M215" s="3" t="str">
        <f>HYPERLINK(склад2въезд1319202122[[#This Row],[RelativePath]])</f>
        <v>8 Рейсмус\E33149364_2_20260120T152411Z.jpg</v>
      </c>
    </row>
    <row r="216" spans="1:13" x14ac:dyDescent="0.25">
      <c r="A216" s="2" t="s">
        <v>14</v>
      </c>
      <c r="B216" s="4">
        <v>46042</v>
      </c>
      <c r="C216" s="5">
        <v>0.68402777777777779</v>
      </c>
      <c r="D216" s="9" t="s">
        <v>9291</v>
      </c>
      <c r="E216" s="9" t="s">
        <v>1570</v>
      </c>
      <c r="F216" s="9"/>
      <c r="H216" s="9"/>
      <c r="I216" s="9" t="s">
        <v>9661</v>
      </c>
      <c r="J216" s="9" t="s">
        <v>2947</v>
      </c>
      <c r="K216" t="s">
        <v>9662</v>
      </c>
      <c r="L216" t="s">
        <v>9663</v>
      </c>
      <c r="M216" s="3" t="str">
        <f>HYPERLINK(склад2въезд1319202122[[#This Row],[RelativePath]])</f>
        <v>8 Рейсмус\E33149364_2_20260120T162500Z.jpg</v>
      </c>
    </row>
    <row r="217" spans="1:13" x14ac:dyDescent="0.25">
      <c r="A217" s="2" t="s">
        <v>14</v>
      </c>
      <c r="B217" s="4">
        <v>46042</v>
      </c>
      <c r="C217" s="5">
        <v>0.68424768518518519</v>
      </c>
      <c r="D217" s="9" t="s">
        <v>9291</v>
      </c>
      <c r="E217" s="9" t="s">
        <v>1570</v>
      </c>
      <c r="F217" s="9"/>
      <c r="H217" s="9"/>
      <c r="I217" s="9" t="s">
        <v>9664</v>
      </c>
      <c r="J217" s="9" t="s">
        <v>2947</v>
      </c>
      <c r="K217" t="s">
        <v>9665</v>
      </c>
      <c r="L217" t="s">
        <v>9666</v>
      </c>
      <c r="M217" s="3" t="str">
        <f>HYPERLINK(склад2въезд1319202122[[#This Row],[RelativePath]])</f>
        <v>8 Рейсмус\E33149364_2_20260120T162519Z.jpg</v>
      </c>
    </row>
    <row r="218" spans="1:13" x14ac:dyDescent="0.25">
      <c r="A218" s="2" t="s">
        <v>14</v>
      </c>
      <c r="B218" s="4">
        <v>46042</v>
      </c>
      <c r="C218" s="5">
        <v>0.85829861111111116</v>
      </c>
      <c r="D218" s="9" t="s">
        <v>1987</v>
      </c>
      <c r="E218" s="9" t="s">
        <v>768</v>
      </c>
      <c r="F218" s="9"/>
      <c r="H218" s="9"/>
      <c r="I218" s="9" t="s">
        <v>9667</v>
      </c>
      <c r="J218" s="9" t="s">
        <v>2947</v>
      </c>
      <c r="K218" t="s">
        <v>9668</v>
      </c>
      <c r="L218" t="s">
        <v>9669</v>
      </c>
      <c r="M218" s="3" t="str">
        <f>HYPERLINK(склад2въезд1319202122[[#This Row],[RelativePath]])</f>
        <v>8 Рейсмус\E33149364_2_20260120T203557Z.jpg</v>
      </c>
    </row>
    <row r="219" spans="1:13" x14ac:dyDescent="0.25">
      <c r="A219" s="2" t="s">
        <v>14</v>
      </c>
      <c r="B219" s="4">
        <v>46042</v>
      </c>
      <c r="C219" s="5">
        <v>0.8825925925925926</v>
      </c>
      <c r="D219" s="9" t="s">
        <v>1987</v>
      </c>
      <c r="E219" s="9" t="s">
        <v>768</v>
      </c>
      <c r="F219" s="9"/>
      <c r="H219" s="9"/>
      <c r="I219" s="9" t="s">
        <v>9670</v>
      </c>
      <c r="J219" s="9" t="s">
        <v>2947</v>
      </c>
      <c r="K219" t="s">
        <v>9671</v>
      </c>
      <c r="L219" t="s">
        <v>9672</v>
      </c>
      <c r="M219" s="3" t="str">
        <f>HYPERLINK(склад2въезд1319202122[[#This Row],[RelativePath]])</f>
        <v>8 Рейсмус\E33149364_2_20260120T211056Z.jpg</v>
      </c>
    </row>
    <row r="220" spans="1:13" x14ac:dyDescent="0.25">
      <c r="A220" s="2" t="s">
        <v>15</v>
      </c>
      <c r="B220" s="4">
        <v>46043</v>
      </c>
      <c r="C220" s="5">
        <v>0.41660879629629627</v>
      </c>
      <c r="D220" s="9" t="s">
        <v>1987</v>
      </c>
      <c r="E220" s="9" t="s">
        <v>768</v>
      </c>
      <c r="F220" s="9"/>
      <c r="H220" s="9"/>
      <c r="I220" s="9" t="s">
        <v>9853</v>
      </c>
      <c r="J220" s="9" t="s">
        <v>2947</v>
      </c>
      <c r="K220" t="s">
        <v>9854</v>
      </c>
      <c r="L220" t="s">
        <v>9855</v>
      </c>
      <c r="M220" s="3" t="str">
        <f>HYPERLINK(склад2въезд1319202122[[#This Row],[RelativePath]])</f>
        <v>8 Рейсмус\E33149364_2_20260121T095955Z.jpg</v>
      </c>
    </row>
    <row r="221" spans="1:13" x14ac:dyDescent="0.25">
      <c r="A221" s="2" t="s">
        <v>15</v>
      </c>
      <c r="B221" s="4">
        <v>46043</v>
      </c>
      <c r="C221" s="5">
        <v>0.51423611111111112</v>
      </c>
      <c r="D221" s="9" t="s">
        <v>1987</v>
      </c>
      <c r="E221" s="9" t="s">
        <v>768</v>
      </c>
      <c r="F221" s="9"/>
      <c r="H221" s="9"/>
      <c r="I221" s="9" t="s">
        <v>9856</v>
      </c>
      <c r="J221" s="9" t="s">
        <v>2947</v>
      </c>
      <c r="K221" t="s">
        <v>9857</v>
      </c>
      <c r="L221" t="s">
        <v>9858</v>
      </c>
      <c r="M221" s="3" t="str">
        <f>HYPERLINK(склад2въезд1319202122[[#This Row],[RelativePath]])</f>
        <v>8 Рейсмус\E33149364_2_20260121T122030Z.jpg</v>
      </c>
    </row>
    <row r="222" spans="1:13" x14ac:dyDescent="0.25">
      <c r="A222" s="2" t="s">
        <v>15</v>
      </c>
      <c r="B222" s="4">
        <v>46043</v>
      </c>
      <c r="C222" s="5">
        <v>0.59491898148148148</v>
      </c>
      <c r="D222" s="9" t="s">
        <v>1987</v>
      </c>
      <c r="E222" s="9" t="s">
        <v>768</v>
      </c>
      <c r="F222" s="9"/>
      <c r="H222" s="9"/>
      <c r="I222" s="9" t="s">
        <v>9859</v>
      </c>
      <c r="J222" s="9" t="s">
        <v>2947</v>
      </c>
      <c r="K222" t="s">
        <v>9860</v>
      </c>
      <c r="L222" t="s">
        <v>9861</v>
      </c>
      <c r="M222" s="3" t="str">
        <f>HYPERLINK(склад2въезд1319202122[[#This Row],[RelativePath]])</f>
        <v>8 Рейсмус\E33149364_2_20260121T141641Z.jpg</v>
      </c>
    </row>
    <row r="223" spans="1:13" x14ac:dyDescent="0.25">
      <c r="A223" s="2" t="s">
        <v>15</v>
      </c>
      <c r="B223" s="4">
        <v>46043</v>
      </c>
      <c r="C223" s="5">
        <v>0.65162037037037035</v>
      </c>
      <c r="D223" s="9" t="s">
        <v>9291</v>
      </c>
      <c r="E223" s="9" t="s">
        <v>1570</v>
      </c>
      <c r="F223" s="9"/>
      <c r="H223" s="9"/>
      <c r="I223" s="9" t="s">
        <v>9862</v>
      </c>
      <c r="J223" s="9" t="s">
        <v>2947</v>
      </c>
      <c r="K223" t="s">
        <v>9863</v>
      </c>
      <c r="L223" t="s">
        <v>9864</v>
      </c>
      <c r="M223" s="3" t="str">
        <f>HYPERLINK(склад2въезд1319202122[[#This Row],[RelativePath]])</f>
        <v>8 Рейсмус\E33149364_2_20260121T153820Z.jpg</v>
      </c>
    </row>
    <row r="224" spans="1:13" x14ac:dyDescent="0.25">
      <c r="A224" s="2" t="s">
        <v>15</v>
      </c>
      <c r="B224" s="4">
        <v>46043</v>
      </c>
      <c r="C224" s="5">
        <v>0.70797453703703705</v>
      </c>
      <c r="D224" s="9" t="s">
        <v>9291</v>
      </c>
      <c r="E224" s="9" t="s">
        <v>1570</v>
      </c>
      <c r="F224" s="9"/>
      <c r="H224" s="9"/>
      <c r="I224" s="9" t="s">
        <v>9865</v>
      </c>
      <c r="J224" s="9" t="s">
        <v>2947</v>
      </c>
      <c r="K224" t="s">
        <v>9866</v>
      </c>
      <c r="L224" t="s">
        <v>9867</v>
      </c>
      <c r="M224" s="3" t="str">
        <f>HYPERLINK(склад2въезд1319202122[[#This Row],[RelativePath]])</f>
        <v>8 Рейсмус\E33149364_2_20260121T165929Z.jpg</v>
      </c>
    </row>
    <row r="225" spans="1:13" x14ac:dyDescent="0.25">
      <c r="A225" s="2" t="s">
        <v>15</v>
      </c>
      <c r="B225" s="4">
        <v>46043</v>
      </c>
      <c r="C225" s="5">
        <v>0.86859953703703707</v>
      </c>
      <c r="D225" s="9" t="s">
        <v>9291</v>
      </c>
      <c r="E225" s="9" t="s">
        <v>1570</v>
      </c>
      <c r="F225" s="9"/>
      <c r="H225" s="9"/>
      <c r="I225" s="9" t="s">
        <v>9868</v>
      </c>
      <c r="J225" s="9" t="s">
        <v>2947</v>
      </c>
      <c r="K225" t="s">
        <v>9869</v>
      </c>
      <c r="L225" t="s">
        <v>9870</v>
      </c>
      <c r="M225" s="3" t="str">
        <f>HYPERLINK(склад2въезд1319202122[[#This Row],[RelativePath]])</f>
        <v>8 Рейсмус\E33149364_2_20260121T205047Z.jpg</v>
      </c>
    </row>
    <row r="226" spans="1:13" x14ac:dyDescent="0.25">
      <c r="A226" s="2" t="s">
        <v>16</v>
      </c>
      <c r="B226" s="4">
        <v>46044</v>
      </c>
      <c r="C226" s="5">
        <v>0.39048611111111109</v>
      </c>
      <c r="D226" s="9" t="s">
        <v>9291</v>
      </c>
      <c r="E226" s="9" t="s">
        <v>1570</v>
      </c>
      <c r="F226" s="9"/>
      <c r="H226" s="9"/>
      <c r="I226" s="9" t="s">
        <v>9871</v>
      </c>
      <c r="J226" s="9" t="s">
        <v>2947</v>
      </c>
      <c r="K226" t="s">
        <v>9872</v>
      </c>
      <c r="L226" t="s">
        <v>9873</v>
      </c>
      <c r="M226" s="3" t="str">
        <f>HYPERLINK(склад2въезд1319202122[[#This Row],[RelativePath]])</f>
        <v>8 Рейсмус\E33149364_2_20260122T092218Z.jpg</v>
      </c>
    </row>
    <row r="227" spans="1:13" x14ac:dyDescent="0.25">
      <c r="A227" s="2" t="s">
        <v>16</v>
      </c>
      <c r="B227" s="4">
        <v>46044</v>
      </c>
      <c r="C227" s="5">
        <v>0.41710648148148149</v>
      </c>
      <c r="D227" s="9" t="s">
        <v>9291</v>
      </c>
      <c r="E227" s="9" t="s">
        <v>1570</v>
      </c>
      <c r="F227" s="9"/>
      <c r="H227" s="9"/>
      <c r="I227" s="9" t="s">
        <v>9874</v>
      </c>
      <c r="J227" s="9" t="s">
        <v>2947</v>
      </c>
      <c r="K227" t="s">
        <v>9875</v>
      </c>
      <c r="L227" t="s">
        <v>9876</v>
      </c>
      <c r="M227" s="3" t="str">
        <f>HYPERLINK(склад2въезд1319202122[[#This Row],[RelativePath]])</f>
        <v>8 Рейсмус\E33149364_2_20260122T100038Z.jpg</v>
      </c>
    </row>
    <row r="228" spans="1:13" x14ac:dyDescent="0.25">
      <c r="A228" s="2" t="s">
        <v>16</v>
      </c>
      <c r="B228" s="4">
        <v>46044</v>
      </c>
      <c r="C228" s="5">
        <v>0.43164351851851851</v>
      </c>
      <c r="D228" s="9" t="s">
        <v>9291</v>
      </c>
      <c r="E228" s="9" t="s">
        <v>1570</v>
      </c>
      <c r="F228" s="9"/>
      <c r="H228" s="9"/>
      <c r="I228" s="9" t="s">
        <v>9877</v>
      </c>
      <c r="J228" s="9" t="s">
        <v>2947</v>
      </c>
      <c r="K228" t="s">
        <v>9878</v>
      </c>
      <c r="L228" t="s">
        <v>9879</v>
      </c>
      <c r="M228" s="3" t="str">
        <f>HYPERLINK(склад2въезд1319202122[[#This Row],[RelativePath]])</f>
        <v>8 Рейсмус\E33149364_2_20260122T102134Z.jpg</v>
      </c>
    </row>
    <row r="229" spans="1:13" x14ac:dyDescent="0.25">
      <c r="A229" s="2" t="s">
        <v>16</v>
      </c>
      <c r="B229" s="4">
        <v>46044</v>
      </c>
      <c r="C229" s="5">
        <v>0.48932870370370368</v>
      </c>
      <c r="D229" s="9" t="s">
        <v>1987</v>
      </c>
      <c r="E229" s="9" t="s">
        <v>768</v>
      </c>
      <c r="F229" s="9"/>
      <c r="H229" s="9"/>
      <c r="I229" s="9" t="s">
        <v>9880</v>
      </c>
      <c r="J229" s="9" t="s">
        <v>2947</v>
      </c>
      <c r="K229" t="s">
        <v>9881</v>
      </c>
      <c r="L229" t="s">
        <v>9882</v>
      </c>
      <c r="M229" s="3" t="str">
        <f>HYPERLINK(склад2въезд1319202122[[#This Row],[RelativePath]])</f>
        <v>8 Рейсмус\E33149364_2_20260122T114438Z.jpg</v>
      </c>
    </row>
    <row r="230" spans="1:13" x14ac:dyDescent="0.25">
      <c r="A230" s="2" t="s">
        <v>16</v>
      </c>
      <c r="B230" s="4">
        <v>46044</v>
      </c>
      <c r="C230" s="5">
        <v>0.59359953703703705</v>
      </c>
      <c r="D230" s="9" t="s">
        <v>9337</v>
      </c>
      <c r="E230" s="9" t="s">
        <v>503</v>
      </c>
      <c r="F230" s="9"/>
      <c r="H230" s="9"/>
      <c r="I230" s="9" t="s">
        <v>9883</v>
      </c>
      <c r="J230" s="9" t="s">
        <v>2947</v>
      </c>
      <c r="K230" t="s">
        <v>9884</v>
      </c>
      <c r="L230" t="s">
        <v>9885</v>
      </c>
      <c r="M230" s="3" t="str">
        <f>HYPERLINK(склад2въезд1319202122[[#This Row],[RelativePath]])</f>
        <v>8 Рейсмус\E33149364_2_20260122T141447Z.jpg</v>
      </c>
    </row>
    <row r="231" spans="1:13" x14ac:dyDescent="0.25">
      <c r="A231" s="2" t="s">
        <v>16</v>
      </c>
      <c r="B231" s="4">
        <v>46044</v>
      </c>
      <c r="C231" s="5">
        <v>0.68226851851851855</v>
      </c>
      <c r="D231" s="9" t="s">
        <v>4</v>
      </c>
      <c r="E231" s="9" t="s">
        <v>9</v>
      </c>
      <c r="F231" s="9"/>
      <c r="H231" s="9"/>
      <c r="I231" s="9" t="s">
        <v>9886</v>
      </c>
      <c r="J231" s="9" t="s">
        <v>2947</v>
      </c>
      <c r="K231" t="s">
        <v>9887</v>
      </c>
      <c r="L231" t="s">
        <v>9888</v>
      </c>
      <c r="M231" s="3" t="str">
        <f>HYPERLINK(склад2въезд1319202122[[#This Row],[RelativePath]])</f>
        <v>8 Рейсмус\E33149364_2_20260122T162228Z.jpg</v>
      </c>
    </row>
    <row r="232" spans="1:13" x14ac:dyDescent="0.25">
      <c r="A232" s="2" t="s">
        <v>16</v>
      </c>
      <c r="B232" s="4">
        <v>46044</v>
      </c>
      <c r="C232" s="5">
        <v>0.68927083333333339</v>
      </c>
      <c r="D232" s="9" t="s">
        <v>1987</v>
      </c>
      <c r="E232" s="9" t="s">
        <v>768</v>
      </c>
      <c r="F232" s="9"/>
      <c r="H232" s="9"/>
      <c r="I232" s="9" t="s">
        <v>9889</v>
      </c>
      <c r="J232" s="9" t="s">
        <v>2947</v>
      </c>
      <c r="K232" t="s">
        <v>9890</v>
      </c>
      <c r="L232" t="s">
        <v>9891</v>
      </c>
      <c r="M232" s="3" t="str">
        <f>HYPERLINK(склад2въезд1319202122[[#This Row],[RelativePath]])</f>
        <v>8 Рейсмус\E33149364_2_20260122T163233Z.jpg</v>
      </c>
    </row>
    <row r="233" spans="1:13" x14ac:dyDescent="0.25">
      <c r="A233" s="2" t="s">
        <v>17</v>
      </c>
      <c r="B233" s="4">
        <v>46045</v>
      </c>
      <c r="C233" s="5">
        <v>0.40087962962962964</v>
      </c>
      <c r="D233" s="9" t="s">
        <v>9291</v>
      </c>
      <c r="E233" s="9" t="s">
        <v>1570</v>
      </c>
      <c r="F233" s="9"/>
      <c r="H233" s="9"/>
      <c r="I233" s="9" t="s">
        <v>10227</v>
      </c>
      <c r="J233" s="9" t="s">
        <v>2947</v>
      </c>
      <c r="K233" t="s">
        <v>10228</v>
      </c>
      <c r="L233" t="s">
        <v>10229</v>
      </c>
      <c r="M233" s="3" t="str">
        <f>HYPERLINK(склад2въезд1319202122[[#This Row],[RelativePath]])</f>
        <v>8 Рейсмус\E33149364_2_20260123T093716Z.jpg</v>
      </c>
    </row>
    <row r="234" spans="1:13" x14ac:dyDescent="0.25">
      <c r="A234" s="2" t="s">
        <v>17</v>
      </c>
      <c r="B234" s="4">
        <v>46045</v>
      </c>
      <c r="C234" s="5">
        <v>0.48358796296296297</v>
      </c>
      <c r="D234" s="9" t="s">
        <v>9291</v>
      </c>
      <c r="E234" s="9" t="s">
        <v>1570</v>
      </c>
      <c r="F234" s="9"/>
      <c r="H234" s="9"/>
      <c r="I234" s="9" t="s">
        <v>10230</v>
      </c>
      <c r="J234" s="9" t="s">
        <v>2947</v>
      </c>
      <c r="K234" t="s">
        <v>10231</v>
      </c>
      <c r="L234" t="s">
        <v>10232</v>
      </c>
      <c r="M234" s="3" t="str">
        <f>HYPERLINK(склад2въезд1319202122[[#This Row],[RelativePath]])</f>
        <v>8 Рейсмус\E33149364_2_20260123T113622Z.jpg</v>
      </c>
    </row>
    <row r="235" spans="1:13" x14ac:dyDescent="0.25">
      <c r="A235" s="2" t="s">
        <v>17</v>
      </c>
      <c r="B235" s="4">
        <v>46045</v>
      </c>
      <c r="C235" s="5">
        <v>0.60998842592592595</v>
      </c>
      <c r="D235" s="9" t="s">
        <v>4</v>
      </c>
      <c r="E235" s="9" t="s">
        <v>9</v>
      </c>
      <c r="F235" s="9"/>
      <c r="H235" s="9"/>
      <c r="I235" s="9" t="s">
        <v>10233</v>
      </c>
      <c r="J235" s="9" t="s">
        <v>2947</v>
      </c>
      <c r="K235" t="s">
        <v>10234</v>
      </c>
      <c r="L235" t="s">
        <v>10235</v>
      </c>
      <c r="M235" s="3" t="str">
        <f>HYPERLINK(склад2въезд1319202122[[#This Row],[RelativePath]])</f>
        <v>8 Рейсмус\E33149364_2_20260123T143823Z.jpg</v>
      </c>
    </row>
    <row r="236" spans="1:13" x14ac:dyDescent="0.25">
      <c r="A236" s="2" t="s">
        <v>17</v>
      </c>
      <c r="B236" s="4">
        <v>46045</v>
      </c>
      <c r="C236" s="5">
        <v>0.67019675925925926</v>
      </c>
      <c r="D236" s="9" t="s">
        <v>9291</v>
      </c>
      <c r="E236" s="9" t="s">
        <v>1570</v>
      </c>
      <c r="F236" s="9"/>
      <c r="H236" s="9"/>
      <c r="I236" s="9" t="s">
        <v>10236</v>
      </c>
      <c r="J236" s="9" t="s">
        <v>2947</v>
      </c>
      <c r="K236" t="s">
        <v>10237</v>
      </c>
      <c r="L236" t="s">
        <v>10238</v>
      </c>
      <c r="M236" s="3" t="str">
        <f>HYPERLINK(склад2въезд1319202122[[#This Row],[RelativePath]])</f>
        <v>8 Рейсмус\E33149364_2_20260123T160505Z.jpg</v>
      </c>
    </row>
    <row r="237" spans="1:13" x14ac:dyDescent="0.25">
      <c r="A237" s="2" t="s">
        <v>17</v>
      </c>
      <c r="B237" s="4">
        <v>46045</v>
      </c>
      <c r="C237" s="5">
        <v>0.86416666666666664</v>
      </c>
      <c r="D237" s="9" t="s">
        <v>9291</v>
      </c>
      <c r="E237" s="9" t="s">
        <v>1570</v>
      </c>
      <c r="F237" s="9"/>
      <c r="H237" s="9"/>
      <c r="I237" s="9" t="s">
        <v>10239</v>
      </c>
      <c r="J237" s="9" t="s">
        <v>2947</v>
      </c>
      <c r="K237" t="s">
        <v>10240</v>
      </c>
      <c r="L237" t="s">
        <v>10241</v>
      </c>
      <c r="M237" s="3" t="str">
        <f>HYPERLINK(склад2въезд1319202122[[#This Row],[RelativePath]])</f>
        <v>8 Рейсмус\E33149364_2_20260123T204424Z.jpg</v>
      </c>
    </row>
    <row r="238" spans="1:13" x14ac:dyDescent="0.25">
      <c r="A238" s="2" t="s">
        <v>17</v>
      </c>
      <c r="B238" s="4">
        <v>46045</v>
      </c>
      <c r="C238" s="5">
        <v>0.88143518518518515</v>
      </c>
      <c r="D238" s="9" t="s">
        <v>4</v>
      </c>
      <c r="E238" s="9" t="s">
        <v>9</v>
      </c>
      <c r="F238" s="9"/>
      <c r="H238" s="9"/>
      <c r="I238" s="9" t="s">
        <v>10242</v>
      </c>
      <c r="J238" s="9" t="s">
        <v>2947</v>
      </c>
      <c r="K238" t="s">
        <v>10243</v>
      </c>
      <c r="L238" t="s">
        <v>10244</v>
      </c>
      <c r="M238" s="3" t="str">
        <f>HYPERLINK(склад2въезд1319202122[[#This Row],[RelativePath]])</f>
        <v>8 Рейсмус\E33149364_2_20260123T210916Z.jpg</v>
      </c>
    </row>
    <row r="239" spans="1:13" x14ac:dyDescent="0.25">
      <c r="A239" s="2" t="s">
        <v>18</v>
      </c>
      <c r="B239" s="4">
        <v>46046</v>
      </c>
      <c r="C239" s="5">
        <v>0.47820601851851852</v>
      </c>
      <c r="D239" s="9" t="s">
        <v>9291</v>
      </c>
      <c r="E239" s="9" t="s">
        <v>1570</v>
      </c>
      <c r="F239" s="9"/>
      <c r="H239" s="9"/>
      <c r="I239" s="9" t="s">
        <v>10332</v>
      </c>
      <c r="J239" s="9" t="s">
        <v>2947</v>
      </c>
      <c r="K239" t="s">
        <v>10333</v>
      </c>
      <c r="L239" t="s">
        <v>10334</v>
      </c>
      <c r="M239" s="3" t="str">
        <f>HYPERLINK(склад2въезд1319202122[[#This Row],[RelativePath]])</f>
        <v>8 Рейсмус\E33149364_2_20260124T112837Z.jpg</v>
      </c>
    </row>
    <row r="240" spans="1:13" x14ac:dyDescent="0.25">
      <c r="A240" s="2" t="s">
        <v>22</v>
      </c>
      <c r="B240" s="4">
        <v>46047</v>
      </c>
      <c r="C240" s="5">
        <v>0.68988425925925922</v>
      </c>
      <c r="D240" s="9" t="s">
        <v>9291</v>
      </c>
      <c r="E240" s="9" t="s">
        <v>1570</v>
      </c>
      <c r="F240" s="9"/>
      <c r="H240" s="9"/>
      <c r="I240" s="9" t="s">
        <v>10335</v>
      </c>
      <c r="J240" s="9" t="s">
        <v>2947</v>
      </c>
      <c r="K240" t="s">
        <v>10336</v>
      </c>
      <c r="L240" t="s">
        <v>10337</v>
      </c>
      <c r="M240" s="3" t="str">
        <f>HYPERLINK(склад2въезд1319202122[[#This Row],[RelativePath]])</f>
        <v>8 Рейсмус\E33149364_2_20260125T163326Z.jpg</v>
      </c>
    </row>
    <row r="241" spans="1:13" x14ac:dyDescent="0.25">
      <c r="A241" s="2" t="s">
        <v>22</v>
      </c>
      <c r="B241" s="4">
        <v>46047</v>
      </c>
      <c r="C241" s="5">
        <v>0.79008101851851853</v>
      </c>
      <c r="D241" s="9" t="s">
        <v>4</v>
      </c>
      <c r="E241" s="9" t="s">
        <v>9</v>
      </c>
      <c r="F241" s="9"/>
      <c r="H241" s="9"/>
      <c r="I241" s="9" t="s">
        <v>10338</v>
      </c>
      <c r="J241" s="9" t="s">
        <v>2947</v>
      </c>
      <c r="K241" t="s">
        <v>10339</v>
      </c>
      <c r="L241" t="s">
        <v>10340</v>
      </c>
      <c r="M241" s="3" t="str">
        <f>HYPERLINK(склад2въезд1319202122[[#This Row],[RelativePath]])</f>
        <v>8 Рейсмус\E33149364_2_20260125T185743Z.jpg</v>
      </c>
    </row>
    <row r="242" spans="1:13" x14ac:dyDescent="0.25">
      <c r="A242" s="2" t="s">
        <v>13</v>
      </c>
      <c r="B242" s="4">
        <v>46048</v>
      </c>
      <c r="C242" s="5">
        <v>0.44032407407407409</v>
      </c>
      <c r="D242" s="9" t="s">
        <v>9291</v>
      </c>
      <c r="E242" s="9" t="s">
        <v>1570</v>
      </c>
      <c r="F242" s="9"/>
      <c r="H242" s="9"/>
      <c r="I242" s="9" t="s">
        <v>10434</v>
      </c>
      <c r="J242" s="9" t="s">
        <v>2947</v>
      </c>
      <c r="K242" t="s">
        <v>10435</v>
      </c>
      <c r="L242" t="s">
        <v>10436</v>
      </c>
      <c r="M242" s="3" t="str">
        <f>HYPERLINK(склад2въезд1319202122[[#This Row],[RelativePath]])</f>
        <v>8 Рейсмус\E33149364_2_20260126T103404Z.jpg</v>
      </c>
    </row>
    <row r="243" spans="1:13" x14ac:dyDescent="0.25">
      <c r="A243" s="2" t="s">
        <v>13</v>
      </c>
      <c r="B243" s="4">
        <v>46048</v>
      </c>
      <c r="C243" s="5">
        <v>0.61940972222222224</v>
      </c>
      <c r="D243" s="9" t="s">
        <v>9291</v>
      </c>
      <c r="E243" s="9" t="s">
        <v>1570</v>
      </c>
      <c r="F243" s="9"/>
      <c r="H243" s="9" t="s">
        <v>2891</v>
      </c>
      <c r="I243" s="9" t="s">
        <v>10437</v>
      </c>
      <c r="J243" s="9" t="s">
        <v>2947</v>
      </c>
      <c r="K243" t="s">
        <v>10438</v>
      </c>
      <c r="L243" t="s">
        <v>10439</v>
      </c>
      <c r="M243" s="3" t="str">
        <f>HYPERLINK(склад2въезд1319202122[[#This Row],[RelativePath]])</f>
        <v>8 Рейсмус\E33149364_2_20260126T145157Z.jpg</v>
      </c>
    </row>
    <row r="244" spans="1:13" x14ac:dyDescent="0.25">
      <c r="A244" s="2" t="s">
        <v>13</v>
      </c>
      <c r="B244" s="4">
        <v>46048</v>
      </c>
      <c r="C244" s="5">
        <v>0.69887731481481485</v>
      </c>
      <c r="D244" s="9" t="s">
        <v>9291</v>
      </c>
      <c r="E244" s="9" t="s">
        <v>1570</v>
      </c>
      <c r="F244" s="9"/>
      <c r="H244" s="9" t="s">
        <v>2891</v>
      </c>
      <c r="I244" s="9" t="s">
        <v>10440</v>
      </c>
      <c r="J244" s="9" t="s">
        <v>2947</v>
      </c>
      <c r="K244" t="s">
        <v>10441</v>
      </c>
      <c r="L244" t="s">
        <v>10442</v>
      </c>
      <c r="M244" s="3" t="str">
        <f>HYPERLINK(склад2въезд1319202122[[#This Row],[RelativePath]])</f>
        <v>8 Рейсмус\E33149364_2_20260126T164623Z.jpg</v>
      </c>
    </row>
    <row r="245" spans="1:13" x14ac:dyDescent="0.25">
      <c r="A245" s="2" t="s">
        <v>13</v>
      </c>
      <c r="B245" s="4">
        <v>46048</v>
      </c>
      <c r="C245" s="5">
        <v>0.7534143518518519</v>
      </c>
      <c r="D245" s="9" t="s">
        <v>9291</v>
      </c>
      <c r="E245" s="9" t="s">
        <v>1570</v>
      </c>
      <c r="F245" s="9"/>
      <c r="H245" s="9" t="s">
        <v>2891</v>
      </c>
      <c r="I245" s="9" t="s">
        <v>10443</v>
      </c>
      <c r="J245" s="9" t="s">
        <v>2947</v>
      </c>
      <c r="K245" t="s">
        <v>10444</v>
      </c>
      <c r="L245" t="s">
        <v>10445</v>
      </c>
      <c r="M245" s="3" t="str">
        <f>HYPERLINK(склад2въезд1319202122[[#This Row],[RelativePath]])</f>
        <v>8 Рейсмус\E33149364_2_20260126T180455Z.jpg</v>
      </c>
    </row>
    <row r="246" spans="1:13" x14ac:dyDescent="0.25">
      <c r="A246" s="2" t="s">
        <v>14</v>
      </c>
      <c r="B246" s="4">
        <v>46049</v>
      </c>
      <c r="C246" s="5">
        <v>0.51380787037037035</v>
      </c>
      <c r="D246" s="9" t="s">
        <v>9291</v>
      </c>
      <c r="E246" s="9" t="s">
        <v>1570</v>
      </c>
      <c r="F246" s="9"/>
      <c r="H246" s="9" t="s">
        <v>2891</v>
      </c>
      <c r="I246" s="9" t="s">
        <v>10446</v>
      </c>
      <c r="J246" s="9" t="s">
        <v>2947</v>
      </c>
      <c r="K246" t="s">
        <v>10447</v>
      </c>
      <c r="L246" t="s">
        <v>10448</v>
      </c>
      <c r="M246" s="3" t="str">
        <f>HYPERLINK(склад2въезд1319202122[[#This Row],[RelativePath]])</f>
        <v>8 Рейсмус\E33149364_2_20260127T121953Z.jpg</v>
      </c>
    </row>
    <row r="247" spans="1:13" x14ac:dyDescent="0.25">
      <c r="A247" s="2" t="s">
        <v>14</v>
      </c>
      <c r="B247" s="4">
        <v>46049</v>
      </c>
      <c r="C247" s="5">
        <v>0.62049768518518522</v>
      </c>
      <c r="D247" s="9" t="s">
        <v>9291</v>
      </c>
      <c r="E247" s="9" t="s">
        <v>1570</v>
      </c>
      <c r="F247" s="9"/>
      <c r="H247" s="9" t="s">
        <v>2891</v>
      </c>
      <c r="I247" s="9" t="s">
        <v>10449</v>
      </c>
      <c r="J247" s="9" t="s">
        <v>2947</v>
      </c>
      <c r="K247" t="s">
        <v>10450</v>
      </c>
      <c r="L247" t="s">
        <v>10451</v>
      </c>
      <c r="M247" s="3" t="str">
        <f>HYPERLINK(склад2въезд1319202122[[#This Row],[RelativePath]])</f>
        <v>8 Рейсмус\E33149364_2_20260127T145331Z.jpg</v>
      </c>
    </row>
    <row r="248" spans="1:13" x14ac:dyDescent="0.25">
      <c r="A248" s="2" t="s">
        <v>14</v>
      </c>
      <c r="B248" s="4">
        <v>46049</v>
      </c>
      <c r="C248" s="5">
        <v>0.67222222222222228</v>
      </c>
      <c r="D248" s="9" t="s">
        <v>9291</v>
      </c>
      <c r="E248" s="9" t="s">
        <v>1570</v>
      </c>
      <c r="F248" s="9"/>
      <c r="H248" s="9" t="s">
        <v>2891</v>
      </c>
      <c r="I248" s="9" t="s">
        <v>10452</v>
      </c>
      <c r="J248" s="9" t="s">
        <v>2947</v>
      </c>
      <c r="K248" t="s">
        <v>10453</v>
      </c>
      <c r="L248" t="s">
        <v>10454</v>
      </c>
      <c r="M248" s="3" t="str">
        <f>HYPERLINK(склад2въезд1319202122[[#This Row],[RelativePath]])</f>
        <v>8 Рейсмус\E33149364_2_20260127T160800Z.jpg</v>
      </c>
    </row>
    <row r="249" spans="1:13" x14ac:dyDescent="0.25">
      <c r="A249" s="2" t="s">
        <v>15</v>
      </c>
      <c r="B249" s="4">
        <v>46050</v>
      </c>
      <c r="C249" s="5">
        <v>0.25831018518518517</v>
      </c>
      <c r="D249" s="9" t="s">
        <v>10756</v>
      </c>
      <c r="E249" s="9" t="s">
        <v>768</v>
      </c>
      <c r="F249" s="9"/>
      <c r="H249" s="9"/>
      <c r="I249" s="9" t="s">
        <v>10611</v>
      </c>
      <c r="J249" s="9" t="s">
        <v>2947</v>
      </c>
      <c r="K249" t="s">
        <v>10612</v>
      </c>
      <c r="L249" t="s">
        <v>10613</v>
      </c>
      <c r="M249" s="3" t="str">
        <f>HYPERLINK(склад2въезд1319202122[[#This Row],[RelativePath]])</f>
        <v>8 Рейсмус\E33149364_2_20260128T061158Z.jpg</v>
      </c>
    </row>
    <row r="250" spans="1:13" x14ac:dyDescent="0.25">
      <c r="A250" s="2" t="s">
        <v>15</v>
      </c>
      <c r="B250" s="4">
        <v>46050</v>
      </c>
      <c r="C250" s="5">
        <v>0.47245370370370371</v>
      </c>
      <c r="D250" s="9" t="s">
        <v>10756</v>
      </c>
      <c r="E250" s="9" t="s">
        <v>768</v>
      </c>
      <c r="F250" s="9"/>
      <c r="H250" s="9"/>
      <c r="I250" s="9" t="s">
        <v>10614</v>
      </c>
      <c r="J250" s="9" t="s">
        <v>2947</v>
      </c>
      <c r="K250" t="s">
        <v>10615</v>
      </c>
      <c r="L250" t="s">
        <v>10616</v>
      </c>
      <c r="M250" s="3" t="str">
        <f>HYPERLINK(склад2въезд1319202122[[#This Row],[RelativePath]])</f>
        <v>8 Рейсмус\E33149364_2_20260128T112020Z.jpg</v>
      </c>
    </row>
    <row r="251" spans="1:13" x14ac:dyDescent="0.25">
      <c r="A251" s="2" t="s">
        <v>15</v>
      </c>
      <c r="B251" s="4">
        <v>46050</v>
      </c>
      <c r="C251" s="5">
        <v>0.62357638888888889</v>
      </c>
      <c r="D251" s="9" t="s">
        <v>1987</v>
      </c>
      <c r="E251" s="9" t="s">
        <v>768</v>
      </c>
      <c r="F251" s="9"/>
      <c r="H251" s="9"/>
      <c r="I251" s="9" t="s">
        <v>10617</v>
      </c>
      <c r="J251" s="9" t="s">
        <v>2947</v>
      </c>
      <c r="K251" t="s">
        <v>10618</v>
      </c>
      <c r="L251" t="s">
        <v>10619</v>
      </c>
      <c r="M251" s="3" t="str">
        <f>HYPERLINK(склад2въезд1319202122[[#This Row],[RelativePath]])</f>
        <v>8 Рейсмус\E33149364_2_20260128T145757Z.jpg</v>
      </c>
    </row>
    <row r="252" spans="1:13" x14ac:dyDescent="0.25">
      <c r="A252" s="2" t="s">
        <v>15</v>
      </c>
      <c r="B252" s="4">
        <v>46050</v>
      </c>
      <c r="C252" s="5">
        <v>0.69281250000000005</v>
      </c>
      <c r="D252" s="9" t="s">
        <v>10756</v>
      </c>
      <c r="E252" s="9" t="s">
        <v>768</v>
      </c>
      <c r="F252" s="9"/>
      <c r="H252" s="9"/>
      <c r="I252" s="9" t="s">
        <v>10620</v>
      </c>
      <c r="J252" s="9" t="s">
        <v>2947</v>
      </c>
      <c r="K252" t="s">
        <v>10621</v>
      </c>
      <c r="L252" t="s">
        <v>10622</v>
      </c>
      <c r="M252" s="3" t="str">
        <f>HYPERLINK(склад2въезд1319202122[[#This Row],[RelativePath]])</f>
        <v>8 Рейсмус\E33149364_2_20260128T163739Z.jpg</v>
      </c>
    </row>
    <row r="253" spans="1:13" x14ac:dyDescent="0.25">
      <c r="A253" s="2" t="s">
        <v>15</v>
      </c>
      <c r="B253" s="4">
        <v>46050</v>
      </c>
      <c r="C253" s="5">
        <v>0.73747685185185186</v>
      </c>
      <c r="D253" s="9" t="s">
        <v>1987</v>
      </c>
      <c r="E253" s="9" t="s">
        <v>768</v>
      </c>
      <c r="F253" s="9"/>
      <c r="H253" s="9"/>
      <c r="I253" s="9" t="s">
        <v>10623</v>
      </c>
      <c r="J253" s="9" t="s">
        <v>2947</v>
      </c>
      <c r="K253" t="s">
        <v>10624</v>
      </c>
      <c r="L253" t="s">
        <v>10625</v>
      </c>
      <c r="M253" s="3" t="str">
        <f>HYPERLINK(склад2въезд1319202122[[#This Row],[RelativePath]])</f>
        <v>8 Рейсмус\E33149364_2_20260128T174158Z.jpg</v>
      </c>
    </row>
    <row r="254" spans="1:13" x14ac:dyDescent="0.25">
      <c r="A254" s="2" t="s">
        <v>15</v>
      </c>
      <c r="B254" s="4">
        <v>46050</v>
      </c>
      <c r="C254" s="5">
        <v>0.86285879629629625</v>
      </c>
      <c r="D254" s="9" t="s">
        <v>1987</v>
      </c>
      <c r="E254" s="9" t="s">
        <v>768</v>
      </c>
      <c r="F254" s="9"/>
      <c r="H254" s="9"/>
      <c r="I254" s="9" t="s">
        <v>10626</v>
      </c>
      <c r="J254" s="9" t="s">
        <v>2947</v>
      </c>
      <c r="K254" t="s">
        <v>10627</v>
      </c>
      <c r="L254" t="s">
        <v>10628</v>
      </c>
      <c r="M254" s="3" t="str">
        <f>HYPERLINK(склад2въезд1319202122[[#This Row],[RelativePath]])</f>
        <v>8 Рейсмус\E33149364_2_20260128T204231Z.jpg</v>
      </c>
    </row>
    <row r="255" spans="1:13" x14ac:dyDescent="0.25">
      <c r="A255" s="2" t="s">
        <v>15</v>
      </c>
      <c r="B255" s="4">
        <v>46050</v>
      </c>
      <c r="C255" s="5">
        <v>0.94796296296296301</v>
      </c>
      <c r="D255" s="9" t="s">
        <v>1987</v>
      </c>
      <c r="E255" s="9" t="s">
        <v>768</v>
      </c>
      <c r="F255" s="9"/>
      <c r="H255" s="9"/>
      <c r="I255" s="9" t="s">
        <v>10629</v>
      </c>
      <c r="J255" s="9" t="s">
        <v>2947</v>
      </c>
      <c r="K255" t="s">
        <v>10630</v>
      </c>
      <c r="L255" t="s">
        <v>10631</v>
      </c>
      <c r="M255" s="3" t="str">
        <f>HYPERLINK(склад2въезд1319202122[[#This Row],[RelativePath]])</f>
        <v>8 Рейсмус\E33149364_2_20260128T224504Z.jpg</v>
      </c>
    </row>
    <row r="256" spans="1:13" x14ac:dyDescent="0.25">
      <c r="A256" s="2" t="s">
        <v>16</v>
      </c>
      <c r="B256" s="4">
        <v>46051</v>
      </c>
      <c r="C256" s="5">
        <v>0.41031250000000002</v>
      </c>
      <c r="D256" s="9" t="s">
        <v>9291</v>
      </c>
      <c r="E256" s="9" t="s">
        <v>1570</v>
      </c>
      <c r="F256" s="9"/>
      <c r="H256" s="9"/>
      <c r="I256" s="9" t="s">
        <v>10632</v>
      </c>
      <c r="J256" s="9" t="s">
        <v>2947</v>
      </c>
      <c r="K256" t="s">
        <v>10633</v>
      </c>
      <c r="L256" t="s">
        <v>10634</v>
      </c>
      <c r="M256" s="3" t="str">
        <f>HYPERLINK(склад2въезд1319202122[[#This Row],[RelativePath]])</f>
        <v>8 Рейсмус\E33149364_2_20260129T095051Z.jpg</v>
      </c>
    </row>
    <row r="257" spans="1:13" x14ac:dyDescent="0.25">
      <c r="A257" s="2" t="s">
        <v>16</v>
      </c>
      <c r="B257" s="4">
        <v>46051</v>
      </c>
      <c r="C257" s="5">
        <v>0.43032407407407408</v>
      </c>
      <c r="D257" s="9" t="s">
        <v>1987</v>
      </c>
      <c r="E257" s="9" t="s">
        <v>768</v>
      </c>
      <c r="F257" s="9"/>
      <c r="H257" s="9"/>
      <c r="I257" s="9" t="s">
        <v>10635</v>
      </c>
      <c r="J257" s="9" t="s">
        <v>2947</v>
      </c>
      <c r="K257" t="s">
        <v>10636</v>
      </c>
      <c r="L257" t="s">
        <v>10637</v>
      </c>
      <c r="M257" s="3" t="str">
        <f>HYPERLINK(склад2въезд1319202122[[#This Row],[RelativePath]])</f>
        <v>8 Рейсмус\E33149364_2_20260129T101940Z.jpg</v>
      </c>
    </row>
    <row r="258" spans="1:13" x14ac:dyDescent="0.25">
      <c r="A258" s="2" t="s">
        <v>16</v>
      </c>
      <c r="B258" s="4">
        <v>46051</v>
      </c>
      <c r="C258" s="5">
        <v>0.47116898148148151</v>
      </c>
      <c r="D258" s="9" t="s">
        <v>9291</v>
      </c>
      <c r="E258" s="9" t="s">
        <v>1570</v>
      </c>
      <c r="F258" s="9"/>
      <c r="H258" s="9"/>
      <c r="I258" s="9" t="s">
        <v>10638</v>
      </c>
      <c r="J258" s="9" t="s">
        <v>2947</v>
      </c>
      <c r="K258" t="s">
        <v>10639</v>
      </c>
      <c r="L258" t="s">
        <v>10640</v>
      </c>
      <c r="M258" s="3" t="str">
        <f>HYPERLINK(склад2въезд1319202122[[#This Row],[RelativePath]])</f>
        <v>8 Рейсмус\E33149364_2_20260129T111829Z.jpg</v>
      </c>
    </row>
    <row r="259" spans="1:13" x14ac:dyDescent="0.25">
      <c r="A259" s="2" t="s">
        <v>16</v>
      </c>
      <c r="B259" s="4">
        <v>46051</v>
      </c>
      <c r="C259" s="5">
        <v>0.5896527777777778</v>
      </c>
      <c r="D259" s="9" t="s">
        <v>9291</v>
      </c>
      <c r="E259" s="9" t="s">
        <v>1570</v>
      </c>
      <c r="F259" s="9"/>
      <c r="H259" s="9"/>
      <c r="I259" s="9" t="s">
        <v>10641</v>
      </c>
      <c r="J259" s="9" t="s">
        <v>2947</v>
      </c>
      <c r="K259" t="s">
        <v>10642</v>
      </c>
      <c r="L259" t="s">
        <v>10643</v>
      </c>
      <c r="M259" s="3" t="str">
        <f>HYPERLINK(склад2въезд1319202122[[#This Row],[RelativePath]])</f>
        <v>8 Рейсмус\E33149364_2_20260129T140906Z.jpg</v>
      </c>
    </row>
    <row r="260" spans="1:13" x14ac:dyDescent="0.25">
      <c r="A260" s="2" t="s">
        <v>16</v>
      </c>
      <c r="B260" s="4">
        <v>46051</v>
      </c>
      <c r="C260" s="5">
        <v>0.65328703703703705</v>
      </c>
      <c r="D260" s="9" t="s">
        <v>1987</v>
      </c>
      <c r="E260" s="9" t="s">
        <v>768</v>
      </c>
      <c r="F260" s="9"/>
      <c r="H260" s="9"/>
      <c r="I260" s="9" t="s">
        <v>10644</v>
      </c>
      <c r="J260" s="9" t="s">
        <v>2947</v>
      </c>
      <c r="K260" t="s">
        <v>10645</v>
      </c>
      <c r="L260" t="s">
        <v>10646</v>
      </c>
      <c r="M260" s="3" t="str">
        <f>HYPERLINK(склад2въезд1319202122[[#This Row],[RelativePath]])</f>
        <v>8 Рейсмус\E33149364_2_20260129T154044Z.jpg</v>
      </c>
    </row>
    <row r="261" spans="1:13" x14ac:dyDescent="0.25">
      <c r="A261" s="2" t="s">
        <v>16</v>
      </c>
      <c r="B261" s="4">
        <v>46051</v>
      </c>
      <c r="C261" s="5">
        <v>0.69645833333333329</v>
      </c>
      <c r="D261" s="9" t="s">
        <v>1987</v>
      </c>
      <c r="E261" s="9" t="s">
        <v>768</v>
      </c>
      <c r="F261" s="9"/>
      <c r="H261" s="9"/>
      <c r="I261" s="9" t="s">
        <v>10647</v>
      </c>
      <c r="J261" s="9" t="s">
        <v>2947</v>
      </c>
      <c r="K261" t="s">
        <v>10648</v>
      </c>
      <c r="L261" t="s">
        <v>10649</v>
      </c>
      <c r="M261" s="3" t="str">
        <f>HYPERLINK(склад2въезд1319202122[[#This Row],[RelativePath]])</f>
        <v>8 Рейсмус\E33149364_2_20260129T164254Z.jpg</v>
      </c>
    </row>
    <row r="262" spans="1:13" x14ac:dyDescent="0.25">
      <c r="A262" s="2" t="s">
        <v>17</v>
      </c>
      <c r="B262" s="4">
        <v>46052</v>
      </c>
      <c r="C262" s="5">
        <v>0.38638888888888889</v>
      </c>
      <c r="D262" s="9" t="s">
        <v>4</v>
      </c>
      <c r="E262" s="9" t="s">
        <v>9</v>
      </c>
      <c r="F262" s="9"/>
      <c r="H262" s="9"/>
      <c r="I262" s="9" t="s">
        <v>10789</v>
      </c>
      <c r="J262" s="9" t="s">
        <v>2947</v>
      </c>
      <c r="K262" t="s">
        <v>10790</v>
      </c>
      <c r="L262" t="s">
        <v>10791</v>
      </c>
      <c r="M262" s="3" t="str">
        <f>HYPERLINK(склад2въезд1319202122[[#This Row],[RelativePath]])</f>
        <v>8 Рейсмус\E33149364_2_20260130T091624Z.jpg</v>
      </c>
    </row>
    <row r="263" spans="1:13" x14ac:dyDescent="0.25">
      <c r="A263" s="2" t="s">
        <v>17</v>
      </c>
      <c r="B263" s="4">
        <v>46052</v>
      </c>
      <c r="C263" s="5">
        <v>0.49533564814814812</v>
      </c>
      <c r="D263" s="9" t="s">
        <v>9291</v>
      </c>
      <c r="E263" s="9" t="s">
        <v>1570</v>
      </c>
      <c r="F263" s="9"/>
      <c r="H263" s="9"/>
      <c r="I263" s="9" t="s">
        <v>10792</v>
      </c>
      <c r="J263" s="9" t="s">
        <v>2947</v>
      </c>
      <c r="K263" t="s">
        <v>10793</v>
      </c>
      <c r="L263" t="s">
        <v>10794</v>
      </c>
      <c r="M263" s="3" t="str">
        <f>HYPERLINK(склад2въезд1319202122[[#This Row],[RelativePath]])</f>
        <v>8 Рейсмус\E33149364_2_20260130T115317Z.jpg</v>
      </c>
    </row>
    <row r="264" spans="1:13" x14ac:dyDescent="0.25">
      <c r="A264" s="2" t="s">
        <v>17</v>
      </c>
      <c r="B264" s="4">
        <v>46052</v>
      </c>
      <c r="C264" s="5">
        <v>0.51030092592592591</v>
      </c>
      <c r="D264" s="9" t="s">
        <v>10756</v>
      </c>
      <c r="E264" s="9" t="s">
        <v>768</v>
      </c>
      <c r="F264" s="9"/>
      <c r="H264" s="9"/>
      <c r="I264" s="9" t="s">
        <v>10795</v>
      </c>
      <c r="J264" s="9" t="s">
        <v>2947</v>
      </c>
      <c r="K264" t="s">
        <v>10796</v>
      </c>
      <c r="L264" t="s">
        <v>10797</v>
      </c>
      <c r="M264" s="3" t="str">
        <f>HYPERLINK(склад2въезд1319202122[[#This Row],[RelativePath]])</f>
        <v>8 Рейсмус\E33149364_2_20260130T121450Z.jpg</v>
      </c>
    </row>
    <row r="265" spans="1:13" x14ac:dyDescent="0.25">
      <c r="A265" s="2" t="s">
        <v>17</v>
      </c>
      <c r="B265" s="4">
        <v>46052</v>
      </c>
      <c r="C265" s="5">
        <v>0.62442129629629628</v>
      </c>
      <c r="D265" s="9" t="s">
        <v>1987</v>
      </c>
      <c r="E265" s="9" t="s">
        <v>768</v>
      </c>
      <c r="F265" s="9"/>
      <c r="H265" s="9"/>
      <c r="I265" s="9" t="s">
        <v>10798</v>
      </c>
      <c r="J265" s="9" t="s">
        <v>2947</v>
      </c>
      <c r="K265" t="s">
        <v>10799</v>
      </c>
      <c r="L265" t="s">
        <v>10800</v>
      </c>
      <c r="M265" s="3" t="str">
        <f>HYPERLINK(склад2въезд1319202122[[#This Row],[RelativePath]])</f>
        <v>8 Рейсмус\E33149364_2_20260130T145910Z.jpg</v>
      </c>
    </row>
    <row r="266" spans="1:13" x14ac:dyDescent="0.25">
      <c r="A266" s="2" t="s">
        <v>17</v>
      </c>
      <c r="B266" s="4">
        <v>46052</v>
      </c>
      <c r="C266" s="5">
        <v>0.64053240740740736</v>
      </c>
      <c r="D266" s="9" t="s">
        <v>10756</v>
      </c>
      <c r="E266" s="9" t="s">
        <v>768</v>
      </c>
      <c r="F266" s="9"/>
      <c r="H266" s="9"/>
      <c r="I266" s="9" t="s">
        <v>10801</v>
      </c>
      <c r="J266" s="9" t="s">
        <v>2947</v>
      </c>
      <c r="K266" t="s">
        <v>10802</v>
      </c>
      <c r="L266" t="s">
        <v>10803</v>
      </c>
      <c r="M266" s="3" t="str">
        <f>HYPERLINK(склад2въезд1319202122[[#This Row],[RelativePath]])</f>
        <v>8 Рейсмус\E33149364_2_20260130T152222Z.jpg</v>
      </c>
    </row>
    <row r="267" spans="1:13" x14ac:dyDescent="0.25">
      <c r="A267" s="2" t="s">
        <v>17</v>
      </c>
      <c r="B267" s="4">
        <v>46052</v>
      </c>
      <c r="C267" s="5">
        <v>0.6426736111111111</v>
      </c>
      <c r="D267" s="9" t="s">
        <v>1987</v>
      </c>
      <c r="E267" s="9" t="s">
        <v>768</v>
      </c>
      <c r="F267" s="9"/>
      <c r="H267" s="9"/>
      <c r="I267" s="9" t="s">
        <v>10804</v>
      </c>
      <c r="J267" s="9" t="s">
        <v>2947</v>
      </c>
      <c r="K267" t="s">
        <v>10805</v>
      </c>
      <c r="L267" t="s">
        <v>10806</v>
      </c>
      <c r="M267" s="3" t="str">
        <f>HYPERLINK(склад2въезд1319202122[[#This Row],[RelativePath]])</f>
        <v>8 Рейсмус\E33149364_2_20260130T152527Z.jpg</v>
      </c>
    </row>
    <row r="268" spans="1:13" x14ac:dyDescent="0.25">
      <c r="A268" s="2" t="s">
        <v>17</v>
      </c>
      <c r="B268" s="4">
        <v>46052</v>
      </c>
      <c r="C268" s="5">
        <v>0.65142361111111113</v>
      </c>
      <c r="D268" s="9" t="s">
        <v>10756</v>
      </c>
      <c r="E268" s="9" t="s">
        <v>768</v>
      </c>
      <c r="F268" s="9"/>
      <c r="H268" s="9"/>
      <c r="I268" s="9" t="s">
        <v>10807</v>
      </c>
      <c r="J268" s="9" t="s">
        <v>2947</v>
      </c>
      <c r="K268" t="s">
        <v>10808</v>
      </c>
      <c r="L268" t="s">
        <v>10809</v>
      </c>
      <c r="M268" s="3" t="str">
        <f>HYPERLINK(склад2въезд1319202122[[#This Row],[RelativePath]])</f>
        <v>8 Рейсмус\E33149364_2_20260130T153803Z.jpg</v>
      </c>
    </row>
    <row r="269" spans="1:13" x14ac:dyDescent="0.25">
      <c r="A269" s="2" t="s">
        <v>17</v>
      </c>
      <c r="B269" s="4">
        <v>46052</v>
      </c>
      <c r="C269" s="5">
        <v>0.68055555555555558</v>
      </c>
      <c r="D269" s="9" t="s">
        <v>1987</v>
      </c>
      <c r="E269" s="9" t="s">
        <v>768</v>
      </c>
      <c r="F269" s="9"/>
      <c r="H269" s="9"/>
      <c r="I269" s="9" t="s">
        <v>10810</v>
      </c>
      <c r="J269" s="9" t="s">
        <v>2947</v>
      </c>
      <c r="K269" t="s">
        <v>10811</v>
      </c>
      <c r="L269" t="s">
        <v>10812</v>
      </c>
      <c r="M269" s="3" t="str">
        <f>HYPERLINK(склад2въезд1319202122[[#This Row],[RelativePath]])</f>
        <v>8 Рейсмус\E33149364_2_20260130T162000Z.jpg</v>
      </c>
    </row>
    <row r="270" spans="1:13" x14ac:dyDescent="0.25">
      <c r="A270" s="2" t="s">
        <v>18</v>
      </c>
      <c r="B270" s="4">
        <v>46053</v>
      </c>
      <c r="C270" s="5">
        <v>0.49210648148148151</v>
      </c>
      <c r="D270" s="9" t="s">
        <v>9337</v>
      </c>
      <c r="E270" s="9" t="s">
        <v>1570</v>
      </c>
      <c r="F270" s="9"/>
      <c r="H270" s="9"/>
      <c r="I270" s="9" t="s">
        <v>10906</v>
      </c>
      <c r="J270" s="9" t="s">
        <v>2947</v>
      </c>
      <c r="K270" t="s">
        <v>10907</v>
      </c>
      <c r="L270" t="s">
        <v>10908</v>
      </c>
      <c r="M270" s="3" t="str">
        <f>HYPERLINK(склад2въезд1319202122[[#This Row],[RelativePath]])</f>
        <v>8 Рейсмус\E33149364_2_20260131T114838Z.jpg</v>
      </c>
    </row>
    <row r="271" spans="1:13" x14ac:dyDescent="0.25">
      <c r="A271" s="2" t="s">
        <v>22</v>
      </c>
      <c r="B271" s="4">
        <v>46054</v>
      </c>
      <c r="C271" s="5">
        <v>0.49217592592592591</v>
      </c>
      <c r="D271" s="9" t="s">
        <v>1987</v>
      </c>
      <c r="E271" s="9" t="s">
        <v>768</v>
      </c>
      <c r="F271" s="9"/>
      <c r="H271" s="9"/>
      <c r="I271" s="9" t="s">
        <v>10909</v>
      </c>
      <c r="J271" s="9" t="s">
        <v>2947</v>
      </c>
      <c r="K271" t="s">
        <v>10910</v>
      </c>
      <c r="L271" t="s">
        <v>10911</v>
      </c>
      <c r="M271" s="3" t="str">
        <f>HYPERLINK(склад2въезд1319202122[[#This Row],[RelativePath]])</f>
        <v>8 Рейсмус\E33149364_2_20260201T114844Z.jpg</v>
      </c>
    </row>
    <row r="272" spans="1:13" x14ac:dyDescent="0.25">
      <c r="A272" s="2" t="s">
        <v>13</v>
      </c>
      <c r="B272" s="4">
        <v>46055</v>
      </c>
      <c r="C272" s="5">
        <v>0.39327546296296295</v>
      </c>
      <c r="D272" s="9" t="s">
        <v>1987</v>
      </c>
      <c r="E272" s="9" t="s">
        <v>768</v>
      </c>
      <c r="F272" s="9"/>
      <c r="H272" s="9"/>
      <c r="I272" s="9" t="s">
        <v>11060</v>
      </c>
      <c r="J272" s="9" t="s">
        <v>2947</v>
      </c>
      <c r="K272" t="s">
        <v>11061</v>
      </c>
      <c r="L272" t="s">
        <v>11062</v>
      </c>
      <c r="M272" s="3" t="str">
        <f>HYPERLINK(склад2въезд1319202122[[#This Row],[RelativePath]])</f>
        <v>8 Рейсмус\E33149364_2_20260202T092619Z.jpg</v>
      </c>
    </row>
    <row r="273" spans="1:13" x14ac:dyDescent="0.25">
      <c r="A273" s="2" t="s">
        <v>13</v>
      </c>
      <c r="B273" s="4">
        <v>46055</v>
      </c>
      <c r="C273" s="5">
        <v>0.4941550925925926</v>
      </c>
      <c r="D273" s="9" t="s">
        <v>9291</v>
      </c>
      <c r="E273" s="9" t="s">
        <v>1570</v>
      </c>
      <c r="F273" s="9"/>
      <c r="H273" s="9"/>
      <c r="I273" s="9" t="s">
        <v>11063</v>
      </c>
      <c r="J273" s="9" t="s">
        <v>2947</v>
      </c>
      <c r="K273" t="s">
        <v>11064</v>
      </c>
      <c r="L273" t="s">
        <v>11065</v>
      </c>
      <c r="M273" s="3" t="str">
        <f>HYPERLINK(склад2въезд1319202122[[#This Row],[RelativePath]])</f>
        <v>8 Рейсмус\E33149364_2_20260202T115135Z.jpg</v>
      </c>
    </row>
    <row r="274" spans="1:13" x14ac:dyDescent="0.25">
      <c r="A274" s="2" t="s">
        <v>13</v>
      </c>
      <c r="B274" s="4">
        <v>46055</v>
      </c>
      <c r="C274" s="5">
        <v>0.64759259259259261</v>
      </c>
      <c r="D274" s="9" t="s">
        <v>9291</v>
      </c>
      <c r="E274" s="9" t="s">
        <v>1570</v>
      </c>
      <c r="F274" s="9"/>
      <c r="H274" s="9"/>
      <c r="I274" s="9" t="s">
        <v>11066</v>
      </c>
      <c r="J274" s="9" t="s">
        <v>2947</v>
      </c>
      <c r="K274" t="s">
        <v>11067</v>
      </c>
      <c r="L274" t="s">
        <v>11068</v>
      </c>
      <c r="M274" s="3" t="str">
        <f>HYPERLINK(склад2въезд1319202122[[#This Row],[RelativePath]])</f>
        <v>8 Рейсмус\E33149364_2_20260202T153232Z.jpg</v>
      </c>
    </row>
    <row r="275" spans="1:13" x14ac:dyDescent="0.25">
      <c r="A275" s="2" t="s">
        <v>13</v>
      </c>
      <c r="B275" s="4">
        <v>46055</v>
      </c>
      <c r="C275" s="5">
        <v>0.68866898148148148</v>
      </c>
      <c r="D275" s="9" t="s">
        <v>9291</v>
      </c>
      <c r="E275" s="9" t="s">
        <v>1570</v>
      </c>
      <c r="F275" s="9"/>
      <c r="H275" s="9"/>
      <c r="I275" s="9" t="s">
        <v>11069</v>
      </c>
      <c r="J275" s="9" t="s">
        <v>2947</v>
      </c>
      <c r="K275" t="s">
        <v>11070</v>
      </c>
      <c r="L275" t="s">
        <v>11071</v>
      </c>
      <c r="M275" s="3" t="str">
        <f>HYPERLINK(склад2въезд1319202122[[#This Row],[RelativePath]])</f>
        <v>8 Рейсмус\E33149364_2_20260202T163141Z.jpg</v>
      </c>
    </row>
    <row r="276" spans="1:13" x14ac:dyDescent="0.25">
      <c r="A276" s="2" t="s">
        <v>14</v>
      </c>
      <c r="B276" s="4">
        <v>46056</v>
      </c>
      <c r="C276" s="5">
        <v>0.51500000000000001</v>
      </c>
      <c r="D276" s="9" t="s">
        <v>4</v>
      </c>
      <c r="E276" s="9" t="s">
        <v>9</v>
      </c>
      <c r="F276" s="9"/>
      <c r="H276" s="9"/>
      <c r="I276" s="9" t="s">
        <v>11072</v>
      </c>
      <c r="J276" s="9" t="s">
        <v>2947</v>
      </c>
      <c r="K276" t="s">
        <v>11073</v>
      </c>
      <c r="L276" t="s">
        <v>11074</v>
      </c>
      <c r="M276" s="3" t="str">
        <f>HYPERLINK(склад2въезд1319202122[[#This Row],[RelativePath]])</f>
        <v>8 Рейсмус\E33149364_2_20260203T122136Z.jpg</v>
      </c>
    </row>
    <row r="277" spans="1:13" x14ac:dyDescent="0.25">
      <c r="A277" s="2" t="s">
        <v>14</v>
      </c>
      <c r="B277" s="4">
        <v>46056</v>
      </c>
      <c r="C277" s="5">
        <v>0.65103009259259259</v>
      </c>
      <c r="D277" s="9" t="s">
        <v>9291</v>
      </c>
      <c r="E277" s="9" t="s">
        <v>1570</v>
      </c>
      <c r="F277" s="9"/>
      <c r="H277" s="9"/>
      <c r="I277" s="9" t="s">
        <v>11075</v>
      </c>
      <c r="J277" s="9" t="s">
        <v>2947</v>
      </c>
      <c r="K277" t="s">
        <v>11076</v>
      </c>
      <c r="L277" t="s">
        <v>11077</v>
      </c>
      <c r="M277" s="3" t="str">
        <f>HYPERLINK(склад2въезд1319202122[[#This Row],[RelativePath]])</f>
        <v>8 Рейсмус\E33149364_2_20260203T153729Z.jpg</v>
      </c>
    </row>
    <row r="278" spans="1:13" x14ac:dyDescent="0.25">
      <c r="A278" s="2" t="s">
        <v>14</v>
      </c>
      <c r="B278" s="4">
        <v>46056</v>
      </c>
      <c r="C278" s="5">
        <v>0.65806712962962965</v>
      </c>
      <c r="D278" s="9" t="s">
        <v>1987</v>
      </c>
      <c r="E278" s="9" t="s">
        <v>768</v>
      </c>
      <c r="F278" s="9"/>
      <c r="H278" s="9"/>
      <c r="I278" s="9" t="s">
        <v>11078</v>
      </c>
      <c r="J278" s="9" t="s">
        <v>2947</v>
      </c>
      <c r="K278" t="s">
        <v>11079</v>
      </c>
      <c r="L278" t="s">
        <v>11080</v>
      </c>
      <c r="M278" s="3" t="str">
        <f>HYPERLINK(склад2въезд1319202122[[#This Row],[RelativePath]])</f>
        <v>8 Рейсмус\E33149364_2_20260203T154737Z.jpg</v>
      </c>
    </row>
    <row r="279" spans="1:13" x14ac:dyDescent="0.25">
      <c r="A279" s="2" t="s">
        <v>14</v>
      </c>
      <c r="B279" s="4">
        <v>46056</v>
      </c>
      <c r="C279" s="5">
        <v>0.8774305555555556</v>
      </c>
      <c r="D279" s="9" t="s">
        <v>9291</v>
      </c>
      <c r="E279" s="9" t="s">
        <v>1570</v>
      </c>
      <c r="F279" s="9"/>
      <c r="H279" s="9"/>
      <c r="I279" s="9" t="s">
        <v>11081</v>
      </c>
      <c r="J279" s="9" t="s">
        <v>2947</v>
      </c>
      <c r="K279" t="s">
        <v>11082</v>
      </c>
      <c r="L279" t="s">
        <v>11083</v>
      </c>
      <c r="M279" s="3" t="str">
        <f>HYPERLINK(склад2въезд1319202122[[#This Row],[RelativePath]])</f>
        <v>8 Рейсмус\E33149364_2_20260203T210330Z.jpg</v>
      </c>
    </row>
    <row r="280" spans="1:13" x14ac:dyDescent="0.25">
      <c r="A280" s="2" t="s">
        <v>14</v>
      </c>
      <c r="B280" s="4">
        <v>46056</v>
      </c>
      <c r="C280" s="5">
        <v>0.90979166666666667</v>
      </c>
      <c r="D280" s="9" t="s">
        <v>1987</v>
      </c>
      <c r="E280" s="9" t="s">
        <v>768</v>
      </c>
      <c r="F280" s="9"/>
      <c r="H280" s="9"/>
      <c r="I280" s="9" t="s">
        <v>11084</v>
      </c>
      <c r="J280" s="9" t="s">
        <v>2947</v>
      </c>
      <c r="K280" t="s">
        <v>11085</v>
      </c>
      <c r="L280" t="s">
        <v>11086</v>
      </c>
      <c r="M280" s="3" t="str">
        <f>HYPERLINK(склад2въезд1319202122[[#This Row],[RelativePath]])</f>
        <v>8 Рейсмус\E33149364_2_20260203T215006Z.jpg</v>
      </c>
    </row>
    <row r="281" spans="1:13" x14ac:dyDescent="0.25">
      <c r="A281" s="2" t="s">
        <v>15</v>
      </c>
      <c r="B281" s="4">
        <v>46057</v>
      </c>
      <c r="C281" s="5">
        <v>0.3730324074074074</v>
      </c>
      <c r="D281" s="9" t="s">
        <v>9291</v>
      </c>
      <c r="E281" s="9" t="s">
        <v>1570</v>
      </c>
      <c r="F281" s="9"/>
      <c r="H281" s="9"/>
      <c r="I281" s="9" t="s">
        <v>11471</v>
      </c>
      <c r="J281" s="9" t="s">
        <v>2947</v>
      </c>
      <c r="K281" t="s">
        <v>11472</v>
      </c>
      <c r="L281" t="s">
        <v>11473</v>
      </c>
      <c r="M281" s="3" t="str">
        <f>HYPERLINK(склад2въезд1319202122[[#This Row],[RelativePath]])</f>
        <v>8 Рейсмус\E33149364_2_20260204T085710Z.jpg</v>
      </c>
    </row>
    <row r="282" spans="1:13" x14ac:dyDescent="0.25">
      <c r="A282" s="2" t="s">
        <v>15</v>
      </c>
      <c r="B282" s="4">
        <v>46057</v>
      </c>
      <c r="C282" s="5">
        <v>0.80087962962962966</v>
      </c>
      <c r="D282" s="9" t="s">
        <v>1987</v>
      </c>
      <c r="E282" s="9" t="s">
        <v>768</v>
      </c>
      <c r="F282" s="9"/>
      <c r="H282" s="9"/>
      <c r="I282" s="9" t="s">
        <v>11474</v>
      </c>
      <c r="J282" s="9" t="s">
        <v>2947</v>
      </c>
      <c r="K282" t="s">
        <v>11475</v>
      </c>
      <c r="L282" t="s">
        <v>11476</v>
      </c>
      <c r="M282" s="3" t="str">
        <f>HYPERLINK(склад2въезд1319202122[[#This Row],[RelativePath]])</f>
        <v>8 Рейсмус\E33149364_2_20260204T191316Z.jpg</v>
      </c>
    </row>
    <row r="283" spans="1:13" x14ac:dyDescent="0.25">
      <c r="A283" s="2" t="s">
        <v>16</v>
      </c>
      <c r="B283" s="4">
        <v>46058</v>
      </c>
      <c r="C283" s="5">
        <v>0.59174768518518517</v>
      </c>
      <c r="D283" s="9" t="s">
        <v>9291</v>
      </c>
      <c r="E283" s="9" t="s">
        <v>1570</v>
      </c>
      <c r="F283" s="9"/>
      <c r="H283" s="9"/>
      <c r="I283" s="9" t="s">
        <v>11477</v>
      </c>
      <c r="J283" s="9" t="s">
        <v>2947</v>
      </c>
      <c r="K283" t="s">
        <v>11478</v>
      </c>
      <c r="L283" t="s">
        <v>11479</v>
      </c>
      <c r="M283" s="3" t="str">
        <f>HYPERLINK(склад2въезд1319202122[[#This Row],[RelativePath]])</f>
        <v>8 Рейсмус\E33149364_2_20260205T141207Z.jpg</v>
      </c>
    </row>
    <row r="284" spans="1:13" x14ac:dyDescent="0.25">
      <c r="A284" s="2" t="s">
        <v>16</v>
      </c>
      <c r="B284" s="4">
        <v>46058</v>
      </c>
      <c r="C284" s="5">
        <v>0.84887731481481477</v>
      </c>
      <c r="D284" s="9" t="s">
        <v>1987</v>
      </c>
      <c r="E284" s="9" t="s">
        <v>768</v>
      </c>
      <c r="F284" s="9"/>
      <c r="H284" s="9"/>
      <c r="I284" s="9" t="s">
        <v>11480</v>
      </c>
      <c r="J284" s="9" t="s">
        <v>2947</v>
      </c>
      <c r="K284" t="s">
        <v>11481</v>
      </c>
      <c r="L284" t="s">
        <v>11482</v>
      </c>
      <c r="M284" s="3" t="str">
        <f>HYPERLINK(склад2въезд1319202122[[#This Row],[RelativePath]])</f>
        <v>8 Рейсмус\E33149364_2_20260205T202223Z.jpg</v>
      </c>
    </row>
    <row r="285" spans="1:13" x14ac:dyDescent="0.25">
      <c r="A285" s="2" t="s">
        <v>17</v>
      </c>
      <c r="B285" s="4">
        <v>46059</v>
      </c>
      <c r="C285" s="5">
        <v>0.40892361111111108</v>
      </c>
      <c r="D285" s="9" t="s">
        <v>1987</v>
      </c>
      <c r="E285" s="9" t="s">
        <v>768</v>
      </c>
      <c r="F285" s="9"/>
      <c r="H285" s="9"/>
      <c r="I285" s="9" t="s">
        <v>11483</v>
      </c>
      <c r="J285" s="9" t="s">
        <v>2947</v>
      </c>
      <c r="K285" t="s">
        <v>11484</v>
      </c>
      <c r="L285" t="s">
        <v>11485</v>
      </c>
      <c r="M285" s="3" t="str">
        <f>HYPERLINK(склад2въезд1319202122[[#This Row],[RelativePath]])</f>
        <v>8 Рейсмус\E33149364_2_20260206T094851Z.jpg</v>
      </c>
    </row>
    <row r="286" spans="1:13" x14ac:dyDescent="0.25">
      <c r="A286" s="2" t="s">
        <v>17</v>
      </c>
      <c r="B286" s="4">
        <v>46059</v>
      </c>
      <c r="C286" s="5">
        <v>0.60069444444444442</v>
      </c>
      <c r="D286" s="9" t="s">
        <v>4</v>
      </c>
      <c r="E286" s="9" t="s">
        <v>9</v>
      </c>
      <c r="F286" s="9"/>
      <c r="H286" s="9"/>
      <c r="I286" s="9" t="s">
        <v>11486</v>
      </c>
      <c r="J286" s="9" t="s">
        <v>2947</v>
      </c>
      <c r="K286" t="s">
        <v>11487</v>
      </c>
      <c r="L286" t="s">
        <v>11488</v>
      </c>
      <c r="M286" s="3" t="str">
        <f>HYPERLINK(склад2въезд1319202122[[#This Row],[RelativePath]])</f>
        <v>8 Рейсмус\E33149364_2_20260206T142500Z.jpg</v>
      </c>
    </row>
    <row r="287" spans="1:13" x14ac:dyDescent="0.25">
      <c r="A287" s="2" t="s">
        <v>18</v>
      </c>
      <c r="B287" s="4">
        <v>46060</v>
      </c>
      <c r="C287" s="5">
        <v>0.38190972222222225</v>
      </c>
      <c r="D287" s="9" t="s">
        <v>4</v>
      </c>
      <c r="E287" s="9" t="s">
        <v>9</v>
      </c>
      <c r="F287" s="9"/>
      <c r="H287" s="9"/>
      <c r="I287" s="9" t="s">
        <v>11547</v>
      </c>
      <c r="J287" s="9" t="s">
        <v>2947</v>
      </c>
      <c r="K287" t="s">
        <v>11548</v>
      </c>
      <c r="L287" t="s">
        <v>11549</v>
      </c>
      <c r="M287" s="3" t="str">
        <f>HYPERLINK(склад2въезд1319202122[[#This Row],[RelativePath]])</f>
        <v>8 Рейсмус\E33149364_2_20260207T090957Z.jpg</v>
      </c>
    </row>
    <row r="288" spans="1:13" x14ac:dyDescent="0.25">
      <c r="A288" s="2" t="s">
        <v>22</v>
      </c>
      <c r="B288" s="4">
        <v>46061</v>
      </c>
      <c r="C288" s="5">
        <v>0.47939814814814813</v>
      </c>
      <c r="D288" s="9" t="s">
        <v>1987</v>
      </c>
      <c r="E288" s="9" t="s">
        <v>768</v>
      </c>
      <c r="F288" s="9"/>
      <c r="H288" s="9"/>
      <c r="I288" s="9" t="s">
        <v>11550</v>
      </c>
      <c r="J288" s="9" t="s">
        <v>2947</v>
      </c>
      <c r="K288" t="s">
        <v>11551</v>
      </c>
      <c r="L288" t="s">
        <v>11552</v>
      </c>
      <c r="M288" s="3" t="str">
        <f>HYPERLINK(склад2въезд1319202122[[#This Row],[RelativePath]])</f>
        <v>8 Рейсмус\E33149364_2_20260208T113020Z.jpg</v>
      </c>
    </row>
    <row r="289" spans="1:13" x14ac:dyDescent="0.25">
      <c r="A289" s="2" t="s">
        <v>22</v>
      </c>
      <c r="B289" s="4">
        <v>46061</v>
      </c>
      <c r="C289" s="5">
        <v>0.54703703703703699</v>
      </c>
      <c r="D289" s="9" t="s">
        <v>1987</v>
      </c>
      <c r="E289" s="9" t="s">
        <v>768</v>
      </c>
      <c r="F289" s="9"/>
      <c r="H289" s="9"/>
      <c r="I289" s="9" t="s">
        <v>11553</v>
      </c>
      <c r="J289" s="9" t="s">
        <v>2947</v>
      </c>
      <c r="K289" t="s">
        <v>11554</v>
      </c>
      <c r="L289" t="s">
        <v>11555</v>
      </c>
      <c r="M289" s="3" t="str">
        <f>HYPERLINK(склад2въезд1319202122[[#This Row],[RelativePath]])</f>
        <v>8 Рейсмус\E33149364_2_20260208T130744Z.jpg</v>
      </c>
    </row>
    <row r="290" spans="1:13" x14ac:dyDescent="0.25">
      <c r="A290" s="2" t="s">
        <v>22</v>
      </c>
      <c r="B290" s="4">
        <v>46061</v>
      </c>
      <c r="C290" s="5">
        <v>0.95343750000000005</v>
      </c>
      <c r="D290" s="9" t="s">
        <v>1987</v>
      </c>
      <c r="E290" s="9" t="s">
        <v>768</v>
      </c>
      <c r="F290" s="9"/>
      <c r="H290" s="9"/>
      <c r="I290" s="9" t="s">
        <v>11556</v>
      </c>
      <c r="J290" s="9" t="s">
        <v>2947</v>
      </c>
      <c r="K290" t="s">
        <v>11557</v>
      </c>
      <c r="L290" t="s">
        <v>11558</v>
      </c>
      <c r="M290" s="3" t="str">
        <f>HYPERLINK(склад2въезд1319202122[[#This Row],[RelativePath]])</f>
        <v>8 Рейсмус\E33149364_2_20260208T225257Z.jpg</v>
      </c>
    </row>
    <row r="291" spans="1:13" x14ac:dyDescent="0.25">
      <c r="A291" s="2" t="s">
        <v>14</v>
      </c>
      <c r="B291" s="4">
        <v>46077</v>
      </c>
      <c r="C291" s="5">
        <v>0.38704861111111111</v>
      </c>
      <c r="D291" s="9"/>
      <c r="E291" s="9"/>
      <c r="F291" s="9"/>
      <c r="H291" s="9"/>
      <c r="I291" s="9" t="s">
        <v>12970</v>
      </c>
      <c r="J291" s="9" t="s">
        <v>12971</v>
      </c>
      <c r="K291" t="s">
        <v>12972</v>
      </c>
      <c r="L291" t="s">
        <v>12973</v>
      </c>
      <c r="M291" s="3" t="str">
        <f>HYPERLINK(склад2въезд1319202122[[#This Row],[RelativePath]])</f>
        <v>8 Рейсмус\GA3948333_1_20260224T091721Z.jpg</v>
      </c>
    </row>
    <row r="292" spans="1:13" x14ac:dyDescent="0.25">
      <c r="A292" s="2" t="s">
        <v>14</v>
      </c>
      <c r="B292" s="4">
        <v>46077</v>
      </c>
      <c r="C292" s="5">
        <v>0.39383101851851854</v>
      </c>
      <c r="D292" s="9"/>
      <c r="E292" s="9"/>
      <c r="F292" s="9"/>
      <c r="H292" s="9"/>
      <c r="I292" s="9" t="s">
        <v>12974</v>
      </c>
      <c r="J292" s="9" t="s">
        <v>12971</v>
      </c>
      <c r="K292" t="s">
        <v>12975</v>
      </c>
      <c r="L292" t="s">
        <v>12976</v>
      </c>
      <c r="M292" s="3" t="str">
        <f>HYPERLINK(склад2въезд1319202122[[#This Row],[RelativePath]])</f>
        <v>8 Рейсмус\GA3948333_1_20260224T092707Z.jpg</v>
      </c>
    </row>
    <row r="293" spans="1:13" x14ac:dyDescent="0.25">
      <c r="A293" s="2" t="s">
        <v>14</v>
      </c>
      <c r="B293" s="4">
        <v>46077</v>
      </c>
      <c r="C293" s="5">
        <v>0.40254629629629629</v>
      </c>
      <c r="D293" s="9"/>
      <c r="E293" s="9"/>
      <c r="F293" s="9"/>
      <c r="H293" s="9"/>
      <c r="I293" s="9" t="s">
        <v>12977</v>
      </c>
      <c r="J293" s="9" t="s">
        <v>12971</v>
      </c>
      <c r="K293" t="s">
        <v>12978</v>
      </c>
      <c r="L293" t="s">
        <v>12979</v>
      </c>
      <c r="M293" s="3" t="str">
        <f>HYPERLINK(склад2въезд1319202122[[#This Row],[RelativePath]])</f>
        <v>8 Рейсмус\GA3948333_1_20260224T093940Z.jpg</v>
      </c>
    </row>
    <row r="294" spans="1:13" x14ac:dyDescent="0.25">
      <c r="A294" s="2" t="s">
        <v>14</v>
      </c>
      <c r="B294" s="4">
        <v>46077</v>
      </c>
      <c r="C294" s="5">
        <v>0.44525462962962964</v>
      </c>
      <c r="D294" s="9"/>
      <c r="E294" s="9"/>
      <c r="F294" s="9"/>
      <c r="H294" s="9"/>
      <c r="I294" s="9" t="s">
        <v>12980</v>
      </c>
      <c r="J294" s="9" t="s">
        <v>12971</v>
      </c>
      <c r="K294" t="s">
        <v>12981</v>
      </c>
      <c r="L294" t="s">
        <v>12982</v>
      </c>
      <c r="M294" s="3" t="str">
        <f>HYPERLINK(склад2въезд1319202122[[#This Row],[RelativePath]])</f>
        <v>8 Рейсмус\GA3948333_1_20260224T104110Z.jpg</v>
      </c>
    </row>
    <row r="295" spans="1:13" x14ac:dyDescent="0.25">
      <c r="A295" s="2" t="s">
        <v>14</v>
      </c>
      <c r="B295" s="4">
        <v>46077</v>
      </c>
      <c r="C295" s="5">
        <v>0.64387731481481481</v>
      </c>
      <c r="D295" s="9"/>
      <c r="E295" s="9"/>
      <c r="F295" s="9"/>
      <c r="H295" s="9"/>
      <c r="I295" s="9" t="s">
        <v>12983</v>
      </c>
      <c r="J295" s="9" t="s">
        <v>12971</v>
      </c>
      <c r="K295" t="s">
        <v>12984</v>
      </c>
      <c r="L295" t="s">
        <v>12985</v>
      </c>
      <c r="M295" s="3" t="str">
        <f>HYPERLINK(склад2въезд1319202122[[#This Row],[RelativePath]])</f>
        <v>8 Рейсмус\GA3948333_1_20260224T152711Z.jpg</v>
      </c>
    </row>
    <row r="296" spans="1:13" x14ac:dyDescent="0.25">
      <c r="A296" s="2" t="s">
        <v>14</v>
      </c>
      <c r="B296" s="4">
        <v>46077</v>
      </c>
      <c r="C296" s="5">
        <v>0.74725694444444446</v>
      </c>
      <c r="D296" s="9"/>
      <c r="E296" s="9"/>
      <c r="F296" s="9"/>
      <c r="H296" s="9"/>
      <c r="I296" s="9" t="s">
        <v>12986</v>
      </c>
      <c r="J296" s="9" t="s">
        <v>12971</v>
      </c>
      <c r="K296" t="s">
        <v>12987</v>
      </c>
      <c r="L296" t="s">
        <v>12988</v>
      </c>
      <c r="M296" s="3" t="str">
        <f>HYPERLINK(склад2въезд1319202122[[#This Row],[RelativePath]])</f>
        <v>8 Рейсмус\GA3948333_1_20260224T175603Z.jpg</v>
      </c>
    </row>
    <row r="297" spans="1:13" x14ac:dyDescent="0.25">
      <c r="A297" s="2" t="s">
        <v>15</v>
      </c>
      <c r="B297" s="4">
        <v>46078</v>
      </c>
      <c r="C297" s="5">
        <v>0.41767361111111112</v>
      </c>
      <c r="D297" s="9"/>
      <c r="E297" s="9"/>
      <c r="F297" s="9"/>
      <c r="H297" s="9"/>
      <c r="I297" s="9" t="s">
        <v>12989</v>
      </c>
      <c r="J297" s="9" t="s">
        <v>12971</v>
      </c>
      <c r="K297" t="s">
        <v>12990</v>
      </c>
      <c r="L297" t="s">
        <v>12991</v>
      </c>
      <c r="M297" s="3" t="str">
        <f>HYPERLINK(склад2въезд1319202122[[#This Row],[RelativePath]])</f>
        <v>8 Рейсмус\GA3948333_1_20260225T100127Z.jpg</v>
      </c>
    </row>
    <row r="298" spans="1:13" x14ac:dyDescent="0.25">
      <c r="A298" s="2" t="s">
        <v>15</v>
      </c>
      <c r="B298" s="4">
        <v>46078</v>
      </c>
      <c r="C298" s="5">
        <v>0.64623842592592595</v>
      </c>
      <c r="D298" s="9"/>
      <c r="E298" s="9"/>
      <c r="F298" s="9"/>
      <c r="H298" s="9"/>
      <c r="I298" s="9" t="s">
        <v>12992</v>
      </c>
      <c r="J298" s="9" t="s">
        <v>12971</v>
      </c>
      <c r="K298" t="s">
        <v>12993</v>
      </c>
      <c r="L298" t="s">
        <v>12994</v>
      </c>
      <c r="M298" s="3" t="str">
        <f>HYPERLINK(склад2въезд1319202122[[#This Row],[RelativePath]])</f>
        <v>8 Рейсмус\GA3948333_1_20260225T153035Z.jpg</v>
      </c>
    </row>
    <row r="299" spans="1:13" x14ac:dyDescent="0.25">
      <c r="A299" s="2" t="s">
        <v>15</v>
      </c>
      <c r="B299" s="4">
        <v>46078</v>
      </c>
      <c r="C299" s="5">
        <v>0.86478009259259259</v>
      </c>
      <c r="D299" s="9"/>
      <c r="E299" s="9"/>
      <c r="F299" s="9"/>
      <c r="H299" s="9"/>
      <c r="I299" s="9" t="s">
        <v>12995</v>
      </c>
      <c r="J299" s="9" t="s">
        <v>12971</v>
      </c>
      <c r="K299" t="s">
        <v>12996</v>
      </c>
      <c r="L299" t="s">
        <v>12997</v>
      </c>
      <c r="M299" s="3" t="str">
        <f>HYPERLINK(склад2въезд1319202122[[#This Row],[RelativePath]])</f>
        <v>8 Рейсмус\GA3948333_1_20260225T204517Z.jpg</v>
      </c>
    </row>
  </sheetData>
  <conditionalFormatting sqref="D300:D310 E300:E313 G2:H299 D2:E299">
    <cfRule type="containsText" dxfId="304" priority="14" operator="containsText" text="Выезд с территории">
      <formula>NOT(ISERROR(SEARCH("Выезд с территории",D2)))</formula>
    </cfRule>
  </conditionalFormatting>
  <conditionalFormatting sqref="F2:F299">
    <cfRule type="notContainsText" dxfId="303" priority="13" operator="notContains" text="порожний">
      <formula>ISERROR(SEARCH("порожний",F2))</formula>
    </cfRule>
  </conditionalFormatting>
  <conditionalFormatting sqref="E2:E313">
    <cfRule type="containsText" dxfId="302" priority="11" operator="containsText" text="Газель базы">
      <formula>NOT(ISERROR(SEARCH("Газель базы",E2)))</formula>
    </cfRule>
    <cfRule type="containsText" dxfId="301" priority="12" operator="containsText" text="Погрузчик базы">
      <formula>NOT(ISERROR(SEARCH("Погрузчик базы",E2)))</formula>
    </cfRule>
  </conditionalFormatting>
  <conditionalFormatting sqref="E2:E313">
    <cfRule type="containsText" dxfId="300" priority="10" operator="containsText" text="Трактор базы">
      <formula>NOT(ISERROR(SEARCH("Трактор базы",E2)))</formula>
    </cfRule>
  </conditionalFormatting>
  <conditionalFormatting sqref="A2:C299">
    <cfRule type="expression" dxfId="299" priority="9">
      <formula>$A2="пн"</formula>
    </cfRule>
  </conditionalFormatting>
  <conditionalFormatting sqref="A2:C301">
    <cfRule type="expression" dxfId="298" priority="3">
      <formula>$A2="вс"</formula>
    </cfRule>
    <cfRule type="expression" dxfId="297" priority="4">
      <formula>$A2="сб"</formula>
    </cfRule>
    <cfRule type="expression" dxfId="296" priority="5">
      <formula>$A2="пт"</formula>
    </cfRule>
    <cfRule type="expression" dxfId="295" priority="6">
      <formula>$A2="чт"</formula>
    </cfRule>
    <cfRule type="expression" dxfId="294" priority="7">
      <formula>$A2="ср"</formula>
    </cfRule>
    <cfRule type="expression" dxfId="293" priority="8">
      <formula>$A2="вт"</formula>
    </cfRule>
  </conditionalFormatting>
  <conditionalFormatting sqref="D2:D310">
    <cfRule type="containsText" dxfId="292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10">
    <cfRule type="containsText" dxfId="291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DD9F6-766B-445F-997D-85E8EEB44C05}">
  <sheetPr>
    <tabColor rgb="FFFFFF00"/>
  </sheetPr>
  <dimension ref="A1:M615"/>
  <sheetViews>
    <sheetView zoomScale="90" zoomScaleNormal="90" workbookViewId="0">
      <pane ySplit="1" topLeftCell="A598" activePane="bottomLeft" state="frozen"/>
      <selection pane="bottomLeft" activeCell="I594" sqref="I594:I604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40.28515625" bestFit="1" customWidth="1"/>
    <col min="5" max="5" width="44" bestFit="1" customWidth="1"/>
    <col min="6" max="6" width="34.7109375" bestFit="1" customWidth="1"/>
    <col min="7" max="7" width="7.28515625" bestFit="1" customWidth="1"/>
    <col min="8" max="8" width="30" bestFit="1" customWidth="1"/>
    <col min="9" max="9" width="35.7109375" bestFit="1" customWidth="1"/>
    <col min="10" max="10" width="42.140625" hidden="1" customWidth="1"/>
    <col min="11" max="11" width="53.28515625" hidden="1" customWidth="1"/>
    <col min="12" max="12" width="24.5703125" hidden="1" customWidth="1"/>
    <col min="13" max="13" width="53.28515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0.36785879629629631</v>
      </c>
      <c r="D2" s="9" t="s">
        <v>4</v>
      </c>
      <c r="E2" s="9" t="s">
        <v>9</v>
      </c>
      <c r="F2" s="9"/>
      <c r="H2" s="9"/>
      <c r="I2" s="9" t="s">
        <v>769</v>
      </c>
      <c r="J2" s="9" t="s">
        <v>2948</v>
      </c>
      <c r="K2" t="s">
        <v>770</v>
      </c>
      <c r="L2" t="s">
        <v>771</v>
      </c>
      <c r="M2" s="3" t="str">
        <f>HYPERLINK(склад2въезд13192021222[[#This Row],[RelativePath]])</f>
        <v>9 Ангар пилорама\E33149364_1_20251110T084943Z.jpg</v>
      </c>
    </row>
    <row r="3" spans="1:13" x14ac:dyDescent="0.25">
      <c r="A3" s="2" t="s">
        <v>13</v>
      </c>
      <c r="B3" s="4">
        <v>45971</v>
      </c>
      <c r="C3" s="5">
        <v>0.38792824074074073</v>
      </c>
      <c r="D3" s="9" t="s">
        <v>1063</v>
      </c>
      <c r="E3" s="9" t="s">
        <v>1069</v>
      </c>
      <c r="F3" s="9"/>
      <c r="H3" s="9"/>
      <c r="I3" s="9" t="s">
        <v>772</v>
      </c>
      <c r="J3" s="9" t="s">
        <v>2948</v>
      </c>
      <c r="K3" t="s">
        <v>773</v>
      </c>
      <c r="L3" t="s">
        <v>774</v>
      </c>
      <c r="M3" s="3" t="str">
        <f>HYPERLINK(склад2въезд13192021222[[#This Row],[RelativePath]])</f>
        <v>9 Ангар пилорама\E33149364_1_20251110T091837Z.jpg</v>
      </c>
    </row>
    <row r="4" spans="1:13" x14ac:dyDescent="0.25">
      <c r="A4" s="2" t="s">
        <v>13</v>
      </c>
      <c r="B4" s="4">
        <v>45971</v>
      </c>
      <c r="C4" s="5">
        <v>0.39877314814814813</v>
      </c>
      <c r="D4" s="9" t="s">
        <v>765</v>
      </c>
      <c r="E4" s="9" t="s">
        <v>503</v>
      </c>
      <c r="F4" s="9"/>
      <c r="H4" s="9"/>
      <c r="I4" s="9" t="s">
        <v>775</v>
      </c>
      <c r="J4" s="9" t="s">
        <v>2948</v>
      </c>
      <c r="K4" t="s">
        <v>776</v>
      </c>
      <c r="L4" t="s">
        <v>777</v>
      </c>
      <c r="M4" s="3" t="str">
        <f>HYPERLINK(склад2въезд13192021222[[#This Row],[RelativePath]])</f>
        <v>9 Ангар пилорама\E33149364_1_20251110T093414Z.jpg</v>
      </c>
    </row>
    <row r="5" spans="1:13" x14ac:dyDescent="0.25">
      <c r="A5" s="2" t="s">
        <v>13</v>
      </c>
      <c r="B5" s="4">
        <v>45971</v>
      </c>
      <c r="C5" s="5">
        <v>0.40099537037037036</v>
      </c>
      <c r="D5" s="9" t="s">
        <v>765</v>
      </c>
      <c r="E5" s="9" t="s">
        <v>503</v>
      </c>
      <c r="F5" s="9"/>
      <c r="H5" s="9"/>
      <c r="I5" s="9" t="s">
        <v>778</v>
      </c>
      <c r="J5" s="9" t="s">
        <v>2948</v>
      </c>
      <c r="K5" t="s">
        <v>779</v>
      </c>
      <c r="L5" t="s">
        <v>780</v>
      </c>
      <c r="M5" s="3" t="str">
        <f>HYPERLINK(склад2въезд13192021222[[#This Row],[RelativePath]])</f>
        <v>9 Ангар пилорама\E33149364_1_20251110T093726Z.jpg</v>
      </c>
    </row>
    <row r="6" spans="1:13" x14ac:dyDescent="0.25">
      <c r="A6" s="2" t="s">
        <v>13</v>
      </c>
      <c r="B6" s="4">
        <v>45971</v>
      </c>
      <c r="C6" s="5">
        <v>0.41182870370370372</v>
      </c>
      <c r="D6" s="9" t="s">
        <v>4</v>
      </c>
      <c r="E6" s="9" t="s">
        <v>9</v>
      </c>
      <c r="F6" s="9"/>
      <c r="H6" s="9"/>
      <c r="I6" s="9" t="s">
        <v>781</v>
      </c>
      <c r="J6" s="9" t="s">
        <v>2948</v>
      </c>
      <c r="K6" t="s">
        <v>782</v>
      </c>
      <c r="L6" t="s">
        <v>783</v>
      </c>
      <c r="M6" s="3" t="str">
        <f>HYPERLINK(склад2въезд13192021222[[#This Row],[RelativePath]])</f>
        <v>9 Ангар пилорама\E33149364_1_20251110T095302Z.jpg</v>
      </c>
    </row>
    <row r="7" spans="1:13" x14ac:dyDescent="0.25">
      <c r="A7" s="2" t="s">
        <v>13</v>
      </c>
      <c r="B7" s="4">
        <v>45971</v>
      </c>
      <c r="C7" s="5">
        <v>0.41491898148148149</v>
      </c>
      <c r="D7" s="9" t="s">
        <v>1070</v>
      </c>
      <c r="E7" s="9" t="s">
        <v>503</v>
      </c>
      <c r="F7" s="9"/>
      <c r="H7" s="9"/>
      <c r="I7" s="9" t="s">
        <v>784</v>
      </c>
      <c r="J7" s="9" t="s">
        <v>2948</v>
      </c>
      <c r="K7" t="s">
        <v>785</v>
      </c>
      <c r="L7" t="s">
        <v>786</v>
      </c>
      <c r="M7" s="3" t="str">
        <f>HYPERLINK(склад2въезд13192021222[[#This Row],[RelativePath]])</f>
        <v>9 Ангар пилорама\E33149364_1_20251110T095729Z.jpg</v>
      </c>
    </row>
    <row r="8" spans="1:13" x14ac:dyDescent="0.25">
      <c r="A8" s="2" t="s">
        <v>13</v>
      </c>
      <c r="B8" s="4">
        <v>45971</v>
      </c>
      <c r="C8" s="5">
        <v>0.42128472222222224</v>
      </c>
      <c r="D8" s="9" t="s">
        <v>261</v>
      </c>
      <c r="E8" s="9" t="s">
        <v>1071</v>
      </c>
      <c r="F8" s="9"/>
      <c r="H8" s="9"/>
      <c r="I8" s="9" t="s">
        <v>787</v>
      </c>
      <c r="J8" s="9" t="s">
        <v>2948</v>
      </c>
      <c r="K8" t="s">
        <v>788</v>
      </c>
      <c r="L8" t="s">
        <v>789</v>
      </c>
      <c r="M8" s="3" t="str">
        <f>HYPERLINK(склад2въезд13192021222[[#This Row],[RelativePath]])</f>
        <v>9 Ангар пилорама\E33149364_1_20251110T100639Z.jpg</v>
      </c>
    </row>
    <row r="9" spans="1:13" x14ac:dyDescent="0.25">
      <c r="A9" s="2" t="s">
        <v>13</v>
      </c>
      <c r="B9" s="4">
        <v>45971</v>
      </c>
      <c r="C9" s="5">
        <v>0.43697916666666664</v>
      </c>
      <c r="D9" s="9" t="s">
        <v>4</v>
      </c>
      <c r="E9" s="9" t="s">
        <v>9</v>
      </c>
      <c r="F9" s="9"/>
      <c r="H9" s="9"/>
      <c r="I9" s="9" t="s">
        <v>790</v>
      </c>
      <c r="J9" s="9" t="s">
        <v>2948</v>
      </c>
      <c r="K9" t="s">
        <v>791</v>
      </c>
      <c r="L9" t="s">
        <v>792</v>
      </c>
      <c r="M9" s="3" t="str">
        <f>HYPERLINK(склад2въезд13192021222[[#This Row],[RelativePath]])</f>
        <v>9 Ангар пилорама\E33149364_1_20251110T102915Z.jpg</v>
      </c>
    </row>
    <row r="10" spans="1:13" x14ac:dyDescent="0.25">
      <c r="A10" s="2" t="s">
        <v>13</v>
      </c>
      <c r="B10" s="4">
        <v>45971</v>
      </c>
      <c r="C10" s="5">
        <v>0.44604166666666667</v>
      </c>
      <c r="D10" s="9" t="s">
        <v>4</v>
      </c>
      <c r="E10" s="9" t="s">
        <v>9</v>
      </c>
      <c r="F10" s="9"/>
      <c r="H10" s="9"/>
      <c r="I10" s="9" t="s">
        <v>793</v>
      </c>
      <c r="J10" s="9" t="s">
        <v>2948</v>
      </c>
      <c r="K10" t="s">
        <v>794</v>
      </c>
      <c r="L10" t="s">
        <v>795</v>
      </c>
      <c r="M10" s="3" t="str">
        <f>HYPERLINK(склад2въезд13192021222[[#This Row],[RelativePath]])</f>
        <v>9 Ангар пилорама\E33149364_1_20251110T104218Z.jpg</v>
      </c>
    </row>
    <row r="11" spans="1:13" x14ac:dyDescent="0.25">
      <c r="A11" s="2" t="s">
        <v>13</v>
      </c>
      <c r="B11" s="4">
        <v>45971</v>
      </c>
      <c r="C11" s="5">
        <v>0.46214120370370371</v>
      </c>
      <c r="D11" s="9" t="s">
        <v>4</v>
      </c>
      <c r="E11" s="9" t="s">
        <v>9</v>
      </c>
      <c r="F11" s="9"/>
      <c r="H11" s="9"/>
      <c r="I11" s="9" t="s">
        <v>796</v>
      </c>
      <c r="J11" s="9" t="s">
        <v>2948</v>
      </c>
      <c r="K11" t="s">
        <v>797</v>
      </c>
      <c r="L11" t="s">
        <v>798</v>
      </c>
      <c r="M11" s="3" t="str">
        <f>HYPERLINK(склад2въезд13192021222[[#This Row],[RelativePath]])</f>
        <v>9 Ангар пилорама\E33149364_1_20251110T110529Z.jpg</v>
      </c>
    </row>
    <row r="12" spans="1:13" x14ac:dyDescent="0.25">
      <c r="A12" s="2" t="s">
        <v>13</v>
      </c>
      <c r="B12" s="4">
        <v>45971</v>
      </c>
      <c r="C12" s="5">
        <v>0.46668981481481481</v>
      </c>
      <c r="D12" s="9" t="s">
        <v>1987</v>
      </c>
      <c r="E12" s="9" t="s">
        <v>1267</v>
      </c>
      <c r="F12" s="9"/>
      <c r="H12" s="9"/>
      <c r="I12" s="9" t="s">
        <v>799</v>
      </c>
      <c r="J12" s="9" t="s">
        <v>2948</v>
      </c>
      <c r="K12" t="s">
        <v>800</v>
      </c>
      <c r="L12" t="s">
        <v>801</v>
      </c>
      <c r="M12" s="3" t="str">
        <f>HYPERLINK(склад2въезд13192021222[[#This Row],[RelativePath]])</f>
        <v>9 Ангар пилорама\E33149364_1_20251110T111202Z.jpg</v>
      </c>
    </row>
    <row r="13" spans="1:13" x14ac:dyDescent="0.25">
      <c r="A13" s="2" t="s">
        <v>13</v>
      </c>
      <c r="B13" s="4">
        <v>45971</v>
      </c>
      <c r="C13" s="5">
        <v>0.47001157407407407</v>
      </c>
      <c r="D13" s="9" t="s">
        <v>4</v>
      </c>
      <c r="E13" s="9" t="s">
        <v>9</v>
      </c>
      <c r="F13" s="9"/>
      <c r="H13" s="9"/>
      <c r="I13" s="9" t="s">
        <v>802</v>
      </c>
      <c r="J13" s="9" t="s">
        <v>2948</v>
      </c>
      <c r="K13" t="s">
        <v>803</v>
      </c>
      <c r="L13" t="s">
        <v>804</v>
      </c>
      <c r="M13" s="3" t="str">
        <f>HYPERLINK(склад2въезд13192021222[[#This Row],[RelativePath]])</f>
        <v>9 Ангар пилорама\E33149364_1_20251110T111649Z.jpg</v>
      </c>
    </row>
    <row r="14" spans="1:13" x14ac:dyDescent="0.25">
      <c r="A14" s="2" t="s">
        <v>13</v>
      </c>
      <c r="B14" s="4">
        <v>45971</v>
      </c>
      <c r="C14" s="5">
        <v>0.49998842592592591</v>
      </c>
      <c r="D14" s="9" t="s">
        <v>4</v>
      </c>
      <c r="E14" s="9" t="s">
        <v>9</v>
      </c>
      <c r="F14" s="9"/>
      <c r="H14" s="9"/>
      <c r="I14" s="9" t="s">
        <v>805</v>
      </c>
      <c r="J14" s="9" t="s">
        <v>2948</v>
      </c>
      <c r="K14" t="s">
        <v>806</v>
      </c>
      <c r="L14" t="s">
        <v>807</v>
      </c>
      <c r="M14" s="3" t="str">
        <f>HYPERLINK(склад2въезд13192021222[[#This Row],[RelativePath]])</f>
        <v>9 Ангар пилорама\E33149364_1_20251110T115959Z.jpg</v>
      </c>
    </row>
    <row r="15" spans="1:13" x14ac:dyDescent="0.25">
      <c r="A15" s="2" t="s">
        <v>13</v>
      </c>
      <c r="B15" s="4">
        <v>45971</v>
      </c>
      <c r="C15" s="5">
        <v>0.51606481481481481</v>
      </c>
      <c r="D15" s="9" t="s">
        <v>4</v>
      </c>
      <c r="E15" s="9" t="s">
        <v>9</v>
      </c>
      <c r="F15" s="9"/>
      <c r="H15" s="9"/>
      <c r="I15" s="9" t="s">
        <v>808</v>
      </c>
      <c r="J15" s="9" t="s">
        <v>2948</v>
      </c>
      <c r="K15" t="s">
        <v>809</v>
      </c>
      <c r="L15" t="s">
        <v>810</v>
      </c>
      <c r="M15" s="3" t="str">
        <f>HYPERLINK(склад2въезд13192021222[[#This Row],[RelativePath]])</f>
        <v>9 Ангар пилорама\E33149364_1_20251110T122308Z.jpg</v>
      </c>
    </row>
    <row r="16" spans="1:13" x14ac:dyDescent="0.25">
      <c r="A16" s="2" t="s">
        <v>13</v>
      </c>
      <c r="B16" s="4">
        <v>45971</v>
      </c>
      <c r="C16" s="5">
        <v>0.51613425925925926</v>
      </c>
      <c r="D16" s="9" t="s">
        <v>4</v>
      </c>
      <c r="E16" s="9" t="s">
        <v>9</v>
      </c>
      <c r="F16" s="9"/>
      <c r="H16" s="9"/>
      <c r="I16" s="9" t="s">
        <v>811</v>
      </c>
      <c r="J16" s="9" t="s">
        <v>2948</v>
      </c>
      <c r="K16" t="s">
        <v>812</v>
      </c>
      <c r="L16" t="s">
        <v>813</v>
      </c>
      <c r="M16" s="3" t="str">
        <f>HYPERLINK(склад2въезд13192021222[[#This Row],[RelativePath]])</f>
        <v>9 Ангар пилорама\E33149364_1_20251110T122314Z.jpg</v>
      </c>
    </row>
    <row r="17" spans="1:13" x14ac:dyDescent="0.25">
      <c r="A17" s="2" t="s">
        <v>13</v>
      </c>
      <c r="B17" s="4">
        <v>45971</v>
      </c>
      <c r="C17" s="5">
        <v>0.5231365740740741</v>
      </c>
      <c r="D17" s="9" t="s">
        <v>4</v>
      </c>
      <c r="E17" s="9" t="s">
        <v>9</v>
      </c>
      <c r="F17" s="9"/>
      <c r="H17" s="9"/>
      <c r="I17" s="9" t="s">
        <v>814</v>
      </c>
      <c r="J17" s="9" t="s">
        <v>2948</v>
      </c>
      <c r="K17" t="s">
        <v>815</v>
      </c>
      <c r="L17" t="s">
        <v>816</v>
      </c>
      <c r="M17" s="3" t="str">
        <f>HYPERLINK(склад2въезд13192021222[[#This Row],[RelativePath]])</f>
        <v>9 Ангар пилорама\E33149364_1_20251110T123319Z.jpg</v>
      </c>
    </row>
    <row r="18" spans="1:13" x14ac:dyDescent="0.25">
      <c r="A18" s="2" t="s">
        <v>13</v>
      </c>
      <c r="B18" s="4">
        <v>45971</v>
      </c>
      <c r="C18" s="5">
        <v>0.53162037037037035</v>
      </c>
      <c r="D18" s="9" t="s">
        <v>4</v>
      </c>
      <c r="E18" s="9" t="s">
        <v>9</v>
      </c>
      <c r="F18" s="9"/>
      <c r="H18" s="9"/>
      <c r="I18" s="9" t="s">
        <v>817</v>
      </c>
      <c r="J18" s="9" t="s">
        <v>2948</v>
      </c>
      <c r="K18" t="s">
        <v>818</v>
      </c>
      <c r="L18" t="s">
        <v>819</v>
      </c>
      <c r="M18" s="3" t="str">
        <f>HYPERLINK(склад2въезд13192021222[[#This Row],[RelativePath]])</f>
        <v>9 Ангар пилорама\E33149364_1_20251110T124532Z.jpg</v>
      </c>
    </row>
    <row r="19" spans="1:13" x14ac:dyDescent="0.25">
      <c r="A19" s="2" t="s">
        <v>13</v>
      </c>
      <c r="B19" s="4">
        <v>45971</v>
      </c>
      <c r="C19" s="5">
        <v>0.5470949074074074</v>
      </c>
      <c r="D19" s="9" t="s">
        <v>4</v>
      </c>
      <c r="E19" s="9" t="s">
        <v>9</v>
      </c>
      <c r="F19" s="9"/>
      <c r="H19" s="9"/>
      <c r="I19" s="9" t="s">
        <v>820</v>
      </c>
      <c r="J19" s="9" t="s">
        <v>2948</v>
      </c>
      <c r="K19" t="s">
        <v>821</v>
      </c>
      <c r="L19" t="s">
        <v>822</v>
      </c>
      <c r="M19" s="3" t="str">
        <f>HYPERLINK(склад2въезд13192021222[[#This Row],[RelativePath]])</f>
        <v>9 Ангар пилорама\E33149364_1_20251110T130749Z.jpg</v>
      </c>
    </row>
    <row r="20" spans="1:13" x14ac:dyDescent="0.25">
      <c r="A20" s="2" t="s">
        <v>13</v>
      </c>
      <c r="B20" s="4">
        <v>45971</v>
      </c>
      <c r="C20" s="5">
        <v>0.56427083333333339</v>
      </c>
      <c r="D20" s="9" t="s">
        <v>4</v>
      </c>
      <c r="E20" s="9" t="s">
        <v>9</v>
      </c>
      <c r="F20" s="9"/>
      <c r="H20" s="9"/>
      <c r="I20" s="9" t="s">
        <v>823</v>
      </c>
      <c r="J20" s="9" t="s">
        <v>2948</v>
      </c>
      <c r="K20" t="s">
        <v>824</v>
      </c>
      <c r="L20" t="s">
        <v>825</v>
      </c>
      <c r="M20" s="3" t="str">
        <f>HYPERLINK(склад2въезд13192021222[[#This Row],[RelativePath]])</f>
        <v>9 Ангар пилорама\E33149364_1_20251110T133233Z.jpg</v>
      </c>
    </row>
    <row r="21" spans="1:13" x14ac:dyDescent="0.25">
      <c r="A21" s="2" t="s">
        <v>13</v>
      </c>
      <c r="B21" s="4">
        <v>45971</v>
      </c>
      <c r="C21" s="5">
        <v>0.58810185185185182</v>
      </c>
      <c r="D21" s="9" t="s">
        <v>4</v>
      </c>
      <c r="E21" s="9" t="s">
        <v>9</v>
      </c>
      <c r="F21" s="9"/>
      <c r="H21" s="9"/>
      <c r="I21" s="9" t="s">
        <v>826</v>
      </c>
      <c r="J21" s="9" t="s">
        <v>2948</v>
      </c>
      <c r="K21" t="s">
        <v>827</v>
      </c>
      <c r="L21" t="s">
        <v>828</v>
      </c>
      <c r="M21" s="3" t="str">
        <f>HYPERLINK(склад2въезд13192021222[[#This Row],[RelativePath]])</f>
        <v>9 Ангар пилорама\E33149364_1_20251110T140652Z.jpg</v>
      </c>
    </row>
    <row r="22" spans="1:13" x14ac:dyDescent="0.25">
      <c r="A22" s="2" t="s">
        <v>13</v>
      </c>
      <c r="B22" s="4">
        <v>45971</v>
      </c>
      <c r="C22" s="5">
        <v>0.5915393518518518</v>
      </c>
      <c r="D22" s="9" t="s">
        <v>4</v>
      </c>
      <c r="E22" s="9" t="s">
        <v>9</v>
      </c>
      <c r="F22" s="9"/>
      <c r="H22" s="9"/>
      <c r="I22" s="9" t="s">
        <v>829</v>
      </c>
      <c r="J22" s="9" t="s">
        <v>2948</v>
      </c>
      <c r="K22" t="s">
        <v>830</v>
      </c>
      <c r="L22" t="s">
        <v>831</v>
      </c>
      <c r="M22" s="3" t="str">
        <f>HYPERLINK(склад2въезд13192021222[[#This Row],[RelativePath]])</f>
        <v>9 Ангар пилорама\E33149364_1_20251110T141149Z.jpg</v>
      </c>
    </row>
    <row r="23" spans="1:13" x14ac:dyDescent="0.25">
      <c r="A23" s="2" t="s">
        <v>13</v>
      </c>
      <c r="B23" s="4">
        <v>45971</v>
      </c>
      <c r="C23" s="5">
        <v>0.59615740740740741</v>
      </c>
      <c r="D23" s="9" t="s">
        <v>4</v>
      </c>
      <c r="E23" s="9" t="s">
        <v>9</v>
      </c>
      <c r="F23" s="9"/>
      <c r="H23" s="9"/>
      <c r="I23" s="9" t="s">
        <v>832</v>
      </c>
      <c r="J23" s="9" t="s">
        <v>2948</v>
      </c>
      <c r="K23" t="s">
        <v>833</v>
      </c>
      <c r="L23" t="s">
        <v>834</v>
      </c>
      <c r="M23" s="3" t="str">
        <f>HYPERLINK(склад2въезд13192021222[[#This Row],[RelativePath]])</f>
        <v>9 Ангар пилорама\E33149364_1_20251110T141828Z.jpg</v>
      </c>
    </row>
    <row r="24" spans="1:13" x14ac:dyDescent="0.25">
      <c r="A24" s="2" t="s">
        <v>13</v>
      </c>
      <c r="B24" s="4">
        <v>45971</v>
      </c>
      <c r="C24" s="5">
        <v>0.59619212962962964</v>
      </c>
      <c r="D24" s="9" t="s">
        <v>4</v>
      </c>
      <c r="E24" s="9" t="s">
        <v>9</v>
      </c>
      <c r="F24" s="9"/>
      <c r="H24" s="9"/>
      <c r="I24" s="9" t="s">
        <v>835</v>
      </c>
      <c r="J24" s="9" t="s">
        <v>2948</v>
      </c>
      <c r="K24" t="s">
        <v>836</v>
      </c>
      <c r="L24" t="s">
        <v>837</v>
      </c>
      <c r="M24" s="3" t="str">
        <f>HYPERLINK(склад2въезд13192021222[[#This Row],[RelativePath]])</f>
        <v>9 Ангар пилорама\E33149364_1_20251110T141831Z.jpg</v>
      </c>
    </row>
    <row r="25" spans="1:13" x14ac:dyDescent="0.25">
      <c r="A25" s="2" t="s">
        <v>13</v>
      </c>
      <c r="B25" s="4">
        <v>45971</v>
      </c>
      <c r="C25" s="5">
        <v>0.59624999999999995</v>
      </c>
      <c r="D25" s="9" t="s">
        <v>4</v>
      </c>
      <c r="E25" s="9" t="s">
        <v>9</v>
      </c>
      <c r="F25" s="9"/>
      <c r="H25" s="9"/>
      <c r="I25" s="9" t="s">
        <v>838</v>
      </c>
      <c r="J25" s="9" t="s">
        <v>2948</v>
      </c>
      <c r="K25" t="s">
        <v>839</v>
      </c>
      <c r="L25" t="s">
        <v>840</v>
      </c>
      <c r="M25" s="3" t="str">
        <f>HYPERLINK(склад2въезд13192021222[[#This Row],[RelativePath]])</f>
        <v>9 Ангар пилорама\E33149364_1_20251110T141836Z.jpg</v>
      </c>
    </row>
    <row r="26" spans="1:13" x14ac:dyDescent="0.25">
      <c r="A26" s="2" t="s">
        <v>13</v>
      </c>
      <c r="B26" s="4">
        <v>45971</v>
      </c>
      <c r="C26" s="5">
        <v>0.6050578703703704</v>
      </c>
      <c r="D26" s="9" t="s">
        <v>4</v>
      </c>
      <c r="E26" s="9" t="s">
        <v>9</v>
      </c>
      <c r="F26" s="9"/>
      <c r="H26" s="9"/>
      <c r="I26" s="9" t="s">
        <v>841</v>
      </c>
      <c r="J26" s="9" t="s">
        <v>2948</v>
      </c>
      <c r="K26" t="s">
        <v>842</v>
      </c>
      <c r="L26" t="s">
        <v>843</v>
      </c>
      <c r="M26" s="3" t="str">
        <f>HYPERLINK(склад2въезд13192021222[[#This Row],[RelativePath]])</f>
        <v>9 Ангар пилорама\E33149364_1_20251110T143117Z.jpg</v>
      </c>
    </row>
    <row r="27" spans="1:13" x14ac:dyDescent="0.25">
      <c r="A27" s="2" t="s">
        <v>13</v>
      </c>
      <c r="B27" s="4">
        <v>45971</v>
      </c>
      <c r="C27" s="5">
        <v>0.61002314814814818</v>
      </c>
      <c r="D27" s="9" t="s">
        <v>4</v>
      </c>
      <c r="E27" s="9" t="s">
        <v>9</v>
      </c>
      <c r="F27" s="9"/>
      <c r="H27" s="9"/>
      <c r="I27" s="9" t="s">
        <v>844</v>
      </c>
      <c r="J27" s="9" t="s">
        <v>2948</v>
      </c>
      <c r="K27" t="s">
        <v>845</v>
      </c>
      <c r="L27" t="s">
        <v>846</v>
      </c>
      <c r="M27" s="3" t="str">
        <f>HYPERLINK(склад2въезд13192021222[[#This Row],[RelativePath]])</f>
        <v>9 Ангар пилорама\E33149364_1_20251110T143826Z.jpg</v>
      </c>
    </row>
    <row r="28" spans="1:13" x14ac:dyDescent="0.25">
      <c r="A28" s="2" t="s">
        <v>13</v>
      </c>
      <c r="B28" s="4">
        <v>45971</v>
      </c>
      <c r="C28" s="5">
        <v>0.61850694444444443</v>
      </c>
      <c r="D28" s="9" t="s">
        <v>4</v>
      </c>
      <c r="E28" s="9" t="s">
        <v>9</v>
      </c>
      <c r="F28" s="9"/>
      <c r="H28" s="9"/>
      <c r="I28" s="9" t="s">
        <v>847</v>
      </c>
      <c r="J28" s="9" t="s">
        <v>2948</v>
      </c>
      <c r="K28" t="s">
        <v>848</v>
      </c>
      <c r="L28" t="s">
        <v>849</v>
      </c>
      <c r="M28" s="3" t="str">
        <f>HYPERLINK(склад2въезд13192021222[[#This Row],[RelativePath]])</f>
        <v>9 Ангар пилорама\E33149364_1_20251110T145039Z.jpg</v>
      </c>
    </row>
    <row r="29" spans="1:13" x14ac:dyDescent="0.25">
      <c r="A29" s="2" t="s">
        <v>13</v>
      </c>
      <c r="B29" s="4">
        <v>45971</v>
      </c>
      <c r="C29" s="5">
        <v>0.63565972222222222</v>
      </c>
      <c r="D29" s="9" t="s">
        <v>1987</v>
      </c>
      <c r="E29" s="9" t="s">
        <v>1267</v>
      </c>
      <c r="F29" s="9"/>
      <c r="H29" s="9"/>
      <c r="I29" s="9" t="s">
        <v>850</v>
      </c>
      <c r="J29" s="9" t="s">
        <v>2948</v>
      </c>
      <c r="K29" t="s">
        <v>851</v>
      </c>
      <c r="L29" t="s">
        <v>852</v>
      </c>
      <c r="M29" s="3" t="str">
        <f>HYPERLINK(склад2въезд13192021222[[#This Row],[RelativePath]])</f>
        <v>9 Ангар пилорама\E33149364_1_20251110T151521Z.jpg</v>
      </c>
    </row>
    <row r="30" spans="1:13" x14ac:dyDescent="0.25">
      <c r="A30" s="2" t="s">
        <v>13</v>
      </c>
      <c r="B30" s="4">
        <v>45971</v>
      </c>
      <c r="C30" s="5">
        <v>0.65209490740740739</v>
      </c>
      <c r="D30" s="9" t="s">
        <v>1987</v>
      </c>
      <c r="E30" s="9" t="s">
        <v>1267</v>
      </c>
      <c r="F30" s="9"/>
      <c r="H30" s="9"/>
      <c r="I30" s="9" t="s">
        <v>853</v>
      </c>
      <c r="J30" s="9" t="s">
        <v>2948</v>
      </c>
      <c r="K30" t="s">
        <v>854</v>
      </c>
      <c r="L30" t="s">
        <v>855</v>
      </c>
      <c r="M30" s="3" t="str">
        <f>HYPERLINK(склад2въезд13192021222[[#This Row],[RelativePath]])</f>
        <v>9 Ангар пилорама\E33149364_1_20251110T153901Z.jpg</v>
      </c>
    </row>
    <row r="31" spans="1:13" x14ac:dyDescent="0.25">
      <c r="A31" s="2" t="s">
        <v>13</v>
      </c>
      <c r="B31" s="4">
        <v>45971</v>
      </c>
      <c r="C31" s="5">
        <v>0.65309027777777773</v>
      </c>
      <c r="D31" s="9" t="s">
        <v>1987</v>
      </c>
      <c r="E31" s="9" t="s">
        <v>1267</v>
      </c>
      <c r="F31" s="9"/>
      <c r="H31" s="9"/>
      <c r="I31" s="9" t="s">
        <v>856</v>
      </c>
      <c r="J31" s="9" t="s">
        <v>2948</v>
      </c>
      <c r="K31" t="s">
        <v>857</v>
      </c>
      <c r="L31" t="s">
        <v>858</v>
      </c>
      <c r="M31" s="3" t="str">
        <f>HYPERLINK(склад2въезд13192021222[[#This Row],[RelativePath]])</f>
        <v>9 Ангар пилорама\E33149364_1_20251110T154027Z.jpg</v>
      </c>
    </row>
    <row r="32" spans="1:13" x14ac:dyDescent="0.25">
      <c r="A32" s="2" t="s">
        <v>13</v>
      </c>
      <c r="B32" s="4">
        <v>45971</v>
      </c>
      <c r="C32" s="5">
        <v>0.65831018518518514</v>
      </c>
      <c r="D32" s="9" t="s">
        <v>4</v>
      </c>
      <c r="E32" s="9" t="s">
        <v>9</v>
      </c>
      <c r="F32" s="9"/>
      <c r="H32" s="9"/>
      <c r="I32" s="9" t="s">
        <v>859</v>
      </c>
      <c r="J32" s="9" t="s">
        <v>2948</v>
      </c>
      <c r="K32" t="s">
        <v>860</v>
      </c>
      <c r="L32" t="s">
        <v>861</v>
      </c>
      <c r="M32" s="3" t="str">
        <f>HYPERLINK(склад2въезд13192021222[[#This Row],[RelativePath]])</f>
        <v>9 Ангар пилорама\E33149364_1_20251110T154758Z.jpg</v>
      </c>
    </row>
    <row r="33" spans="1:13" x14ac:dyDescent="0.25">
      <c r="A33" s="2" t="s">
        <v>13</v>
      </c>
      <c r="B33" s="4">
        <v>45971</v>
      </c>
      <c r="C33" s="5">
        <v>0.66753472222222221</v>
      </c>
      <c r="D33" s="9" t="s">
        <v>4</v>
      </c>
      <c r="E33" s="9" t="s">
        <v>9</v>
      </c>
      <c r="F33" s="9"/>
      <c r="H33" s="9"/>
      <c r="I33" s="9" t="s">
        <v>862</v>
      </c>
      <c r="J33" s="9" t="s">
        <v>2948</v>
      </c>
      <c r="K33" t="s">
        <v>863</v>
      </c>
      <c r="L33" t="s">
        <v>864</v>
      </c>
      <c r="M33" s="3" t="str">
        <f>HYPERLINK(склад2въезд13192021222[[#This Row],[RelativePath]])</f>
        <v>9 Ангар пилорама\E33149364_1_20251110T160115Z.jpg</v>
      </c>
    </row>
    <row r="34" spans="1:13" x14ac:dyDescent="0.25">
      <c r="A34" s="2" t="s">
        <v>13</v>
      </c>
      <c r="B34" s="4">
        <v>45971</v>
      </c>
      <c r="C34" s="5">
        <v>0.69762731481481477</v>
      </c>
      <c r="D34" s="9" t="s">
        <v>4</v>
      </c>
      <c r="E34" s="9" t="s">
        <v>9</v>
      </c>
      <c r="F34" s="9"/>
      <c r="H34" s="9"/>
      <c r="I34" s="9" t="s">
        <v>865</v>
      </c>
      <c r="J34" s="9" t="s">
        <v>2948</v>
      </c>
      <c r="K34" t="s">
        <v>866</v>
      </c>
      <c r="L34" t="s">
        <v>867</v>
      </c>
      <c r="M34" s="3" t="str">
        <f>HYPERLINK(склад2въезд13192021222[[#This Row],[RelativePath]])</f>
        <v>9 Ангар пилорама\E33149364_1_20251110T164435Z.jpg</v>
      </c>
    </row>
    <row r="35" spans="1:13" x14ac:dyDescent="0.25">
      <c r="A35" s="2" t="s">
        <v>13</v>
      </c>
      <c r="B35" s="4">
        <v>45971</v>
      </c>
      <c r="C35" s="5">
        <v>0.90027777777777773</v>
      </c>
      <c r="D35" s="9" t="s">
        <v>4</v>
      </c>
      <c r="E35" s="9" t="s">
        <v>9</v>
      </c>
      <c r="F35" s="9"/>
      <c r="H35" s="9"/>
      <c r="I35" s="9" t="s">
        <v>868</v>
      </c>
      <c r="J35" s="9" t="s">
        <v>2948</v>
      </c>
      <c r="K35" t="s">
        <v>869</v>
      </c>
      <c r="L35" t="s">
        <v>870</v>
      </c>
      <c r="M35" s="3" t="str">
        <f>HYPERLINK(склад2въезд13192021222[[#This Row],[RelativePath]])</f>
        <v>9 Ангар пилорама\E33149364_1_20251110T213624Z.jpg</v>
      </c>
    </row>
    <row r="36" spans="1:13" x14ac:dyDescent="0.25">
      <c r="A36" s="2" t="s">
        <v>13</v>
      </c>
      <c r="B36" s="4">
        <v>45971</v>
      </c>
      <c r="C36" s="5">
        <v>0.90642361111111114</v>
      </c>
      <c r="D36" s="9" t="s">
        <v>1987</v>
      </c>
      <c r="E36" s="9" t="s">
        <v>1267</v>
      </c>
      <c r="F36" s="9"/>
      <c r="H36" s="9"/>
      <c r="I36" s="9" t="s">
        <v>871</v>
      </c>
      <c r="J36" s="9" t="s">
        <v>2948</v>
      </c>
      <c r="K36" t="s">
        <v>872</v>
      </c>
      <c r="L36" t="s">
        <v>873</v>
      </c>
      <c r="M36" s="3" t="str">
        <f>HYPERLINK(склад2въезд13192021222[[#This Row],[RelativePath]])</f>
        <v>9 Ангар пилорама\E33149364_1_20251110T214515Z.jpg</v>
      </c>
    </row>
    <row r="37" spans="1:13" x14ac:dyDescent="0.25">
      <c r="A37" s="2" t="s">
        <v>13</v>
      </c>
      <c r="B37" s="4">
        <v>45971</v>
      </c>
      <c r="C37" s="5">
        <v>0.9537268518518518</v>
      </c>
      <c r="D37" s="9" t="s">
        <v>4</v>
      </c>
      <c r="E37" s="9" t="s">
        <v>9</v>
      </c>
      <c r="F37" s="9"/>
      <c r="H37" s="9"/>
      <c r="I37" s="9" t="s">
        <v>874</v>
      </c>
      <c r="J37" s="9" t="s">
        <v>2948</v>
      </c>
      <c r="K37" t="s">
        <v>875</v>
      </c>
      <c r="L37" t="s">
        <v>876</v>
      </c>
      <c r="M37" s="3" t="str">
        <f>HYPERLINK(склад2въезд13192021222[[#This Row],[RelativePath]])</f>
        <v>9 Ангар пилорама\E33149364_1_20251110T225322Z.jpg</v>
      </c>
    </row>
    <row r="38" spans="1:13" x14ac:dyDescent="0.25">
      <c r="A38" s="2" t="s">
        <v>14</v>
      </c>
      <c r="B38" s="4">
        <v>45972</v>
      </c>
      <c r="C38" s="5">
        <v>0.24751157407407406</v>
      </c>
      <c r="D38" s="9" t="s">
        <v>767</v>
      </c>
      <c r="E38" s="9" t="s">
        <v>1267</v>
      </c>
      <c r="F38" s="9"/>
      <c r="H38" s="9"/>
      <c r="I38" s="9" t="s">
        <v>877</v>
      </c>
      <c r="J38" s="9" t="s">
        <v>2948</v>
      </c>
      <c r="K38" t="s">
        <v>878</v>
      </c>
      <c r="L38" t="s">
        <v>879</v>
      </c>
      <c r="M38" s="3" t="str">
        <f>HYPERLINK(склад2въезд13192021222[[#This Row],[RelativePath]])</f>
        <v>9 Ангар пилорама\E33149364_1_20251111T055625Z.jpg</v>
      </c>
    </row>
    <row r="39" spans="1:13" x14ac:dyDescent="0.25">
      <c r="A39" s="2" t="s">
        <v>14</v>
      </c>
      <c r="B39" s="4">
        <v>45972</v>
      </c>
      <c r="C39" s="5">
        <v>0.25670138888888888</v>
      </c>
      <c r="D39" s="9" t="s">
        <v>4</v>
      </c>
      <c r="E39" s="9" t="s">
        <v>9</v>
      </c>
      <c r="F39" s="9"/>
      <c r="H39" s="9"/>
      <c r="I39" s="9" t="s">
        <v>880</v>
      </c>
      <c r="J39" s="9" t="s">
        <v>2948</v>
      </c>
      <c r="K39" t="s">
        <v>881</v>
      </c>
      <c r="L39" t="s">
        <v>882</v>
      </c>
      <c r="M39" s="3" t="str">
        <f>HYPERLINK(склад2въезд13192021222[[#This Row],[RelativePath]])</f>
        <v>9 Ангар пилорама\E33149364_1_20251111T060939Z.jpg</v>
      </c>
    </row>
    <row r="40" spans="1:13" x14ac:dyDescent="0.25">
      <c r="A40" s="2" t="s">
        <v>14</v>
      </c>
      <c r="B40" s="4">
        <v>45972</v>
      </c>
      <c r="C40" s="5">
        <v>0.31418981481481484</v>
      </c>
      <c r="D40" s="9" t="s">
        <v>4</v>
      </c>
      <c r="E40" s="9" t="s">
        <v>9</v>
      </c>
      <c r="F40" s="9"/>
      <c r="H40" s="9"/>
      <c r="I40" s="9" t="s">
        <v>883</v>
      </c>
      <c r="J40" s="9" t="s">
        <v>2948</v>
      </c>
      <c r="K40" t="s">
        <v>884</v>
      </c>
      <c r="L40" t="s">
        <v>885</v>
      </c>
      <c r="M40" s="3" t="str">
        <f>HYPERLINK(склад2въезд13192021222[[#This Row],[RelativePath]])</f>
        <v>9 Ангар пилорама\E33149364_1_20251111T073226Z.jpg</v>
      </c>
    </row>
    <row r="41" spans="1:13" x14ac:dyDescent="0.25">
      <c r="A41" s="2" t="s">
        <v>14</v>
      </c>
      <c r="B41" s="4">
        <v>45972</v>
      </c>
      <c r="C41" s="5">
        <v>0.37362268518518521</v>
      </c>
      <c r="D41" s="9" t="s">
        <v>4</v>
      </c>
      <c r="E41" s="9" t="s">
        <v>9</v>
      </c>
      <c r="F41" s="9"/>
      <c r="H41" s="9"/>
      <c r="I41" s="9" t="s">
        <v>886</v>
      </c>
      <c r="J41" s="9" t="s">
        <v>2948</v>
      </c>
      <c r="K41" t="s">
        <v>887</v>
      </c>
      <c r="L41" t="s">
        <v>888</v>
      </c>
      <c r="M41" s="3" t="str">
        <f>HYPERLINK(склад2въезд13192021222[[#This Row],[RelativePath]])</f>
        <v>9 Ангар пилорама\E33149364_1_20251111T085801Z.jpg</v>
      </c>
    </row>
    <row r="42" spans="1:13" x14ac:dyDescent="0.25">
      <c r="A42" s="2" t="s">
        <v>14</v>
      </c>
      <c r="B42" s="4">
        <v>45972</v>
      </c>
      <c r="C42" s="5">
        <v>0.39842592592592591</v>
      </c>
      <c r="D42" s="9" t="s">
        <v>4</v>
      </c>
      <c r="E42" s="9" t="s">
        <v>9</v>
      </c>
      <c r="F42" s="9"/>
      <c r="H42" s="9"/>
      <c r="I42" s="9" t="s">
        <v>889</v>
      </c>
      <c r="J42" s="9" t="s">
        <v>2948</v>
      </c>
      <c r="K42" t="s">
        <v>890</v>
      </c>
      <c r="L42" t="s">
        <v>891</v>
      </c>
      <c r="M42" s="3" t="str">
        <f>HYPERLINK(склад2въезд13192021222[[#This Row],[RelativePath]])</f>
        <v>9 Ангар пилорама\E33149364_1_20251111T093344Z.jpg</v>
      </c>
    </row>
    <row r="43" spans="1:13" x14ac:dyDescent="0.25">
      <c r="A43" s="2" t="s">
        <v>14</v>
      </c>
      <c r="B43" s="4">
        <v>45972</v>
      </c>
      <c r="C43" s="5">
        <v>0.44122685185185184</v>
      </c>
      <c r="D43" s="9" t="s">
        <v>4</v>
      </c>
      <c r="E43" s="9" t="s">
        <v>9</v>
      </c>
      <c r="F43" s="9"/>
      <c r="H43" s="9"/>
      <c r="I43" s="9" t="s">
        <v>892</v>
      </c>
      <c r="J43" s="9" t="s">
        <v>2948</v>
      </c>
      <c r="K43" t="s">
        <v>893</v>
      </c>
      <c r="L43" t="s">
        <v>894</v>
      </c>
      <c r="M43" s="3" t="str">
        <f>HYPERLINK(склад2въезд13192021222[[#This Row],[RelativePath]])</f>
        <v>9 Ангар пилорама\E33149364_1_20251111T103522Z.jpg</v>
      </c>
    </row>
    <row r="44" spans="1:13" x14ac:dyDescent="0.25">
      <c r="A44" s="2" t="s">
        <v>14</v>
      </c>
      <c r="B44" s="4">
        <v>45972</v>
      </c>
      <c r="C44" s="5">
        <v>0.44133101851851853</v>
      </c>
      <c r="D44" s="9" t="s">
        <v>1063</v>
      </c>
      <c r="E44" s="9" t="s">
        <v>1065</v>
      </c>
      <c r="F44" s="9"/>
      <c r="H44" s="9"/>
      <c r="I44" s="9" t="s">
        <v>895</v>
      </c>
      <c r="J44" s="9" t="s">
        <v>2948</v>
      </c>
      <c r="K44" t="s">
        <v>896</v>
      </c>
      <c r="L44" t="s">
        <v>897</v>
      </c>
      <c r="M44" s="3" t="str">
        <f>HYPERLINK(склад2въезд13192021222[[#This Row],[RelativePath]])</f>
        <v>9 Ангар пилорама\E33149364_1_20251111T103531Z.jpg</v>
      </c>
    </row>
    <row r="45" spans="1:13" x14ac:dyDescent="0.25">
      <c r="A45" s="2" t="s">
        <v>14</v>
      </c>
      <c r="B45" s="4">
        <v>45972</v>
      </c>
      <c r="C45" s="5">
        <v>0.44695601851851852</v>
      </c>
      <c r="D45" s="9" t="s">
        <v>4</v>
      </c>
      <c r="E45" s="9" t="s">
        <v>9</v>
      </c>
      <c r="F45" s="9"/>
      <c r="H45" s="9"/>
      <c r="I45" s="9" t="s">
        <v>898</v>
      </c>
      <c r="J45" s="9" t="s">
        <v>2948</v>
      </c>
      <c r="K45" t="s">
        <v>899</v>
      </c>
      <c r="L45" t="s">
        <v>900</v>
      </c>
      <c r="M45" s="3" t="str">
        <f>HYPERLINK(склад2въезд13192021222[[#This Row],[RelativePath]])</f>
        <v>9 Ангар пилорама\E33149364_1_20251111T104337Z.jpg</v>
      </c>
    </row>
    <row r="46" spans="1:13" x14ac:dyDescent="0.25">
      <c r="A46" s="2" t="s">
        <v>14</v>
      </c>
      <c r="B46" s="4">
        <v>45972</v>
      </c>
      <c r="C46" s="5">
        <v>0.45174768518518521</v>
      </c>
      <c r="D46" s="9" t="s">
        <v>767</v>
      </c>
      <c r="E46" s="9" t="s">
        <v>1267</v>
      </c>
      <c r="F46" s="9"/>
      <c r="H46" s="9"/>
      <c r="I46" s="9" t="s">
        <v>901</v>
      </c>
      <c r="J46" s="9" t="s">
        <v>2948</v>
      </c>
      <c r="K46" t="s">
        <v>902</v>
      </c>
      <c r="L46" t="s">
        <v>903</v>
      </c>
      <c r="M46" s="3" t="str">
        <f>HYPERLINK(склад2въезд13192021222[[#This Row],[RelativePath]])</f>
        <v>9 Ангар пилорама\E33149364_1_20251111T105031Z.jpg</v>
      </c>
    </row>
    <row r="47" spans="1:13" x14ac:dyDescent="0.25">
      <c r="A47" s="2" t="s">
        <v>14</v>
      </c>
      <c r="B47" s="4">
        <v>45972</v>
      </c>
      <c r="C47" s="5">
        <v>0.45381944444444444</v>
      </c>
      <c r="D47" s="9" t="s">
        <v>1268</v>
      </c>
      <c r="E47" s="9" t="s">
        <v>1069</v>
      </c>
      <c r="F47" s="9"/>
      <c r="H47" s="9"/>
      <c r="I47" s="9" t="s">
        <v>904</v>
      </c>
      <c r="J47" s="9" t="s">
        <v>2948</v>
      </c>
      <c r="K47" t="s">
        <v>905</v>
      </c>
      <c r="L47" t="s">
        <v>906</v>
      </c>
      <c r="M47" s="3" t="str">
        <f>HYPERLINK(склад2въезд13192021222[[#This Row],[RelativePath]])</f>
        <v>9 Ангар пилорама\E33149364_1_20251111T105330Z.jpg</v>
      </c>
    </row>
    <row r="48" spans="1:13" x14ac:dyDescent="0.25">
      <c r="A48" s="2" t="s">
        <v>14</v>
      </c>
      <c r="B48" s="4">
        <v>45972</v>
      </c>
      <c r="C48" s="5">
        <v>0.45905092592592595</v>
      </c>
      <c r="D48" s="9" t="s">
        <v>4</v>
      </c>
      <c r="E48" s="9" t="s">
        <v>9</v>
      </c>
      <c r="F48" s="9"/>
      <c r="H48" s="9"/>
      <c r="I48" s="9" t="s">
        <v>907</v>
      </c>
      <c r="J48" s="9" t="s">
        <v>2948</v>
      </c>
      <c r="K48" t="s">
        <v>908</v>
      </c>
      <c r="L48" t="s">
        <v>909</v>
      </c>
      <c r="M48" s="3" t="str">
        <f>HYPERLINK(склад2въезд13192021222[[#This Row],[RelativePath]])</f>
        <v>9 Ангар пилорама\E33149364_1_20251111T110102Z.jpg</v>
      </c>
    </row>
    <row r="49" spans="1:13" x14ac:dyDescent="0.25">
      <c r="A49" s="2" t="s">
        <v>14</v>
      </c>
      <c r="B49" s="4">
        <v>45972</v>
      </c>
      <c r="C49" s="5">
        <v>0.47359953703703705</v>
      </c>
      <c r="D49" s="9" t="s">
        <v>4</v>
      </c>
      <c r="E49" s="9" t="s">
        <v>9</v>
      </c>
      <c r="F49" s="9"/>
      <c r="H49" s="9"/>
      <c r="I49" s="9" t="s">
        <v>910</v>
      </c>
      <c r="J49" s="9" t="s">
        <v>2948</v>
      </c>
      <c r="K49" t="s">
        <v>911</v>
      </c>
      <c r="L49" t="s">
        <v>912</v>
      </c>
      <c r="M49" s="3" t="str">
        <f>HYPERLINK(склад2въезд13192021222[[#This Row],[RelativePath]])</f>
        <v>9 Ангар пилорама\E33149364_1_20251111T112159Z.jpg</v>
      </c>
    </row>
    <row r="50" spans="1:13" x14ac:dyDescent="0.25">
      <c r="A50" s="2" t="s">
        <v>14</v>
      </c>
      <c r="B50" s="4">
        <v>45972</v>
      </c>
      <c r="C50" s="5">
        <v>0.48079861111111111</v>
      </c>
      <c r="D50" s="9" t="s">
        <v>1063</v>
      </c>
      <c r="E50" s="9" t="s">
        <v>1067</v>
      </c>
      <c r="F50" s="9"/>
      <c r="H50" s="9"/>
      <c r="I50" s="9" t="s">
        <v>913</v>
      </c>
      <c r="J50" s="9" t="s">
        <v>2948</v>
      </c>
      <c r="K50" t="s">
        <v>914</v>
      </c>
      <c r="L50" t="s">
        <v>915</v>
      </c>
      <c r="M50" s="3" t="str">
        <f>HYPERLINK(склад2въезд13192021222[[#This Row],[RelativePath]])</f>
        <v>9 Ангар пилорама\E33149364_1_20251111T113221Z.jpg</v>
      </c>
    </row>
    <row r="51" spans="1:13" x14ac:dyDescent="0.25">
      <c r="A51" s="2" t="s">
        <v>14</v>
      </c>
      <c r="B51" s="4">
        <v>45972</v>
      </c>
      <c r="C51" s="5">
        <v>0.48454861111111114</v>
      </c>
      <c r="D51" s="9" t="s">
        <v>4</v>
      </c>
      <c r="E51" s="9" t="s">
        <v>9</v>
      </c>
      <c r="F51" s="9"/>
      <c r="H51" s="9"/>
      <c r="I51" s="9" t="s">
        <v>916</v>
      </c>
      <c r="J51" s="9" t="s">
        <v>2948</v>
      </c>
      <c r="K51" t="s">
        <v>917</v>
      </c>
      <c r="L51" t="s">
        <v>918</v>
      </c>
      <c r="M51" s="3" t="str">
        <f>HYPERLINK(склад2въезд13192021222[[#This Row],[RelativePath]])</f>
        <v>9 Ангар пилорама\E33149364_1_20251111T113745Z.jpg</v>
      </c>
    </row>
    <row r="52" spans="1:13" x14ac:dyDescent="0.25">
      <c r="A52" s="2" t="s">
        <v>14</v>
      </c>
      <c r="B52" s="4">
        <v>45972</v>
      </c>
      <c r="C52" s="5">
        <v>0.50064814814814818</v>
      </c>
      <c r="D52" s="9" t="s">
        <v>4</v>
      </c>
      <c r="E52" s="9" t="s">
        <v>1269</v>
      </c>
      <c r="F52" s="9"/>
      <c r="H52" s="9"/>
      <c r="I52" s="9" t="s">
        <v>919</v>
      </c>
      <c r="J52" s="9" t="s">
        <v>2948</v>
      </c>
      <c r="K52" t="s">
        <v>920</v>
      </c>
      <c r="L52" t="s">
        <v>921</v>
      </c>
      <c r="M52" s="3" t="str">
        <f>HYPERLINK(склад2въезд13192021222[[#This Row],[RelativePath]])</f>
        <v>9 Ангар пилорама\E33149364_1_20251111T120056Z.jpg</v>
      </c>
    </row>
    <row r="53" spans="1:13" x14ac:dyDescent="0.25">
      <c r="A53" s="2" t="s">
        <v>14</v>
      </c>
      <c r="B53" s="4">
        <v>45972</v>
      </c>
      <c r="C53" s="5">
        <v>0.51751157407407411</v>
      </c>
      <c r="D53" s="9" t="s">
        <v>1063</v>
      </c>
      <c r="E53" s="9" t="s">
        <v>1269</v>
      </c>
      <c r="F53" s="9"/>
      <c r="H53" s="9"/>
      <c r="I53" s="9" t="s">
        <v>922</v>
      </c>
      <c r="J53" s="9" t="s">
        <v>2948</v>
      </c>
      <c r="K53" t="s">
        <v>923</v>
      </c>
      <c r="L53" t="s">
        <v>924</v>
      </c>
      <c r="M53" s="3" t="str">
        <f>HYPERLINK(склад2въезд13192021222[[#This Row],[RelativePath]])</f>
        <v>9 Ангар пилорама\E33149364_1_20251111T122513Z.jpg</v>
      </c>
    </row>
    <row r="54" spans="1:13" x14ac:dyDescent="0.25">
      <c r="A54" s="2" t="s">
        <v>14</v>
      </c>
      <c r="B54" s="4">
        <v>45972</v>
      </c>
      <c r="C54" s="5">
        <v>0.60920138888888886</v>
      </c>
      <c r="D54" s="9" t="s">
        <v>4</v>
      </c>
      <c r="E54" s="9" t="s">
        <v>9</v>
      </c>
      <c r="F54" s="9"/>
      <c r="H54" s="9"/>
      <c r="I54" s="9" t="s">
        <v>925</v>
      </c>
      <c r="J54" s="9" t="s">
        <v>2948</v>
      </c>
      <c r="K54" t="s">
        <v>926</v>
      </c>
      <c r="L54" t="s">
        <v>927</v>
      </c>
      <c r="M54" s="3" t="str">
        <f>HYPERLINK(склад2въезд13192021222[[#This Row],[RelativePath]])</f>
        <v>9 Ангар пилорама\E33149364_1_20251111T143715Z.jpg</v>
      </c>
    </row>
    <row r="55" spans="1:13" x14ac:dyDescent="0.25">
      <c r="A55" s="2" t="s">
        <v>14</v>
      </c>
      <c r="B55" s="4">
        <v>45972</v>
      </c>
      <c r="C55" s="5">
        <v>0.62399305555555551</v>
      </c>
      <c r="D55" s="9" t="s">
        <v>4</v>
      </c>
      <c r="E55" s="9" t="s">
        <v>9</v>
      </c>
      <c r="F55" s="9"/>
      <c r="H55" s="9"/>
      <c r="I55" s="9" t="s">
        <v>928</v>
      </c>
      <c r="J55" s="9" t="s">
        <v>2948</v>
      </c>
      <c r="K55" t="s">
        <v>929</v>
      </c>
      <c r="L55" t="s">
        <v>930</v>
      </c>
      <c r="M55" s="3" t="str">
        <f>HYPERLINK(склад2въезд13192021222[[#This Row],[RelativePath]])</f>
        <v>9 Ангар пилорама\E33149364_1_20251111T145833Z.jpg</v>
      </c>
    </row>
    <row r="56" spans="1:13" x14ac:dyDescent="0.25">
      <c r="A56" s="2" t="s">
        <v>14</v>
      </c>
      <c r="B56" s="4">
        <v>45972</v>
      </c>
      <c r="C56" s="5">
        <v>0.63526620370370368</v>
      </c>
      <c r="D56" s="9" t="s">
        <v>4</v>
      </c>
      <c r="E56" s="9" t="s">
        <v>9</v>
      </c>
      <c r="F56" s="9"/>
      <c r="H56" s="9"/>
      <c r="I56" s="9" t="s">
        <v>931</v>
      </c>
      <c r="J56" s="9" t="s">
        <v>2948</v>
      </c>
      <c r="K56" t="s">
        <v>932</v>
      </c>
      <c r="L56" t="s">
        <v>933</v>
      </c>
      <c r="M56" s="3" t="str">
        <f>HYPERLINK(склад2въезд13192021222[[#This Row],[RelativePath]])</f>
        <v>9 Ангар пилорама\E33149364_1_20251111T151447Z.jpg</v>
      </c>
    </row>
    <row r="57" spans="1:13" x14ac:dyDescent="0.25">
      <c r="A57" s="2" t="s">
        <v>14</v>
      </c>
      <c r="B57" s="4">
        <v>45972</v>
      </c>
      <c r="C57" s="5">
        <v>0.66174768518518523</v>
      </c>
      <c r="D57" s="9" t="s">
        <v>4</v>
      </c>
      <c r="E57" s="9" t="s">
        <v>9</v>
      </c>
      <c r="F57" s="9"/>
      <c r="H57" s="9"/>
      <c r="I57" s="9" t="s">
        <v>934</v>
      </c>
      <c r="J57" s="9" t="s">
        <v>2948</v>
      </c>
      <c r="K57" t="s">
        <v>935</v>
      </c>
      <c r="L57" t="s">
        <v>936</v>
      </c>
      <c r="M57" s="3" t="str">
        <f>HYPERLINK(склад2въезд13192021222[[#This Row],[RelativePath]])</f>
        <v>9 Ангар пилорама\E33149364_1_20251111T155255Z.jpg</v>
      </c>
    </row>
    <row r="58" spans="1:13" x14ac:dyDescent="0.25">
      <c r="A58" s="2" t="s">
        <v>14</v>
      </c>
      <c r="B58" s="4">
        <v>45972</v>
      </c>
      <c r="C58" s="5">
        <v>0.6868171296296296</v>
      </c>
      <c r="D58" s="9" t="s">
        <v>4</v>
      </c>
      <c r="E58" s="9" t="s">
        <v>9</v>
      </c>
      <c r="F58" s="9"/>
      <c r="H58" s="9"/>
      <c r="I58" s="9" t="s">
        <v>937</v>
      </c>
      <c r="J58" s="9" t="s">
        <v>2948</v>
      </c>
      <c r="K58" t="s">
        <v>938</v>
      </c>
      <c r="L58" t="s">
        <v>939</v>
      </c>
      <c r="M58" s="3" t="str">
        <f>HYPERLINK(склад2въезд13192021222[[#This Row],[RelativePath]])</f>
        <v>9 Ангар пилорама\E33149364_1_20251111T162901Z.jpg</v>
      </c>
    </row>
    <row r="59" spans="1:13" x14ac:dyDescent="0.25">
      <c r="A59" s="2" t="s">
        <v>14</v>
      </c>
      <c r="B59" s="4">
        <v>45972</v>
      </c>
      <c r="C59" s="5">
        <v>0.77709490740740739</v>
      </c>
      <c r="D59" s="9" t="s">
        <v>4</v>
      </c>
      <c r="E59" s="9" t="s">
        <v>9</v>
      </c>
      <c r="F59" s="9"/>
      <c r="H59" s="9"/>
      <c r="I59" s="9" t="s">
        <v>940</v>
      </c>
      <c r="J59" s="9" t="s">
        <v>2948</v>
      </c>
      <c r="K59" t="s">
        <v>941</v>
      </c>
      <c r="L59" t="s">
        <v>942</v>
      </c>
      <c r="M59" s="3" t="str">
        <f>HYPERLINK(склад2въезд13192021222[[#This Row],[RelativePath]])</f>
        <v>9 Ангар пилорама\E33149364_1_20251111T183901Z.jpg</v>
      </c>
    </row>
    <row r="60" spans="1:13" x14ac:dyDescent="0.25">
      <c r="A60" s="2" t="s">
        <v>14</v>
      </c>
      <c r="B60" s="4">
        <v>45972</v>
      </c>
      <c r="C60" s="5">
        <v>0.78417824074074072</v>
      </c>
      <c r="D60" s="9" t="s">
        <v>4</v>
      </c>
      <c r="E60" s="9" t="s">
        <v>9</v>
      </c>
      <c r="F60" s="9"/>
      <c r="H60" s="9"/>
      <c r="I60" s="9" t="s">
        <v>943</v>
      </c>
      <c r="J60" s="9" t="s">
        <v>2948</v>
      </c>
      <c r="K60" t="s">
        <v>944</v>
      </c>
      <c r="L60" t="s">
        <v>945</v>
      </c>
      <c r="M60" s="3" t="str">
        <f>HYPERLINK(склад2въезд13192021222[[#This Row],[RelativePath]])</f>
        <v>9 Ангар пилорама\E33149364_1_20251111T184913Z.jpg</v>
      </c>
    </row>
    <row r="61" spans="1:13" x14ac:dyDescent="0.25">
      <c r="A61" s="2" t="s">
        <v>14</v>
      </c>
      <c r="B61" s="4">
        <v>45972</v>
      </c>
      <c r="C61" s="5">
        <v>0.80171296296296302</v>
      </c>
      <c r="D61" s="9" t="s">
        <v>4</v>
      </c>
      <c r="E61" s="9" t="s">
        <v>9</v>
      </c>
      <c r="F61" s="9"/>
      <c r="H61" s="9"/>
      <c r="I61" s="9" t="s">
        <v>946</v>
      </c>
      <c r="J61" s="9" t="s">
        <v>2948</v>
      </c>
      <c r="K61" t="s">
        <v>947</v>
      </c>
      <c r="L61" t="s">
        <v>948</v>
      </c>
      <c r="M61" s="3" t="str">
        <f>HYPERLINK(склад2въезд13192021222[[#This Row],[RelativePath]])</f>
        <v>9 Ангар пилорама\E33149364_1_20251111T191428Z.jpg</v>
      </c>
    </row>
    <row r="62" spans="1:13" x14ac:dyDescent="0.25">
      <c r="A62" s="2" t="s">
        <v>14</v>
      </c>
      <c r="B62" s="4">
        <v>45972</v>
      </c>
      <c r="C62" s="5">
        <v>0.89787037037037032</v>
      </c>
      <c r="D62" s="9" t="s">
        <v>4</v>
      </c>
      <c r="E62" s="9" t="s">
        <v>9</v>
      </c>
      <c r="F62" s="9"/>
      <c r="H62" s="9"/>
      <c r="I62" s="9" t="s">
        <v>949</v>
      </c>
      <c r="J62" s="9" t="s">
        <v>2948</v>
      </c>
      <c r="K62" t="s">
        <v>950</v>
      </c>
      <c r="L62" t="s">
        <v>951</v>
      </c>
      <c r="M62" s="3" t="str">
        <f>HYPERLINK(склад2въезд13192021222[[#This Row],[RelativePath]])</f>
        <v>9 Ангар пилорама\E33149364_1_20251111T213256Z.jpg</v>
      </c>
    </row>
    <row r="63" spans="1:13" x14ac:dyDescent="0.25">
      <c r="A63" s="2" t="s">
        <v>14</v>
      </c>
      <c r="B63" s="4">
        <v>45972</v>
      </c>
      <c r="C63" s="5">
        <v>0.94892361111111112</v>
      </c>
      <c r="D63" s="9" t="s">
        <v>4</v>
      </c>
      <c r="E63" s="9" t="s">
        <v>9</v>
      </c>
      <c r="F63" s="9"/>
      <c r="H63" s="9"/>
      <c r="I63" s="9" t="s">
        <v>952</v>
      </c>
      <c r="J63" s="9" t="s">
        <v>2948</v>
      </c>
      <c r="K63" t="s">
        <v>953</v>
      </c>
      <c r="L63" t="s">
        <v>954</v>
      </c>
      <c r="M63" s="3" t="str">
        <f>HYPERLINK(склад2въезд13192021222[[#This Row],[RelativePath]])</f>
        <v>9 Ангар пилорама\E33149364_1_20251111T224627Z.jpg</v>
      </c>
    </row>
    <row r="64" spans="1:13" x14ac:dyDescent="0.25">
      <c r="A64" s="2" t="s">
        <v>14</v>
      </c>
      <c r="B64" s="4">
        <v>45972</v>
      </c>
      <c r="C64" s="5">
        <v>0.98327546296296298</v>
      </c>
      <c r="D64" s="9" t="s">
        <v>4</v>
      </c>
      <c r="E64" s="9" t="s">
        <v>9</v>
      </c>
      <c r="F64" s="9"/>
      <c r="H64" s="9"/>
      <c r="I64" s="9" t="s">
        <v>955</v>
      </c>
      <c r="J64" s="9" t="s">
        <v>2948</v>
      </c>
      <c r="K64" t="s">
        <v>956</v>
      </c>
      <c r="L64" t="s">
        <v>957</v>
      </c>
      <c r="M64" s="3" t="str">
        <f>HYPERLINK(склад2въезд13192021222[[#This Row],[RelativePath]])</f>
        <v>9 Ангар пилорама\E33149364_1_20251111T233555Z.jpg</v>
      </c>
    </row>
    <row r="65" spans="1:13" x14ac:dyDescent="0.25">
      <c r="A65" s="2" t="s">
        <v>15</v>
      </c>
      <c r="B65" s="4">
        <v>45973</v>
      </c>
      <c r="C65" s="5">
        <v>0.17802083333333332</v>
      </c>
      <c r="D65" s="9" t="s">
        <v>4</v>
      </c>
      <c r="E65" s="9" t="s">
        <v>9</v>
      </c>
      <c r="F65" s="9"/>
      <c r="H65" s="9"/>
      <c r="I65" s="9" t="s">
        <v>958</v>
      </c>
      <c r="J65" s="9" t="s">
        <v>2948</v>
      </c>
      <c r="K65" t="s">
        <v>959</v>
      </c>
      <c r="L65" t="s">
        <v>960</v>
      </c>
      <c r="M65" s="3" t="str">
        <f>HYPERLINK(склад2въезд13192021222[[#This Row],[RelativePath]])</f>
        <v>9 Ангар пилорама\E33149364_1_20251112T041621Z.jpg</v>
      </c>
    </row>
    <row r="66" spans="1:13" x14ac:dyDescent="0.25">
      <c r="A66" s="2" t="s">
        <v>15</v>
      </c>
      <c r="B66" s="4">
        <v>45973</v>
      </c>
      <c r="C66" s="5">
        <v>0.20342592592592593</v>
      </c>
      <c r="D66" s="9" t="s">
        <v>4</v>
      </c>
      <c r="E66" s="9" t="s">
        <v>9</v>
      </c>
      <c r="F66" s="9"/>
      <c r="H66" s="9"/>
      <c r="I66" s="9" t="s">
        <v>961</v>
      </c>
      <c r="J66" s="9" t="s">
        <v>2948</v>
      </c>
      <c r="K66" t="s">
        <v>962</v>
      </c>
      <c r="L66" t="s">
        <v>963</v>
      </c>
      <c r="M66" s="3" t="str">
        <f>HYPERLINK(склад2въезд13192021222[[#This Row],[RelativePath]])</f>
        <v>9 Ангар пилорама\E33149364_1_20251112T045256Z.jpg</v>
      </c>
    </row>
    <row r="67" spans="1:13" x14ac:dyDescent="0.25">
      <c r="A67" s="2" t="s">
        <v>15</v>
      </c>
      <c r="B67" s="4">
        <v>45973</v>
      </c>
      <c r="C67" s="5">
        <v>0.22260416666666666</v>
      </c>
      <c r="D67" s="9" t="s">
        <v>4</v>
      </c>
      <c r="E67" s="9" t="s">
        <v>9</v>
      </c>
      <c r="F67" s="9"/>
      <c r="H67" s="9"/>
      <c r="I67" s="9" t="s">
        <v>964</v>
      </c>
      <c r="J67" s="9" t="s">
        <v>2948</v>
      </c>
      <c r="K67" t="s">
        <v>965</v>
      </c>
      <c r="L67" t="s">
        <v>966</v>
      </c>
      <c r="M67" s="3" t="str">
        <f>HYPERLINK(склад2въезд13192021222[[#This Row],[RelativePath]])</f>
        <v>9 Ангар пилорама\E33149364_1_20251112T052033Z.jpg</v>
      </c>
    </row>
    <row r="68" spans="1:13" x14ac:dyDescent="0.25">
      <c r="A68" s="2" t="s">
        <v>15</v>
      </c>
      <c r="B68" s="4">
        <v>45973</v>
      </c>
      <c r="C68" s="5">
        <v>0.37655092592592593</v>
      </c>
      <c r="D68" s="9" t="s">
        <v>4</v>
      </c>
      <c r="E68" s="9" t="s">
        <v>9</v>
      </c>
      <c r="F68" s="9"/>
      <c r="H68" s="9"/>
      <c r="I68" s="9" t="s">
        <v>967</v>
      </c>
      <c r="J68" s="9" t="s">
        <v>2948</v>
      </c>
      <c r="K68" t="s">
        <v>968</v>
      </c>
      <c r="L68" t="s">
        <v>969</v>
      </c>
      <c r="M68" s="3" t="str">
        <f>HYPERLINK(склад2въезд13192021222[[#This Row],[RelativePath]])</f>
        <v>9 Ангар пилорама\E33149364_1_20251112T090214Z.jpg</v>
      </c>
    </row>
    <row r="69" spans="1:13" x14ac:dyDescent="0.25">
      <c r="A69" s="2" t="s">
        <v>15</v>
      </c>
      <c r="B69" s="4">
        <v>45973</v>
      </c>
      <c r="C69" s="5">
        <v>0.72657407407407404</v>
      </c>
      <c r="D69" s="9" t="s">
        <v>4</v>
      </c>
      <c r="E69" s="9" t="s">
        <v>9</v>
      </c>
      <c r="F69" s="9"/>
      <c r="H69" s="9"/>
      <c r="I69" s="9" t="s">
        <v>970</v>
      </c>
      <c r="J69" s="9" t="s">
        <v>2948</v>
      </c>
      <c r="K69" t="s">
        <v>971</v>
      </c>
      <c r="L69" t="s">
        <v>972</v>
      </c>
      <c r="M69" s="3" t="str">
        <f>HYPERLINK(склад2въезд13192021222[[#This Row],[RelativePath]])</f>
        <v>9 Ангар пилорама\E33149364_1_20251112T172616Z.jpg</v>
      </c>
    </row>
    <row r="70" spans="1:13" x14ac:dyDescent="0.25">
      <c r="A70" s="2" t="s">
        <v>15</v>
      </c>
      <c r="B70" s="4">
        <v>45973</v>
      </c>
      <c r="C70" s="5">
        <v>0.77527777777777773</v>
      </c>
      <c r="D70" s="9" t="s">
        <v>4</v>
      </c>
      <c r="E70" s="9" t="s">
        <v>9</v>
      </c>
      <c r="F70" s="9"/>
      <c r="H70" s="9"/>
      <c r="I70" s="9" t="s">
        <v>973</v>
      </c>
      <c r="J70" s="9" t="s">
        <v>2948</v>
      </c>
      <c r="K70" t="s">
        <v>974</v>
      </c>
      <c r="L70" t="s">
        <v>975</v>
      </c>
      <c r="M70" s="3" t="str">
        <f>HYPERLINK(склад2въезд13192021222[[#This Row],[RelativePath]])</f>
        <v>9 Ангар пилорама\E33149364_1_20251112T183624Z.jpg</v>
      </c>
    </row>
    <row r="71" spans="1:13" x14ac:dyDescent="0.25">
      <c r="A71" s="2" t="s">
        <v>15</v>
      </c>
      <c r="B71" s="4">
        <v>45973</v>
      </c>
      <c r="C71" s="5">
        <v>0.82005787037037037</v>
      </c>
      <c r="D71" s="9" t="s">
        <v>4</v>
      </c>
      <c r="E71" s="9" t="s">
        <v>9</v>
      </c>
      <c r="F71" s="9"/>
      <c r="H71" s="9"/>
      <c r="I71" s="9" t="s">
        <v>976</v>
      </c>
      <c r="J71" s="9" t="s">
        <v>2948</v>
      </c>
      <c r="K71" t="s">
        <v>977</v>
      </c>
      <c r="L71" t="s">
        <v>978</v>
      </c>
      <c r="M71" s="3" t="str">
        <f>HYPERLINK(склад2въезд13192021222[[#This Row],[RelativePath]])</f>
        <v>9 Ангар пилорама\E33149364_1_20251112T194053Z.jpg</v>
      </c>
    </row>
    <row r="72" spans="1:13" x14ac:dyDescent="0.25">
      <c r="A72" s="2" t="s">
        <v>15</v>
      </c>
      <c r="B72" s="4">
        <v>45973</v>
      </c>
      <c r="C72" s="5">
        <v>0.97260416666666671</v>
      </c>
      <c r="D72" s="9" t="s">
        <v>4</v>
      </c>
      <c r="E72" s="9" t="s">
        <v>9</v>
      </c>
      <c r="F72" s="9"/>
      <c r="H72" s="9"/>
      <c r="I72" s="9" t="s">
        <v>979</v>
      </c>
      <c r="J72" s="9" t="s">
        <v>2948</v>
      </c>
      <c r="K72" t="s">
        <v>980</v>
      </c>
      <c r="L72" t="s">
        <v>981</v>
      </c>
      <c r="M72" s="3" t="str">
        <f>HYPERLINK(склад2въезд13192021222[[#This Row],[RelativePath]])</f>
        <v>9 Ангар пилорама\E33149364_1_20251112T232033Z.jpg</v>
      </c>
    </row>
    <row r="73" spans="1:13" x14ac:dyDescent="0.25">
      <c r="A73" s="2" t="s">
        <v>16</v>
      </c>
      <c r="B73" s="4">
        <v>45974</v>
      </c>
      <c r="C73" s="5">
        <v>0.21010416666666668</v>
      </c>
      <c r="D73" s="9" t="s">
        <v>1987</v>
      </c>
      <c r="E73" s="9" t="s">
        <v>1267</v>
      </c>
      <c r="F73" s="9"/>
      <c r="H73" s="9"/>
      <c r="I73" s="9" t="s">
        <v>982</v>
      </c>
      <c r="J73" s="9" t="s">
        <v>2948</v>
      </c>
      <c r="K73" t="s">
        <v>983</v>
      </c>
      <c r="L73" t="s">
        <v>984</v>
      </c>
      <c r="M73" s="3" t="str">
        <f>HYPERLINK(склад2въезд13192021222[[#This Row],[RelativePath]])</f>
        <v>9 Ангар пилорама\E33149364_1_20251113T050233Z.jpg</v>
      </c>
    </row>
    <row r="74" spans="1:13" x14ac:dyDescent="0.25">
      <c r="A74" s="2" t="s">
        <v>16</v>
      </c>
      <c r="B74" s="4">
        <v>45974</v>
      </c>
      <c r="C74" s="5">
        <v>0.23273148148148148</v>
      </c>
      <c r="D74" s="9" t="s">
        <v>4</v>
      </c>
      <c r="E74" s="9" t="s">
        <v>9</v>
      </c>
      <c r="F74" s="9"/>
      <c r="H74" s="9"/>
      <c r="I74" s="9" t="s">
        <v>985</v>
      </c>
      <c r="J74" s="9" t="s">
        <v>2948</v>
      </c>
      <c r="K74" t="s">
        <v>986</v>
      </c>
      <c r="L74" t="s">
        <v>987</v>
      </c>
      <c r="M74" s="3" t="str">
        <f>HYPERLINK(склад2въезд13192021222[[#This Row],[RelativePath]])</f>
        <v>9 Ангар пилорама\E33149364_1_20251113T053508Z.jpg</v>
      </c>
    </row>
    <row r="75" spans="1:13" x14ac:dyDescent="0.25">
      <c r="A75" s="2" t="s">
        <v>16</v>
      </c>
      <c r="B75" s="4">
        <v>45974</v>
      </c>
      <c r="C75" s="5">
        <v>0.29604166666666665</v>
      </c>
      <c r="D75" s="9" t="s">
        <v>4</v>
      </c>
      <c r="E75" s="9" t="s">
        <v>9</v>
      </c>
      <c r="F75" s="9"/>
      <c r="H75" s="9"/>
      <c r="I75" s="9" t="s">
        <v>988</v>
      </c>
      <c r="J75" s="9" t="s">
        <v>2948</v>
      </c>
      <c r="K75" t="s">
        <v>989</v>
      </c>
      <c r="L75" t="s">
        <v>990</v>
      </c>
      <c r="M75" s="3" t="str">
        <f>HYPERLINK(склад2въезд13192021222[[#This Row],[RelativePath]])</f>
        <v>9 Ангар пилорама\E33149364_1_20251113T070618Z.jpg</v>
      </c>
    </row>
    <row r="76" spans="1:13" x14ac:dyDescent="0.25">
      <c r="A76" s="2" t="s">
        <v>16</v>
      </c>
      <c r="B76" s="4">
        <v>45974</v>
      </c>
      <c r="C76" s="5">
        <v>0.30410879629629628</v>
      </c>
      <c r="D76" s="9" t="s">
        <v>4</v>
      </c>
      <c r="E76" s="9" t="s">
        <v>9</v>
      </c>
      <c r="F76" s="9"/>
      <c r="H76" s="9"/>
      <c r="I76" s="9" t="s">
        <v>991</v>
      </c>
      <c r="J76" s="9" t="s">
        <v>2948</v>
      </c>
      <c r="K76" t="s">
        <v>992</v>
      </c>
      <c r="L76" t="s">
        <v>993</v>
      </c>
      <c r="M76" s="3" t="str">
        <f>HYPERLINK(склад2въезд13192021222[[#This Row],[RelativePath]])</f>
        <v>9 Ангар пилорама\E33149364_1_20251113T071755Z.jpg</v>
      </c>
    </row>
    <row r="77" spans="1:13" x14ac:dyDescent="0.25">
      <c r="A77" s="2" t="s">
        <v>16</v>
      </c>
      <c r="B77" s="4">
        <v>45974</v>
      </c>
      <c r="C77" s="5">
        <v>0.38166666666666665</v>
      </c>
      <c r="D77" s="9" t="s">
        <v>1063</v>
      </c>
      <c r="E77" s="9" t="s">
        <v>1067</v>
      </c>
      <c r="F77" s="9"/>
      <c r="H77" s="9"/>
      <c r="I77" s="9" t="s">
        <v>994</v>
      </c>
      <c r="J77" s="9" t="s">
        <v>2948</v>
      </c>
      <c r="K77" t="s">
        <v>995</v>
      </c>
      <c r="L77" t="s">
        <v>996</v>
      </c>
      <c r="M77" s="3" t="str">
        <f>HYPERLINK(склад2въезд13192021222[[#This Row],[RelativePath]])</f>
        <v>9 Ангар пилорама\E33149364_1_20251113T090936Z.jpg</v>
      </c>
    </row>
    <row r="78" spans="1:13" x14ac:dyDescent="0.25">
      <c r="A78" s="2" t="s">
        <v>16</v>
      </c>
      <c r="B78" s="4">
        <v>45974</v>
      </c>
      <c r="C78" s="5">
        <v>0.38186342592592593</v>
      </c>
      <c r="D78" s="9" t="s">
        <v>1063</v>
      </c>
      <c r="E78" s="9" t="s">
        <v>1067</v>
      </c>
      <c r="F78" s="9"/>
      <c r="H78" s="9"/>
      <c r="I78" s="9" t="s">
        <v>997</v>
      </c>
      <c r="J78" s="9" t="s">
        <v>2948</v>
      </c>
      <c r="K78" t="s">
        <v>998</v>
      </c>
      <c r="L78" t="s">
        <v>999</v>
      </c>
      <c r="M78" s="3" t="str">
        <f>HYPERLINK(склад2въезд13192021222[[#This Row],[RelativePath]])</f>
        <v>9 Ангар пилорама\E33149364_1_20251113T090953Z.jpg</v>
      </c>
    </row>
    <row r="79" spans="1:13" x14ac:dyDescent="0.25">
      <c r="A79" s="2" t="s">
        <v>16</v>
      </c>
      <c r="B79" s="4">
        <v>45974</v>
      </c>
      <c r="C79" s="5">
        <v>0.38475694444444447</v>
      </c>
      <c r="D79" s="9" t="s">
        <v>4</v>
      </c>
      <c r="E79" s="9" t="s">
        <v>9</v>
      </c>
      <c r="F79" s="9"/>
      <c r="H79" s="9"/>
      <c r="I79" s="9" t="s">
        <v>1000</v>
      </c>
      <c r="J79" s="9" t="s">
        <v>2948</v>
      </c>
      <c r="K79" t="s">
        <v>1001</v>
      </c>
      <c r="L79" t="s">
        <v>1002</v>
      </c>
      <c r="M79" s="3" t="str">
        <f>HYPERLINK(склад2въезд13192021222[[#This Row],[RelativePath]])</f>
        <v>9 Ангар пилорама\E33149364_1_20251113T091403Z.jpg</v>
      </c>
    </row>
    <row r="80" spans="1:13" x14ac:dyDescent="0.25">
      <c r="A80" s="2" t="s">
        <v>16</v>
      </c>
      <c r="B80" s="4">
        <v>45974</v>
      </c>
      <c r="C80" s="5">
        <v>0.68521990740740746</v>
      </c>
      <c r="D80" s="9" t="s">
        <v>4</v>
      </c>
      <c r="E80" s="9" t="s">
        <v>9</v>
      </c>
      <c r="F80" s="9"/>
      <c r="H80" s="9"/>
      <c r="I80" s="9" t="s">
        <v>1003</v>
      </c>
      <c r="J80" s="9" t="s">
        <v>2948</v>
      </c>
      <c r="K80" t="s">
        <v>1004</v>
      </c>
      <c r="L80" t="s">
        <v>1005</v>
      </c>
      <c r="M80" s="3" t="str">
        <f>HYPERLINK(склад2въезд13192021222[[#This Row],[RelativePath]])</f>
        <v>9 Ангар пилорама\E33149364_1_20251113T162643Z.jpg</v>
      </c>
    </row>
    <row r="81" spans="1:13" x14ac:dyDescent="0.25">
      <c r="A81" s="2" t="s">
        <v>16</v>
      </c>
      <c r="B81" s="4">
        <v>45974</v>
      </c>
      <c r="C81" s="5">
        <v>0.91711805555555559</v>
      </c>
      <c r="D81" s="9" t="s">
        <v>4</v>
      </c>
      <c r="E81" s="9" t="s">
        <v>9</v>
      </c>
      <c r="F81" s="9"/>
      <c r="H81" s="9"/>
      <c r="I81" s="9" t="s">
        <v>1006</v>
      </c>
      <c r="J81" s="9" t="s">
        <v>2948</v>
      </c>
      <c r="K81" t="s">
        <v>1007</v>
      </c>
      <c r="L81" t="s">
        <v>1008</v>
      </c>
      <c r="M81" s="3" t="str">
        <f>HYPERLINK(склад2въезд13192021222[[#This Row],[RelativePath]])</f>
        <v>9 Ангар пилорама\E33149364_1_20251113T220039Z.jpg</v>
      </c>
    </row>
    <row r="82" spans="1:13" x14ac:dyDescent="0.25">
      <c r="A82" s="2" t="s">
        <v>16</v>
      </c>
      <c r="B82" s="4">
        <v>45974</v>
      </c>
      <c r="C82" s="5">
        <v>0.94708333333333339</v>
      </c>
      <c r="D82" s="9" t="s">
        <v>4</v>
      </c>
      <c r="E82" s="9" t="s">
        <v>9</v>
      </c>
      <c r="F82" s="9"/>
      <c r="H82" s="9"/>
      <c r="I82" s="9" t="s">
        <v>1009</v>
      </c>
      <c r="J82" s="9" t="s">
        <v>2948</v>
      </c>
      <c r="K82" t="s">
        <v>1010</v>
      </c>
      <c r="L82" t="s">
        <v>1011</v>
      </c>
      <c r="M82" s="3" t="str">
        <f>HYPERLINK(склад2въезд13192021222[[#This Row],[RelativePath]])</f>
        <v>9 Ангар пилорама\E33149364_1_20251113T224348Z.jpg</v>
      </c>
    </row>
    <row r="83" spans="1:13" x14ac:dyDescent="0.25">
      <c r="A83" s="2" t="s">
        <v>17</v>
      </c>
      <c r="B83" s="4">
        <v>45975</v>
      </c>
      <c r="C83" s="5">
        <v>2.2222222222222222E-3</v>
      </c>
      <c r="D83" s="9" t="s">
        <v>4</v>
      </c>
      <c r="E83" s="9" t="s">
        <v>9</v>
      </c>
      <c r="F83" s="9"/>
      <c r="H83" s="9"/>
      <c r="I83" s="9" t="s">
        <v>1012</v>
      </c>
      <c r="J83" s="9" t="s">
        <v>2948</v>
      </c>
      <c r="K83" t="s">
        <v>1013</v>
      </c>
      <c r="L83" t="s">
        <v>1014</v>
      </c>
      <c r="M83" s="3" t="str">
        <f>HYPERLINK(склад2въезд13192021222[[#This Row],[RelativePath]])</f>
        <v>9 Ангар пилорама\E33149364_1_20251114T000312Z.jpg</v>
      </c>
    </row>
    <row r="84" spans="1:13" x14ac:dyDescent="0.25">
      <c r="A84" s="2" t="s">
        <v>17</v>
      </c>
      <c r="B84" s="4">
        <v>45975</v>
      </c>
      <c r="C84" s="5">
        <v>0.13368055555555555</v>
      </c>
      <c r="D84" s="9" t="s">
        <v>4</v>
      </c>
      <c r="E84" s="9" t="s">
        <v>9</v>
      </c>
      <c r="F84" s="9"/>
      <c r="H84" s="9"/>
      <c r="I84" s="9" t="s">
        <v>1015</v>
      </c>
      <c r="J84" s="9" t="s">
        <v>2948</v>
      </c>
      <c r="K84" t="s">
        <v>1016</v>
      </c>
      <c r="L84" t="s">
        <v>1017</v>
      </c>
      <c r="M84" s="3" t="str">
        <f>HYPERLINK(склад2въезд13192021222[[#This Row],[RelativePath]])</f>
        <v>9 Ангар пилорама\E33149364_1_20251114T031230Z.jpg</v>
      </c>
    </row>
    <row r="85" spans="1:13" x14ac:dyDescent="0.25">
      <c r="A85" s="2" t="s">
        <v>17</v>
      </c>
      <c r="B85" s="4">
        <v>45975</v>
      </c>
      <c r="C85" s="5">
        <v>0.24810185185185185</v>
      </c>
      <c r="D85" s="9" t="s">
        <v>4</v>
      </c>
      <c r="E85" s="9" t="s">
        <v>9</v>
      </c>
      <c r="F85" s="9"/>
      <c r="H85" s="9"/>
      <c r="I85" s="9" t="s">
        <v>1018</v>
      </c>
      <c r="J85" s="9" t="s">
        <v>2948</v>
      </c>
      <c r="K85" t="s">
        <v>1019</v>
      </c>
      <c r="L85" t="s">
        <v>1020</v>
      </c>
      <c r="M85" s="3" t="str">
        <f>HYPERLINK(склад2въезд13192021222[[#This Row],[RelativePath]])</f>
        <v>9 Ангар пилорама\E33149364_1_20251114T055716Z.jpg</v>
      </c>
    </row>
    <row r="86" spans="1:13" x14ac:dyDescent="0.25">
      <c r="A86" s="2" t="s">
        <v>17</v>
      </c>
      <c r="B86" s="4">
        <v>45975</v>
      </c>
      <c r="C86" s="5">
        <v>0.26258101851851851</v>
      </c>
      <c r="D86" s="9" t="s">
        <v>1987</v>
      </c>
      <c r="E86" s="9" t="s">
        <v>1267</v>
      </c>
      <c r="F86" s="9"/>
      <c r="H86" s="9"/>
      <c r="I86" s="9" t="s">
        <v>1021</v>
      </c>
      <c r="J86" s="9" t="s">
        <v>2948</v>
      </c>
      <c r="K86" t="s">
        <v>1022</v>
      </c>
      <c r="L86" t="s">
        <v>1023</v>
      </c>
      <c r="M86" s="3" t="str">
        <f>HYPERLINK(склад2въезд13192021222[[#This Row],[RelativePath]])</f>
        <v>9 Ангар пилорама\E33149364_1_20251114T061807Z.jpg</v>
      </c>
    </row>
    <row r="87" spans="1:13" x14ac:dyDescent="0.25">
      <c r="A87" s="2" t="s">
        <v>17</v>
      </c>
      <c r="B87" s="4">
        <v>45975</v>
      </c>
      <c r="C87" s="5">
        <v>0.27238425925925924</v>
      </c>
      <c r="D87" s="9" t="s">
        <v>4</v>
      </c>
      <c r="E87" s="9" t="s">
        <v>9</v>
      </c>
      <c r="F87" s="9"/>
      <c r="H87" s="9"/>
      <c r="I87" s="9" t="s">
        <v>1024</v>
      </c>
      <c r="J87" s="9" t="s">
        <v>2948</v>
      </c>
      <c r="K87" t="s">
        <v>1025</v>
      </c>
      <c r="L87" t="s">
        <v>1026</v>
      </c>
      <c r="M87" s="3" t="str">
        <f>HYPERLINK(склад2въезд13192021222[[#This Row],[RelativePath]])</f>
        <v>9 Ангар пилорама\E33149364_1_20251114T063214Z.jpg</v>
      </c>
    </row>
    <row r="88" spans="1:13" x14ac:dyDescent="0.25">
      <c r="A88" s="2" t="s">
        <v>17</v>
      </c>
      <c r="B88" s="4">
        <v>45975</v>
      </c>
      <c r="C88" s="5">
        <v>0.29614583333333333</v>
      </c>
      <c r="D88" s="9" t="s">
        <v>767</v>
      </c>
      <c r="E88" s="9" t="s">
        <v>1267</v>
      </c>
      <c r="F88" s="9"/>
      <c r="H88" s="9"/>
      <c r="I88" s="9" t="s">
        <v>1027</v>
      </c>
      <c r="J88" s="9" t="s">
        <v>2948</v>
      </c>
      <c r="K88" t="s">
        <v>1028</v>
      </c>
      <c r="L88" t="s">
        <v>1029</v>
      </c>
      <c r="M88" s="3" t="str">
        <f>HYPERLINK(склад2въезд13192021222[[#This Row],[RelativePath]])</f>
        <v>9 Ангар пилорама\E33149364_1_20251114T070627Z.jpg</v>
      </c>
    </row>
    <row r="89" spans="1:13" x14ac:dyDescent="0.25">
      <c r="A89" s="2" t="s">
        <v>17</v>
      </c>
      <c r="B89" s="4">
        <v>45975</v>
      </c>
      <c r="C89" s="5">
        <v>0.46939814814814818</v>
      </c>
      <c r="D89" s="9" t="s">
        <v>4</v>
      </c>
      <c r="E89" s="9" t="s">
        <v>9</v>
      </c>
      <c r="F89" s="9"/>
      <c r="H89" s="9"/>
      <c r="I89" s="9" t="s">
        <v>1030</v>
      </c>
      <c r="J89" s="9" t="s">
        <v>2948</v>
      </c>
      <c r="K89" t="s">
        <v>1031</v>
      </c>
      <c r="L89" t="s">
        <v>1032</v>
      </c>
      <c r="M89" s="3" t="str">
        <f>HYPERLINK(склад2въезд13192021222[[#This Row],[RelativePath]])</f>
        <v>9 Ангар пилорама\E33149364_1_20251114T111556Z.jpg</v>
      </c>
    </row>
    <row r="90" spans="1:13" x14ac:dyDescent="0.25">
      <c r="A90" s="2" t="s">
        <v>17</v>
      </c>
      <c r="B90" s="4">
        <v>45975</v>
      </c>
      <c r="C90" s="5">
        <v>0.49872685185185184</v>
      </c>
      <c r="D90" s="9" t="s">
        <v>4</v>
      </c>
      <c r="E90" s="9" t="s">
        <v>9</v>
      </c>
      <c r="F90" s="9"/>
      <c r="H90" s="9"/>
      <c r="I90" s="9" t="s">
        <v>1033</v>
      </c>
      <c r="J90" s="9" t="s">
        <v>2948</v>
      </c>
      <c r="K90" t="s">
        <v>1034</v>
      </c>
      <c r="L90" t="s">
        <v>1035</v>
      </c>
      <c r="M90" s="3" t="str">
        <f>HYPERLINK(склад2въезд13192021222[[#This Row],[RelativePath]])</f>
        <v>9 Ангар пилорама\E33149364_1_20251114T115810Z.jpg</v>
      </c>
    </row>
    <row r="91" spans="1:13" x14ac:dyDescent="0.25">
      <c r="A91" s="2" t="s">
        <v>17</v>
      </c>
      <c r="B91" s="4">
        <v>45975</v>
      </c>
      <c r="C91" s="5">
        <v>0.50780092592592596</v>
      </c>
      <c r="D91" s="9" t="s">
        <v>4</v>
      </c>
      <c r="E91" s="9" t="s">
        <v>9</v>
      </c>
      <c r="F91" s="9"/>
      <c r="H91" s="9"/>
      <c r="I91" s="9" t="s">
        <v>1036</v>
      </c>
      <c r="J91" s="9" t="s">
        <v>2948</v>
      </c>
      <c r="K91" t="s">
        <v>1037</v>
      </c>
      <c r="L91" t="s">
        <v>1038</v>
      </c>
      <c r="M91" s="3" t="str">
        <f>HYPERLINK(склад2въезд13192021222[[#This Row],[RelativePath]])</f>
        <v>9 Ангар пилорама\E33149364_1_20251114T121114Z.jpg</v>
      </c>
    </row>
    <row r="92" spans="1:13" x14ac:dyDescent="0.25">
      <c r="A92" s="2" t="s">
        <v>17</v>
      </c>
      <c r="B92" s="4">
        <v>45975</v>
      </c>
      <c r="C92" s="5">
        <v>0.51744212962962965</v>
      </c>
      <c r="D92" s="9" t="s">
        <v>4</v>
      </c>
      <c r="E92" s="9" t="s">
        <v>9</v>
      </c>
      <c r="F92" s="9"/>
      <c r="H92" s="9"/>
      <c r="I92" s="9" t="s">
        <v>1039</v>
      </c>
      <c r="J92" s="9" t="s">
        <v>2948</v>
      </c>
      <c r="K92" t="s">
        <v>1040</v>
      </c>
      <c r="L92" t="s">
        <v>1041</v>
      </c>
      <c r="M92" s="3" t="str">
        <f>HYPERLINK(склад2въезд13192021222[[#This Row],[RelativePath]])</f>
        <v>9 Ангар пилорама\E33149364_1_20251114T122507Z.jpg</v>
      </c>
    </row>
    <row r="93" spans="1:13" x14ac:dyDescent="0.25">
      <c r="A93" s="2" t="s">
        <v>17</v>
      </c>
      <c r="B93" s="4">
        <v>45975</v>
      </c>
      <c r="C93" s="5">
        <v>0.52743055555555551</v>
      </c>
      <c r="D93" s="9" t="s">
        <v>4</v>
      </c>
      <c r="E93" s="9" t="s">
        <v>9</v>
      </c>
      <c r="F93" s="9"/>
      <c r="H93" s="9"/>
      <c r="I93" s="9" t="s">
        <v>1042</v>
      </c>
      <c r="J93" s="9" t="s">
        <v>2948</v>
      </c>
      <c r="K93" t="s">
        <v>1043</v>
      </c>
      <c r="L93" t="s">
        <v>1044</v>
      </c>
      <c r="M93" s="3" t="str">
        <f>HYPERLINK(склад2въезд13192021222[[#This Row],[RelativePath]])</f>
        <v>9 Ангар пилорама\E33149364_1_20251114T123930Z.jpg</v>
      </c>
    </row>
    <row r="94" spans="1:13" x14ac:dyDescent="0.25">
      <c r="A94" s="2" t="s">
        <v>17</v>
      </c>
      <c r="B94" s="4">
        <v>45975</v>
      </c>
      <c r="C94" s="5">
        <v>0.5446643518518518</v>
      </c>
      <c r="D94" s="9" t="s">
        <v>4</v>
      </c>
      <c r="E94" s="9" t="s">
        <v>9</v>
      </c>
      <c r="F94" s="9"/>
      <c r="H94" s="9"/>
      <c r="I94" s="9" t="s">
        <v>1045</v>
      </c>
      <c r="J94" s="9" t="s">
        <v>2948</v>
      </c>
      <c r="K94" t="s">
        <v>1046</v>
      </c>
      <c r="L94" t="s">
        <v>1047</v>
      </c>
      <c r="M94" s="3" t="str">
        <f>HYPERLINK(склад2въезд13192021222[[#This Row],[RelativePath]])</f>
        <v>9 Ангар пилорама\E33149364_1_20251114T130419Z.jpg</v>
      </c>
    </row>
    <row r="95" spans="1:13" x14ac:dyDescent="0.25">
      <c r="A95" s="2" t="s">
        <v>17</v>
      </c>
      <c r="B95" s="4">
        <v>45975</v>
      </c>
      <c r="C95" s="5">
        <v>0.58701388888888884</v>
      </c>
      <c r="D95" s="9" t="s">
        <v>4</v>
      </c>
      <c r="E95" s="9" t="s">
        <v>9</v>
      </c>
      <c r="F95" s="9"/>
      <c r="H95" s="9"/>
      <c r="I95" s="9" t="s">
        <v>1048</v>
      </c>
      <c r="J95" s="9" t="s">
        <v>2948</v>
      </c>
      <c r="K95" t="s">
        <v>1049</v>
      </c>
      <c r="L95" t="s">
        <v>1050</v>
      </c>
      <c r="M95" s="3" t="str">
        <f>HYPERLINK(склад2въезд13192021222[[#This Row],[RelativePath]])</f>
        <v>9 Ангар пилорама\E33149364_1_20251114T140518Z.jpg</v>
      </c>
    </row>
    <row r="96" spans="1:13" x14ac:dyDescent="0.25">
      <c r="A96" s="2" t="s">
        <v>17</v>
      </c>
      <c r="B96" s="4">
        <v>45975</v>
      </c>
      <c r="C96" s="5">
        <v>0.62668981481481478</v>
      </c>
      <c r="D96" s="9" t="s">
        <v>4</v>
      </c>
      <c r="E96" s="9" t="s">
        <v>9</v>
      </c>
      <c r="F96" s="9"/>
      <c r="H96" s="9"/>
      <c r="I96" s="9" t="s">
        <v>1051</v>
      </c>
      <c r="J96" s="9" t="s">
        <v>2948</v>
      </c>
      <c r="K96" t="s">
        <v>1052</v>
      </c>
      <c r="L96" t="s">
        <v>1053</v>
      </c>
      <c r="M96" s="3" t="str">
        <f>HYPERLINK(склад2въезд13192021222[[#This Row],[RelativePath]])</f>
        <v>9 Ангар пилорама\E33149364_1_20251114T150226Z.jpg</v>
      </c>
    </row>
    <row r="97" spans="1:13" x14ac:dyDescent="0.25">
      <c r="A97" s="2" t="s">
        <v>17</v>
      </c>
      <c r="B97" s="4">
        <v>45975</v>
      </c>
      <c r="C97" s="5">
        <v>0.66415509259259264</v>
      </c>
      <c r="D97" s="9" t="s">
        <v>4</v>
      </c>
      <c r="E97" s="9" t="s">
        <v>9</v>
      </c>
      <c r="F97" s="9"/>
      <c r="H97" s="9"/>
      <c r="I97" s="9" t="s">
        <v>1054</v>
      </c>
      <c r="J97" s="9" t="s">
        <v>2948</v>
      </c>
      <c r="K97" t="s">
        <v>1055</v>
      </c>
      <c r="L97" t="s">
        <v>1056</v>
      </c>
      <c r="M97" s="3" t="str">
        <f>HYPERLINK(склад2въезд13192021222[[#This Row],[RelativePath]])</f>
        <v>9 Ангар пилорама\E33149364_1_20251114T155623Z.jpg</v>
      </c>
    </row>
    <row r="98" spans="1:13" x14ac:dyDescent="0.25">
      <c r="A98" s="2" t="s">
        <v>17</v>
      </c>
      <c r="B98" s="4">
        <v>45975</v>
      </c>
      <c r="C98" s="5">
        <v>0.80738425925925927</v>
      </c>
      <c r="D98" s="9" t="s">
        <v>4</v>
      </c>
      <c r="E98" s="9" t="s">
        <v>9</v>
      </c>
      <c r="F98" s="9"/>
      <c r="H98" s="9"/>
      <c r="I98" s="9" t="s">
        <v>1057</v>
      </c>
      <c r="J98" s="9" t="s">
        <v>2948</v>
      </c>
      <c r="K98" t="s">
        <v>1058</v>
      </c>
      <c r="L98" t="s">
        <v>1059</v>
      </c>
      <c r="M98" s="3" t="str">
        <f>HYPERLINK(склад2въезд13192021222[[#This Row],[RelativePath]])</f>
        <v>9 Ангар пилорама\E33149364_1_20251114T192238Z.jpg</v>
      </c>
    </row>
    <row r="99" spans="1:13" x14ac:dyDescent="0.25">
      <c r="A99" s="2" t="s">
        <v>17</v>
      </c>
      <c r="B99" s="4">
        <v>45975</v>
      </c>
      <c r="C99" s="5">
        <v>0.81435185185185188</v>
      </c>
      <c r="D99" s="9" t="s">
        <v>4</v>
      </c>
      <c r="E99" s="9" t="s">
        <v>9</v>
      </c>
      <c r="F99" s="9"/>
      <c r="H99" s="9"/>
      <c r="I99" s="9" t="s">
        <v>1060</v>
      </c>
      <c r="J99" s="9" t="s">
        <v>2948</v>
      </c>
      <c r="K99" t="s">
        <v>1061</v>
      </c>
      <c r="L99" t="s">
        <v>1062</v>
      </c>
      <c r="M99" s="3" t="str">
        <f>HYPERLINK(склад2въезд13192021222[[#This Row],[RelativePath]])</f>
        <v>9 Ангар пилорама\E33149364_1_20251114T193240Z.jpg</v>
      </c>
    </row>
    <row r="100" spans="1:13" x14ac:dyDescent="0.25">
      <c r="A100" s="2" t="s">
        <v>18</v>
      </c>
      <c r="B100" s="4">
        <v>45976</v>
      </c>
      <c r="C100" s="5">
        <v>0.22234953703703703</v>
      </c>
      <c r="D100" s="9" t="s">
        <v>1987</v>
      </c>
      <c r="E100" s="9" t="s">
        <v>1267</v>
      </c>
      <c r="F100" s="9"/>
      <c r="H100" s="9"/>
      <c r="I100" s="9" t="s">
        <v>1162</v>
      </c>
      <c r="J100" s="9" t="s">
        <v>2948</v>
      </c>
      <c r="K100" t="s">
        <v>1163</v>
      </c>
      <c r="L100" t="s">
        <v>1164</v>
      </c>
      <c r="M100" s="3" t="str">
        <f>HYPERLINK(склад2въезд13192021222[[#This Row],[RelativePath]])</f>
        <v>9 Ангар пилорама\E33149364_1_20251115T052011Z.jpg</v>
      </c>
    </row>
    <row r="101" spans="1:13" x14ac:dyDescent="0.25">
      <c r="A101" s="2" t="s">
        <v>18</v>
      </c>
      <c r="B101" s="4">
        <v>45976</v>
      </c>
      <c r="C101" s="5">
        <v>0.4306712962962963</v>
      </c>
      <c r="D101" s="9" t="s">
        <v>4</v>
      </c>
      <c r="E101" s="9" t="s">
        <v>9</v>
      </c>
      <c r="F101" s="9"/>
      <c r="H101" s="9"/>
      <c r="I101" s="9" t="s">
        <v>1165</v>
      </c>
      <c r="J101" s="9" t="s">
        <v>2948</v>
      </c>
      <c r="K101" t="s">
        <v>1166</v>
      </c>
      <c r="L101" t="s">
        <v>1167</v>
      </c>
      <c r="M101" s="3" t="str">
        <f>HYPERLINK(склад2въезд13192021222[[#This Row],[RelativePath]])</f>
        <v>9 Ангар пилорама\E33149364_1_20251115T102010Z.jpg</v>
      </c>
    </row>
    <row r="102" spans="1:13" x14ac:dyDescent="0.25">
      <c r="A102" s="2" t="s">
        <v>18</v>
      </c>
      <c r="B102" s="4">
        <v>45976</v>
      </c>
      <c r="C102" s="5">
        <v>0.61578703703703708</v>
      </c>
      <c r="D102" s="9" t="s">
        <v>4</v>
      </c>
      <c r="E102" s="9" t="s">
        <v>9</v>
      </c>
      <c r="F102" s="9"/>
      <c r="H102" s="9"/>
      <c r="I102" s="9" t="s">
        <v>1168</v>
      </c>
      <c r="J102" s="9" t="s">
        <v>2948</v>
      </c>
      <c r="K102" t="s">
        <v>1169</v>
      </c>
      <c r="L102" t="s">
        <v>1170</v>
      </c>
      <c r="M102" s="3" t="str">
        <f>HYPERLINK(склад2въезд13192021222[[#This Row],[RelativePath]])</f>
        <v>9 Ангар пилорама\E33149364_1_20251115T144644Z.jpg</v>
      </c>
    </row>
    <row r="103" spans="1:13" x14ac:dyDescent="0.25">
      <c r="A103" s="2" t="s">
        <v>22</v>
      </c>
      <c r="B103" s="4">
        <v>45977</v>
      </c>
      <c r="C103" s="5">
        <v>0.71766203703703701</v>
      </c>
      <c r="D103" s="9" t="s">
        <v>4</v>
      </c>
      <c r="E103" s="9" t="s">
        <v>9</v>
      </c>
      <c r="F103" s="9"/>
      <c r="H103" s="9"/>
      <c r="I103" s="9" t="s">
        <v>1171</v>
      </c>
      <c r="J103" s="9" t="s">
        <v>2948</v>
      </c>
      <c r="K103" t="s">
        <v>1172</v>
      </c>
      <c r="L103" t="s">
        <v>1173</v>
      </c>
      <c r="M103" s="3" t="str">
        <f>HYPERLINK(склад2въезд13192021222[[#This Row],[RelativePath]])</f>
        <v>9 Ангар пилорама\E33149364_1_20251116T171326Z.jpg</v>
      </c>
    </row>
    <row r="104" spans="1:13" x14ac:dyDescent="0.25">
      <c r="A104" s="2" t="s">
        <v>22</v>
      </c>
      <c r="B104" s="4">
        <v>45977</v>
      </c>
      <c r="C104" s="5">
        <v>0.74473379629629632</v>
      </c>
      <c r="D104" s="9" t="s">
        <v>4</v>
      </c>
      <c r="E104" s="9" t="s">
        <v>9</v>
      </c>
      <c r="F104" s="9"/>
      <c r="H104" s="9"/>
      <c r="I104" s="9" t="s">
        <v>1174</v>
      </c>
      <c r="J104" s="9" t="s">
        <v>2948</v>
      </c>
      <c r="K104" t="s">
        <v>1175</v>
      </c>
      <c r="L104" t="s">
        <v>1176</v>
      </c>
      <c r="M104" s="3" t="str">
        <f>HYPERLINK(склад2въезд13192021222[[#This Row],[RelativePath]])</f>
        <v>9 Ангар пилорама\E33149364_1_20251116T175225Z.jpg</v>
      </c>
    </row>
    <row r="105" spans="1:13" x14ac:dyDescent="0.25">
      <c r="A105" s="2" t="s">
        <v>22</v>
      </c>
      <c r="B105" s="4">
        <v>45977</v>
      </c>
      <c r="C105" s="5">
        <v>0.82781249999999995</v>
      </c>
      <c r="D105" s="9" t="s">
        <v>4</v>
      </c>
      <c r="E105" s="9" t="s">
        <v>9</v>
      </c>
      <c r="F105" s="9"/>
      <c r="H105" s="9"/>
      <c r="I105" s="9" t="s">
        <v>1177</v>
      </c>
      <c r="J105" s="9" t="s">
        <v>2948</v>
      </c>
      <c r="K105" t="s">
        <v>1178</v>
      </c>
      <c r="L105" t="s">
        <v>1179</v>
      </c>
      <c r="M105" s="3" t="str">
        <f>HYPERLINK(склад2въезд13192021222[[#This Row],[RelativePath]])</f>
        <v>9 Ангар пилорама\E33149364_1_20251116T195203Z.jpg</v>
      </c>
    </row>
    <row r="106" spans="1:13" x14ac:dyDescent="0.25">
      <c r="A106" s="2" t="s">
        <v>22</v>
      </c>
      <c r="B106" s="4">
        <v>45977</v>
      </c>
      <c r="C106" s="5">
        <v>0.87667824074074074</v>
      </c>
      <c r="D106" s="9" t="s">
        <v>4</v>
      </c>
      <c r="E106" s="9" t="s">
        <v>9</v>
      </c>
      <c r="F106" s="9"/>
      <c r="H106" s="9" t="s">
        <v>10</v>
      </c>
      <c r="I106" s="9" t="s">
        <v>1180</v>
      </c>
      <c r="J106" s="9" t="s">
        <v>2948</v>
      </c>
      <c r="K106" t="s">
        <v>1181</v>
      </c>
      <c r="L106" t="s">
        <v>1182</v>
      </c>
      <c r="M106" s="3" t="str">
        <f>HYPERLINK(склад2въезд13192021222[[#This Row],[RelativePath]])</f>
        <v>9 Ангар пилорама\E33149364_1_20251116T210225Z.jpg</v>
      </c>
    </row>
    <row r="107" spans="1:13" x14ac:dyDescent="0.25">
      <c r="A107" s="2" t="s">
        <v>13</v>
      </c>
      <c r="B107" s="4">
        <v>45978</v>
      </c>
      <c r="C107" s="5">
        <v>0.39652777777777776</v>
      </c>
      <c r="D107" s="9" t="s">
        <v>4</v>
      </c>
      <c r="E107" s="9" t="s">
        <v>9</v>
      </c>
      <c r="F107" s="9"/>
      <c r="H107" s="9"/>
      <c r="I107" s="9" t="s">
        <v>2295</v>
      </c>
      <c r="J107" s="9" t="s">
        <v>2948</v>
      </c>
      <c r="K107" t="s">
        <v>2296</v>
      </c>
      <c r="L107" t="s">
        <v>2297</v>
      </c>
      <c r="M107" s="3" t="str">
        <f>HYPERLINK(склад2въезд13192021222[[#This Row],[RelativePath]])</f>
        <v>9 Ангар пилорама\E33149364_1_20251117T093100Z.jpg</v>
      </c>
    </row>
    <row r="108" spans="1:13" x14ac:dyDescent="0.25">
      <c r="A108" s="2" t="s">
        <v>13</v>
      </c>
      <c r="B108" s="4">
        <v>45978</v>
      </c>
      <c r="C108" s="5">
        <v>0.48062500000000002</v>
      </c>
      <c r="D108" s="9" t="s">
        <v>4</v>
      </c>
      <c r="E108" s="9" t="s">
        <v>9</v>
      </c>
      <c r="F108" s="9"/>
      <c r="H108" s="9" t="s">
        <v>2891</v>
      </c>
      <c r="I108" s="9" t="s">
        <v>2298</v>
      </c>
      <c r="J108" s="9" t="s">
        <v>2948</v>
      </c>
      <c r="K108" t="s">
        <v>2299</v>
      </c>
      <c r="L108" t="s">
        <v>2300</v>
      </c>
      <c r="M108" s="3" t="str">
        <f>HYPERLINK(склад2въезд13192021222[[#This Row],[RelativePath]])</f>
        <v>9 Ангар пилорама\E33149364_1_20251117T113206Z.jpg</v>
      </c>
    </row>
    <row r="109" spans="1:13" x14ac:dyDescent="0.25">
      <c r="A109" s="2" t="s">
        <v>13</v>
      </c>
      <c r="B109" s="4">
        <v>45978</v>
      </c>
      <c r="C109" s="5">
        <v>0.59437499999999999</v>
      </c>
      <c r="D109" s="9" t="s">
        <v>4</v>
      </c>
      <c r="E109" s="9" t="s">
        <v>9</v>
      </c>
      <c r="F109" s="9"/>
      <c r="H109" s="9" t="s">
        <v>2891</v>
      </c>
      <c r="I109" s="9" t="s">
        <v>2301</v>
      </c>
      <c r="J109" s="9" t="s">
        <v>2948</v>
      </c>
      <c r="K109" t="s">
        <v>2302</v>
      </c>
      <c r="L109" t="s">
        <v>2303</v>
      </c>
      <c r="M109" s="3" t="str">
        <f>HYPERLINK(склад2въезд13192021222[[#This Row],[RelativePath]])</f>
        <v>9 Ангар пилорама\E33149364_1_20251117T141554Z.jpg</v>
      </c>
    </row>
    <row r="110" spans="1:13" x14ac:dyDescent="0.25">
      <c r="A110" s="2" t="s">
        <v>13</v>
      </c>
      <c r="B110" s="4">
        <v>45978</v>
      </c>
      <c r="C110" s="5">
        <v>0.62839120370370372</v>
      </c>
      <c r="D110" s="9" t="s">
        <v>4</v>
      </c>
      <c r="E110" s="9" t="s">
        <v>9</v>
      </c>
      <c r="F110" s="9"/>
      <c r="H110" s="9" t="s">
        <v>2891</v>
      </c>
      <c r="I110" s="9" t="s">
        <v>2304</v>
      </c>
      <c r="J110" s="9" t="s">
        <v>2948</v>
      </c>
      <c r="K110" t="s">
        <v>2305</v>
      </c>
      <c r="L110" t="s">
        <v>2306</v>
      </c>
      <c r="M110" s="3" t="str">
        <f>HYPERLINK(склад2въезд13192021222[[#This Row],[RelativePath]])</f>
        <v>9 Ангар пилорама\E33149364_1_20251117T150453Z.jpg</v>
      </c>
    </row>
    <row r="111" spans="1:13" x14ac:dyDescent="0.25">
      <c r="A111" s="2" t="s">
        <v>13</v>
      </c>
      <c r="B111" s="4">
        <v>45978</v>
      </c>
      <c r="C111" s="5">
        <v>0.65424768518518517</v>
      </c>
      <c r="D111" s="9" t="s">
        <v>4</v>
      </c>
      <c r="E111" s="9" t="s">
        <v>9</v>
      </c>
      <c r="F111" s="9"/>
      <c r="H111" s="9" t="s">
        <v>2891</v>
      </c>
      <c r="I111" s="9" t="s">
        <v>2307</v>
      </c>
      <c r="J111" s="9" t="s">
        <v>2948</v>
      </c>
      <c r="K111" t="s">
        <v>2308</v>
      </c>
      <c r="L111" t="s">
        <v>2309</v>
      </c>
      <c r="M111" s="3" t="str">
        <f>HYPERLINK(склад2въезд13192021222[[#This Row],[RelativePath]])</f>
        <v>9 Ангар пилорама\E33149364_1_20251117T154207Z.jpg</v>
      </c>
    </row>
    <row r="112" spans="1:13" x14ac:dyDescent="0.25">
      <c r="A112" s="2" t="s">
        <v>13</v>
      </c>
      <c r="B112" s="4">
        <v>45978</v>
      </c>
      <c r="C112" s="5">
        <v>0.70846064814814813</v>
      </c>
      <c r="D112" s="9" t="s">
        <v>2894</v>
      </c>
      <c r="E112" s="9" t="s">
        <v>2895</v>
      </c>
      <c r="F112" s="9" t="s">
        <v>2884</v>
      </c>
      <c r="G112">
        <v>1</v>
      </c>
      <c r="H112" s="9" t="s">
        <v>2896</v>
      </c>
      <c r="I112" s="9" t="s">
        <v>2310</v>
      </c>
      <c r="J112" s="9" t="s">
        <v>2948</v>
      </c>
      <c r="K112" t="s">
        <v>2311</v>
      </c>
      <c r="L112" t="s">
        <v>2312</v>
      </c>
      <c r="M112" s="3" t="str">
        <f>HYPERLINK(склад2въезд13192021222[[#This Row],[RelativePath]])</f>
        <v>9 Ангар пилорама\E33149364_1_20251117T170011Z.jpg</v>
      </c>
    </row>
    <row r="113" spans="1:13" x14ac:dyDescent="0.25">
      <c r="A113" s="2" t="s">
        <v>13</v>
      </c>
      <c r="B113" s="4">
        <v>45978</v>
      </c>
      <c r="C113" s="5">
        <v>0.70990740740740743</v>
      </c>
      <c r="D113" s="9" t="s">
        <v>2894</v>
      </c>
      <c r="E113" s="9" t="s">
        <v>2895</v>
      </c>
      <c r="F113" s="9" t="s">
        <v>2884</v>
      </c>
      <c r="G113">
        <v>1</v>
      </c>
      <c r="H113" s="9" t="s">
        <v>2896</v>
      </c>
      <c r="I113" s="9" t="s">
        <v>2313</v>
      </c>
      <c r="J113" s="9" t="s">
        <v>2948</v>
      </c>
      <c r="K113" t="s">
        <v>2314</v>
      </c>
      <c r="L113" t="s">
        <v>2315</v>
      </c>
      <c r="M113" s="3" t="str">
        <f>HYPERLINK(склад2въезд13192021222[[#This Row],[RelativePath]])</f>
        <v>9 Ангар пилорама\E33149364_1_20251117T170216Z.jpg</v>
      </c>
    </row>
    <row r="114" spans="1:13" x14ac:dyDescent="0.25">
      <c r="A114" s="2" t="s">
        <v>13</v>
      </c>
      <c r="B114" s="4">
        <v>45978</v>
      </c>
      <c r="C114" s="5">
        <v>0.71155092592592595</v>
      </c>
      <c r="D114" s="9" t="s">
        <v>2894</v>
      </c>
      <c r="E114" s="9" t="s">
        <v>2895</v>
      </c>
      <c r="F114" s="9" t="s">
        <v>2884</v>
      </c>
      <c r="G114">
        <v>1</v>
      </c>
      <c r="H114" s="9" t="s">
        <v>2896</v>
      </c>
      <c r="I114" s="9" t="s">
        <v>2316</v>
      </c>
      <c r="J114" s="9" t="s">
        <v>2948</v>
      </c>
      <c r="K114" t="s">
        <v>2317</v>
      </c>
      <c r="L114" t="s">
        <v>2318</v>
      </c>
      <c r="M114" s="3" t="str">
        <f>HYPERLINK(склад2въезд13192021222[[#This Row],[RelativePath]])</f>
        <v>9 Ангар пилорама\E33149364_1_20251117T170438Z.jpg</v>
      </c>
    </row>
    <row r="115" spans="1:13" x14ac:dyDescent="0.25">
      <c r="A115" s="2" t="s">
        <v>13</v>
      </c>
      <c r="B115" s="4">
        <v>45978</v>
      </c>
      <c r="C115" s="5">
        <v>0.71207175925925925</v>
      </c>
      <c r="D115" s="9" t="s">
        <v>2894</v>
      </c>
      <c r="E115" s="9" t="s">
        <v>2895</v>
      </c>
      <c r="F115" s="9" t="s">
        <v>2884</v>
      </c>
      <c r="G115">
        <v>1</v>
      </c>
      <c r="H115" s="9" t="s">
        <v>2896</v>
      </c>
      <c r="I115" s="9" t="s">
        <v>2319</v>
      </c>
      <c r="J115" s="9" t="s">
        <v>2948</v>
      </c>
      <c r="K115" t="s">
        <v>2320</v>
      </c>
      <c r="L115" t="s">
        <v>2321</v>
      </c>
      <c r="M115" s="3" t="str">
        <f>HYPERLINK(склад2въезд13192021222[[#This Row],[RelativePath]])</f>
        <v>9 Ангар пилорама\E33149364_1_20251117T170523Z.jpg</v>
      </c>
    </row>
    <row r="116" spans="1:13" x14ac:dyDescent="0.25">
      <c r="A116" s="2" t="s">
        <v>13</v>
      </c>
      <c r="B116" s="4">
        <v>45978</v>
      </c>
      <c r="C116" s="5">
        <v>0.71313657407407405</v>
      </c>
      <c r="D116" s="9" t="s">
        <v>2894</v>
      </c>
      <c r="E116" s="9" t="s">
        <v>2895</v>
      </c>
      <c r="F116" s="9" t="s">
        <v>2884</v>
      </c>
      <c r="G116">
        <v>1</v>
      </c>
      <c r="H116" s="9" t="s">
        <v>2896</v>
      </c>
      <c r="I116" s="9" t="s">
        <v>2322</v>
      </c>
      <c r="J116" s="9" t="s">
        <v>2948</v>
      </c>
      <c r="K116" t="s">
        <v>2323</v>
      </c>
      <c r="L116" t="s">
        <v>2324</v>
      </c>
      <c r="M116" s="3" t="str">
        <f>HYPERLINK(склад2въезд13192021222[[#This Row],[RelativePath]])</f>
        <v>9 Ангар пилорама\E33149364_1_20251117T170655Z.jpg</v>
      </c>
    </row>
    <row r="117" spans="1:13" x14ac:dyDescent="0.25">
      <c r="A117" s="2" t="s">
        <v>13</v>
      </c>
      <c r="B117" s="4">
        <v>45978</v>
      </c>
      <c r="C117" s="5">
        <v>0.71349537037037036</v>
      </c>
      <c r="D117" s="9" t="s">
        <v>2894</v>
      </c>
      <c r="E117" s="9" t="s">
        <v>2895</v>
      </c>
      <c r="F117" s="9" t="s">
        <v>2884</v>
      </c>
      <c r="G117">
        <v>1</v>
      </c>
      <c r="H117" s="9" t="s">
        <v>2896</v>
      </c>
      <c r="I117" s="9" t="s">
        <v>2325</v>
      </c>
      <c r="J117" s="9" t="s">
        <v>2948</v>
      </c>
      <c r="K117" t="s">
        <v>2326</v>
      </c>
      <c r="L117" t="s">
        <v>2327</v>
      </c>
      <c r="M117" s="3" t="str">
        <f>HYPERLINK(склад2въезд13192021222[[#This Row],[RelativePath]])</f>
        <v>9 Ангар пилорама\E33149364_1_20251117T170726Z.jpg</v>
      </c>
    </row>
    <row r="118" spans="1:13" x14ac:dyDescent="0.25">
      <c r="A118" s="2" t="s">
        <v>13</v>
      </c>
      <c r="B118" s="4">
        <v>45978</v>
      </c>
      <c r="C118" s="5">
        <v>0.71479166666666671</v>
      </c>
      <c r="D118" s="9" t="s">
        <v>2894</v>
      </c>
      <c r="E118" s="9" t="s">
        <v>2895</v>
      </c>
      <c r="F118" s="9" t="s">
        <v>2884</v>
      </c>
      <c r="G118">
        <v>1</v>
      </c>
      <c r="H118" s="9" t="s">
        <v>2896</v>
      </c>
      <c r="I118" s="9" t="s">
        <v>2328</v>
      </c>
      <c r="J118" s="9" t="s">
        <v>2948</v>
      </c>
      <c r="K118" t="s">
        <v>2329</v>
      </c>
      <c r="L118" t="s">
        <v>2330</v>
      </c>
      <c r="M118" s="3" t="str">
        <f>HYPERLINK(склад2въезд13192021222[[#This Row],[RelativePath]])</f>
        <v>9 Ангар пилорама\E33149364_1_20251117T170918Z.jpg</v>
      </c>
    </row>
    <row r="119" spans="1:13" x14ac:dyDescent="0.25">
      <c r="A119" s="2" t="s">
        <v>13</v>
      </c>
      <c r="B119" s="4">
        <v>45978</v>
      </c>
      <c r="C119" s="5">
        <v>0.71493055555555551</v>
      </c>
      <c r="D119" s="9" t="s">
        <v>2894</v>
      </c>
      <c r="E119" s="9" t="s">
        <v>2895</v>
      </c>
      <c r="F119" s="9" t="s">
        <v>2884</v>
      </c>
      <c r="G119">
        <v>1</v>
      </c>
      <c r="H119" s="9" t="s">
        <v>2896</v>
      </c>
      <c r="I119" s="9" t="s">
        <v>2331</v>
      </c>
      <c r="J119" s="9" t="s">
        <v>2948</v>
      </c>
      <c r="K119" t="s">
        <v>2332</v>
      </c>
      <c r="L119" t="s">
        <v>2333</v>
      </c>
      <c r="M119" s="3" t="str">
        <f>HYPERLINK(склад2въезд13192021222[[#This Row],[RelativePath]])</f>
        <v>9 Ангар пилорама\E33149364_1_20251117T170930Z.jpg</v>
      </c>
    </row>
    <row r="120" spans="1:13" x14ac:dyDescent="0.25">
      <c r="A120" s="2" t="s">
        <v>13</v>
      </c>
      <c r="B120" s="4">
        <v>45978</v>
      </c>
      <c r="C120" s="5">
        <v>0.71530092592592598</v>
      </c>
      <c r="D120" s="9" t="s">
        <v>4</v>
      </c>
      <c r="E120" s="9" t="s">
        <v>9</v>
      </c>
      <c r="F120" s="9"/>
      <c r="H120" s="9"/>
      <c r="I120" s="9" t="s">
        <v>2334</v>
      </c>
      <c r="J120" s="9" t="s">
        <v>2948</v>
      </c>
      <c r="K120" t="s">
        <v>2335</v>
      </c>
      <c r="L120" t="s">
        <v>2336</v>
      </c>
      <c r="M120" s="3" t="str">
        <f>HYPERLINK(склад2въезд13192021222[[#This Row],[RelativePath]])</f>
        <v>9 Ангар пилорама\E33149364_1_20251117T171002Z.jpg</v>
      </c>
    </row>
    <row r="121" spans="1:13" x14ac:dyDescent="0.25">
      <c r="A121" s="2" t="s">
        <v>13</v>
      </c>
      <c r="B121" s="4">
        <v>45978</v>
      </c>
      <c r="C121" s="5">
        <v>0.749537037037037</v>
      </c>
      <c r="D121" s="9" t="s">
        <v>4</v>
      </c>
      <c r="E121" s="9" t="s">
        <v>9</v>
      </c>
      <c r="F121" s="9"/>
      <c r="H121" s="9" t="s">
        <v>2891</v>
      </c>
      <c r="I121" s="9" t="s">
        <v>2337</v>
      </c>
      <c r="J121" s="9" t="s">
        <v>2948</v>
      </c>
      <c r="K121" t="s">
        <v>2338</v>
      </c>
      <c r="L121" t="s">
        <v>2339</v>
      </c>
      <c r="M121" s="3" t="str">
        <f>HYPERLINK(склад2въезд13192021222[[#This Row],[RelativePath]])</f>
        <v>9 Ангар пилорама\E33149364_1_20251117T175920Z.jpg</v>
      </c>
    </row>
    <row r="122" spans="1:13" x14ac:dyDescent="0.25">
      <c r="A122" s="2" t="s">
        <v>13</v>
      </c>
      <c r="B122" s="4">
        <v>45978</v>
      </c>
      <c r="C122" s="5">
        <v>0.78225694444444449</v>
      </c>
      <c r="D122" s="9" t="s">
        <v>1987</v>
      </c>
      <c r="E122" s="9" t="s">
        <v>1267</v>
      </c>
      <c r="F122" s="9"/>
      <c r="H122" s="9"/>
      <c r="I122" s="9" t="s">
        <v>2340</v>
      </c>
      <c r="J122" s="9" t="s">
        <v>2948</v>
      </c>
      <c r="K122" t="s">
        <v>2341</v>
      </c>
      <c r="L122" t="s">
        <v>2342</v>
      </c>
      <c r="M122" s="3" t="str">
        <f>HYPERLINK(склад2въезд13192021222[[#This Row],[RelativePath]])</f>
        <v>9 Ангар пилорама\E33149364_1_20251117T184627Z.jpg</v>
      </c>
    </row>
    <row r="123" spans="1:13" x14ac:dyDescent="0.25">
      <c r="A123" s="2" t="s">
        <v>13</v>
      </c>
      <c r="B123" s="4">
        <v>45978</v>
      </c>
      <c r="C123" s="5">
        <v>0.8111342592592593</v>
      </c>
      <c r="D123" s="9" t="s">
        <v>4</v>
      </c>
      <c r="E123" s="9" t="s">
        <v>9</v>
      </c>
      <c r="F123" s="9"/>
      <c r="H123" s="9" t="s">
        <v>2891</v>
      </c>
      <c r="I123" s="9" t="s">
        <v>2343</v>
      </c>
      <c r="J123" s="9" t="s">
        <v>2948</v>
      </c>
      <c r="K123" t="s">
        <v>2344</v>
      </c>
      <c r="L123" t="s">
        <v>2345</v>
      </c>
      <c r="M123" s="3" t="str">
        <f>HYPERLINK(склад2въезд13192021222[[#This Row],[RelativePath]])</f>
        <v>9 Ангар пилорама\E33149364_1_20251117T192802Z.jpg</v>
      </c>
    </row>
    <row r="124" spans="1:13" x14ac:dyDescent="0.25">
      <c r="A124" s="2" t="s">
        <v>13</v>
      </c>
      <c r="B124" s="4">
        <v>45978</v>
      </c>
      <c r="C124" s="5">
        <v>0.82803240740740736</v>
      </c>
      <c r="D124" s="9" t="s">
        <v>4</v>
      </c>
      <c r="E124" s="9" t="s">
        <v>9</v>
      </c>
      <c r="F124" s="9"/>
      <c r="H124" s="9" t="s">
        <v>2891</v>
      </c>
      <c r="I124" s="9" t="s">
        <v>2346</v>
      </c>
      <c r="J124" s="9" t="s">
        <v>2948</v>
      </c>
      <c r="K124" t="s">
        <v>2347</v>
      </c>
      <c r="L124" t="s">
        <v>2348</v>
      </c>
      <c r="M124" s="3" t="str">
        <f>HYPERLINK(склад2въезд13192021222[[#This Row],[RelativePath]])</f>
        <v>9 Ангар пилорама\E33149364_1_20251117T195222Z.jpg</v>
      </c>
    </row>
    <row r="125" spans="1:13" x14ac:dyDescent="0.25">
      <c r="A125" s="2" t="s">
        <v>13</v>
      </c>
      <c r="B125" s="4">
        <v>45978</v>
      </c>
      <c r="C125" s="5">
        <v>0.97770833333333329</v>
      </c>
      <c r="D125" s="9" t="s">
        <v>4</v>
      </c>
      <c r="E125" s="9" t="s">
        <v>9</v>
      </c>
      <c r="F125" s="9"/>
      <c r="H125" s="9" t="s">
        <v>2891</v>
      </c>
      <c r="I125" s="9" t="s">
        <v>2349</v>
      </c>
      <c r="J125" s="9" t="s">
        <v>2948</v>
      </c>
      <c r="K125" t="s">
        <v>2350</v>
      </c>
      <c r="L125" t="s">
        <v>2351</v>
      </c>
      <c r="M125" s="3" t="str">
        <f>HYPERLINK(склад2въезд13192021222[[#This Row],[RelativePath]])</f>
        <v>9 Ангар пилорама\E33149364_1_20251117T232754Z.jpg</v>
      </c>
    </row>
    <row r="126" spans="1:13" x14ac:dyDescent="0.25">
      <c r="A126" s="2" t="s">
        <v>14</v>
      </c>
      <c r="B126" s="4">
        <v>45979</v>
      </c>
      <c r="C126" s="5">
        <v>0.38049768518518517</v>
      </c>
      <c r="D126" s="9" t="s">
        <v>4</v>
      </c>
      <c r="E126" s="9" t="s">
        <v>9</v>
      </c>
      <c r="F126" s="9"/>
      <c r="H126" s="9" t="s">
        <v>2891</v>
      </c>
      <c r="I126" s="9" t="s">
        <v>2352</v>
      </c>
      <c r="J126" s="9" t="s">
        <v>2948</v>
      </c>
      <c r="K126" t="s">
        <v>2353</v>
      </c>
      <c r="L126" t="s">
        <v>2354</v>
      </c>
      <c r="M126" s="3" t="str">
        <f>HYPERLINK(склад2въезд13192021222[[#This Row],[RelativePath]])</f>
        <v>9 Ангар пилорама\E33149364_1_20251118T090755Z.jpg</v>
      </c>
    </row>
    <row r="127" spans="1:13" x14ac:dyDescent="0.25">
      <c r="A127" s="2" t="s">
        <v>14</v>
      </c>
      <c r="B127" s="4">
        <v>45979</v>
      </c>
      <c r="C127" s="5">
        <v>0.38072916666666667</v>
      </c>
      <c r="D127" s="9" t="s">
        <v>4</v>
      </c>
      <c r="E127" s="9" t="s">
        <v>9</v>
      </c>
      <c r="F127" s="9"/>
      <c r="H127" s="9"/>
      <c r="I127" s="9" t="s">
        <v>2355</v>
      </c>
      <c r="J127" s="9" t="s">
        <v>2948</v>
      </c>
      <c r="K127" t="s">
        <v>2356</v>
      </c>
      <c r="L127" t="s">
        <v>2357</v>
      </c>
      <c r="M127" s="3" t="str">
        <f>HYPERLINK(склад2въезд13192021222[[#This Row],[RelativePath]])</f>
        <v>9 Ангар пилорама\E33149364_1_20251118T090815Z.jpg</v>
      </c>
    </row>
    <row r="128" spans="1:13" x14ac:dyDescent="0.25">
      <c r="A128" s="2" t="s">
        <v>14</v>
      </c>
      <c r="B128" s="4">
        <v>45979</v>
      </c>
      <c r="C128" s="5">
        <v>0.38086805555555553</v>
      </c>
      <c r="D128" s="9" t="s">
        <v>1063</v>
      </c>
      <c r="E128" s="9" t="s">
        <v>1570</v>
      </c>
      <c r="F128" s="9" t="s">
        <v>58</v>
      </c>
      <c r="H128" s="9"/>
      <c r="I128" s="9" t="s">
        <v>2358</v>
      </c>
      <c r="J128" s="9" t="s">
        <v>2948</v>
      </c>
      <c r="K128" t="s">
        <v>2359</v>
      </c>
      <c r="L128" t="s">
        <v>2360</v>
      </c>
      <c r="M128" s="3" t="str">
        <f>HYPERLINK(склад2въезд13192021222[[#This Row],[RelativePath]])</f>
        <v>9 Ангар пилорама\E33149364_1_20251118T090827Z.jpg</v>
      </c>
    </row>
    <row r="129" spans="1:13" x14ac:dyDescent="0.25">
      <c r="A129" s="2" t="s">
        <v>14</v>
      </c>
      <c r="B129" s="4">
        <v>45979</v>
      </c>
      <c r="C129" s="5">
        <v>0.38098379629629631</v>
      </c>
      <c r="D129" s="9" t="s">
        <v>1063</v>
      </c>
      <c r="E129" s="9" t="s">
        <v>1570</v>
      </c>
      <c r="F129" s="9" t="s">
        <v>58</v>
      </c>
      <c r="H129" s="9"/>
      <c r="I129" s="9" t="s">
        <v>2361</v>
      </c>
      <c r="J129" s="9" t="s">
        <v>2948</v>
      </c>
      <c r="K129" t="s">
        <v>2362</v>
      </c>
      <c r="L129" t="s">
        <v>2363</v>
      </c>
      <c r="M129" s="3" t="str">
        <f>HYPERLINK(склад2въезд13192021222[[#This Row],[RelativePath]])</f>
        <v>9 Ангар пилорама\E33149364_1_20251118T090837Z.jpg</v>
      </c>
    </row>
    <row r="130" spans="1:13" x14ac:dyDescent="0.25">
      <c r="A130" s="2" t="s">
        <v>14</v>
      </c>
      <c r="B130" s="4">
        <v>45979</v>
      </c>
      <c r="C130" s="5">
        <v>0.38143518518518521</v>
      </c>
      <c r="D130" s="9" t="s">
        <v>1063</v>
      </c>
      <c r="E130" s="9" t="s">
        <v>1570</v>
      </c>
      <c r="F130" s="9" t="s">
        <v>58</v>
      </c>
      <c r="H130" s="9"/>
      <c r="I130" s="9" t="s">
        <v>2364</v>
      </c>
      <c r="J130" s="9" t="s">
        <v>2948</v>
      </c>
      <c r="K130" t="s">
        <v>2365</v>
      </c>
      <c r="L130" t="s">
        <v>2366</v>
      </c>
      <c r="M130" s="3" t="str">
        <f>HYPERLINK(склад2въезд13192021222[[#This Row],[RelativePath]])</f>
        <v>9 Ангар пилорама\E33149364_1_20251118T090916Z.jpg</v>
      </c>
    </row>
    <row r="131" spans="1:13" x14ac:dyDescent="0.25">
      <c r="A131" s="2" t="s">
        <v>14</v>
      </c>
      <c r="B131" s="4">
        <v>45979</v>
      </c>
      <c r="C131" s="5">
        <v>0.38604166666666667</v>
      </c>
      <c r="D131" s="9" t="s">
        <v>1063</v>
      </c>
      <c r="E131" s="9" t="s">
        <v>1570</v>
      </c>
      <c r="F131" s="9" t="s">
        <v>58</v>
      </c>
      <c r="H131" s="9"/>
      <c r="I131" s="9" t="s">
        <v>2367</v>
      </c>
      <c r="J131" s="9" t="s">
        <v>2948</v>
      </c>
      <c r="K131" t="s">
        <v>2368</v>
      </c>
      <c r="L131" t="s">
        <v>2369</v>
      </c>
      <c r="M131" s="3" t="str">
        <f>HYPERLINK(склад2въезд13192021222[[#This Row],[RelativePath]])</f>
        <v>9 Ангар пилорама\E33149364_1_20251118T091554Z.jpg</v>
      </c>
    </row>
    <row r="132" spans="1:13" x14ac:dyDescent="0.25">
      <c r="A132" s="2" t="s">
        <v>14</v>
      </c>
      <c r="B132" s="4">
        <v>45979</v>
      </c>
      <c r="C132" s="5">
        <v>0.38738425925925923</v>
      </c>
      <c r="D132" s="9" t="s">
        <v>2898</v>
      </c>
      <c r="E132" s="9"/>
      <c r="F132" s="9"/>
      <c r="H132" s="9" t="s">
        <v>2897</v>
      </c>
      <c r="I132" s="9" t="s">
        <v>2370</v>
      </c>
      <c r="J132" s="9" t="s">
        <v>2948</v>
      </c>
      <c r="K132" t="s">
        <v>2371</v>
      </c>
      <c r="L132" t="s">
        <v>2372</v>
      </c>
      <c r="M132" s="3" t="str">
        <f>HYPERLINK(склад2въезд13192021222[[#This Row],[RelativePath]])</f>
        <v>9 Ангар пилорама\E33149364_1_20251118T091750Z.jpg</v>
      </c>
    </row>
    <row r="133" spans="1:13" x14ac:dyDescent="0.25">
      <c r="A133" s="2" t="s">
        <v>14</v>
      </c>
      <c r="B133" s="4">
        <v>45979</v>
      </c>
      <c r="C133" s="5">
        <v>0.38805555555555554</v>
      </c>
      <c r="D133" s="9" t="s">
        <v>1063</v>
      </c>
      <c r="E133" s="9" t="s">
        <v>1570</v>
      </c>
      <c r="F133" s="9" t="s">
        <v>2906</v>
      </c>
      <c r="H133" s="9"/>
      <c r="I133" s="9" t="s">
        <v>2373</v>
      </c>
      <c r="J133" s="9" t="s">
        <v>2948</v>
      </c>
      <c r="K133" t="s">
        <v>2374</v>
      </c>
      <c r="L133" t="s">
        <v>2375</v>
      </c>
      <c r="M133" s="3" t="str">
        <f>HYPERLINK(склад2въезд13192021222[[#This Row],[RelativePath]])</f>
        <v>9 Ангар пилорама\E33149364_1_20251118T091848Z.jpg</v>
      </c>
    </row>
    <row r="134" spans="1:13" x14ac:dyDescent="0.25">
      <c r="A134" s="2" t="s">
        <v>14</v>
      </c>
      <c r="B134" s="4">
        <v>45979</v>
      </c>
      <c r="C134" s="5">
        <v>0.38916666666666666</v>
      </c>
      <c r="D134" s="9" t="s">
        <v>4</v>
      </c>
      <c r="E134" s="9" t="s">
        <v>9</v>
      </c>
      <c r="F134" s="9"/>
      <c r="H134" s="9"/>
      <c r="I134" s="9" t="s">
        <v>2376</v>
      </c>
      <c r="J134" s="9" t="s">
        <v>2948</v>
      </c>
      <c r="K134" t="s">
        <v>2377</v>
      </c>
      <c r="L134" t="s">
        <v>2378</v>
      </c>
      <c r="M134" s="3" t="str">
        <f>HYPERLINK(склад2въезд13192021222[[#This Row],[RelativePath]])</f>
        <v>9 Ангар пилорама\E33149364_1_20251118T092024Z.jpg</v>
      </c>
    </row>
    <row r="135" spans="1:13" x14ac:dyDescent="0.25">
      <c r="A135" s="2" t="s">
        <v>14</v>
      </c>
      <c r="B135" s="4">
        <v>45979</v>
      </c>
      <c r="C135" s="5">
        <v>0.40920138888888891</v>
      </c>
      <c r="D135" s="9" t="s">
        <v>1063</v>
      </c>
      <c r="E135" s="9" t="s">
        <v>1570</v>
      </c>
      <c r="F135" s="9" t="s">
        <v>58</v>
      </c>
      <c r="H135" s="9"/>
      <c r="I135" s="9" t="s">
        <v>2379</v>
      </c>
      <c r="J135" s="9" t="s">
        <v>2948</v>
      </c>
      <c r="K135" t="s">
        <v>2380</v>
      </c>
      <c r="L135" t="s">
        <v>2381</v>
      </c>
      <c r="M135" s="3" t="str">
        <f>HYPERLINK(склад2въезд13192021222[[#This Row],[RelativePath]])</f>
        <v>9 Ангар пилорама\E33149364_1_20251118T094915Z.jpg</v>
      </c>
    </row>
    <row r="136" spans="1:13" x14ac:dyDescent="0.25">
      <c r="A136" s="2" t="s">
        <v>14</v>
      </c>
      <c r="B136" s="4">
        <v>45979</v>
      </c>
      <c r="C136" s="5">
        <v>0.41859953703703706</v>
      </c>
      <c r="D136" s="9" t="s">
        <v>1063</v>
      </c>
      <c r="E136" s="9" t="s">
        <v>1570</v>
      </c>
      <c r="F136" s="9" t="s">
        <v>58</v>
      </c>
      <c r="H136" s="9"/>
      <c r="I136" s="9" t="s">
        <v>2382</v>
      </c>
      <c r="J136" s="9" t="s">
        <v>2948</v>
      </c>
      <c r="K136" t="s">
        <v>2383</v>
      </c>
      <c r="L136" t="s">
        <v>2384</v>
      </c>
      <c r="M136" s="3" t="str">
        <f>HYPERLINK(склад2въезд13192021222[[#This Row],[RelativePath]])</f>
        <v>9 Ангар пилорама\E33149364_1_20251118T100247Z.jpg</v>
      </c>
    </row>
    <row r="137" spans="1:13" x14ac:dyDescent="0.25">
      <c r="A137" s="2" t="s">
        <v>14</v>
      </c>
      <c r="B137" s="4">
        <v>45979</v>
      </c>
      <c r="C137" s="5">
        <v>0.42700231481481482</v>
      </c>
      <c r="D137" s="9" t="s">
        <v>1063</v>
      </c>
      <c r="E137" s="9" t="s">
        <v>1570</v>
      </c>
      <c r="F137" s="9" t="s">
        <v>58</v>
      </c>
      <c r="H137" s="9" t="s">
        <v>2891</v>
      </c>
      <c r="I137" s="9" t="s">
        <v>2385</v>
      </c>
      <c r="J137" s="9" t="s">
        <v>2948</v>
      </c>
      <c r="K137" t="s">
        <v>2386</v>
      </c>
      <c r="L137" t="s">
        <v>2387</v>
      </c>
      <c r="M137" s="3" t="str">
        <f>HYPERLINK(склад2въезд13192021222[[#This Row],[RelativePath]])</f>
        <v>9 Ангар пилорама\E33149364_1_20251118T101453Z.jpg</v>
      </c>
    </row>
    <row r="138" spans="1:13" x14ac:dyDescent="0.25">
      <c r="A138" s="2" t="s">
        <v>14</v>
      </c>
      <c r="B138" s="4">
        <v>45979</v>
      </c>
      <c r="C138" s="5">
        <v>0.50777777777777777</v>
      </c>
      <c r="D138" s="9" t="s">
        <v>4</v>
      </c>
      <c r="E138" s="9" t="s">
        <v>9</v>
      </c>
      <c r="F138" s="9"/>
      <c r="H138" s="9" t="s">
        <v>2891</v>
      </c>
      <c r="I138" s="9" t="s">
        <v>2388</v>
      </c>
      <c r="J138" s="9" t="s">
        <v>2948</v>
      </c>
      <c r="K138" t="s">
        <v>2389</v>
      </c>
      <c r="L138" t="s">
        <v>2390</v>
      </c>
      <c r="M138" s="3" t="str">
        <f>HYPERLINK(склад2въезд13192021222[[#This Row],[RelativePath]])</f>
        <v>9 Ангар пилорама\E33149364_1_20251118T121112Z.jpg</v>
      </c>
    </row>
    <row r="139" spans="1:13" x14ac:dyDescent="0.25">
      <c r="A139" s="2" t="s">
        <v>14</v>
      </c>
      <c r="B139" s="4">
        <v>45979</v>
      </c>
      <c r="C139" s="5">
        <v>0.74966435185185187</v>
      </c>
      <c r="D139" s="9" t="s">
        <v>4</v>
      </c>
      <c r="E139" s="9" t="s">
        <v>9</v>
      </c>
      <c r="F139" s="9"/>
      <c r="H139" s="9" t="s">
        <v>2891</v>
      </c>
      <c r="I139" s="9" t="s">
        <v>2391</v>
      </c>
      <c r="J139" s="9" t="s">
        <v>2948</v>
      </c>
      <c r="K139" t="s">
        <v>2392</v>
      </c>
      <c r="L139" t="s">
        <v>2393</v>
      </c>
      <c r="M139" s="3" t="str">
        <f>HYPERLINK(склад2въезд13192021222[[#This Row],[RelativePath]])</f>
        <v>9 Ангар пилорама\E33149364_1_20251118T175931Z.jpg</v>
      </c>
    </row>
    <row r="140" spans="1:13" x14ac:dyDescent="0.25">
      <c r="A140" s="2" t="s">
        <v>14</v>
      </c>
      <c r="B140" s="4">
        <v>45979</v>
      </c>
      <c r="C140" s="5">
        <v>0.76224537037037032</v>
      </c>
      <c r="D140" s="9" t="s">
        <v>4</v>
      </c>
      <c r="E140" s="9" t="s">
        <v>9</v>
      </c>
      <c r="F140" s="9"/>
      <c r="H140" s="9" t="s">
        <v>2891</v>
      </c>
      <c r="I140" s="9" t="s">
        <v>2394</v>
      </c>
      <c r="J140" s="9" t="s">
        <v>2948</v>
      </c>
      <c r="K140" t="s">
        <v>2395</v>
      </c>
      <c r="L140" t="s">
        <v>2396</v>
      </c>
      <c r="M140" s="3" t="str">
        <f>HYPERLINK(склад2въезд13192021222[[#This Row],[RelativePath]])</f>
        <v>9 Ангар пилорама\E33149364_1_20251118T181738Z.jpg</v>
      </c>
    </row>
    <row r="141" spans="1:13" x14ac:dyDescent="0.25">
      <c r="A141" s="2" t="s">
        <v>14</v>
      </c>
      <c r="B141" s="4">
        <v>45979</v>
      </c>
      <c r="C141" s="5">
        <v>0.84546296296296297</v>
      </c>
      <c r="D141" s="9" t="s">
        <v>4</v>
      </c>
      <c r="E141" s="9" t="s">
        <v>9</v>
      </c>
      <c r="F141" s="9"/>
      <c r="H141" s="9" t="s">
        <v>2891</v>
      </c>
      <c r="I141" s="9" t="s">
        <v>2397</v>
      </c>
      <c r="J141" s="9" t="s">
        <v>2948</v>
      </c>
      <c r="K141" t="s">
        <v>2398</v>
      </c>
      <c r="L141" t="s">
        <v>2399</v>
      </c>
      <c r="M141" s="3" t="str">
        <f>HYPERLINK(склад2въезд13192021222[[#This Row],[RelativePath]])</f>
        <v>9 Ангар пилорама\E33149364_1_20251118T201728Z.jpg</v>
      </c>
    </row>
    <row r="142" spans="1:13" x14ac:dyDescent="0.25">
      <c r="A142" s="2" t="s">
        <v>14</v>
      </c>
      <c r="B142" s="4">
        <v>45979</v>
      </c>
      <c r="C142" s="5">
        <v>0.89384259259259258</v>
      </c>
      <c r="D142" s="9" t="s">
        <v>4</v>
      </c>
      <c r="E142" s="9" t="s">
        <v>9</v>
      </c>
      <c r="F142" s="9"/>
      <c r="H142" s="9" t="s">
        <v>2891</v>
      </c>
      <c r="I142" s="9" t="s">
        <v>2400</v>
      </c>
      <c r="J142" s="9" t="s">
        <v>2948</v>
      </c>
      <c r="K142" t="s">
        <v>2401</v>
      </c>
      <c r="L142" t="s">
        <v>2402</v>
      </c>
      <c r="M142" s="3" t="str">
        <f>HYPERLINK(склад2въезд13192021222[[#This Row],[RelativePath]])</f>
        <v>9 Ангар пилорама\E33149364_1_20251118T212708Z.jpg</v>
      </c>
    </row>
    <row r="143" spans="1:13" x14ac:dyDescent="0.25">
      <c r="A143" s="2" t="s">
        <v>14</v>
      </c>
      <c r="B143" s="4">
        <v>45979</v>
      </c>
      <c r="C143" s="5">
        <v>0.91803240740740744</v>
      </c>
      <c r="D143" s="9" t="s">
        <v>4</v>
      </c>
      <c r="E143" s="9" t="s">
        <v>9</v>
      </c>
      <c r="F143" s="9"/>
      <c r="H143" s="9" t="s">
        <v>2891</v>
      </c>
      <c r="I143" s="9" t="s">
        <v>2403</v>
      </c>
      <c r="J143" s="9" t="s">
        <v>2948</v>
      </c>
      <c r="K143" t="s">
        <v>2404</v>
      </c>
      <c r="L143" t="s">
        <v>2405</v>
      </c>
      <c r="M143" s="3" t="str">
        <f>HYPERLINK(склад2въезд13192021222[[#This Row],[RelativePath]])</f>
        <v>9 Ангар пилорама\E33149364_1_20251118T220158Z.jpg</v>
      </c>
    </row>
    <row r="144" spans="1:13" x14ac:dyDescent="0.25">
      <c r="A144" s="2" t="s">
        <v>15</v>
      </c>
      <c r="B144" s="4">
        <v>45980</v>
      </c>
      <c r="C144" s="5">
        <v>3.5324074074074077E-2</v>
      </c>
      <c r="D144" s="9" t="s">
        <v>4</v>
      </c>
      <c r="E144" s="9" t="s">
        <v>9</v>
      </c>
      <c r="F144" s="9"/>
      <c r="H144" s="9" t="s">
        <v>2891</v>
      </c>
      <c r="I144" s="9" t="s">
        <v>2406</v>
      </c>
      <c r="J144" s="9" t="s">
        <v>2948</v>
      </c>
      <c r="K144" t="s">
        <v>2407</v>
      </c>
      <c r="L144" t="s">
        <v>2408</v>
      </c>
      <c r="M144" s="3" t="str">
        <f>HYPERLINK(склад2въезд13192021222[[#This Row],[RelativePath]])</f>
        <v>9 Ангар пилорама\E33149364_1_20251119T005052Z.jpg</v>
      </c>
    </row>
    <row r="145" spans="1:13" x14ac:dyDescent="0.25">
      <c r="A145" s="2" t="s">
        <v>15</v>
      </c>
      <c r="B145" s="4">
        <v>45980</v>
      </c>
      <c r="C145" s="5">
        <v>0.45837962962962964</v>
      </c>
      <c r="D145" s="9" t="s">
        <v>4</v>
      </c>
      <c r="E145" s="9" t="s">
        <v>9</v>
      </c>
      <c r="F145" s="9"/>
      <c r="H145" s="9" t="s">
        <v>2891</v>
      </c>
      <c r="I145" s="9" t="s">
        <v>2409</v>
      </c>
      <c r="J145" s="9" t="s">
        <v>2948</v>
      </c>
      <c r="K145" t="s">
        <v>2410</v>
      </c>
      <c r="L145" t="s">
        <v>2411</v>
      </c>
      <c r="M145" s="3" t="str">
        <f>HYPERLINK(склад2въезд13192021222[[#This Row],[RelativePath]])</f>
        <v>9 Ангар пилорама\E33149364_1_20251119T110004Z.jpg</v>
      </c>
    </row>
    <row r="146" spans="1:13" x14ac:dyDescent="0.25">
      <c r="A146" s="2" t="s">
        <v>15</v>
      </c>
      <c r="B146" s="4">
        <v>45980</v>
      </c>
      <c r="C146" s="5">
        <v>0.4622337962962963</v>
      </c>
      <c r="D146" s="9" t="s">
        <v>1063</v>
      </c>
      <c r="E146" s="9" t="s">
        <v>1570</v>
      </c>
      <c r="F146" s="9" t="s">
        <v>2899</v>
      </c>
      <c r="H146" s="9"/>
      <c r="I146" s="9" t="s">
        <v>2412</v>
      </c>
      <c r="J146" s="9" t="s">
        <v>2948</v>
      </c>
      <c r="K146" t="s">
        <v>2413</v>
      </c>
      <c r="L146" t="s">
        <v>2414</v>
      </c>
      <c r="M146" s="3" t="str">
        <f>HYPERLINK(склад2въезд13192021222[[#This Row],[RelativePath]])</f>
        <v>9 Ангар пилорама\E33149364_1_20251119T110537Z.jpg</v>
      </c>
    </row>
    <row r="147" spans="1:13" x14ac:dyDescent="0.25">
      <c r="A147" s="2" t="s">
        <v>15</v>
      </c>
      <c r="B147" s="4">
        <v>45980</v>
      </c>
      <c r="C147" s="5">
        <v>0.46732638888888889</v>
      </c>
      <c r="D147" s="9" t="s">
        <v>1063</v>
      </c>
      <c r="E147" s="9" t="s">
        <v>2895</v>
      </c>
      <c r="F147" s="9" t="s">
        <v>2899</v>
      </c>
      <c r="H147" s="9"/>
      <c r="I147" s="9" t="s">
        <v>2415</v>
      </c>
      <c r="J147" s="9" t="s">
        <v>2948</v>
      </c>
      <c r="K147" t="s">
        <v>2416</v>
      </c>
      <c r="L147" t="s">
        <v>2417</v>
      </c>
      <c r="M147" s="3" t="str">
        <f>HYPERLINK(склад2въезд13192021222[[#This Row],[RelativePath]])</f>
        <v>9 Ангар пилорама\E33149364_1_20251119T111257Z.jpg</v>
      </c>
    </row>
    <row r="148" spans="1:13" x14ac:dyDescent="0.25">
      <c r="A148" s="2" t="s">
        <v>15</v>
      </c>
      <c r="B148" s="4">
        <v>45980</v>
      </c>
      <c r="C148" s="5">
        <v>0.47152777777777777</v>
      </c>
      <c r="D148" s="9" t="s">
        <v>1063</v>
      </c>
      <c r="E148" s="9" t="s">
        <v>1570</v>
      </c>
      <c r="F148" s="9" t="s">
        <v>1065</v>
      </c>
      <c r="H148" s="9"/>
      <c r="I148" s="9" t="s">
        <v>2418</v>
      </c>
      <c r="J148" s="9" t="s">
        <v>2948</v>
      </c>
      <c r="K148" t="s">
        <v>2419</v>
      </c>
      <c r="L148" t="s">
        <v>2420</v>
      </c>
      <c r="M148" s="3" t="str">
        <f>HYPERLINK(склад2въезд13192021222[[#This Row],[RelativePath]])</f>
        <v>9 Ангар пилорама\E33149364_1_20251119T111900Z.jpg</v>
      </c>
    </row>
    <row r="149" spans="1:13" x14ac:dyDescent="0.25">
      <c r="A149" s="2" t="s">
        <v>15</v>
      </c>
      <c r="B149" s="4">
        <v>45980</v>
      </c>
      <c r="C149" s="5">
        <v>0.47953703703703704</v>
      </c>
      <c r="D149" s="9" t="s">
        <v>4</v>
      </c>
      <c r="E149" s="9" t="s">
        <v>9</v>
      </c>
      <c r="F149" s="9"/>
      <c r="H149" s="9"/>
      <c r="I149" s="9" t="s">
        <v>2421</v>
      </c>
      <c r="J149" s="9" t="s">
        <v>2948</v>
      </c>
      <c r="K149" t="s">
        <v>2422</v>
      </c>
      <c r="L149" t="s">
        <v>2423</v>
      </c>
      <c r="M149" s="3" t="str">
        <f>HYPERLINK(склад2въезд13192021222[[#This Row],[RelativePath]])</f>
        <v>9 Ангар пилорама\E33149364_1_20251119T113032Z.jpg</v>
      </c>
    </row>
    <row r="150" spans="1:13" x14ac:dyDescent="0.25">
      <c r="A150" s="2" t="s">
        <v>15</v>
      </c>
      <c r="B150" s="4">
        <v>45980</v>
      </c>
      <c r="C150" s="5">
        <v>0.52896990740740746</v>
      </c>
      <c r="D150" s="9" t="s">
        <v>2900</v>
      </c>
      <c r="E150" s="9" t="s">
        <v>1570</v>
      </c>
      <c r="F150" s="9"/>
      <c r="H150" s="9"/>
      <c r="I150" s="9" t="s">
        <v>2424</v>
      </c>
      <c r="J150" s="9" t="s">
        <v>2948</v>
      </c>
      <c r="K150" t="s">
        <v>2425</v>
      </c>
      <c r="L150" t="s">
        <v>2426</v>
      </c>
      <c r="M150" s="3" t="str">
        <f>HYPERLINK(склад2въезд13192021222[[#This Row],[RelativePath]])</f>
        <v>9 Ангар пилорама\E33149364_1_20251119T124143Z.jpg</v>
      </c>
    </row>
    <row r="151" spans="1:13" x14ac:dyDescent="0.25">
      <c r="A151" s="2" t="s">
        <v>15</v>
      </c>
      <c r="B151" s="4">
        <v>45980</v>
      </c>
      <c r="C151" s="5">
        <v>0.53153935185185186</v>
      </c>
      <c r="D151" s="9" t="s">
        <v>2901</v>
      </c>
      <c r="E151" s="9" t="s">
        <v>1570</v>
      </c>
      <c r="F151" s="9"/>
      <c r="H151" s="9"/>
      <c r="I151" s="9" t="s">
        <v>2427</v>
      </c>
      <c r="J151" s="9" t="s">
        <v>2948</v>
      </c>
      <c r="K151" t="s">
        <v>2428</v>
      </c>
      <c r="L151" t="s">
        <v>2429</v>
      </c>
      <c r="M151" s="3" t="str">
        <f>HYPERLINK(склад2въезд13192021222[[#This Row],[RelativePath]])</f>
        <v>9 Ангар пилорама\E33149364_1_20251119T124525Z.jpg</v>
      </c>
    </row>
    <row r="152" spans="1:13" x14ac:dyDescent="0.25">
      <c r="A152" s="2" t="s">
        <v>15</v>
      </c>
      <c r="B152" s="4">
        <v>45980</v>
      </c>
      <c r="C152" s="5">
        <v>0.53238425925925925</v>
      </c>
      <c r="D152" s="9" t="s">
        <v>4</v>
      </c>
      <c r="E152" s="9" t="s">
        <v>9</v>
      </c>
      <c r="F152" s="9"/>
      <c r="H152" s="9"/>
      <c r="I152" s="9" t="s">
        <v>2430</v>
      </c>
      <c r="J152" s="9" t="s">
        <v>2948</v>
      </c>
      <c r="K152" t="s">
        <v>2431</v>
      </c>
      <c r="L152" t="s">
        <v>2432</v>
      </c>
      <c r="M152" s="3" t="str">
        <f>HYPERLINK(склад2въезд13192021222[[#This Row],[RelativePath]])</f>
        <v>9 Ангар пилорама\E33149364_1_20251119T124638Z.jpg</v>
      </c>
    </row>
    <row r="153" spans="1:13" x14ac:dyDescent="0.25">
      <c r="A153" s="2" t="s">
        <v>15</v>
      </c>
      <c r="B153" s="4">
        <v>45980</v>
      </c>
      <c r="C153" s="5">
        <v>0.5335185185185185</v>
      </c>
      <c r="D153" s="9" t="s">
        <v>4</v>
      </c>
      <c r="E153" s="9" t="s">
        <v>9</v>
      </c>
      <c r="F153" s="9"/>
      <c r="H153" s="9" t="s">
        <v>2891</v>
      </c>
      <c r="I153" s="9" t="s">
        <v>2433</v>
      </c>
      <c r="J153" s="9" t="s">
        <v>2948</v>
      </c>
      <c r="K153" t="s">
        <v>2434</v>
      </c>
      <c r="L153" t="s">
        <v>2435</v>
      </c>
      <c r="M153" s="3" t="str">
        <f>HYPERLINK(склад2въезд13192021222[[#This Row],[RelativePath]])</f>
        <v>9 Ангар пилорама\E33149364_1_20251119T124816Z.jpg</v>
      </c>
    </row>
    <row r="154" spans="1:13" x14ac:dyDescent="0.25">
      <c r="A154" s="2" t="s">
        <v>15</v>
      </c>
      <c r="B154" s="4">
        <v>45980</v>
      </c>
      <c r="C154" s="5">
        <v>0.53781250000000003</v>
      </c>
      <c r="D154" s="9" t="s">
        <v>4</v>
      </c>
      <c r="E154" s="9" t="s">
        <v>9</v>
      </c>
      <c r="F154" s="9"/>
      <c r="H154" s="9" t="s">
        <v>2891</v>
      </c>
      <c r="I154" s="9" t="s">
        <v>2436</v>
      </c>
      <c r="J154" s="9" t="s">
        <v>2948</v>
      </c>
      <c r="K154" t="s">
        <v>2437</v>
      </c>
      <c r="L154" t="s">
        <v>2438</v>
      </c>
      <c r="M154" s="3" t="str">
        <f>HYPERLINK(склад2въезд13192021222[[#This Row],[RelativePath]])</f>
        <v>9 Ангар пилорама\E33149364_1_20251119T125427Z.jpg</v>
      </c>
    </row>
    <row r="155" spans="1:13" x14ac:dyDescent="0.25">
      <c r="A155" s="2" t="s">
        <v>15</v>
      </c>
      <c r="B155" s="4">
        <v>45980</v>
      </c>
      <c r="C155" s="5">
        <v>0.5425578703703704</v>
      </c>
      <c r="D155" s="9" t="s">
        <v>1063</v>
      </c>
      <c r="E155" s="9" t="s">
        <v>1570</v>
      </c>
      <c r="F155" s="9" t="s">
        <v>58</v>
      </c>
      <c r="H155" s="9"/>
      <c r="I155" s="9" t="s">
        <v>2439</v>
      </c>
      <c r="J155" s="9" t="s">
        <v>2948</v>
      </c>
      <c r="K155" t="s">
        <v>2440</v>
      </c>
      <c r="L155" t="s">
        <v>2441</v>
      </c>
      <c r="M155" s="3" t="str">
        <f>HYPERLINK(склад2въезд13192021222[[#This Row],[RelativePath]])</f>
        <v>9 Ангар пилорама\E33149364_1_20251119T130117Z.jpg</v>
      </c>
    </row>
    <row r="156" spans="1:13" x14ac:dyDescent="0.25">
      <c r="A156" s="2" t="s">
        <v>16</v>
      </c>
      <c r="B156" s="4">
        <v>45981</v>
      </c>
      <c r="C156" s="5">
        <v>0.48417824074074073</v>
      </c>
      <c r="D156" s="9" t="s">
        <v>4</v>
      </c>
      <c r="E156" s="9" t="s">
        <v>9</v>
      </c>
      <c r="F156" s="9"/>
      <c r="H156" s="9" t="s">
        <v>2891</v>
      </c>
      <c r="I156" s="9" t="s">
        <v>2442</v>
      </c>
      <c r="J156" s="9" t="s">
        <v>2948</v>
      </c>
      <c r="K156" t="s">
        <v>2443</v>
      </c>
      <c r="L156" t="s">
        <v>2444</v>
      </c>
      <c r="M156" s="3" t="str">
        <f>HYPERLINK(склад2въезд13192021222[[#This Row],[RelativePath]])</f>
        <v>9 Ангар пилорама\E33149364_1_20251120T113713Z.jpg</v>
      </c>
    </row>
    <row r="157" spans="1:13" x14ac:dyDescent="0.25">
      <c r="A157" s="2" t="s">
        <v>16</v>
      </c>
      <c r="B157" s="4">
        <v>45981</v>
      </c>
      <c r="C157" s="5">
        <v>0.60245370370370366</v>
      </c>
      <c r="D157" s="9" t="s">
        <v>4</v>
      </c>
      <c r="E157" s="9" t="s">
        <v>9</v>
      </c>
      <c r="F157" s="9"/>
      <c r="H157" s="9" t="s">
        <v>2891</v>
      </c>
      <c r="I157" s="9" t="s">
        <v>2445</v>
      </c>
      <c r="J157" s="9" t="s">
        <v>2948</v>
      </c>
      <c r="K157" t="s">
        <v>2446</v>
      </c>
      <c r="L157" t="s">
        <v>2447</v>
      </c>
      <c r="M157" s="3" t="str">
        <f>HYPERLINK(склад2въезд13192021222[[#This Row],[RelativePath]])</f>
        <v>9 Ангар пилорама\E33149364_1_20251120T142732Z.jpg</v>
      </c>
    </row>
    <row r="158" spans="1:13" x14ac:dyDescent="0.25">
      <c r="A158" s="2" t="s">
        <v>16</v>
      </c>
      <c r="B158" s="4">
        <v>45981</v>
      </c>
      <c r="C158" s="5">
        <v>0.70665509259259263</v>
      </c>
      <c r="D158" s="9" t="s">
        <v>4</v>
      </c>
      <c r="E158" s="9" t="s">
        <v>2902</v>
      </c>
      <c r="F158" s="9"/>
      <c r="H158" s="9"/>
      <c r="I158" s="9" t="s">
        <v>2448</v>
      </c>
      <c r="J158" s="9" t="s">
        <v>2948</v>
      </c>
      <c r="K158" t="s">
        <v>2449</v>
      </c>
      <c r="L158" t="s">
        <v>2450</v>
      </c>
      <c r="M158" s="3" t="str">
        <f>HYPERLINK(склад2въезд13192021222[[#This Row],[RelativePath]])</f>
        <v>9 Ангар пилорама\E33149364_1_20251120T165735Z.jpg</v>
      </c>
    </row>
    <row r="159" spans="1:13" x14ac:dyDescent="0.25">
      <c r="A159" s="2" t="s">
        <v>17</v>
      </c>
      <c r="B159" s="4">
        <v>45982</v>
      </c>
      <c r="C159" s="5">
        <v>0.37589120370370371</v>
      </c>
      <c r="D159" s="9" t="s">
        <v>4</v>
      </c>
      <c r="E159" s="9" t="s">
        <v>9</v>
      </c>
      <c r="F159" s="9"/>
      <c r="H159" s="9"/>
      <c r="I159" s="9" t="s">
        <v>2451</v>
      </c>
      <c r="J159" s="9" t="s">
        <v>2948</v>
      </c>
      <c r="K159" t="s">
        <v>2452</v>
      </c>
      <c r="L159" t="s">
        <v>2453</v>
      </c>
      <c r="M159" s="3" t="str">
        <f>HYPERLINK(склад2въезд13192021222[[#This Row],[RelativePath]])</f>
        <v>9 Ангар пилорама\E33149364_1_20251121T090117Z.jpg</v>
      </c>
    </row>
    <row r="160" spans="1:13" x14ac:dyDescent="0.25">
      <c r="A160" s="2" t="s">
        <v>17</v>
      </c>
      <c r="B160" s="4">
        <v>45982</v>
      </c>
      <c r="C160" s="5">
        <v>0.38063657407407409</v>
      </c>
      <c r="D160" s="9" t="s">
        <v>1063</v>
      </c>
      <c r="E160" s="9" t="s">
        <v>2895</v>
      </c>
      <c r="F160" s="9" t="s">
        <v>58</v>
      </c>
      <c r="H160" s="9"/>
      <c r="I160" s="9" t="s">
        <v>2454</v>
      </c>
      <c r="J160" s="9" t="s">
        <v>2948</v>
      </c>
      <c r="K160" t="s">
        <v>2455</v>
      </c>
      <c r="L160" t="s">
        <v>2456</v>
      </c>
      <c r="M160" s="3" t="str">
        <f>HYPERLINK(склад2въезд13192021222[[#This Row],[RelativePath]])</f>
        <v>9 Ангар пилорама\E33149364_1_20251121T090807Z.jpg</v>
      </c>
    </row>
    <row r="161" spans="1:13" x14ac:dyDescent="0.25">
      <c r="A161" s="2" t="s">
        <v>17</v>
      </c>
      <c r="B161" s="4">
        <v>45982</v>
      </c>
      <c r="C161" s="5">
        <v>0.38570601851851855</v>
      </c>
      <c r="D161" s="9" t="s">
        <v>4</v>
      </c>
      <c r="E161" s="9" t="s">
        <v>9</v>
      </c>
      <c r="F161" s="9"/>
      <c r="H161" s="9" t="s">
        <v>2891</v>
      </c>
      <c r="I161" s="9" t="s">
        <v>2457</v>
      </c>
      <c r="J161" s="9" t="s">
        <v>2948</v>
      </c>
      <c r="K161" t="s">
        <v>2458</v>
      </c>
      <c r="L161" t="s">
        <v>2459</v>
      </c>
      <c r="M161" s="3" t="str">
        <f>HYPERLINK(склад2въезд13192021222[[#This Row],[RelativePath]])</f>
        <v>9 Ангар пилорама\E33149364_1_20251121T091525Z.jpg</v>
      </c>
    </row>
    <row r="162" spans="1:13" x14ac:dyDescent="0.25">
      <c r="A162" s="2" t="s">
        <v>17</v>
      </c>
      <c r="B162" s="4">
        <v>45982</v>
      </c>
      <c r="C162" s="5">
        <v>0.61759259259259258</v>
      </c>
      <c r="D162" s="9" t="s">
        <v>1063</v>
      </c>
      <c r="E162" s="9" t="s">
        <v>1570</v>
      </c>
      <c r="F162" s="9" t="s">
        <v>58</v>
      </c>
      <c r="H162" s="9"/>
      <c r="I162" s="9" t="s">
        <v>2460</v>
      </c>
      <c r="J162" s="9" t="s">
        <v>2948</v>
      </c>
      <c r="K162" t="s">
        <v>2461</v>
      </c>
      <c r="L162" t="s">
        <v>2462</v>
      </c>
      <c r="M162" s="3" t="str">
        <f>HYPERLINK(склад2въезд13192021222[[#This Row],[RelativePath]])</f>
        <v>9 Ангар пилорама\E33149364_1_20251121T144920Z.jpg</v>
      </c>
    </row>
    <row r="163" spans="1:13" x14ac:dyDescent="0.25">
      <c r="A163" s="2" t="s">
        <v>17</v>
      </c>
      <c r="B163" s="4">
        <v>45982</v>
      </c>
      <c r="C163" s="5">
        <v>0.6222685185185185</v>
      </c>
      <c r="D163" s="9" t="s">
        <v>4</v>
      </c>
      <c r="E163" s="9" t="s">
        <v>9</v>
      </c>
      <c r="F163" s="9"/>
      <c r="H163" s="9" t="s">
        <v>2891</v>
      </c>
      <c r="I163" s="9" t="s">
        <v>2463</v>
      </c>
      <c r="J163" s="9" t="s">
        <v>2948</v>
      </c>
      <c r="K163" t="s">
        <v>2464</v>
      </c>
      <c r="L163" t="s">
        <v>2465</v>
      </c>
      <c r="M163" s="3" t="str">
        <f>HYPERLINK(склад2въезд13192021222[[#This Row],[RelativePath]])</f>
        <v>9 Ангар пилорама\E33149364_1_20251121T145604Z.jpg</v>
      </c>
    </row>
    <row r="164" spans="1:13" x14ac:dyDescent="0.25">
      <c r="A164" s="2" t="s">
        <v>17</v>
      </c>
      <c r="B164" s="4">
        <v>45982</v>
      </c>
      <c r="C164" s="5">
        <v>0.63053240740740746</v>
      </c>
      <c r="D164" s="9" t="s">
        <v>4</v>
      </c>
      <c r="E164" s="9" t="s">
        <v>9</v>
      </c>
      <c r="F164" s="9"/>
      <c r="H164" s="9" t="s">
        <v>2891</v>
      </c>
      <c r="I164" s="9" t="s">
        <v>2466</v>
      </c>
      <c r="J164" s="9" t="s">
        <v>2948</v>
      </c>
      <c r="K164" t="s">
        <v>2467</v>
      </c>
      <c r="L164" t="s">
        <v>2468</v>
      </c>
      <c r="M164" s="3" t="str">
        <f>HYPERLINK(склад2въезд13192021222[[#This Row],[RelativePath]])</f>
        <v>9 Ангар пилорама\E33149364_1_20251121T150758Z.jpg</v>
      </c>
    </row>
    <row r="165" spans="1:13" x14ac:dyDescent="0.25">
      <c r="A165" s="2" t="s">
        <v>17</v>
      </c>
      <c r="B165" s="4">
        <v>45982</v>
      </c>
      <c r="C165" s="5">
        <v>0.67525462962962968</v>
      </c>
      <c r="D165" s="9" t="s">
        <v>1063</v>
      </c>
      <c r="E165" s="9" t="s">
        <v>1570</v>
      </c>
      <c r="F165" s="9" t="s">
        <v>58</v>
      </c>
      <c r="H165" s="9"/>
      <c r="I165" s="9" t="s">
        <v>2469</v>
      </c>
      <c r="J165" s="9" t="s">
        <v>2948</v>
      </c>
      <c r="K165" t="s">
        <v>2470</v>
      </c>
      <c r="L165" t="s">
        <v>2471</v>
      </c>
      <c r="M165" s="3" t="str">
        <f>HYPERLINK(склад2въезд13192021222[[#This Row],[RelativePath]])</f>
        <v>9 Ангар пилорама\E33149364_1_20251121T161222Z.jpg</v>
      </c>
    </row>
    <row r="166" spans="1:13" x14ac:dyDescent="0.25">
      <c r="A166" s="2" t="s">
        <v>17</v>
      </c>
      <c r="B166" s="4">
        <v>45982</v>
      </c>
      <c r="C166" s="5">
        <v>0.68702546296296296</v>
      </c>
      <c r="D166" s="9" t="s">
        <v>4</v>
      </c>
      <c r="E166" s="9" t="s">
        <v>9</v>
      </c>
      <c r="F166" s="9"/>
      <c r="H166" s="9"/>
      <c r="I166" s="9" t="s">
        <v>2472</v>
      </c>
      <c r="J166" s="9" t="s">
        <v>2948</v>
      </c>
      <c r="K166" t="s">
        <v>2473</v>
      </c>
      <c r="L166" t="s">
        <v>2474</v>
      </c>
      <c r="M166" s="3" t="str">
        <f>HYPERLINK(склад2въезд13192021222[[#This Row],[RelativePath]])</f>
        <v>9 Ангар пилорама\E33149364_1_20251121T162919Z.jpg</v>
      </c>
    </row>
    <row r="167" spans="1:13" x14ac:dyDescent="0.25">
      <c r="A167" s="2" t="s">
        <v>18</v>
      </c>
      <c r="B167" s="4">
        <v>45983</v>
      </c>
      <c r="C167" s="5">
        <v>0.69784722222222217</v>
      </c>
      <c r="D167" s="9" t="s">
        <v>1967</v>
      </c>
      <c r="E167" s="9"/>
      <c r="F167" s="9"/>
      <c r="H167" s="9"/>
      <c r="I167" s="9" t="s">
        <v>2475</v>
      </c>
      <c r="J167" s="9" t="s">
        <v>2948</v>
      </c>
      <c r="K167" t="s">
        <v>2476</v>
      </c>
      <c r="L167" t="s">
        <v>2477</v>
      </c>
      <c r="M167" s="3" t="str">
        <f>HYPERLINK(склад2въезд13192021222[[#This Row],[RelativePath]])</f>
        <v>9 Ангар пилорама\E33149364_1_20251122T164454Z.jpg</v>
      </c>
    </row>
    <row r="168" spans="1:13" x14ac:dyDescent="0.25">
      <c r="A168" s="2" t="s">
        <v>22</v>
      </c>
      <c r="B168" s="4">
        <v>45984</v>
      </c>
      <c r="C168" s="5">
        <v>0.66638888888888892</v>
      </c>
      <c r="D168" s="9" t="s">
        <v>1967</v>
      </c>
      <c r="E168" s="9"/>
      <c r="F168" s="9"/>
      <c r="H168" s="9"/>
      <c r="I168" s="9" t="s">
        <v>2478</v>
      </c>
      <c r="J168" s="9" t="s">
        <v>2948</v>
      </c>
      <c r="K168" t="s">
        <v>2479</v>
      </c>
      <c r="L168" t="s">
        <v>2480</v>
      </c>
      <c r="M168" s="3" t="str">
        <f>HYPERLINK(склад2въезд13192021222[[#This Row],[RelativePath]])</f>
        <v>9 Ангар пилорама\E33149364_1_20251123T155936Z.jpg</v>
      </c>
    </row>
    <row r="169" spans="1:13" x14ac:dyDescent="0.25">
      <c r="A169" s="2" t="s">
        <v>13</v>
      </c>
      <c r="B169" s="4">
        <v>45985</v>
      </c>
      <c r="C169" s="5">
        <v>0.37829861111111113</v>
      </c>
      <c r="D169" s="9" t="s">
        <v>4</v>
      </c>
      <c r="E169" s="9" t="s">
        <v>9</v>
      </c>
      <c r="F169" s="9"/>
      <c r="H169" s="9"/>
      <c r="I169" s="9" t="s">
        <v>3677</v>
      </c>
      <c r="J169" s="9" t="s">
        <v>2948</v>
      </c>
      <c r="K169" t="s">
        <v>3678</v>
      </c>
      <c r="L169" t="s">
        <v>3679</v>
      </c>
      <c r="M169" s="3" t="str">
        <f>HYPERLINK(склад2въезд13192021222[[#This Row],[RelativePath]])</f>
        <v>9 Ангар пилорама\E33149364_1_20251124T090445Z.jpg</v>
      </c>
    </row>
    <row r="170" spans="1:13" x14ac:dyDescent="0.25">
      <c r="A170" s="2" t="s">
        <v>13</v>
      </c>
      <c r="B170" s="4">
        <v>45985</v>
      </c>
      <c r="C170" s="5">
        <v>0.38611111111111113</v>
      </c>
      <c r="D170" s="9" t="s">
        <v>4</v>
      </c>
      <c r="E170" s="9" t="s">
        <v>9</v>
      </c>
      <c r="F170" s="9"/>
      <c r="H170" s="9" t="s">
        <v>2891</v>
      </c>
      <c r="I170" s="9" t="s">
        <v>3680</v>
      </c>
      <c r="J170" s="9" t="s">
        <v>2948</v>
      </c>
      <c r="K170" t="s">
        <v>3681</v>
      </c>
      <c r="L170" t="s">
        <v>3682</v>
      </c>
      <c r="M170" s="3" t="str">
        <f>HYPERLINK(склад2въезд13192021222[[#This Row],[RelativePath]])</f>
        <v>9 Ангар пилорама\E33149364_1_20251124T091600Z.jpg</v>
      </c>
    </row>
    <row r="171" spans="1:13" x14ac:dyDescent="0.25">
      <c r="A171" s="2" t="s">
        <v>13</v>
      </c>
      <c r="B171" s="4">
        <v>45985</v>
      </c>
      <c r="C171" s="5">
        <v>0.41736111111111113</v>
      </c>
      <c r="D171" s="9" t="s">
        <v>4</v>
      </c>
      <c r="E171" s="9" t="s">
        <v>9</v>
      </c>
      <c r="F171" s="9"/>
      <c r="H171" s="9" t="s">
        <v>2891</v>
      </c>
      <c r="I171" s="9" t="s">
        <v>3683</v>
      </c>
      <c r="J171" s="9" t="s">
        <v>2948</v>
      </c>
      <c r="K171" t="s">
        <v>3684</v>
      </c>
      <c r="L171" t="s">
        <v>3685</v>
      </c>
      <c r="M171" s="3" t="str">
        <f>HYPERLINK(склад2въезд13192021222[[#This Row],[RelativePath]])</f>
        <v>9 Ангар пилорама\E33149364_1_20251124T100100Z.jpg</v>
      </c>
    </row>
    <row r="172" spans="1:13" x14ac:dyDescent="0.25">
      <c r="A172" s="2" t="s">
        <v>13</v>
      </c>
      <c r="B172" s="4">
        <v>45985</v>
      </c>
      <c r="C172" s="5">
        <v>0.46952546296296294</v>
      </c>
      <c r="D172" s="9" t="s">
        <v>4</v>
      </c>
      <c r="E172" s="9" t="s">
        <v>9</v>
      </c>
      <c r="F172" s="9"/>
      <c r="H172" s="9" t="s">
        <v>2891</v>
      </c>
      <c r="I172" s="9" t="s">
        <v>3686</v>
      </c>
      <c r="J172" s="9" t="s">
        <v>2948</v>
      </c>
      <c r="K172" t="s">
        <v>3687</v>
      </c>
      <c r="L172" t="s">
        <v>3688</v>
      </c>
      <c r="M172" s="3" t="str">
        <f>HYPERLINK(склад2въезд13192021222[[#This Row],[RelativePath]])</f>
        <v>9 Ангар пилорама\E33149364_1_20251124T111607Z.jpg</v>
      </c>
    </row>
    <row r="173" spans="1:13" x14ac:dyDescent="0.25">
      <c r="A173" s="2" t="s">
        <v>13</v>
      </c>
      <c r="B173" s="4">
        <v>45985</v>
      </c>
      <c r="C173" s="5">
        <v>0.49092592592592593</v>
      </c>
      <c r="D173" s="9" t="s">
        <v>4</v>
      </c>
      <c r="E173" s="9" t="s">
        <v>9</v>
      </c>
      <c r="F173" s="9"/>
      <c r="H173" s="9" t="s">
        <v>2891</v>
      </c>
      <c r="I173" s="9" t="s">
        <v>3689</v>
      </c>
      <c r="J173" s="9" t="s">
        <v>2948</v>
      </c>
      <c r="K173" t="s">
        <v>3690</v>
      </c>
      <c r="L173" t="s">
        <v>3691</v>
      </c>
      <c r="M173" s="3" t="str">
        <f>HYPERLINK(склад2въезд13192021222[[#This Row],[RelativePath]])</f>
        <v>9 Ангар пилорама\E33149364_1_20251124T114656Z.jpg</v>
      </c>
    </row>
    <row r="174" spans="1:13" x14ac:dyDescent="0.25">
      <c r="A174" s="2" t="s">
        <v>13</v>
      </c>
      <c r="B174" s="4">
        <v>45985</v>
      </c>
      <c r="C174" s="5">
        <v>0.66390046296296301</v>
      </c>
      <c r="D174" s="9" t="s">
        <v>4</v>
      </c>
      <c r="E174" s="9" t="s">
        <v>9</v>
      </c>
      <c r="F174" s="9"/>
      <c r="H174" s="9"/>
      <c r="I174" s="9" t="s">
        <v>3692</v>
      </c>
      <c r="J174" s="9" t="s">
        <v>2948</v>
      </c>
      <c r="K174" t="s">
        <v>3693</v>
      </c>
      <c r="L174" t="s">
        <v>3694</v>
      </c>
      <c r="M174" s="3" t="str">
        <f>HYPERLINK(склад2въезд13192021222[[#This Row],[RelativePath]])</f>
        <v>9 Ангар пилорама\E33149364_1_20251124T155601Z.jpg</v>
      </c>
    </row>
    <row r="175" spans="1:13" x14ac:dyDescent="0.25">
      <c r="A175" s="2" t="s">
        <v>13</v>
      </c>
      <c r="B175" s="4">
        <v>45985</v>
      </c>
      <c r="C175" s="5">
        <v>0.81668981481481484</v>
      </c>
      <c r="D175" s="9" t="s">
        <v>1987</v>
      </c>
      <c r="E175" s="9" t="s">
        <v>1267</v>
      </c>
      <c r="F175" s="9"/>
      <c r="H175" s="9"/>
      <c r="I175" s="9" t="s">
        <v>3695</v>
      </c>
      <c r="J175" s="9" t="s">
        <v>2948</v>
      </c>
      <c r="K175" t="s">
        <v>3696</v>
      </c>
      <c r="L175" t="s">
        <v>3697</v>
      </c>
      <c r="M175" s="3" t="str">
        <f>HYPERLINK(склад2въезд13192021222[[#This Row],[RelativePath]])</f>
        <v>9 Ангар пилорама\E33149364_1_20251124T193602Z.jpg</v>
      </c>
    </row>
    <row r="176" spans="1:13" x14ac:dyDescent="0.25">
      <c r="A176" s="2" t="s">
        <v>13</v>
      </c>
      <c r="B176" s="4">
        <v>45985</v>
      </c>
      <c r="C176" s="5">
        <v>0.8275231481481482</v>
      </c>
      <c r="D176" s="9" t="s">
        <v>1987</v>
      </c>
      <c r="E176" s="9" t="s">
        <v>1267</v>
      </c>
      <c r="F176" s="9"/>
      <c r="H176" s="9" t="s">
        <v>2891</v>
      </c>
      <c r="I176" s="9" t="s">
        <v>3698</v>
      </c>
      <c r="J176" s="9" t="s">
        <v>2948</v>
      </c>
      <c r="K176" t="s">
        <v>3699</v>
      </c>
      <c r="L176" t="s">
        <v>3700</v>
      </c>
      <c r="M176" s="3" t="str">
        <f>HYPERLINK(склад2въезд13192021222[[#This Row],[RelativePath]])</f>
        <v>9 Ангар пилорама\E33149364_1_20251124T195138Z.jpg</v>
      </c>
    </row>
    <row r="177" spans="1:13" x14ac:dyDescent="0.25">
      <c r="A177" s="2" t="s">
        <v>13</v>
      </c>
      <c r="B177" s="4">
        <v>45985</v>
      </c>
      <c r="C177" s="5">
        <v>0.83881944444444445</v>
      </c>
      <c r="D177" s="9" t="s">
        <v>1987</v>
      </c>
      <c r="E177" s="9" t="s">
        <v>1267</v>
      </c>
      <c r="F177" s="9"/>
      <c r="H177" s="9" t="s">
        <v>2891</v>
      </c>
      <c r="I177" s="9" t="s">
        <v>3701</v>
      </c>
      <c r="J177" s="9" t="s">
        <v>2948</v>
      </c>
      <c r="K177" t="s">
        <v>3702</v>
      </c>
      <c r="L177" t="s">
        <v>3703</v>
      </c>
      <c r="M177" s="3" t="str">
        <f>HYPERLINK(склад2въезд13192021222[[#This Row],[RelativePath]])</f>
        <v>9 Ангар пилорама\E33149364_1_20251124T200754Z.jpg</v>
      </c>
    </row>
    <row r="178" spans="1:13" x14ac:dyDescent="0.25">
      <c r="A178" s="2" t="s">
        <v>13</v>
      </c>
      <c r="B178" s="4">
        <v>45985</v>
      </c>
      <c r="C178" s="5">
        <v>0.84452546296296294</v>
      </c>
      <c r="D178" s="9" t="s">
        <v>1987</v>
      </c>
      <c r="E178" s="9" t="s">
        <v>1267</v>
      </c>
      <c r="F178" s="9"/>
      <c r="H178" s="9" t="s">
        <v>2891</v>
      </c>
      <c r="I178" s="9" t="s">
        <v>3704</v>
      </c>
      <c r="J178" s="9" t="s">
        <v>2948</v>
      </c>
      <c r="K178" t="s">
        <v>3705</v>
      </c>
      <c r="L178" t="s">
        <v>3706</v>
      </c>
      <c r="M178" s="3" t="str">
        <f>HYPERLINK(склад2въезд13192021222[[#This Row],[RelativePath]])</f>
        <v>9 Ангар пилорама\E33149364_1_20251124T201607Z.jpg</v>
      </c>
    </row>
    <row r="179" spans="1:13" x14ac:dyDescent="0.25">
      <c r="A179" s="2" t="s">
        <v>13</v>
      </c>
      <c r="B179" s="4">
        <v>45985</v>
      </c>
      <c r="C179" s="5">
        <v>0.92593749999999997</v>
      </c>
      <c r="D179" s="9" t="s">
        <v>1987</v>
      </c>
      <c r="E179" s="9" t="s">
        <v>1267</v>
      </c>
      <c r="F179" s="9"/>
      <c r="H179" s="9" t="s">
        <v>2891</v>
      </c>
      <c r="I179" s="9" t="s">
        <v>3707</v>
      </c>
      <c r="J179" s="9" t="s">
        <v>2948</v>
      </c>
      <c r="K179" t="s">
        <v>3708</v>
      </c>
      <c r="L179" t="s">
        <v>3709</v>
      </c>
      <c r="M179" s="3" t="str">
        <f>HYPERLINK(склад2въезд13192021222[[#This Row],[RelativePath]])</f>
        <v>9 Ангар пилорама\E33149364_1_20251124T221321Z.jpg</v>
      </c>
    </row>
    <row r="180" spans="1:13" x14ac:dyDescent="0.25">
      <c r="A180" s="2" t="s">
        <v>13</v>
      </c>
      <c r="B180" s="4">
        <v>45985</v>
      </c>
      <c r="C180" s="5">
        <v>0.92893518518518514</v>
      </c>
      <c r="D180" s="9" t="s">
        <v>4</v>
      </c>
      <c r="E180" s="9" t="s">
        <v>9</v>
      </c>
      <c r="F180" s="9"/>
      <c r="H180" s="9"/>
      <c r="I180" s="9" t="s">
        <v>3710</v>
      </c>
      <c r="J180" s="9" t="s">
        <v>2948</v>
      </c>
      <c r="K180" t="s">
        <v>3711</v>
      </c>
      <c r="L180" t="s">
        <v>3712</v>
      </c>
      <c r="M180" s="3" t="str">
        <f>HYPERLINK(склад2въезд13192021222[[#This Row],[RelativePath]])</f>
        <v>9 Ангар пилорама\E33149364_1_20251124T221740Z.jpg</v>
      </c>
    </row>
    <row r="181" spans="1:13" x14ac:dyDescent="0.25">
      <c r="A181" s="2" t="s">
        <v>14</v>
      </c>
      <c r="B181" s="4">
        <v>45986</v>
      </c>
      <c r="C181" s="5">
        <v>0.37775462962962963</v>
      </c>
      <c r="D181" s="9" t="s">
        <v>1987</v>
      </c>
      <c r="E181" s="9" t="s">
        <v>1267</v>
      </c>
      <c r="F181" s="9"/>
      <c r="H181" s="9" t="s">
        <v>2891</v>
      </c>
      <c r="I181" s="9" t="s">
        <v>3713</v>
      </c>
      <c r="J181" s="9" t="s">
        <v>2948</v>
      </c>
      <c r="K181" t="s">
        <v>3714</v>
      </c>
      <c r="L181" t="s">
        <v>3715</v>
      </c>
      <c r="M181" s="3" t="str">
        <f>HYPERLINK(склад2въезд13192021222[[#This Row],[RelativePath]])</f>
        <v>9 Ангар пилорама\E33149364_1_20251125T090358Z.jpg</v>
      </c>
    </row>
    <row r="182" spans="1:13" x14ac:dyDescent="0.25">
      <c r="A182" s="2" t="s">
        <v>14</v>
      </c>
      <c r="B182" s="4">
        <v>45986</v>
      </c>
      <c r="C182" s="5">
        <v>0.39376157407407408</v>
      </c>
      <c r="D182" s="9" t="s">
        <v>1987</v>
      </c>
      <c r="E182" s="9" t="s">
        <v>1267</v>
      </c>
      <c r="F182" s="9"/>
      <c r="H182" s="9" t="s">
        <v>2891</v>
      </c>
      <c r="I182" s="9" t="s">
        <v>3716</v>
      </c>
      <c r="J182" s="9" t="s">
        <v>2948</v>
      </c>
      <c r="K182" t="s">
        <v>3717</v>
      </c>
      <c r="L182" t="s">
        <v>3718</v>
      </c>
      <c r="M182" s="3" t="str">
        <f>HYPERLINK(склад2въезд13192021222[[#This Row],[RelativePath]])</f>
        <v>9 Ангар пилорама\E33149364_1_20251125T092701Z.jpg</v>
      </c>
    </row>
    <row r="183" spans="1:13" x14ac:dyDescent="0.25">
      <c r="A183" s="2" t="s">
        <v>14</v>
      </c>
      <c r="B183" s="4">
        <v>45986</v>
      </c>
      <c r="C183" s="5">
        <v>0.39776620370370369</v>
      </c>
      <c r="D183" s="9" t="s">
        <v>1987</v>
      </c>
      <c r="E183" s="9" t="s">
        <v>1267</v>
      </c>
      <c r="F183" s="9"/>
      <c r="H183" s="9" t="s">
        <v>2891</v>
      </c>
      <c r="I183" s="9" t="s">
        <v>3719</v>
      </c>
      <c r="J183" s="9" t="s">
        <v>2948</v>
      </c>
      <c r="K183" t="s">
        <v>3720</v>
      </c>
      <c r="L183" t="s">
        <v>3721</v>
      </c>
      <c r="M183" s="3" t="str">
        <f>HYPERLINK(склад2въезд13192021222[[#This Row],[RelativePath]])</f>
        <v>9 Ангар пилорама\E33149364_1_20251125T093247Z.jpg</v>
      </c>
    </row>
    <row r="184" spans="1:13" x14ac:dyDescent="0.25">
      <c r="A184" s="2" t="s">
        <v>14</v>
      </c>
      <c r="B184" s="4">
        <v>45986</v>
      </c>
      <c r="C184" s="5">
        <v>0.41405092592592591</v>
      </c>
      <c r="D184" s="9" t="s">
        <v>1987</v>
      </c>
      <c r="E184" s="9" t="s">
        <v>1267</v>
      </c>
      <c r="F184" s="9"/>
      <c r="H184" s="9" t="s">
        <v>2891</v>
      </c>
      <c r="I184" s="9" t="s">
        <v>3722</v>
      </c>
      <c r="J184" s="9" t="s">
        <v>2948</v>
      </c>
      <c r="K184" t="s">
        <v>3723</v>
      </c>
      <c r="L184" t="s">
        <v>3724</v>
      </c>
      <c r="M184" s="3" t="str">
        <f>HYPERLINK(склад2въезд13192021222[[#This Row],[RelativePath]])</f>
        <v>9 Ангар пилорама\E33149364_1_20251125T095614Z.jpg</v>
      </c>
    </row>
    <row r="185" spans="1:13" x14ac:dyDescent="0.25">
      <c r="A185" s="2" t="s">
        <v>14</v>
      </c>
      <c r="B185" s="4">
        <v>45986</v>
      </c>
      <c r="C185" s="5">
        <v>0.43223379629629627</v>
      </c>
      <c r="D185" s="9" t="s">
        <v>1987</v>
      </c>
      <c r="E185" s="9" t="s">
        <v>1267</v>
      </c>
      <c r="F185" s="9"/>
      <c r="H185" s="9" t="s">
        <v>2891</v>
      </c>
      <c r="I185" s="9" t="s">
        <v>3725</v>
      </c>
      <c r="J185" s="9" t="s">
        <v>2948</v>
      </c>
      <c r="K185" t="s">
        <v>3726</v>
      </c>
      <c r="L185" t="s">
        <v>3727</v>
      </c>
      <c r="M185" s="3" t="str">
        <f>HYPERLINK(склад2въезд13192021222[[#This Row],[RelativePath]])</f>
        <v>9 Ангар пилорама\E33149364_1_20251125T102225Z.jpg</v>
      </c>
    </row>
    <row r="186" spans="1:13" x14ac:dyDescent="0.25">
      <c r="A186" s="2" t="s">
        <v>14</v>
      </c>
      <c r="B186" s="4">
        <v>45986</v>
      </c>
      <c r="C186" s="5">
        <v>0.43293981481481481</v>
      </c>
      <c r="D186" s="9" t="s">
        <v>1987</v>
      </c>
      <c r="E186" s="9" t="s">
        <v>1267</v>
      </c>
      <c r="F186" s="9"/>
      <c r="H186" s="9" t="s">
        <v>2891</v>
      </c>
      <c r="I186" s="9" t="s">
        <v>3728</v>
      </c>
      <c r="J186" s="9" t="s">
        <v>2948</v>
      </c>
      <c r="K186" t="s">
        <v>3729</v>
      </c>
      <c r="L186" t="s">
        <v>3730</v>
      </c>
      <c r="M186" s="3" t="str">
        <f>HYPERLINK(склад2въезд13192021222[[#This Row],[RelativePath]])</f>
        <v>9 Ангар пилорама\E33149364_1_20251125T102326Z.jpg</v>
      </c>
    </row>
    <row r="187" spans="1:13" x14ac:dyDescent="0.25">
      <c r="A187" s="2" t="s">
        <v>14</v>
      </c>
      <c r="B187" s="4">
        <v>45986</v>
      </c>
      <c r="C187" s="5">
        <v>0.5083333333333333</v>
      </c>
      <c r="D187" s="9" t="s">
        <v>1987</v>
      </c>
      <c r="E187" s="9" t="s">
        <v>1267</v>
      </c>
      <c r="F187" s="9"/>
      <c r="H187" s="9" t="s">
        <v>2891</v>
      </c>
      <c r="I187" s="9" t="s">
        <v>3731</v>
      </c>
      <c r="J187" s="9" t="s">
        <v>2948</v>
      </c>
      <c r="K187" t="s">
        <v>3732</v>
      </c>
      <c r="L187" t="s">
        <v>3733</v>
      </c>
      <c r="M187" s="3" t="str">
        <f>HYPERLINK(склад2въезд13192021222[[#This Row],[RelativePath]])</f>
        <v>9 Ангар пилорама\E33149364_1_20251125T121200Z.jpg</v>
      </c>
    </row>
    <row r="188" spans="1:13" x14ac:dyDescent="0.25">
      <c r="A188" s="2" t="s">
        <v>14</v>
      </c>
      <c r="B188" s="4">
        <v>45986</v>
      </c>
      <c r="C188" s="5">
        <v>0.55204861111111114</v>
      </c>
      <c r="D188" s="9" t="s">
        <v>1987</v>
      </c>
      <c r="E188" s="9" t="s">
        <v>1267</v>
      </c>
      <c r="F188" s="9"/>
      <c r="H188" s="9" t="s">
        <v>2891</v>
      </c>
      <c r="I188" s="9" t="s">
        <v>3734</v>
      </c>
      <c r="J188" s="9" t="s">
        <v>2948</v>
      </c>
      <c r="K188" t="s">
        <v>3735</v>
      </c>
      <c r="L188" t="s">
        <v>3736</v>
      </c>
      <c r="M188" s="3" t="str">
        <f>HYPERLINK(склад2въезд13192021222[[#This Row],[RelativePath]])</f>
        <v>9 Ангар пилорама\E33149364_1_20251125T131457Z.jpg</v>
      </c>
    </row>
    <row r="189" spans="1:13" x14ac:dyDescent="0.25">
      <c r="A189" s="2" t="s">
        <v>14</v>
      </c>
      <c r="B189" s="4">
        <v>45986</v>
      </c>
      <c r="C189" s="5">
        <v>0.57276620370370368</v>
      </c>
      <c r="D189" s="9" t="s">
        <v>1987</v>
      </c>
      <c r="E189" s="9" t="s">
        <v>1267</v>
      </c>
      <c r="F189" s="9"/>
      <c r="H189" s="9" t="s">
        <v>2891</v>
      </c>
      <c r="I189" s="9" t="s">
        <v>3737</v>
      </c>
      <c r="J189" s="9" t="s">
        <v>2948</v>
      </c>
      <c r="K189" t="s">
        <v>3738</v>
      </c>
      <c r="L189" t="s">
        <v>3739</v>
      </c>
      <c r="M189" s="3" t="str">
        <f>HYPERLINK(склад2въезд13192021222[[#This Row],[RelativePath]])</f>
        <v>9 Ангар пилорама\E33149364_1_20251125T134447Z.jpg</v>
      </c>
    </row>
    <row r="190" spans="1:13" x14ac:dyDescent="0.25">
      <c r="A190" s="2" t="s">
        <v>14</v>
      </c>
      <c r="B190" s="4">
        <v>45986</v>
      </c>
      <c r="C190" s="5">
        <v>0.58164351851851848</v>
      </c>
      <c r="D190" s="9" t="s">
        <v>4</v>
      </c>
      <c r="E190" s="9" t="s">
        <v>9</v>
      </c>
      <c r="F190" s="9"/>
      <c r="H190" s="9"/>
      <c r="I190" s="9" t="s">
        <v>3740</v>
      </c>
      <c r="J190" s="9" t="s">
        <v>2948</v>
      </c>
      <c r="K190" t="s">
        <v>3741</v>
      </c>
      <c r="L190" t="s">
        <v>3742</v>
      </c>
      <c r="M190" s="3" t="str">
        <f>HYPERLINK(склад2въезд13192021222[[#This Row],[RelativePath]])</f>
        <v>9 Ангар пилорама\E33149364_1_20251125T135734Z.jpg</v>
      </c>
    </row>
    <row r="191" spans="1:13" x14ac:dyDescent="0.25">
      <c r="A191" s="2" t="s">
        <v>14</v>
      </c>
      <c r="B191" s="4">
        <v>45986</v>
      </c>
      <c r="C191" s="5">
        <v>0.59666666666666668</v>
      </c>
      <c r="D191" s="9" t="s">
        <v>4</v>
      </c>
      <c r="E191" s="9" t="s">
        <v>9</v>
      </c>
      <c r="F191" s="9"/>
      <c r="H191" s="9" t="s">
        <v>2891</v>
      </c>
      <c r="I191" s="9" t="s">
        <v>3743</v>
      </c>
      <c r="J191" s="9" t="s">
        <v>2948</v>
      </c>
      <c r="K191" t="s">
        <v>3744</v>
      </c>
      <c r="L191" t="s">
        <v>3745</v>
      </c>
      <c r="M191" s="3" t="str">
        <f>HYPERLINK(склад2въезд13192021222[[#This Row],[RelativePath]])</f>
        <v>9 Ангар пилорама\E33149364_1_20251125T141912Z.jpg</v>
      </c>
    </row>
    <row r="192" spans="1:13" x14ac:dyDescent="0.25">
      <c r="A192" s="2" t="s">
        <v>14</v>
      </c>
      <c r="B192" s="4">
        <v>45986</v>
      </c>
      <c r="C192" s="5">
        <v>0.60174768518518518</v>
      </c>
      <c r="D192" s="9" t="s">
        <v>4</v>
      </c>
      <c r="E192" s="9" t="s">
        <v>9</v>
      </c>
      <c r="F192" s="9"/>
      <c r="H192" s="9" t="s">
        <v>2891</v>
      </c>
      <c r="I192" s="9" t="s">
        <v>3746</v>
      </c>
      <c r="J192" s="9" t="s">
        <v>2948</v>
      </c>
      <c r="K192" t="s">
        <v>3747</v>
      </c>
      <c r="L192" t="s">
        <v>3748</v>
      </c>
      <c r="M192" s="3" t="str">
        <f>HYPERLINK(склад2въезд13192021222[[#This Row],[RelativePath]])</f>
        <v>9 Ангар пилорама\E33149364_1_20251125T142631Z.jpg</v>
      </c>
    </row>
    <row r="193" spans="1:13" x14ac:dyDescent="0.25">
      <c r="A193" s="2" t="s">
        <v>14</v>
      </c>
      <c r="B193" s="4">
        <v>45986</v>
      </c>
      <c r="C193" s="5">
        <v>0.60752314814814812</v>
      </c>
      <c r="D193" s="9" t="s">
        <v>4</v>
      </c>
      <c r="E193" s="9" t="s">
        <v>9</v>
      </c>
      <c r="F193" s="9"/>
      <c r="H193" s="9" t="s">
        <v>2891</v>
      </c>
      <c r="I193" s="9" t="s">
        <v>3749</v>
      </c>
      <c r="J193" s="9" t="s">
        <v>2948</v>
      </c>
      <c r="K193" t="s">
        <v>3750</v>
      </c>
      <c r="L193" t="s">
        <v>3751</v>
      </c>
      <c r="M193" s="3" t="str">
        <f>HYPERLINK(склад2въезд13192021222[[#This Row],[RelativePath]])</f>
        <v>9 Ангар пилорама\E33149364_1_20251125T143450Z.jpg</v>
      </c>
    </row>
    <row r="194" spans="1:13" x14ac:dyDescent="0.25">
      <c r="A194" s="2" t="s">
        <v>14</v>
      </c>
      <c r="B194" s="4">
        <v>45986</v>
      </c>
      <c r="C194" s="5">
        <v>0.61304398148148154</v>
      </c>
      <c r="D194" s="9" t="s">
        <v>4</v>
      </c>
      <c r="E194" s="9" t="s">
        <v>9</v>
      </c>
      <c r="F194" s="9"/>
      <c r="H194" s="9" t="s">
        <v>2891</v>
      </c>
      <c r="I194" s="9" t="s">
        <v>3752</v>
      </c>
      <c r="J194" s="9" t="s">
        <v>2948</v>
      </c>
      <c r="K194" t="s">
        <v>3753</v>
      </c>
      <c r="L194" t="s">
        <v>3754</v>
      </c>
      <c r="M194" s="3" t="str">
        <f>HYPERLINK(склад2въезд13192021222[[#This Row],[RelativePath]])</f>
        <v>9 Ангар пилорама\E33149364_1_20251125T144247Z.jpg</v>
      </c>
    </row>
    <row r="195" spans="1:13" x14ac:dyDescent="0.25">
      <c r="A195" s="2" t="s">
        <v>14</v>
      </c>
      <c r="B195" s="4">
        <v>45986</v>
      </c>
      <c r="C195" s="5">
        <v>0.62818287037037035</v>
      </c>
      <c r="D195" s="9" t="s">
        <v>4</v>
      </c>
      <c r="E195" s="9" t="s">
        <v>9</v>
      </c>
      <c r="F195" s="9"/>
      <c r="H195" s="9" t="s">
        <v>2891</v>
      </c>
      <c r="I195" s="9" t="s">
        <v>3755</v>
      </c>
      <c r="J195" s="9" t="s">
        <v>2948</v>
      </c>
      <c r="K195" t="s">
        <v>3756</v>
      </c>
      <c r="L195" t="s">
        <v>3757</v>
      </c>
      <c r="M195" s="3" t="str">
        <f>HYPERLINK(склад2въезд13192021222[[#This Row],[RelativePath]])</f>
        <v>9 Ангар пилорама\E33149364_1_20251125T150435Z.jpg</v>
      </c>
    </row>
    <row r="196" spans="1:13" x14ac:dyDescent="0.25">
      <c r="A196" s="2" t="s">
        <v>14</v>
      </c>
      <c r="B196" s="4">
        <v>45986</v>
      </c>
      <c r="C196" s="5">
        <v>0.62878472222222226</v>
      </c>
      <c r="D196" s="9" t="s">
        <v>4</v>
      </c>
      <c r="E196" s="9" t="s">
        <v>9</v>
      </c>
      <c r="F196" s="9"/>
      <c r="H196" s="9" t="s">
        <v>2891</v>
      </c>
      <c r="I196" s="9" t="s">
        <v>3758</v>
      </c>
      <c r="J196" s="9" t="s">
        <v>2948</v>
      </c>
      <c r="K196" t="s">
        <v>3759</v>
      </c>
      <c r="L196" t="s">
        <v>3760</v>
      </c>
      <c r="M196" s="3" t="str">
        <f>HYPERLINK(склад2въезд13192021222[[#This Row],[RelativePath]])</f>
        <v>9 Ангар пилорама\E33149364_1_20251125T150527Z.jpg</v>
      </c>
    </row>
    <row r="197" spans="1:13" x14ac:dyDescent="0.25">
      <c r="A197" s="2" t="s">
        <v>14</v>
      </c>
      <c r="B197" s="4">
        <v>45986</v>
      </c>
      <c r="C197" s="5">
        <v>0.62956018518518519</v>
      </c>
      <c r="D197" s="9" t="s">
        <v>4</v>
      </c>
      <c r="E197" s="9" t="s">
        <v>9</v>
      </c>
      <c r="F197" s="9"/>
      <c r="H197" s="9" t="s">
        <v>2891</v>
      </c>
      <c r="I197" s="9" t="s">
        <v>3761</v>
      </c>
      <c r="J197" s="9" t="s">
        <v>2948</v>
      </c>
      <c r="K197" t="s">
        <v>3762</v>
      </c>
      <c r="L197" t="s">
        <v>3763</v>
      </c>
      <c r="M197" s="3" t="str">
        <f>HYPERLINK(склад2въезд13192021222[[#This Row],[RelativePath]])</f>
        <v>9 Ангар пилорама\E33149364_1_20251125T150634Z.jpg</v>
      </c>
    </row>
    <row r="198" spans="1:13" x14ac:dyDescent="0.25">
      <c r="A198" s="2" t="s">
        <v>14</v>
      </c>
      <c r="B198" s="4">
        <v>45986</v>
      </c>
      <c r="C198" s="5">
        <v>0.6297800925925926</v>
      </c>
      <c r="D198" s="9" t="s">
        <v>4</v>
      </c>
      <c r="E198" s="9" t="s">
        <v>9</v>
      </c>
      <c r="F198" s="9"/>
      <c r="H198" s="9" t="s">
        <v>2891</v>
      </c>
      <c r="I198" s="9" t="s">
        <v>3764</v>
      </c>
      <c r="J198" s="9" t="s">
        <v>2948</v>
      </c>
      <c r="K198" t="s">
        <v>3765</v>
      </c>
      <c r="L198" t="s">
        <v>3766</v>
      </c>
      <c r="M198" s="3" t="str">
        <f>HYPERLINK(склад2въезд13192021222[[#This Row],[RelativePath]])</f>
        <v>9 Ангар пилорама\E33149364_1_20251125T150653Z.jpg</v>
      </c>
    </row>
    <row r="199" spans="1:13" x14ac:dyDescent="0.25">
      <c r="A199" s="2" t="s">
        <v>14</v>
      </c>
      <c r="B199" s="4">
        <v>45986</v>
      </c>
      <c r="C199" s="5">
        <v>0.63010416666666669</v>
      </c>
      <c r="D199" s="9" t="s">
        <v>4</v>
      </c>
      <c r="E199" s="9" t="s">
        <v>9</v>
      </c>
      <c r="F199" s="9"/>
      <c r="H199" s="9" t="s">
        <v>2891</v>
      </c>
      <c r="I199" s="9" t="s">
        <v>3767</v>
      </c>
      <c r="J199" s="9" t="s">
        <v>2948</v>
      </c>
      <c r="K199" t="s">
        <v>3768</v>
      </c>
      <c r="L199" t="s">
        <v>3769</v>
      </c>
      <c r="M199" s="3" t="str">
        <f>HYPERLINK(склад2въезд13192021222[[#This Row],[RelativePath]])</f>
        <v>9 Ангар пилорама\E33149364_1_20251125T150721Z.jpg</v>
      </c>
    </row>
    <row r="200" spans="1:13" x14ac:dyDescent="0.25">
      <c r="A200" s="2" t="s">
        <v>14</v>
      </c>
      <c r="B200" s="4">
        <v>45986</v>
      </c>
      <c r="C200" s="5">
        <v>0.68474537037037042</v>
      </c>
      <c r="D200" s="9" t="s">
        <v>4</v>
      </c>
      <c r="E200" s="9" t="s">
        <v>9</v>
      </c>
      <c r="F200" s="9"/>
      <c r="H200" s="9" t="s">
        <v>2891</v>
      </c>
      <c r="I200" s="9" t="s">
        <v>3770</v>
      </c>
      <c r="J200" s="9" t="s">
        <v>2948</v>
      </c>
      <c r="K200" t="s">
        <v>3771</v>
      </c>
      <c r="L200" t="s">
        <v>3772</v>
      </c>
      <c r="M200" s="3" t="str">
        <f>HYPERLINK(склад2въезд13192021222[[#This Row],[RelativePath]])</f>
        <v>9 Ангар пилорама\E33149364_1_20251125T162602Z.jpg</v>
      </c>
    </row>
    <row r="201" spans="1:13" x14ac:dyDescent="0.25">
      <c r="A201" s="2" t="s">
        <v>14</v>
      </c>
      <c r="B201" s="4">
        <v>45986</v>
      </c>
      <c r="C201" s="5">
        <v>0.805150462962963</v>
      </c>
      <c r="D201" s="9" t="s">
        <v>4</v>
      </c>
      <c r="E201" s="9" t="s">
        <v>9</v>
      </c>
      <c r="F201" s="9"/>
      <c r="H201" s="9" t="s">
        <v>2891</v>
      </c>
      <c r="I201" s="9" t="s">
        <v>3773</v>
      </c>
      <c r="J201" s="9" t="s">
        <v>2948</v>
      </c>
      <c r="K201" t="s">
        <v>3774</v>
      </c>
      <c r="L201" t="s">
        <v>3775</v>
      </c>
      <c r="M201" s="3" t="str">
        <f>HYPERLINK(склад2въезд13192021222[[#This Row],[RelativePath]])</f>
        <v>9 Ангар пилорама\E33149364_1_20251125T191925Z.jpg</v>
      </c>
    </row>
    <row r="202" spans="1:13" x14ac:dyDescent="0.25">
      <c r="A202" s="2" t="s">
        <v>14</v>
      </c>
      <c r="B202" s="4">
        <v>45986</v>
      </c>
      <c r="C202" s="5">
        <v>0.80939814814814814</v>
      </c>
      <c r="D202" s="9" t="s">
        <v>4</v>
      </c>
      <c r="E202" s="9" t="s">
        <v>9</v>
      </c>
      <c r="F202" s="9"/>
      <c r="H202" s="9" t="s">
        <v>2891</v>
      </c>
      <c r="I202" s="9" t="s">
        <v>3776</v>
      </c>
      <c r="J202" s="9" t="s">
        <v>2948</v>
      </c>
      <c r="K202" t="s">
        <v>3777</v>
      </c>
      <c r="L202" t="s">
        <v>3778</v>
      </c>
      <c r="M202" s="3" t="str">
        <f>HYPERLINK(склад2въезд13192021222[[#This Row],[RelativePath]])</f>
        <v>9 Ангар пилорама\E33149364_1_20251125T192532Z.jpg</v>
      </c>
    </row>
    <row r="203" spans="1:13" x14ac:dyDescent="0.25">
      <c r="A203" s="2" t="s">
        <v>15</v>
      </c>
      <c r="B203" s="4">
        <v>45987</v>
      </c>
      <c r="C203" s="5">
        <v>0.38255787037037037</v>
      </c>
      <c r="D203" s="9" t="s">
        <v>4</v>
      </c>
      <c r="E203" s="9" t="s">
        <v>9</v>
      </c>
      <c r="F203" s="9"/>
      <c r="H203" s="9" t="s">
        <v>2891</v>
      </c>
      <c r="I203" s="9" t="s">
        <v>3779</v>
      </c>
      <c r="J203" s="9" t="s">
        <v>2948</v>
      </c>
      <c r="K203" t="s">
        <v>3780</v>
      </c>
      <c r="L203" t="s">
        <v>3781</v>
      </c>
      <c r="M203" s="3" t="str">
        <f>HYPERLINK(склад2въезд13192021222[[#This Row],[RelativePath]])</f>
        <v>9 Ангар пилорама\E33149364_1_20251126T091053Z.jpg</v>
      </c>
    </row>
    <row r="204" spans="1:13" x14ac:dyDescent="0.25">
      <c r="A204" s="2" t="s">
        <v>15</v>
      </c>
      <c r="B204" s="4">
        <v>45987</v>
      </c>
      <c r="C204" s="5">
        <v>0.44868055555555558</v>
      </c>
      <c r="D204" s="9" t="s">
        <v>4</v>
      </c>
      <c r="E204" s="9" t="s">
        <v>9</v>
      </c>
      <c r="F204" s="9"/>
      <c r="H204" s="9" t="s">
        <v>2891</v>
      </c>
      <c r="I204" s="9" t="s">
        <v>3782</v>
      </c>
      <c r="J204" s="9" t="s">
        <v>2948</v>
      </c>
      <c r="K204" t="s">
        <v>3783</v>
      </c>
      <c r="L204" t="s">
        <v>3784</v>
      </c>
      <c r="M204" s="3" t="str">
        <f>HYPERLINK(склад2въезд13192021222[[#This Row],[RelativePath]])</f>
        <v>9 Ангар пилорама\E33149364_1_20251126T104606Z.jpg</v>
      </c>
    </row>
    <row r="205" spans="1:13" x14ac:dyDescent="0.25">
      <c r="A205" s="2" t="s">
        <v>15</v>
      </c>
      <c r="B205" s="4">
        <v>45987</v>
      </c>
      <c r="C205" s="5">
        <v>0.47425925925925927</v>
      </c>
      <c r="D205" s="9" t="s">
        <v>4</v>
      </c>
      <c r="E205" s="9" t="s">
        <v>9</v>
      </c>
      <c r="F205" s="9"/>
      <c r="H205" s="9" t="s">
        <v>2891</v>
      </c>
      <c r="I205" s="9" t="s">
        <v>3785</v>
      </c>
      <c r="J205" s="9" t="s">
        <v>2948</v>
      </c>
      <c r="K205" t="s">
        <v>3786</v>
      </c>
      <c r="L205" t="s">
        <v>3787</v>
      </c>
      <c r="M205" s="3" t="str">
        <f>HYPERLINK(склад2въезд13192021222[[#This Row],[RelativePath]])</f>
        <v>9 Ангар пилорама\E33149364_1_20251126T112256Z.jpg</v>
      </c>
    </row>
    <row r="206" spans="1:13" x14ac:dyDescent="0.25">
      <c r="A206" s="2" t="s">
        <v>15</v>
      </c>
      <c r="B206" s="4">
        <v>45987</v>
      </c>
      <c r="C206" s="5">
        <v>0.4934722222222222</v>
      </c>
      <c r="D206" s="9" t="s">
        <v>4</v>
      </c>
      <c r="E206" s="9" t="s">
        <v>9</v>
      </c>
      <c r="F206" s="9"/>
      <c r="H206" s="9" t="s">
        <v>2891</v>
      </c>
      <c r="I206" s="9" t="s">
        <v>3788</v>
      </c>
      <c r="J206" s="9" t="s">
        <v>2948</v>
      </c>
      <c r="K206" t="s">
        <v>3789</v>
      </c>
      <c r="L206" t="s">
        <v>3790</v>
      </c>
      <c r="M206" s="3" t="str">
        <f>HYPERLINK(склад2въезд13192021222[[#This Row],[RelativePath]])</f>
        <v>9 Ангар пилорама\E33149364_1_20251126T115036Z.jpg</v>
      </c>
    </row>
    <row r="207" spans="1:13" x14ac:dyDescent="0.25">
      <c r="A207" s="2" t="s">
        <v>15</v>
      </c>
      <c r="B207" s="4">
        <v>45987</v>
      </c>
      <c r="C207" s="5">
        <v>0.62527777777777782</v>
      </c>
      <c r="D207" s="9" t="s">
        <v>4</v>
      </c>
      <c r="E207" s="9" t="s">
        <v>9</v>
      </c>
      <c r="F207" s="9"/>
      <c r="H207" s="9" t="s">
        <v>2891</v>
      </c>
      <c r="I207" s="9" t="s">
        <v>3791</v>
      </c>
      <c r="J207" s="9" t="s">
        <v>2948</v>
      </c>
      <c r="K207" t="s">
        <v>3792</v>
      </c>
      <c r="L207" t="s">
        <v>3793</v>
      </c>
      <c r="M207" s="3" t="str">
        <f>HYPERLINK(склад2въезд13192021222[[#This Row],[RelativePath]])</f>
        <v>9 Ангар пилорама\E33149364_1_20251126T150024Z.jpg</v>
      </c>
    </row>
    <row r="208" spans="1:13" x14ac:dyDescent="0.25">
      <c r="A208" s="2" t="s">
        <v>16</v>
      </c>
      <c r="B208" s="4">
        <v>45988</v>
      </c>
      <c r="C208" s="5">
        <v>0.60601851851851851</v>
      </c>
      <c r="D208" s="9" t="s">
        <v>4</v>
      </c>
      <c r="E208" s="9" t="s">
        <v>9</v>
      </c>
      <c r="F208" s="9"/>
      <c r="H208" s="9" t="s">
        <v>2891</v>
      </c>
      <c r="I208" s="9" t="s">
        <v>3794</v>
      </c>
      <c r="J208" s="9" t="s">
        <v>2948</v>
      </c>
      <c r="K208" t="s">
        <v>3795</v>
      </c>
      <c r="L208" t="s">
        <v>3796</v>
      </c>
      <c r="M208" s="3" t="str">
        <f>HYPERLINK(склад2въезд13192021222[[#This Row],[RelativePath]])</f>
        <v>9 Ангар пилорама\E33149364_1_20251127T143240Z.jpg</v>
      </c>
    </row>
    <row r="209" spans="1:13" x14ac:dyDescent="0.25">
      <c r="A209" s="2" t="s">
        <v>17</v>
      </c>
      <c r="B209" s="4">
        <v>45989</v>
      </c>
      <c r="C209" s="5">
        <v>0.37232638888888892</v>
      </c>
      <c r="D209" s="9" t="s">
        <v>4</v>
      </c>
      <c r="E209" s="9" t="s">
        <v>9</v>
      </c>
      <c r="F209" s="9"/>
      <c r="H209" s="9" t="s">
        <v>2891</v>
      </c>
      <c r="I209" s="9" t="s">
        <v>3797</v>
      </c>
      <c r="J209" s="9" t="s">
        <v>2948</v>
      </c>
      <c r="K209" t="s">
        <v>3798</v>
      </c>
      <c r="L209" t="s">
        <v>3799</v>
      </c>
      <c r="M209" s="3" t="str">
        <f>HYPERLINK(склад2въезд13192021222[[#This Row],[RelativePath]])</f>
        <v>9 Ангар пилорама\E33149364_1_20251128T085609Z.jpg</v>
      </c>
    </row>
    <row r="210" spans="1:13" x14ac:dyDescent="0.25">
      <c r="A210" s="2" t="s">
        <v>17</v>
      </c>
      <c r="B210" s="4">
        <v>45989</v>
      </c>
      <c r="C210" s="5">
        <v>0.37593749999999998</v>
      </c>
      <c r="D210" s="9" t="s">
        <v>4162</v>
      </c>
      <c r="E210" s="9" t="s">
        <v>86</v>
      </c>
      <c r="F210" s="9" t="s">
        <v>58</v>
      </c>
      <c r="H210" s="9"/>
      <c r="I210" s="9" t="s">
        <v>3800</v>
      </c>
      <c r="J210" s="9" t="s">
        <v>2948</v>
      </c>
      <c r="K210" t="s">
        <v>3801</v>
      </c>
      <c r="L210" t="s">
        <v>3802</v>
      </c>
      <c r="M210" s="3" t="str">
        <f>HYPERLINK(склад2въезд13192021222[[#This Row],[RelativePath]])</f>
        <v>9 Ангар пилорама\E33149364_1_20251128T090121Z.jpg</v>
      </c>
    </row>
    <row r="211" spans="1:13" x14ac:dyDescent="0.25">
      <c r="A211" s="2" t="s">
        <v>17</v>
      </c>
      <c r="B211" s="4">
        <v>45989</v>
      </c>
      <c r="C211" s="5">
        <v>0.6215046296296296</v>
      </c>
      <c r="D211" s="9" t="s">
        <v>4</v>
      </c>
      <c r="E211" s="9" t="s">
        <v>9</v>
      </c>
      <c r="F211" s="9"/>
      <c r="H211" s="9"/>
      <c r="I211" s="9" t="s">
        <v>3803</v>
      </c>
      <c r="J211" s="9" t="s">
        <v>2948</v>
      </c>
      <c r="K211" t="s">
        <v>3804</v>
      </c>
      <c r="L211" t="s">
        <v>3805</v>
      </c>
      <c r="M211" s="3" t="str">
        <f>HYPERLINK(склад2въезд13192021222[[#This Row],[RelativePath]])</f>
        <v>9 Ангар пилорама\E33149364_1_20251128T145458Z.jpg</v>
      </c>
    </row>
    <row r="212" spans="1:13" x14ac:dyDescent="0.25">
      <c r="A212" s="2" t="s">
        <v>18</v>
      </c>
      <c r="B212" s="4">
        <v>45990</v>
      </c>
      <c r="C212" s="5">
        <v>0.64815972222222218</v>
      </c>
      <c r="D212" s="9" t="s">
        <v>4</v>
      </c>
      <c r="E212" s="9" t="s">
        <v>4163</v>
      </c>
      <c r="F212" s="9" t="s">
        <v>1071</v>
      </c>
      <c r="H212" s="9"/>
      <c r="I212" s="9" t="s">
        <v>3806</v>
      </c>
      <c r="J212" s="9" t="s">
        <v>2948</v>
      </c>
      <c r="K212" t="s">
        <v>3807</v>
      </c>
      <c r="L212" t="s">
        <v>3808</v>
      </c>
      <c r="M212" s="3" t="str">
        <f>HYPERLINK(склад2въезд13192021222[[#This Row],[RelativePath]])</f>
        <v>9 Ангар пилорама\E33149364_1_20251129T153321Z.jpg</v>
      </c>
    </row>
    <row r="213" spans="1:13" x14ac:dyDescent="0.25">
      <c r="A213" s="2" t="s">
        <v>22</v>
      </c>
      <c r="B213" s="4">
        <v>45991</v>
      </c>
      <c r="C213" s="5">
        <v>0.64359953703703698</v>
      </c>
      <c r="D213" s="9" t="s">
        <v>1967</v>
      </c>
      <c r="E213" s="9"/>
      <c r="F213" s="9"/>
      <c r="H213" s="9"/>
      <c r="I213" s="9" t="s">
        <v>4222</v>
      </c>
      <c r="J213" s="9" t="s">
        <v>2948</v>
      </c>
      <c r="K213" t="s">
        <v>4223</v>
      </c>
      <c r="L213" t="s">
        <v>4224</v>
      </c>
      <c r="M213" s="3" t="str">
        <f>HYPERLINK(склад2въезд13192021222[[#This Row],[RelativePath]])</f>
        <v>9 Ангар пилорама\E33149364_1_20251130T152647Z.jpg</v>
      </c>
    </row>
    <row r="214" spans="1:13" x14ac:dyDescent="0.25">
      <c r="A214" s="2" t="s">
        <v>13</v>
      </c>
      <c r="B214" s="4">
        <v>45992</v>
      </c>
      <c r="C214" s="5">
        <v>0.43488425925925928</v>
      </c>
      <c r="D214" s="9" t="s">
        <v>4</v>
      </c>
      <c r="E214" s="9" t="s">
        <v>9</v>
      </c>
      <c r="F214" s="9"/>
      <c r="H214" s="9"/>
      <c r="I214" s="9" t="s">
        <v>4561</v>
      </c>
      <c r="J214" s="9" t="s">
        <v>2948</v>
      </c>
      <c r="K214" t="s">
        <v>4562</v>
      </c>
      <c r="L214" t="s">
        <v>4563</v>
      </c>
      <c r="M214" s="3" t="str">
        <f>HYPERLINK(склад2въезд13192021222[[#This Row],[RelativePath]])</f>
        <v>9 Ангар пилорама\E33149364_1_20251201T102614Z.jpg</v>
      </c>
    </row>
    <row r="215" spans="1:13" x14ac:dyDescent="0.25">
      <c r="A215" s="2" t="s">
        <v>13</v>
      </c>
      <c r="B215" s="4">
        <v>45992</v>
      </c>
      <c r="C215" s="5">
        <v>0.52096064814814813</v>
      </c>
      <c r="D215" s="9" t="s">
        <v>5070</v>
      </c>
      <c r="E215" s="9" t="s">
        <v>5069</v>
      </c>
      <c r="F215" s="9"/>
      <c r="H215" s="9"/>
      <c r="I215" s="9" t="s">
        <v>4564</v>
      </c>
      <c r="J215" s="9" t="s">
        <v>2948</v>
      </c>
      <c r="K215" t="s">
        <v>4565</v>
      </c>
      <c r="L215" t="s">
        <v>4566</v>
      </c>
      <c r="M215" s="3" t="str">
        <f>HYPERLINK(склад2въезд13192021222[[#This Row],[RelativePath]])</f>
        <v>9 Ангар пилорама\E33149364_1_20251201T123011Z.jpg</v>
      </c>
    </row>
    <row r="216" spans="1:13" x14ac:dyDescent="0.25">
      <c r="A216" s="2" t="s">
        <v>13</v>
      </c>
      <c r="B216" s="4">
        <v>45992</v>
      </c>
      <c r="C216" s="5">
        <v>0.61699074074074078</v>
      </c>
      <c r="D216" s="9" t="s">
        <v>5070</v>
      </c>
      <c r="E216" s="9" t="s">
        <v>5069</v>
      </c>
      <c r="F216" s="9"/>
      <c r="H216" s="9" t="s">
        <v>2891</v>
      </c>
      <c r="I216" s="9" t="s">
        <v>4567</v>
      </c>
      <c r="J216" s="9" t="s">
        <v>2948</v>
      </c>
      <c r="K216" t="s">
        <v>4568</v>
      </c>
      <c r="L216" t="s">
        <v>4569</v>
      </c>
      <c r="M216" s="3" t="str">
        <f>HYPERLINK(склад2въезд13192021222[[#This Row],[RelativePath]])</f>
        <v>9 Ангар пилорама\E33149364_1_20251201T144828Z.jpg</v>
      </c>
    </row>
    <row r="217" spans="1:13" x14ac:dyDescent="0.25">
      <c r="A217" s="2" t="s">
        <v>13</v>
      </c>
      <c r="B217" s="4">
        <v>45992</v>
      </c>
      <c r="C217" s="5">
        <v>0.62842592592592594</v>
      </c>
      <c r="D217" s="9" t="s">
        <v>1063</v>
      </c>
      <c r="E217" s="9" t="s">
        <v>5071</v>
      </c>
      <c r="F217" s="9" t="s">
        <v>1071</v>
      </c>
      <c r="H217" s="9"/>
      <c r="I217" s="9" t="s">
        <v>4570</v>
      </c>
      <c r="J217" s="9" t="s">
        <v>2948</v>
      </c>
      <c r="K217" t="s">
        <v>4571</v>
      </c>
      <c r="L217" t="s">
        <v>4572</v>
      </c>
      <c r="M217" s="3" t="str">
        <f>HYPERLINK(склад2въезд13192021222[[#This Row],[RelativePath]])</f>
        <v>9 Ангар пилорама\E33149364_1_20251201T150456Z.jpg</v>
      </c>
    </row>
    <row r="218" spans="1:13" x14ac:dyDescent="0.25">
      <c r="A218" s="2" t="s">
        <v>13</v>
      </c>
      <c r="B218" s="4">
        <v>45992</v>
      </c>
      <c r="C218" s="5">
        <v>0.63888888888888884</v>
      </c>
      <c r="D218" s="9" t="s">
        <v>1063</v>
      </c>
      <c r="E218" s="9" t="s">
        <v>5071</v>
      </c>
      <c r="F218" s="9" t="s">
        <v>1071</v>
      </c>
      <c r="H218" s="9" t="s">
        <v>2891</v>
      </c>
      <c r="I218" s="9" t="s">
        <v>4573</v>
      </c>
      <c r="J218" s="9" t="s">
        <v>2948</v>
      </c>
      <c r="K218" t="s">
        <v>4574</v>
      </c>
      <c r="L218" t="s">
        <v>4575</v>
      </c>
      <c r="M218" s="3" t="str">
        <f>HYPERLINK(склад2въезд13192021222[[#This Row],[RelativePath]])</f>
        <v>9 Ангар пилорама\E33149364_1_20251201T152000Z.jpg</v>
      </c>
    </row>
    <row r="219" spans="1:13" x14ac:dyDescent="0.25">
      <c r="A219" s="2" t="s">
        <v>13</v>
      </c>
      <c r="B219" s="4">
        <v>45992</v>
      </c>
      <c r="C219" s="5">
        <v>0.64228009259259256</v>
      </c>
      <c r="D219" s="9" t="s">
        <v>4</v>
      </c>
      <c r="E219" s="9" t="s">
        <v>9</v>
      </c>
      <c r="F219" s="9"/>
      <c r="H219" s="9"/>
      <c r="I219" s="9" t="s">
        <v>4576</v>
      </c>
      <c r="J219" s="9" t="s">
        <v>2948</v>
      </c>
      <c r="K219" t="s">
        <v>4577</v>
      </c>
      <c r="L219" t="s">
        <v>4578</v>
      </c>
      <c r="M219" s="3" t="str">
        <f>HYPERLINK(склад2въезд13192021222[[#This Row],[RelativePath]])</f>
        <v>9 Ангар пилорама\E33149364_1_20251201T152453Z.jpg</v>
      </c>
    </row>
    <row r="220" spans="1:13" x14ac:dyDescent="0.25">
      <c r="A220" s="2" t="s">
        <v>13</v>
      </c>
      <c r="B220" s="4">
        <v>45992</v>
      </c>
      <c r="C220" s="5">
        <v>0.64841435185185181</v>
      </c>
      <c r="D220" s="9" t="s">
        <v>4</v>
      </c>
      <c r="E220" s="9" t="s">
        <v>9</v>
      </c>
      <c r="F220" s="9"/>
      <c r="H220" s="9" t="s">
        <v>2891</v>
      </c>
      <c r="I220" s="9" t="s">
        <v>4579</v>
      </c>
      <c r="J220" s="9" t="s">
        <v>2948</v>
      </c>
      <c r="K220" t="s">
        <v>4580</v>
      </c>
      <c r="L220" t="s">
        <v>4581</v>
      </c>
      <c r="M220" s="3" t="str">
        <f>HYPERLINK(склад2въезд13192021222[[#This Row],[RelativePath]])</f>
        <v>9 Ангар пилорама\E33149364_1_20251201T153343Z.jpg</v>
      </c>
    </row>
    <row r="221" spans="1:13" x14ac:dyDescent="0.25">
      <c r="A221" s="2" t="s">
        <v>13</v>
      </c>
      <c r="B221" s="4">
        <v>45992</v>
      </c>
      <c r="C221" s="5">
        <v>0.65292824074074074</v>
      </c>
      <c r="D221" s="9" t="s">
        <v>4</v>
      </c>
      <c r="E221" s="9" t="s">
        <v>9</v>
      </c>
      <c r="F221" s="9"/>
      <c r="H221" s="9" t="s">
        <v>2891</v>
      </c>
      <c r="I221" s="9" t="s">
        <v>4582</v>
      </c>
      <c r="J221" s="9" t="s">
        <v>2948</v>
      </c>
      <c r="K221" t="s">
        <v>4583</v>
      </c>
      <c r="L221" t="s">
        <v>4584</v>
      </c>
      <c r="M221" s="3" t="str">
        <f>HYPERLINK(склад2въезд13192021222[[#This Row],[RelativePath]])</f>
        <v>9 Ангар пилорама\E33149364_1_20251201T154013Z.jpg</v>
      </c>
    </row>
    <row r="222" spans="1:13" x14ac:dyDescent="0.25">
      <c r="A222" s="2" t="s">
        <v>13</v>
      </c>
      <c r="B222" s="4">
        <v>45992</v>
      </c>
      <c r="C222" s="5">
        <v>0.65981481481481485</v>
      </c>
      <c r="D222" s="9" t="s">
        <v>4</v>
      </c>
      <c r="E222" s="9" t="s">
        <v>9</v>
      </c>
      <c r="F222" s="9"/>
      <c r="H222" s="9" t="s">
        <v>2891</v>
      </c>
      <c r="I222" s="9" t="s">
        <v>4585</v>
      </c>
      <c r="J222" s="9" t="s">
        <v>2948</v>
      </c>
      <c r="K222" t="s">
        <v>4586</v>
      </c>
      <c r="L222" t="s">
        <v>4587</v>
      </c>
      <c r="M222" s="3" t="str">
        <f>HYPERLINK(склад2въезд13192021222[[#This Row],[RelativePath]])</f>
        <v>9 Ангар пилорама\E33149364_1_20251201T155008Z.jpg</v>
      </c>
    </row>
    <row r="223" spans="1:13" x14ac:dyDescent="0.25">
      <c r="A223" s="2" t="s">
        <v>13</v>
      </c>
      <c r="B223" s="4">
        <v>45992</v>
      </c>
      <c r="C223" s="5">
        <v>0.68824074074074071</v>
      </c>
      <c r="D223" s="9" t="s">
        <v>4</v>
      </c>
      <c r="E223" s="9" t="s">
        <v>9</v>
      </c>
      <c r="F223" s="9"/>
      <c r="H223" s="9" t="s">
        <v>2891</v>
      </c>
      <c r="I223" s="9" t="s">
        <v>4588</v>
      </c>
      <c r="J223" s="9" t="s">
        <v>2948</v>
      </c>
      <c r="K223" t="s">
        <v>4589</v>
      </c>
      <c r="L223" t="s">
        <v>4590</v>
      </c>
      <c r="M223" s="3" t="str">
        <f>HYPERLINK(склад2въезд13192021222[[#This Row],[RelativePath]])</f>
        <v>9 Ангар пилорама\E33149364_1_20251201T163104Z.jpg</v>
      </c>
    </row>
    <row r="224" spans="1:13" x14ac:dyDescent="0.25">
      <c r="A224" s="2" t="s">
        <v>13</v>
      </c>
      <c r="B224" s="4">
        <v>45992</v>
      </c>
      <c r="C224" s="5">
        <v>0.81041666666666667</v>
      </c>
      <c r="D224" s="9" t="s">
        <v>4</v>
      </c>
      <c r="E224" s="9" t="s">
        <v>9</v>
      </c>
      <c r="F224" s="9"/>
      <c r="H224" s="9" t="s">
        <v>2891</v>
      </c>
      <c r="I224" s="9" t="s">
        <v>4591</v>
      </c>
      <c r="J224" s="9" t="s">
        <v>2948</v>
      </c>
      <c r="K224" t="s">
        <v>4592</v>
      </c>
      <c r="L224" t="s">
        <v>4593</v>
      </c>
      <c r="M224" s="3" t="str">
        <f>HYPERLINK(склад2въезд13192021222[[#This Row],[RelativePath]])</f>
        <v>9 Ангар пилорама\E33149364_1_20251201T192700Z.jpg</v>
      </c>
    </row>
    <row r="225" spans="1:13" x14ac:dyDescent="0.25">
      <c r="A225" s="2" t="s">
        <v>13</v>
      </c>
      <c r="B225" s="4">
        <v>45992</v>
      </c>
      <c r="C225" s="5">
        <v>0.87575231481481486</v>
      </c>
      <c r="D225" s="9" t="s">
        <v>4</v>
      </c>
      <c r="E225" s="9" t="s">
        <v>9</v>
      </c>
      <c r="F225" s="9"/>
      <c r="H225" s="9" t="s">
        <v>2891</v>
      </c>
      <c r="I225" s="9" t="s">
        <v>4594</v>
      </c>
      <c r="J225" s="9" t="s">
        <v>2948</v>
      </c>
      <c r="K225" t="s">
        <v>4595</v>
      </c>
      <c r="L225" t="s">
        <v>4596</v>
      </c>
      <c r="M225" s="3" t="str">
        <f>HYPERLINK(склад2въезд13192021222[[#This Row],[RelativePath]])</f>
        <v>9 Ангар пилорама\E33149364_1_20251201T210105Z.jpg</v>
      </c>
    </row>
    <row r="226" spans="1:13" x14ac:dyDescent="0.25">
      <c r="A226" s="2" t="s">
        <v>13</v>
      </c>
      <c r="B226" s="4">
        <v>45992</v>
      </c>
      <c r="C226" s="5">
        <v>0.93390046296296292</v>
      </c>
      <c r="D226" s="9" t="s">
        <v>4</v>
      </c>
      <c r="E226" s="9" t="s">
        <v>9</v>
      </c>
      <c r="F226" s="9"/>
      <c r="H226" s="9" t="s">
        <v>2891</v>
      </c>
      <c r="I226" s="9" t="s">
        <v>4597</v>
      </c>
      <c r="J226" s="9" t="s">
        <v>2948</v>
      </c>
      <c r="K226" t="s">
        <v>4598</v>
      </c>
      <c r="L226" t="s">
        <v>4599</v>
      </c>
      <c r="M226" s="3" t="str">
        <f>HYPERLINK(склад2въезд13192021222[[#This Row],[RelativePath]])</f>
        <v>9 Ангар пилорама\E33149364_1_20251201T222449Z.jpg</v>
      </c>
    </row>
    <row r="227" spans="1:13" x14ac:dyDescent="0.25">
      <c r="A227" s="2" t="s">
        <v>14</v>
      </c>
      <c r="B227" s="4">
        <v>45993</v>
      </c>
      <c r="C227" s="5">
        <v>2.792824074074074E-2</v>
      </c>
      <c r="D227" s="9" t="s">
        <v>4</v>
      </c>
      <c r="E227" s="9" t="s">
        <v>9</v>
      </c>
      <c r="F227" s="9"/>
      <c r="H227" s="9" t="s">
        <v>2891</v>
      </c>
      <c r="I227" s="9" t="s">
        <v>4600</v>
      </c>
      <c r="J227" s="9" t="s">
        <v>2948</v>
      </c>
      <c r="K227" t="s">
        <v>4601</v>
      </c>
      <c r="L227" t="s">
        <v>4602</v>
      </c>
      <c r="M227" s="3" t="str">
        <f>HYPERLINK(склад2въезд13192021222[[#This Row],[RelativePath]])</f>
        <v>9 Ангар пилорама\E33149364_1_20251202T004013Z.jpg</v>
      </c>
    </row>
    <row r="228" spans="1:13" x14ac:dyDescent="0.25">
      <c r="A228" s="2" t="s">
        <v>14</v>
      </c>
      <c r="B228" s="4">
        <v>45993</v>
      </c>
      <c r="C228" s="5">
        <v>0.29055555555555557</v>
      </c>
      <c r="D228" s="9" t="s">
        <v>4</v>
      </c>
      <c r="E228" s="9" t="s">
        <v>9</v>
      </c>
      <c r="F228" s="9"/>
      <c r="H228" s="9" t="s">
        <v>2891</v>
      </c>
      <c r="I228" s="9" t="s">
        <v>4603</v>
      </c>
      <c r="J228" s="9" t="s">
        <v>2948</v>
      </c>
      <c r="K228" t="s">
        <v>4604</v>
      </c>
      <c r="L228" t="s">
        <v>4605</v>
      </c>
      <c r="M228" s="3" t="str">
        <f>HYPERLINK(склад2въезд13192021222[[#This Row],[RelativePath]])</f>
        <v>9 Ангар пилорама\E33149364_1_20251202T065824Z.jpg</v>
      </c>
    </row>
    <row r="229" spans="1:13" x14ac:dyDescent="0.25">
      <c r="A229" s="2" t="s">
        <v>14</v>
      </c>
      <c r="B229" s="4">
        <v>45993</v>
      </c>
      <c r="C229" s="5">
        <v>0.35776620370370371</v>
      </c>
      <c r="D229" s="9" t="s">
        <v>4</v>
      </c>
      <c r="E229" s="9" t="s">
        <v>9</v>
      </c>
      <c r="F229" s="9"/>
      <c r="H229" s="9" t="s">
        <v>2891</v>
      </c>
      <c r="I229" s="9" t="s">
        <v>4606</v>
      </c>
      <c r="J229" s="9" t="s">
        <v>2948</v>
      </c>
      <c r="K229" t="s">
        <v>4607</v>
      </c>
      <c r="L229" t="s">
        <v>4608</v>
      </c>
      <c r="M229" s="3" t="str">
        <f>HYPERLINK(склад2въезд13192021222[[#This Row],[RelativePath]])</f>
        <v>9 Ангар пилорама\E33149364_1_20251202T083511Z.jpg</v>
      </c>
    </row>
    <row r="230" spans="1:13" x14ac:dyDescent="0.25">
      <c r="A230" s="2" t="s">
        <v>14</v>
      </c>
      <c r="B230" s="4">
        <v>45993</v>
      </c>
      <c r="C230" s="5">
        <v>0.37357638888888889</v>
      </c>
      <c r="D230" s="9" t="s">
        <v>4</v>
      </c>
      <c r="E230" s="9" t="s">
        <v>9</v>
      </c>
      <c r="F230" s="9"/>
      <c r="H230" s="9" t="s">
        <v>2891</v>
      </c>
      <c r="I230" s="9" t="s">
        <v>4609</v>
      </c>
      <c r="J230" s="9" t="s">
        <v>2948</v>
      </c>
      <c r="K230" t="s">
        <v>4610</v>
      </c>
      <c r="L230" t="s">
        <v>4611</v>
      </c>
      <c r="M230" s="3" t="str">
        <f>HYPERLINK(склад2въезд13192021222[[#This Row],[RelativePath]])</f>
        <v>9 Ангар пилорама\E33149364_1_20251202T085757Z.jpg</v>
      </c>
    </row>
    <row r="231" spans="1:13" x14ac:dyDescent="0.25">
      <c r="A231" s="2" t="s">
        <v>14</v>
      </c>
      <c r="B231" s="4">
        <v>45993</v>
      </c>
      <c r="C231" s="5">
        <v>0.40696759259259258</v>
      </c>
      <c r="D231" s="9" t="s">
        <v>1063</v>
      </c>
      <c r="E231" s="9" t="s">
        <v>1570</v>
      </c>
      <c r="F231" s="9" t="s">
        <v>58</v>
      </c>
      <c r="H231" s="9"/>
      <c r="I231" s="9" t="s">
        <v>4612</v>
      </c>
      <c r="J231" s="9" t="s">
        <v>2948</v>
      </c>
      <c r="K231" t="s">
        <v>4613</v>
      </c>
      <c r="L231" t="s">
        <v>4614</v>
      </c>
      <c r="M231" s="3" t="str">
        <f>HYPERLINK(склад2въезд13192021222[[#This Row],[RelativePath]])</f>
        <v>9 Ангар пилорама\E33149364_1_20251202T094602Z.jpg</v>
      </c>
    </row>
    <row r="232" spans="1:13" x14ac:dyDescent="0.25">
      <c r="A232" s="2" t="s">
        <v>14</v>
      </c>
      <c r="B232" s="4">
        <v>45993</v>
      </c>
      <c r="C232" s="5">
        <v>0.45527777777777778</v>
      </c>
      <c r="D232" s="9" t="s">
        <v>4</v>
      </c>
      <c r="E232" s="9" t="s">
        <v>9</v>
      </c>
      <c r="F232" s="9"/>
      <c r="H232" s="9" t="s">
        <v>2891</v>
      </c>
      <c r="I232" s="9" t="s">
        <v>4615</v>
      </c>
      <c r="J232" s="9" t="s">
        <v>2948</v>
      </c>
      <c r="K232" t="s">
        <v>4616</v>
      </c>
      <c r="L232" t="s">
        <v>4617</v>
      </c>
      <c r="M232" s="3" t="str">
        <f>HYPERLINK(склад2въезд13192021222[[#This Row],[RelativePath]])</f>
        <v>9 Ангар пилорама\E33149364_1_20251202T105536Z.jpg</v>
      </c>
    </row>
    <row r="233" spans="1:13" x14ac:dyDescent="0.25">
      <c r="A233" s="2" t="s">
        <v>14</v>
      </c>
      <c r="B233" s="4">
        <v>45993</v>
      </c>
      <c r="C233" s="5">
        <v>0.4909027777777778</v>
      </c>
      <c r="D233" s="9" t="s">
        <v>1063</v>
      </c>
      <c r="E233" s="9" t="s">
        <v>1570</v>
      </c>
      <c r="F233" s="9" t="s">
        <v>58</v>
      </c>
      <c r="H233" s="9"/>
      <c r="I233" s="9" t="s">
        <v>4618</v>
      </c>
      <c r="J233" s="9" t="s">
        <v>2948</v>
      </c>
      <c r="K233" t="s">
        <v>4619</v>
      </c>
      <c r="L233" t="s">
        <v>4620</v>
      </c>
      <c r="M233" s="3" t="str">
        <f>HYPERLINK(склад2въезд13192021222[[#This Row],[RelativePath]])</f>
        <v>9 Ангар пилорама\E33149364_1_20251202T114654Z.jpg</v>
      </c>
    </row>
    <row r="234" spans="1:13" x14ac:dyDescent="0.25">
      <c r="A234" s="2" t="s">
        <v>14</v>
      </c>
      <c r="B234" s="4">
        <v>45993</v>
      </c>
      <c r="C234" s="5">
        <v>0.52810185185185188</v>
      </c>
      <c r="D234" s="9" t="s">
        <v>4</v>
      </c>
      <c r="E234" s="9" t="s">
        <v>9</v>
      </c>
      <c r="F234" s="9"/>
      <c r="H234" s="9" t="s">
        <v>2891</v>
      </c>
      <c r="I234" s="9" t="s">
        <v>4621</v>
      </c>
      <c r="J234" s="9" t="s">
        <v>2948</v>
      </c>
      <c r="K234" t="s">
        <v>4622</v>
      </c>
      <c r="L234" t="s">
        <v>4623</v>
      </c>
      <c r="M234" s="3" t="str">
        <f>HYPERLINK(склад2въезд13192021222[[#This Row],[RelativePath]])</f>
        <v>9 Ангар пилорама\E33149364_1_20251202T124028Z.jpg</v>
      </c>
    </row>
    <row r="235" spans="1:13" x14ac:dyDescent="0.25">
      <c r="A235" s="2" t="s">
        <v>14</v>
      </c>
      <c r="B235" s="4">
        <v>45993</v>
      </c>
      <c r="C235" s="5">
        <v>0.63230324074074074</v>
      </c>
      <c r="D235" s="9" t="s">
        <v>1063</v>
      </c>
      <c r="E235" s="9" t="s">
        <v>1570</v>
      </c>
      <c r="F235" s="9" t="s">
        <v>58</v>
      </c>
      <c r="H235" s="9"/>
      <c r="I235" s="9" t="s">
        <v>4624</v>
      </c>
      <c r="J235" s="9" t="s">
        <v>2948</v>
      </c>
      <c r="K235" t="s">
        <v>4625</v>
      </c>
      <c r="L235" t="s">
        <v>4626</v>
      </c>
      <c r="M235" s="3" t="str">
        <f>HYPERLINK(склад2въезд13192021222[[#This Row],[RelativePath]])</f>
        <v>9 Ангар пилорама\E33149364_1_20251202T151031Z.jpg</v>
      </c>
    </row>
    <row r="236" spans="1:13" x14ac:dyDescent="0.25">
      <c r="A236" s="2" t="s">
        <v>14</v>
      </c>
      <c r="B236" s="4">
        <v>45993</v>
      </c>
      <c r="C236" s="5">
        <v>0.6548842592592593</v>
      </c>
      <c r="D236" s="9" t="s">
        <v>4</v>
      </c>
      <c r="E236" s="9" t="s">
        <v>9</v>
      </c>
      <c r="F236" s="9"/>
      <c r="H236" s="9" t="s">
        <v>2891</v>
      </c>
      <c r="I236" s="9" t="s">
        <v>4627</v>
      </c>
      <c r="J236" s="9" t="s">
        <v>2948</v>
      </c>
      <c r="K236" t="s">
        <v>4628</v>
      </c>
      <c r="L236" t="s">
        <v>4629</v>
      </c>
      <c r="M236" s="3" t="str">
        <f>HYPERLINK(склад2въезд13192021222[[#This Row],[RelativePath]])</f>
        <v>9 Ангар пилорама\E33149364_1_20251202T154302Z.jpg</v>
      </c>
    </row>
    <row r="237" spans="1:13" x14ac:dyDescent="0.25">
      <c r="A237" s="2" t="s">
        <v>14</v>
      </c>
      <c r="B237" s="4">
        <v>45993</v>
      </c>
      <c r="C237" s="5">
        <v>0.68059027777777781</v>
      </c>
      <c r="D237" s="9" t="s">
        <v>1063</v>
      </c>
      <c r="E237" s="9" t="s">
        <v>1570</v>
      </c>
      <c r="F237" s="9" t="s">
        <v>58</v>
      </c>
      <c r="H237" s="9"/>
      <c r="I237" s="9" t="s">
        <v>4630</v>
      </c>
      <c r="J237" s="9" t="s">
        <v>2948</v>
      </c>
      <c r="K237" t="s">
        <v>4631</v>
      </c>
      <c r="L237" t="s">
        <v>4632</v>
      </c>
      <c r="M237" s="3" t="str">
        <f>HYPERLINK(склад2въезд13192021222[[#This Row],[RelativePath]])</f>
        <v>9 Ангар пилорама\E33149364_1_20251202T162003Z.jpg</v>
      </c>
    </row>
    <row r="238" spans="1:13" x14ac:dyDescent="0.25">
      <c r="A238" s="2" t="s">
        <v>14</v>
      </c>
      <c r="B238" s="4">
        <v>45993</v>
      </c>
      <c r="C238" s="5">
        <v>0.86738425925925922</v>
      </c>
      <c r="D238" s="9" t="s">
        <v>4</v>
      </c>
      <c r="E238" s="9" t="s">
        <v>9</v>
      </c>
      <c r="F238" s="9"/>
      <c r="H238" s="9"/>
      <c r="I238" s="9" t="s">
        <v>4633</v>
      </c>
      <c r="J238" s="9" t="s">
        <v>2948</v>
      </c>
      <c r="K238" t="s">
        <v>4634</v>
      </c>
      <c r="L238" t="s">
        <v>4635</v>
      </c>
      <c r="M238" s="3" t="str">
        <f>HYPERLINK(склад2въезд13192021222[[#This Row],[RelativePath]])</f>
        <v>9 Ангар пилорама\E33149364_1_20251202T204902Z.jpg</v>
      </c>
    </row>
    <row r="239" spans="1:13" x14ac:dyDescent="0.25">
      <c r="A239" s="2" t="s">
        <v>14</v>
      </c>
      <c r="B239" s="4">
        <v>45993</v>
      </c>
      <c r="C239" s="5">
        <v>0.89799768518518519</v>
      </c>
      <c r="D239" s="9" t="s">
        <v>4</v>
      </c>
      <c r="E239" s="9" t="s">
        <v>9</v>
      </c>
      <c r="F239" s="9"/>
      <c r="H239" s="9" t="s">
        <v>2891</v>
      </c>
      <c r="I239" s="9" t="s">
        <v>4636</v>
      </c>
      <c r="J239" s="9" t="s">
        <v>2948</v>
      </c>
      <c r="K239" t="s">
        <v>4637</v>
      </c>
      <c r="L239" t="s">
        <v>4638</v>
      </c>
      <c r="M239" s="3" t="str">
        <f>HYPERLINK(склад2въезд13192021222[[#This Row],[RelativePath]])</f>
        <v>9 Ангар пилорама\E33149364_1_20251202T213307Z.jpg</v>
      </c>
    </row>
    <row r="240" spans="1:13" x14ac:dyDescent="0.25">
      <c r="A240" s="2" t="s">
        <v>14</v>
      </c>
      <c r="B240" s="4">
        <v>45993</v>
      </c>
      <c r="C240" s="5">
        <v>0.93125000000000002</v>
      </c>
      <c r="D240" s="9" t="s">
        <v>4</v>
      </c>
      <c r="E240" s="9" t="s">
        <v>9</v>
      </c>
      <c r="F240" s="9"/>
      <c r="H240" s="9" t="s">
        <v>2891</v>
      </c>
      <c r="I240" s="9" t="s">
        <v>4639</v>
      </c>
      <c r="J240" s="9" t="s">
        <v>2948</v>
      </c>
      <c r="K240" t="s">
        <v>4640</v>
      </c>
      <c r="L240" t="s">
        <v>4641</v>
      </c>
      <c r="M240" s="3" t="str">
        <f>HYPERLINK(склад2въезд13192021222[[#This Row],[RelativePath]])</f>
        <v>9 Ангар пилорама\E33149364_1_20251202T222100Z.jpg</v>
      </c>
    </row>
    <row r="241" spans="1:13" x14ac:dyDescent="0.25">
      <c r="A241" s="2" t="s">
        <v>14</v>
      </c>
      <c r="B241" s="4">
        <v>45993</v>
      </c>
      <c r="C241" s="5">
        <v>0.95002314814814814</v>
      </c>
      <c r="D241" s="9" t="s">
        <v>4</v>
      </c>
      <c r="E241" s="9" t="s">
        <v>9</v>
      </c>
      <c r="F241" s="9"/>
      <c r="H241" s="9" t="s">
        <v>2891</v>
      </c>
      <c r="I241" s="9" t="s">
        <v>4642</v>
      </c>
      <c r="J241" s="9" t="s">
        <v>2948</v>
      </c>
      <c r="K241" t="s">
        <v>4643</v>
      </c>
      <c r="L241" t="s">
        <v>4644</v>
      </c>
      <c r="M241" s="3" t="str">
        <f>HYPERLINK(склад2въезд13192021222[[#This Row],[RelativePath]])</f>
        <v>9 Ангар пилорама\E33149364_1_20251202T224802Z.jpg</v>
      </c>
    </row>
    <row r="242" spans="1:13" x14ac:dyDescent="0.25">
      <c r="A242" s="2" t="s">
        <v>15</v>
      </c>
      <c r="B242" s="4">
        <v>45994</v>
      </c>
      <c r="C242" s="5">
        <v>0.2439699074074074</v>
      </c>
      <c r="D242" s="9" t="s">
        <v>4</v>
      </c>
      <c r="E242" s="9" t="s">
        <v>9</v>
      </c>
      <c r="F242" s="9"/>
      <c r="H242" s="9" t="s">
        <v>2891</v>
      </c>
      <c r="I242" s="9" t="s">
        <v>4645</v>
      </c>
      <c r="J242" s="9" t="s">
        <v>2948</v>
      </c>
      <c r="K242" t="s">
        <v>4646</v>
      </c>
      <c r="L242" t="s">
        <v>4647</v>
      </c>
      <c r="M242" s="3" t="str">
        <f>HYPERLINK(склад2въезд13192021222[[#This Row],[RelativePath]])</f>
        <v>9 Ангар пилорама\E33149364_1_20251203T055119Z.jpg</v>
      </c>
    </row>
    <row r="243" spans="1:13" x14ac:dyDescent="0.25">
      <c r="A243" s="2" t="s">
        <v>15</v>
      </c>
      <c r="B243" s="4">
        <v>45994</v>
      </c>
      <c r="C243" s="5">
        <v>0.3001388888888889</v>
      </c>
      <c r="D243" s="9" t="s">
        <v>4</v>
      </c>
      <c r="E243" s="9" t="s">
        <v>9</v>
      </c>
      <c r="F243" s="9"/>
      <c r="H243" s="9" t="s">
        <v>2891</v>
      </c>
      <c r="I243" s="9" t="s">
        <v>4648</v>
      </c>
      <c r="J243" s="9" t="s">
        <v>2948</v>
      </c>
      <c r="K243" t="s">
        <v>4649</v>
      </c>
      <c r="L243" t="s">
        <v>4650</v>
      </c>
      <c r="M243" s="3" t="str">
        <f>HYPERLINK(склад2въезд13192021222[[#This Row],[RelativePath]])</f>
        <v>9 Ангар пилорама\E33149364_1_20251203T071212Z.jpg</v>
      </c>
    </row>
    <row r="244" spans="1:13" x14ac:dyDescent="0.25">
      <c r="A244" s="2" t="s">
        <v>15</v>
      </c>
      <c r="B244" s="4">
        <v>45994</v>
      </c>
      <c r="C244" s="5">
        <v>0.38429398148148147</v>
      </c>
      <c r="D244" s="9" t="s">
        <v>1063</v>
      </c>
      <c r="E244" s="9" t="s">
        <v>503</v>
      </c>
      <c r="F244" s="9" t="s">
        <v>2899</v>
      </c>
      <c r="H244" s="9"/>
      <c r="I244" s="9" t="s">
        <v>4651</v>
      </c>
      <c r="J244" s="9" t="s">
        <v>2948</v>
      </c>
      <c r="K244" t="s">
        <v>4652</v>
      </c>
      <c r="L244" t="s">
        <v>4653</v>
      </c>
      <c r="M244" s="3" t="str">
        <f>HYPERLINK(склад2въезд13192021222[[#This Row],[RelativePath]])</f>
        <v>9 Ангар пилорама\E33149364_1_20251203T091323Z.jpg</v>
      </c>
    </row>
    <row r="245" spans="1:13" x14ac:dyDescent="0.25">
      <c r="A245" s="2" t="s">
        <v>15</v>
      </c>
      <c r="B245" s="4">
        <v>45994</v>
      </c>
      <c r="C245" s="5">
        <v>0.48265046296296299</v>
      </c>
      <c r="D245" s="9" t="s">
        <v>4</v>
      </c>
      <c r="E245" s="9" t="s">
        <v>9</v>
      </c>
      <c r="F245" s="9"/>
      <c r="H245" s="9" t="s">
        <v>2891</v>
      </c>
      <c r="I245" s="9" t="s">
        <v>4654</v>
      </c>
      <c r="J245" s="9" t="s">
        <v>2948</v>
      </c>
      <c r="K245" t="s">
        <v>4655</v>
      </c>
      <c r="L245" t="s">
        <v>4656</v>
      </c>
      <c r="M245" s="3" t="str">
        <f>HYPERLINK(склад2въезд13192021222[[#This Row],[RelativePath]])</f>
        <v>9 Ангар пилорама\E33149364_1_20251203T113501Z.jpg</v>
      </c>
    </row>
    <row r="246" spans="1:13" x14ac:dyDescent="0.25">
      <c r="A246" s="2" t="s">
        <v>15</v>
      </c>
      <c r="B246" s="4">
        <v>45994</v>
      </c>
      <c r="C246" s="5">
        <v>0.59920138888888885</v>
      </c>
      <c r="D246" s="9" t="s">
        <v>1063</v>
      </c>
      <c r="E246" s="9" t="s">
        <v>1570</v>
      </c>
      <c r="F246" s="9" t="s">
        <v>58</v>
      </c>
      <c r="H246" s="9"/>
      <c r="I246" s="9" t="s">
        <v>4657</v>
      </c>
      <c r="J246" s="9" t="s">
        <v>2948</v>
      </c>
      <c r="K246" t="s">
        <v>4658</v>
      </c>
      <c r="L246" t="s">
        <v>4659</v>
      </c>
      <c r="M246" s="3" t="str">
        <f>HYPERLINK(склад2въезд13192021222[[#This Row],[RelativePath]])</f>
        <v>9 Ангар пилорама\E33149364_1_20251203T142251Z.jpg</v>
      </c>
    </row>
    <row r="247" spans="1:13" x14ac:dyDescent="0.25">
      <c r="A247" s="2" t="s">
        <v>15</v>
      </c>
      <c r="B247" s="4">
        <v>45994</v>
      </c>
      <c r="C247" s="5">
        <v>0.66181712962962957</v>
      </c>
      <c r="D247" s="9" t="s">
        <v>4</v>
      </c>
      <c r="E247" s="9" t="s">
        <v>9</v>
      </c>
      <c r="F247" s="9"/>
      <c r="H247" s="9" t="s">
        <v>2891</v>
      </c>
      <c r="I247" s="9" t="s">
        <v>4660</v>
      </c>
      <c r="J247" s="9" t="s">
        <v>2948</v>
      </c>
      <c r="K247" t="s">
        <v>4661</v>
      </c>
      <c r="L247" t="s">
        <v>4662</v>
      </c>
      <c r="M247" s="3" t="str">
        <f>HYPERLINK(склад2въезд13192021222[[#This Row],[RelativePath]])</f>
        <v>9 Ангар пилорама\E33149364_1_20251203T155301Z.jpg</v>
      </c>
    </row>
    <row r="248" spans="1:13" x14ac:dyDescent="0.25">
      <c r="A248" s="2" t="s">
        <v>15</v>
      </c>
      <c r="B248" s="4">
        <v>45994</v>
      </c>
      <c r="C248" s="5">
        <v>0.66238425925925926</v>
      </c>
      <c r="D248" s="9" t="s">
        <v>1063</v>
      </c>
      <c r="E248" s="9" t="s">
        <v>1570</v>
      </c>
      <c r="F248" s="9" t="s">
        <v>58</v>
      </c>
      <c r="H248" s="9"/>
      <c r="I248" s="9" t="s">
        <v>4663</v>
      </c>
      <c r="J248" s="9" t="s">
        <v>2948</v>
      </c>
      <c r="K248" t="s">
        <v>4664</v>
      </c>
      <c r="L248" t="s">
        <v>4665</v>
      </c>
      <c r="M248" s="3" t="str">
        <f>HYPERLINK(склад2въезд13192021222[[#This Row],[RelativePath]])</f>
        <v>9 Ангар пилорама\E33149364_1_20251203T155350Z.jpg</v>
      </c>
    </row>
    <row r="249" spans="1:13" x14ac:dyDescent="0.25">
      <c r="A249" s="2" t="s">
        <v>15</v>
      </c>
      <c r="B249" s="4">
        <v>45994</v>
      </c>
      <c r="C249" s="5">
        <v>0.81554398148148144</v>
      </c>
      <c r="D249" s="9" t="s">
        <v>4</v>
      </c>
      <c r="E249" s="9" t="s">
        <v>9</v>
      </c>
      <c r="F249" s="9"/>
      <c r="H249" s="9" t="s">
        <v>2891</v>
      </c>
      <c r="I249" s="9" t="s">
        <v>4666</v>
      </c>
      <c r="J249" s="9" t="s">
        <v>2948</v>
      </c>
      <c r="K249" t="s">
        <v>4667</v>
      </c>
      <c r="L249" t="s">
        <v>4668</v>
      </c>
      <c r="M249" s="3" t="str">
        <f>HYPERLINK(склад2въезд13192021222[[#This Row],[RelativePath]])</f>
        <v>9 Ангар пилорама\E33149364_1_20251203T193423Z.jpg</v>
      </c>
    </row>
    <row r="250" spans="1:13" x14ac:dyDescent="0.25">
      <c r="A250" s="2" t="s">
        <v>15</v>
      </c>
      <c r="B250" s="4">
        <v>45994</v>
      </c>
      <c r="C250" s="5">
        <v>0.84813657407407406</v>
      </c>
      <c r="D250" s="9" t="s">
        <v>4</v>
      </c>
      <c r="E250" s="9" t="s">
        <v>9</v>
      </c>
      <c r="F250" s="9"/>
      <c r="H250" s="9" t="s">
        <v>2891</v>
      </c>
      <c r="I250" s="9" t="s">
        <v>4669</v>
      </c>
      <c r="J250" s="9" t="s">
        <v>2948</v>
      </c>
      <c r="K250" t="s">
        <v>4670</v>
      </c>
      <c r="L250" t="s">
        <v>4671</v>
      </c>
      <c r="M250" s="3" t="str">
        <f>HYPERLINK(склад2въезд13192021222[[#This Row],[RelativePath]])</f>
        <v>9 Ангар пилорама\E33149364_1_20251203T202119Z.jpg</v>
      </c>
    </row>
    <row r="251" spans="1:13" x14ac:dyDescent="0.25">
      <c r="A251" s="2" t="s">
        <v>15</v>
      </c>
      <c r="B251" s="4">
        <v>45994</v>
      </c>
      <c r="C251" s="5">
        <v>0.86496527777777776</v>
      </c>
      <c r="D251" s="9" t="s">
        <v>4</v>
      </c>
      <c r="E251" s="9" t="s">
        <v>9</v>
      </c>
      <c r="F251" s="9"/>
      <c r="H251" s="9" t="s">
        <v>2891</v>
      </c>
      <c r="I251" s="9" t="s">
        <v>4672</v>
      </c>
      <c r="J251" s="9" t="s">
        <v>2948</v>
      </c>
      <c r="K251" t="s">
        <v>4673</v>
      </c>
      <c r="L251" t="s">
        <v>4674</v>
      </c>
      <c r="M251" s="3" t="str">
        <f>HYPERLINK(склад2въезд13192021222[[#This Row],[RelativePath]])</f>
        <v>9 Ангар пилорама\E33149364_1_20251203T204533Z.jpg</v>
      </c>
    </row>
    <row r="252" spans="1:13" x14ac:dyDescent="0.25">
      <c r="A252" s="2" t="s">
        <v>15</v>
      </c>
      <c r="B252" s="4">
        <v>45994</v>
      </c>
      <c r="C252" s="5">
        <v>0.89991898148148153</v>
      </c>
      <c r="D252" s="9" t="s">
        <v>4</v>
      </c>
      <c r="E252" s="9" t="s">
        <v>9</v>
      </c>
      <c r="F252" s="9"/>
      <c r="H252" s="9" t="s">
        <v>2891</v>
      </c>
      <c r="I252" s="9" t="s">
        <v>4675</v>
      </c>
      <c r="J252" s="9" t="s">
        <v>2948</v>
      </c>
      <c r="K252" t="s">
        <v>4676</v>
      </c>
      <c r="L252" t="s">
        <v>4677</v>
      </c>
      <c r="M252" s="3" t="str">
        <f>HYPERLINK(склад2въезд13192021222[[#This Row],[RelativePath]])</f>
        <v>9 Ангар пилорама\E33149364_1_20251203T213553Z.jpg</v>
      </c>
    </row>
    <row r="253" spans="1:13" x14ac:dyDescent="0.25">
      <c r="A253" s="2" t="s">
        <v>15</v>
      </c>
      <c r="B253" s="4">
        <v>45994</v>
      </c>
      <c r="C253" s="5">
        <v>0.96967592592592589</v>
      </c>
      <c r="D253" s="9" t="s">
        <v>4</v>
      </c>
      <c r="E253" s="9" t="s">
        <v>9</v>
      </c>
      <c r="F253" s="9"/>
      <c r="H253" s="9" t="s">
        <v>2891</v>
      </c>
      <c r="I253" s="9" t="s">
        <v>4678</v>
      </c>
      <c r="J253" s="9" t="s">
        <v>2948</v>
      </c>
      <c r="K253" t="s">
        <v>4679</v>
      </c>
      <c r="L253" t="s">
        <v>4680</v>
      </c>
      <c r="M253" s="3" t="str">
        <f>HYPERLINK(склад2въезд13192021222[[#This Row],[RelativePath]])</f>
        <v>9 Ангар пилорама\E33149364_1_20251203T231620Z.jpg</v>
      </c>
    </row>
    <row r="254" spans="1:13" x14ac:dyDescent="0.25">
      <c r="A254" s="2" t="s">
        <v>16</v>
      </c>
      <c r="B254" s="4">
        <v>45995</v>
      </c>
      <c r="C254" s="5">
        <v>0.25947916666666665</v>
      </c>
      <c r="D254" s="9" t="s">
        <v>4</v>
      </c>
      <c r="E254" s="9" t="s">
        <v>9</v>
      </c>
      <c r="F254" s="9"/>
      <c r="H254" s="9" t="s">
        <v>2891</v>
      </c>
      <c r="I254" s="9" t="s">
        <v>4681</v>
      </c>
      <c r="J254" s="9" t="s">
        <v>2948</v>
      </c>
      <c r="K254" t="s">
        <v>4682</v>
      </c>
      <c r="L254" t="s">
        <v>4683</v>
      </c>
      <c r="M254" s="3" t="str">
        <f>HYPERLINK(склад2въезд13192021222[[#This Row],[RelativePath]])</f>
        <v>9 Ангар пилорама\E33149364_1_20251204T061339Z.jpg</v>
      </c>
    </row>
    <row r="255" spans="1:13" x14ac:dyDescent="0.25">
      <c r="A255" s="2" t="s">
        <v>16</v>
      </c>
      <c r="B255" s="4">
        <v>45995</v>
      </c>
      <c r="C255" s="5">
        <v>0.41024305555555557</v>
      </c>
      <c r="D255" s="9" t="s">
        <v>4</v>
      </c>
      <c r="E255" s="9" t="s">
        <v>9</v>
      </c>
      <c r="F255" s="9"/>
      <c r="H255" s="9" t="s">
        <v>2891</v>
      </c>
      <c r="I255" s="9" t="s">
        <v>4684</v>
      </c>
      <c r="J255" s="9" t="s">
        <v>2948</v>
      </c>
      <c r="K255" t="s">
        <v>4685</v>
      </c>
      <c r="L255" t="s">
        <v>4686</v>
      </c>
      <c r="M255" s="3" t="str">
        <f>HYPERLINK(склад2въезд13192021222[[#This Row],[RelativePath]])</f>
        <v>9 Ангар пилорама\E33149364_1_20251204T095045Z.jpg</v>
      </c>
    </row>
    <row r="256" spans="1:13" x14ac:dyDescent="0.25">
      <c r="A256" s="2" t="s">
        <v>16</v>
      </c>
      <c r="B256" s="4">
        <v>45995</v>
      </c>
      <c r="C256" s="5">
        <v>0.51766203703703706</v>
      </c>
      <c r="D256" s="9" t="s">
        <v>4</v>
      </c>
      <c r="E256" s="9" t="s">
        <v>503</v>
      </c>
      <c r="F256" s="9" t="s">
        <v>1071</v>
      </c>
      <c r="H256" s="9" t="s">
        <v>5072</v>
      </c>
      <c r="I256" s="9" t="s">
        <v>4687</v>
      </c>
      <c r="J256" s="9" t="s">
        <v>2948</v>
      </c>
      <c r="K256" t="s">
        <v>4688</v>
      </c>
      <c r="L256" t="s">
        <v>4689</v>
      </c>
      <c r="M256" s="3" t="str">
        <f>HYPERLINK(склад2въезд13192021222[[#This Row],[RelativePath]])</f>
        <v>9 Ангар пилорама\E33149364_1_20251204T122526Z.jpg</v>
      </c>
    </row>
    <row r="257" spans="1:13" x14ac:dyDescent="0.25">
      <c r="A257" s="2" t="s">
        <v>16</v>
      </c>
      <c r="B257" s="4">
        <v>45995</v>
      </c>
      <c r="C257" s="5">
        <v>0.65459490740740744</v>
      </c>
      <c r="D257" s="9" t="s">
        <v>4</v>
      </c>
      <c r="E257" s="9" t="s">
        <v>9</v>
      </c>
      <c r="F257" s="9"/>
      <c r="H257" s="9" t="s">
        <v>2891</v>
      </c>
      <c r="I257" s="9" t="s">
        <v>4690</v>
      </c>
      <c r="J257" s="9" t="s">
        <v>2948</v>
      </c>
      <c r="K257" t="s">
        <v>4691</v>
      </c>
      <c r="L257" t="s">
        <v>4692</v>
      </c>
      <c r="M257" s="3" t="str">
        <f>HYPERLINK(склад2въезд13192021222[[#This Row],[RelativePath]])</f>
        <v>9 Ангар пилорама\E33149364_1_20251204T154237Z.jpg</v>
      </c>
    </row>
    <row r="258" spans="1:13" x14ac:dyDescent="0.25">
      <c r="A258" s="2" t="s">
        <v>16</v>
      </c>
      <c r="B258" s="4">
        <v>45995</v>
      </c>
      <c r="C258" s="5">
        <v>0.66618055555555555</v>
      </c>
      <c r="D258" s="9" t="s">
        <v>1063</v>
      </c>
      <c r="E258" s="9" t="s">
        <v>1570</v>
      </c>
      <c r="F258" s="9" t="s">
        <v>58</v>
      </c>
      <c r="H258" s="9"/>
      <c r="I258" s="9" t="s">
        <v>4693</v>
      </c>
      <c r="J258" s="9" t="s">
        <v>2948</v>
      </c>
      <c r="K258" t="s">
        <v>4694</v>
      </c>
      <c r="L258" t="s">
        <v>4695</v>
      </c>
      <c r="M258" s="3" t="str">
        <f>HYPERLINK(склад2въезд13192021222[[#This Row],[RelativePath]])</f>
        <v>9 Ангар пилорама\E33149364_1_20251204T155918Z.jpg</v>
      </c>
    </row>
    <row r="259" spans="1:13" x14ac:dyDescent="0.25">
      <c r="A259" s="2" t="s">
        <v>16</v>
      </c>
      <c r="B259" s="4">
        <v>45995</v>
      </c>
      <c r="C259" s="5">
        <v>0.68076388888888884</v>
      </c>
      <c r="D259" s="9" t="s">
        <v>4</v>
      </c>
      <c r="E259" s="9" t="s">
        <v>9</v>
      </c>
      <c r="F259" s="9"/>
      <c r="H259" s="9" t="s">
        <v>2891</v>
      </c>
      <c r="I259" s="9" t="s">
        <v>4696</v>
      </c>
      <c r="J259" s="9" t="s">
        <v>2948</v>
      </c>
      <c r="K259" t="s">
        <v>4697</v>
      </c>
      <c r="L259" t="s">
        <v>4698</v>
      </c>
      <c r="M259" s="3" t="str">
        <f>HYPERLINK(склад2въезд13192021222[[#This Row],[RelativePath]])</f>
        <v>9 Ангар пилорама\E33149364_1_20251204T162018Z.jpg</v>
      </c>
    </row>
    <row r="260" spans="1:13" x14ac:dyDescent="0.25">
      <c r="A260" s="2" t="s">
        <v>16</v>
      </c>
      <c r="B260" s="4">
        <v>45995</v>
      </c>
      <c r="C260" s="5">
        <v>0.68359953703703702</v>
      </c>
      <c r="D260" s="9" t="s">
        <v>1063</v>
      </c>
      <c r="E260" s="9" t="s">
        <v>1570</v>
      </c>
      <c r="F260" s="9" t="s">
        <v>58</v>
      </c>
      <c r="H260" s="9"/>
      <c r="I260" s="9" t="s">
        <v>4699</v>
      </c>
      <c r="J260" s="9" t="s">
        <v>2948</v>
      </c>
      <c r="K260" t="s">
        <v>4700</v>
      </c>
      <c r="L260" t="s">
        <v>4701</v>
      </c>
      <c r="M260" s="3" t="str">
        <f>HYPERLINK(склад2въезд13192021222[[#This Row],[RelativePath]])</f>
        <v>9 Ангар пилорама\E33149364_1_20251204T162423Z.jpg</v>
      </c>
    </row>
    <row r="261" spans="1:13" x14ac:dyDescent="0.25">
      <c r="A261" s="2" t="s">
        <v>16</v>
      </c>
      <c r="B261" s="4">
        <v>45995</v>
      </c>
      <c r="C261" s="5">
        <v>0.90062500000000001</v>
      </c>
      <c r="D261" s="9" t="s">
        <v>4</v>
      </c>
      <c r="E261" s="9" t="s">
        <v>9</v>
      </c>
      <c r="F261" s="9"/>
      <c r="H261" s="9" t="s">
        <v>2891</v>
      </c>
      <c r="I261" s="9" t="s">
        <v>4702</v>
      </c>
      <c r="J261" s="9" t="s">
        <v>2948</v>
      </c>
      <c r="K261" t="s">
        <v>4703</v>
      </c>
      <c r="L261" t="s">
        <v>4704</v>
      </c>
      <c r="M261" s="3" t="str">
        <f>HYPERLINK(склад2въезд13192021222[[#This Row],[RelativePath]])</f>
        <v>9 Ангар пилорама\E33149364_1_20251204T213654Z.jpg</v>
      </c>
    </row>
    <row r="262" spans="1:13" x14ac:dyDescent="0.25">
      <c r="A262" s="2" t="s">
        <v>16</v>
      </c>
      <c r="B262" s="4">
        <v>45995</v>
      </c>
      <c r="C262" s="5">
        <v>0.92106481481481484</v>
      </c>
      <c r="D262" s="9" t="s">
        <v>4</v>
      </c>
      <c r="E262" s="9" t="s">
        <v>9</v>
      </c>
      <c r="F262" s="9"/>
      <c r="H262" s="9" t="s">
        <v>2891</v>
      </c>
      <c r="I262" s="9" t="s">
        <v>4705</v>
      </c>
      <c r="J262" s="9" t="s">
        <v>2948</v>
      </c>
      <c r="K262" t="s">
        <v>4706</v>
      </c>
      <c r="L262" t="s">
        <v>4707</v>
      </c>
      <c r="M262" s="3" t="str">
        <f>HYPERLINK(склад2въезд13192021222[[#This Row],[RelativePath]])</f>
        <v>9 Ангар пилорама\E33149364_1_20251204T220620Z.jpg</v>
      </c>
    </row>
    <row r="263" spans="1:13" x14ac:dyDescent="0.25">
      <c r="A263" s="2" t="s">
        <v>17</v>
      </c>
      <c r="B263" s="4">
        <v>45996</v>
      </c>
      <c r="C263" s="5">
        <v>0.28946759259259258</v>
      </c>
      <c r="D263" s="9" t="s">
        <v>4</v>
      </c>
      <c r="E263" s="9" t="s">
        <v>9</v>
      </c>
      <c r="F263" s="9"/>
      <c r="H263" s="9" t="s">
        <v>2891</v>
      </c>
      <c r="I263" s="9" t="s">
        <v>4708</v>
      </c>
      <c r="J263" s="9" t="s">
        <v>2948</v>
      </c>
      <c r="K263" t="s">
        <v>4709</v>
      </c>
      <c r="L263" t="s">
        <v>4710</v>
      </c>
      <c r="M263" s="3" t="str">
        <f>HYPERLINK(склад2въезд13192021222[[#This Row],[RelativePath]])</f>
        <v>9 Ангар пилорама\E33149364_1_20251205T065650Z.jpg</v>
      </c>
    </row>
    <row r="264" spans="1:13" x14ac:dyDescent="0.25">
      <c r="A264" s="2" t="s">
        <v>17</v>
      </c>
      <c r="B264" s="4">
        <v>45996</v>
      </c>
      <c r="C264" s="5">
        <v>0.29925925925925928</v>
      </c>
      <c r="D264" s="9" t="s">
        <v>4</v>
      </c>
      <c r="E264" s="9" t="s">
        <v>9</v>
      </c>
      <c r="F264" s="9"/>
      <c r="H264" s="9" t="s">
        <v>2891</v>
      </c>
      <c r="I264" s="9" t="s">
        <v>4711</v>
      </c>
      <c r="J264" s="9" t="s">
        <v>2948</v>
      </c>
      <c r="K264" t="s">
        <v>4712</v>
      </c>
      <c r="L264" t="s">
        <v>4713</v>
      </c>
      <c r="M264" s="3" t="str">
        <f>HYPERLINK(склад2въезд13192021222[[#This Row],[RelativePath]])</f>
        <v>9 Ангар пилорама\E33149364_1_20251205T071056Z.jpg</v>
      </c>
    </row>
    <row r="265" spans="1:13" x14ac:dyDescent="0.25">
      <c r="A265" s="2" t="s">
        <v>17</v>
      </c>
      <c r="B265" s="4">
        <v>45996</v>
      </c>
      <c r="C265" s="5">
        <v>0.32488425925925923</v>
      </c>
      <c r="D265" s="9" t="s">
        <v>4</v>
      </c>
      <c r="E265" s="9" t="s">
        <v>9</v>
      </c>
      <c r="F265" s="9"/>
      <c r="H265" s="9" t="s">
        <v>2891</v>
      </c>
      <c r="I265" s="9" t="s">
        <v>4714</v>
      </c>
      <c r="J265" s="9" t="s">
        <v>2948</v>
      </c>
      <c r="K265" t="s">
        <v>4715</v>
      </c>
      <c r="L265" t="s">
        <v>4716</v>
      </c>
      <c r="M265" s="3" t="str">
        <f>HYPERLINK(склад2въезд13192021222[[#This Row],[RelativePath]])</f>
        <v>9 Ангар пилорама\E33149364_1_20251205T074750Z.jpg</v>
      </c>
    </row>
    <row r="266" spans="1:13" x14ac:dyDescent="0.25">
      <c r="A266" s="2" t="s">
        <v>17</v>
      </c>
      <c r="B266" s="4">
        <v>45996</v>
      </c>
      <c r="C266" s="5">
        <v>0.39282407407407405</v>
      </c>
      <c r="D266" s="9" t="s">
        <v>1063</v>
      </c>
      <c r="E266" s="9" t="s">
        <v>1570</v>
      </c>
      <c r="F266" s="9" t="s">
        <v>58</v>
      </c>
      <c r="H266" s="9"/>
      <c r="I266" s="9" t="s">
        <v>4717</v>
      </c>
      <c r="J266" s="9" t="s">
        <v>2948</v>
      </c>
      <c r="K266" t="s">
        <v>4718</v>
      </c>
      <c r="L266" t="s">
        <v>4719</v>
      </c>
      <c r="M266" s="3" t="str">
        <f>HYPERLINK(склад2въезд13192021222[[#This Row],[RelativePath]])</f>
        <v>9 Ангар пилорама\E33149364_1_20251205T092540Z.jpg</v>
      </c>
    </row>
    <row r="267" spans="1:13" x14ac:dyDescent="0.25">
      <c r="A267" s="2" t="s">
        <v>17</v>
      </c>
      <c r="B267" s="4">
        <v>45996</v>
      </c>
      <c r="C267" s="5">
        <v>0.39864583333333331</v>
      </c>
      <c r="D267" s="9" t="s">
        <v>4</v>
      </c>
      <c r="E267" s="9" t="s">
        <v>9</v>
      </c>
      <c r="F267" s="9"/>
      <c r="H267" s="9" t="s">
        <v>2891</v>
      </c>
      <c r="I267" s="9" t="s">
        <v>4720</v>
      </c>
      <c r="J267" s="9" t="s">
        <v>2948</v>
      </c>
      <c r="K267" t="s">
        <v>4721</v>
      </c>
      <c r="L267" t="s">
        <v>4722</v>
      </c>
      <c r="M267" s="3" t="str">
        <f>HYPERLINK(склад2въезд13192021222[[#This Row],[RelativePath]])</f>
        <v>9 Ангар пилорама\E33149364_1_20251205T093403Z.jpg</v>
      </c>
    </row>
    <row r="268" spans="1:13" x14ac:dyDescent="0.25">
      <c r="A268" s="2" t="s">
        <v>17</v>
      </c>
      <c r="B268" s="4">
        <v>45996</v>
      </c>
      <c r="C268" s="5">
        <v>0.4754976851851852</v>
      </c>
      <c r="D268" s="9" t="s">
        <v>1063</v>
      </c>
      <c r="E268" s="9" t="s">
        <v>1570</v>
      </c>
      <c r="F268" s="9" t="s">
        <v>58</v>
      </c>
      <c r="H268" s="9"/>
      <c r="I268" s="9" t="s">
        <v>4723</v>
      </c>
      <c r="J268" s="9" t="s">
        <v>2948</v>
      </c>
      <c r="K268" t="s">
        <v>4724</v>
      </c>
      <c r="L268" t="s">
        <v>4725</v>
      </c>
      <c r="M268" s="3" t="str">
        <f>HYPERLINK(склад2въезд13192021222[[#This Row],[RelativePath]])</f>
        <v>9 Ангар пилорама\E33149364_1_20251205T112443Z.jpg</v>
      </c>
    </row>
    <row r="269" spans="1:13" x14ac:dyDescent="0.25">
      <c r="A269" s="2" t="s">
        <v>17</v>
      </c>
      <c r="B269" s="4">
        <v>45996</v>
      </c>
      <c r="C269" s="5">
        <v>0.62062499999999998</v>
      </c>
      <c r="D269" s="9" t="s">
        <v>4</v>
      </c>
      <c r="E269" s="9" t="s">
        <v>9</v>
      </c>
      <c r="F269" s="9"/>
      <c r="H269" s="9" t="s">
        <v>2891</v>
      </c>
      <c r="I269" s="9" t="s">
        <v>4726</v>
      </c>
      <c r="J269" s="9" t="s">
        <v>2948</v>
      </c>
      <c r="K269" t="s">
        <v>4727</v>
      </c>
      <c r="L269" t="s">
        <v>4728</v>
      </c>
      <c r="M269" s="3" t="str">
        <f>HYPERLINK(склад2въезд13192021222[[#This Row],[RelativePath]])</f>
        <v>9 Ангар пилорама\E33149364_1_20251205T145342Z.jpg</v>
      </c>
    </row>
    <row r="270" spans="1:13" x14ac:dyDescent="0.25">
      <c r="A270" s="2" t="s">
        <v>17</v>
      </c>
      <c r="B270" s="4">
        <v>45996</v>
      </c>
      <c r="C270" s="5">
        <v>0.87179398148148146</v>
      </c>
      <c r="D270" s="9" t="s">
        <v>4</v>
      </c>
      <c r="E270" s="9" t="s">
        <v>9</v>
      </c>
      <c r="F270" s="9"/>
      <c r="H270" s="9" t="s">
        <v>2891</v>
      </c>
      <c r="I270" s="9" t="s">
        <v>4729</v>
      </c>
      <c r="J270" s="9" t="s">
        <v>2948</v>
      </c>
      <c r="K270" t="s">
        <v>4730</v>
      </c>
      <c r="L270" t="s">
        <v>4731</v>
      </c>
      <c r="M270" s="3" t="str">
        <f>HYPERLINK(склад2въезд13192021222[[#This Row],[RelativePath]])</f>
        <v>9 Ангар пилорама\E33149364_1_20251205T205523Z.jpg</v>
      </c>
    </row>
    <row r="271" spans="1:13" x14ac:dyDescent="0.25">
      <c r="A271" s="2" t="s">
        <v>17</v>
      </c>
      <c r="B271" s="4">
        <v>45996</v>
      </c>
      <c r="C271" s="5">
        <v>0.89598379629629632</v>
      </c>
      <c r="D271" s="9" t="s">
        <v>4</v>
      </c>
      <c r="E271" s="9" t="s">
        <v>9</v>
      </c>
      <c r="F271" s="9"/>
      <c r="H271" s="9" t="s">
        <v>2891</v>
      </c>
      <c r="I271" s="9" t="s">
        <v>4732</v>
      </c>
      <c r="J271" s="9" t="s">
        <v>2948</v>
      </c>
      <c r="K271" t="s">
        <v>4733</v>
      </c>
      <c r="L271" t="s">
        <v>4734</v>
      </c>
      <c r="M271" s="3" t="str">
        <f>HYPERLINK(склад2въезд13192021222[[#This Row],[RelativePath]])</f>
        <v>9 Ангар пилорама\E33149364_1_20251205T213013Z.jpg</v>
      </c>
    </row>
    <row r="272" spans="1:13" x14ac:dyDescent="0.25">
      <c r="A272" s="2" t="s">
        <v>17</v>
      </c>
      <c r="B272" s="4">
        <v>45996</v>
      </c>
      <c r="C272" s="5">
        <v>0.99971064814814814</v>
      </c>
      <c r="D272" s="9" t="s">
        <v>4</v>
      </c>
      <c r="E272" s="9" t="s">
        <v>9</v>
      </c>
      <c r="F272" s="9"/>
      <c r="H272" s="9" t="s">
        <v>2891</v>
      </c>
      <c r="I272" s="9" t="s">
        <v>4735</v>
      </c>
      <c r="J272" s="9" t="s">
        <v>2948</v>
      </c>
      <c r="K272" t="s">
        <v>4736</v>
      </c>
      <c r="L272" t="s">
        <v>4737</v>
      </c>
      <c r="M272" s="3" t="str">
        <f>HYPERLINK(склад2въезд13192021222[[#This Row],[RelativePath]])</f>
        <v>9 Ангар пилорама\E33149364_1_20251205T235935Z.jpg</v>
      </c>
    </row>
    <row r="273" spans="1:13" x14ac:dyDescent="0.25">
      <c r="A273" s="2" t="s">
        <v>18</v>
      </c>
      <c r="B273" s="4">
        <v>45997</v>
      </c>
      <c r="C273" s="5">
        <v>0.45976851851851852</v>
      </c>
      <c r="D273" s="9" t="s">
        <v>4</v>
      </c>
      <c r="E273" s="9" t="s">
        <v>9</v>
      </c>
      <c r="F273" s="9"/>
      <c r="H273" s="9" t="s">
        <v>2891</v>
      </c>
      <c r="I273" s="9" t="s">
        <v>4738</v>
      </c>
      <c r="J273" s="9" t="s">
        <v>2948</v>
      </c>
      <c r="K273" t="s">
        <v>4739</v>
      </c>
      <c r="L273" t="s">
        <v>4740</v>
      </c>
      <c r="M273" s="3" t="str">
        <f>HYPERLINK(склад2въезд13192021222[[#This Row],[RelativePath]])</f>
        <v>9 Ангар пилорама\E33149364_1_20251206T110204Z.jpg</v>
      </c>
    </row>
    <row r="274" spans="1:13" x14ac:dyDescent="0.25">
      <c r="A274" s="2" t="s">
        <v>18</v>
      </c>
      <c r="B274" s="4">
        <v>45997</v>
      </c>
      <c r="C274" s="5">
        <v>0.640162037037037</v>
      </c>
      <c r="D274" s="9" t="s">
        <v>4</v>
      </c>
      <c r="E274" s="9" t="s">
        <v>9</v>
      </c>
      <c r="F274" s="9"/>
      <c r="H274" s="9" t="s">
        <v>2891</v>
      </c>
      <c r="I274" s="9" t="s">
        <v>4741</v>
      </c>
      <c r="J274" s="9" t="s">
        <v>2948</v>
      </c>
      <c r="K274" t="s">
        <v>4742</v>
      </c>
      <c r="L274" t="s">
        <v>4743</v>
      </c>
      <c r="M274" s="3" t="str">
        <f>HYPERLINK(склад2въезд13192021222[[#This Row],[RelativePath]])</f>
        <v>9 Ангар пилорама\E33149364_1_20251206T152150Z.jpg</v>
      </c>
    </row>
    <row r="275" spans="1:13" x14ac:dyDescent="0.25">
      <c r="A275" s="2" t="s">
        <v>18</v>
      </c>
      <c r="B275" s="4">
        <v>45997</v>
      </c>
      <c r="C275" s="5">
        <v>0.67186342592592596</v>
      </c>
      <c r="D275" s="9" t="s">
        <v>4</v>
      </c>
      <c r="E275" s="9" t="s">
        <v>9</v>
      </c>
      <c r="F275" s="9"/>
      <c r="H275" s="9" t="s">
        <v>2891</v>
      </c>
      <c r="I275" s="9" t="s">
        <v>4744</v>
      </c>
      <c r="J275" s="9" t="s">
        <v>2948</v>
      </c>
      <c r="K275" t="s">
        <v>4745</v>
      </c>
      <c r="L275" t="s">
        <v>4746</v>
      </c>
      <c r="M275" s="3" t="str">
        <f>HYPERLINK(склад2въезд13192021222[[#This Row],[RelativePath]])</f>
        <v>9 Ангар пилорама\E33149364_1_20251206T160729Z.jpg</v>
      </c>
    </row>
    <row r="276" spans="1:13" x14ac:dyDescent="0.25">
      <c r="A276" s="2" t="s">
        <v>18</v>
      </c>
      <c r="B276" s="4">
        <v>45997</v>
      </c>
      <c r="C276" s="5">
        <v>0.69884259259259263</v>
      </c>
      <c r="D276" s="9" t="s">
        <v>4</v>
      </c>
      <c r="E276" s="9" t="s">
        <v>9</v>
      </c>
      <c r="F276" s="9"/>
      <c r="H276" s="9" t="s">
        <v>2891</v>
      </c>
      <c r="I276" s="9" t="s">
        <v>4747</v>
      </c>
      <c r="J276" s="9" t="s">
        <v>2948</v>
      </c>
      <c r="K276" t="s">
        <v>4748</v>
      </c>
      <c r="L276" t="s">
        <v>4749</v>
      </c>
      <c r="M276" s="3" t="str">
        <f>HYPERLINK(склад2въезд13192021222[[#This Row],[RelativePath]])</f>
        <v>9 Ангар пилорама\E33149364_1_20251206T164620Z.jpg</v>
      </c>
    </row>
    <row r="277" spans="1:13" x14ac:dyDescent="0.25">
      <c r="A277" s="2" t="s">
        <v>18</v>
      </c>
      <c r="B277" s="4">
        <v>45997</v>
      </c>
      <c r="C277" s="5">
        <v>0.72089120370370374</v>
      </c>
      <c r="D277" s="9" t="s">
        <v>4</v>
      </c>
      <c r="E277" s="9" t="s">
        <v>9</v>
      </c>
      <c r="F277" s="9"/>
      <c r="H277" s="9" t="s">
        <v>2891</v>
      </c>
      <c r="I277" s="9" t="s">
        <v>4750</v>
      </c>
      <c r="J277" s="9" t="s">
        <v>2948</v>
      </c>
      <c r="K277" t="s">
        <v>4751</v>
      </c>
      <c r="L277" t="s">
        <v>4752</v>
      </c>
      <c r="M277" s="3" t="str">
        <f>HYPERLINK(склад2въезд13192021222[[#This Row],[RelativePath]])</f>
        <v>9 Ангар пилорама\E33149364_1_20251206T171805Z.jpg</v>
      </c>
    </row>
    <row r="278" spans="1:13" x14ac:dyDescent="0.25">
      <c r="A278" s="2" t="s">
        <v>18</v>
      </c>
      <c r="B278" s="4">
        <v>45997</v>
      </c>
      <c r="C278" s="5">
        <v>0.79390046296296302</v>
      </c>
      <c r="D278" s="9" t="s">
        <v>4</v>
      </c>
      <c r="E278" s="9" t="s">
        <v>9</v>
      </c>
      <c r="F278" s="9"/>
      <c r="H278" s="9" t="s">
        <v>2891</v>
      </c>
      <c r="I278" s="9" t="s">
        <v>4753</v>
      </c>
      <c r="J278" s="9" t="s">
        <v>2948</v>
      </c>
      <c r="K278" t="s">
        <v>4754</v>
      </c>
      <c r="L278" t="s">
        <v>4755</v>
      </c>
      <c r="M278" s="3" t="str">
        <f>HYPERLINK(склад2въезд13192021222[[#This Row],[RelativePath]])</f>
        <v>9 Ангар пилорама\E33149364_1_20251206T190313Z.jpg</v>
      </c>
    </row>
    <row r="279" spans="1:13" x14ac:dyDescent="0.25">
      <c r="A279" s="2" t="s">
        <v>18</v>
      </c>
      <c r="B279" s="4">
        <v>45997</v>
      </c>
      <c r="C279" s="5">
        <v>0.81437499999999996</v>
      </c>
      <c r="D279" s="9" t="s">
        <v>4</v>
      </c>
      <c r="E279" s="9" t="s">
        <v>9</v>
      </c>
      <c r="F279" s="9"/>
      <c r="H279" s="9" t="s">
        <v>2891</v>
      </c>
      <c r="I279" s="9" t="s">
        <v>4756</v>
      </c>
      <c r="J279" s="9" t="s">
        <v>2948</v>
      </c>
      <c r="K279" t="s">
        <v>4757</v>
      </c>
      <c r="L279" t="s">
        <v>4758</v>
      </c>
      <c r="M279" s="3" t="str">
        <f>HYPERLINK(склад2въезд13192021222[[#This Row],[RelativePath]])</f>
        <v>9 Ангар пилорама\E33149364_1_20251206T193242Z.jpg</v>
      </c>
    </row>
    <row r="280" spans="1:13" x14ac:dyDescent="0.25">
      <c r="A280" s="2" t="s">
        <v>18</v>
      </c>
      <c r="B280" s="4">
        <v>45997</v>
      </c>
      <c r="C280" s="5">
        <v>0.85775462962962967</v>
      </c>
      <c r="D280" s="9" t="s">
        <v>4</v>
      </c>
      <c r="E280" s="9" t="s">
        <v>9</v>
      </c>
      <c r="F280" s="9"/>
      <c r="H280" s="9" t="s">
        <v>2891</v>
      </c>
      <c r="I280" s="9" t="s">
        <v>4759</v>
      </c>
      <c r="J280" s="9" t="s">
        <v>2948</v>
      </c>
      <c r="K280" t="s">
        <v>4760</v>
      </c>
      <c r="L280" t="s">
        <v>4761</v>
      </c>
      <c r="M280" s="3" t="str">
        <f>HYPERLINK(склад2въезд13192021222[[#This Row],[RelativePath]])</f>
        <v>9 Ангар пилорама\E33149364_1_20251206T203510Z.jpg</v>
      </c>
    </row>
    <row r="281" spans="1:13" x14ac:dyDescent="0.25">
      <c r="A281" s="2" t="s">
        <v>18</v>
      </c>
      <c r="B281" s="4">
        <v>45997</v>
      </c>
      <c r="C281" s="5">
        <v>0.87701388888888887</v>
      </c>
      <c r="D281" s="9" t="s">
        <v>4</v>
      </c>
      <c r="E281" s="9" t="s">
        <v>9</v>
      </c>
      <c r="F281" s="9"/>
      <c r="H281" s="9" t="s">
        <v>2891</v>
      </c>
      <c r="I281" s="9" t="s">
        <v>4762</v>
      </c>
      <c r="J281" s="9" t="s">
        <v>2948</v>
      </c>
      <c r="K281" t="s">
        <v>4763</v>
      </c>
      <c r="L281" t="s">
        <v>4764</v>
      </c>
      <c r="M281" s="3" t="str">
        <f>HYPERLINK(склад2въезд13192021222[[#This Row],[RelativePath]])</f>
        <v>9 Ангар пилорама\E33149364_1_20251206T210254Z.jpg</v>
      </c>
    </row>
    <row r="282" spans="1:13" x14ac:dyDescent="0.25">
      <c r="A282" s="2" t="s">
        <v>22</v>
      </c>
      <c r="B282" s="4">
        <v>45998</v>
      </c>
      <c r="C282" s="5">
        <v>0.40778935185185183</v>
      </c>
      <c r="D282" s="9" t="s">
        <v>4</v>
      </c>
      <c r="E282" s="9" t="s">
        <v>9</v>
      </c>
      <c r="F282" s="9"/>
      <c r="H282" s="9"/>
      <c r="I282" s="9" t="s">
        <v>5165</v>
      </c>
      <c r="J282" s="9" t="s">
        <v>2948</v>
      </c>
      <c r="K282" t="s">
        <v>5166</v>
      </c>
      <c r="L282" t="s">
        <v>5167</v>
      </c>
      <c r="M282" s="3" t="str">
        <f>HYPERLINK(склад2въезд13192021222[[#This Row],[RelativePath]])</f>
        <v>9 Ангар пилорама\E33149364_1_20251207T094713Z.jpg</v>
      </c>
    </row>
    <row r="283" spans="1:13" x14ac:dyDescent="0.25">
      <c r="A283" s="2" t="s">
        <v>22</v>
      </c>
      <c r="B283" s="4">
        <v>45998</v>
      </c>
      <c r="C283" s="5">
        <v>0.61848379629629635</v>
      </c>
      <c r="D283" s="9" t="s">
        <v>4</v>
      </c>
      <c r="E283" s="9" t="s">
        <v>9</v>
      </c>
      <c r="F283" s="9"/>
      <c r="H283" s="9" t="s">
        <v>5197</v>
      </c>
      <c r="I283" s="9" t="s">
        <v>5168</v>
      </c>
      <c r="J283" s="9" t="s">
        <v>2948</v>
      </c>
      <c r="K283" t="s">
        <v>5169</v>
      </c>
      <c r="L283" t="s">
        <v>5170</v>
      </c>
      <c r="M283" s="3" t="str">
        <f>HYPERLINK(склад2въезд13192021222[[#This Row],[RelativePath]])</f>
        <v>9 Ангар пилорама\E33149364_1_20251207T145037Z.jpg</v>
      </c>
    </row>
    <row r="284" spans="1:13" x14ac:dyDescent="0.25">
      <c r="A284" s="2" t="s">
        <v>22</v>
      </c>
      <c r="B284" s="4">
        <v>45998</v>
      </c>
      <c r="C284" s="5">
        <v>0.64888888888888885</v>
      </c>
      <c r="D284" s="9" t="s">
        <v>1987</v>
      </c>
      <c r="E284" s="9" t="s">
        <v>1267</v>
      </c>
      <c r="F284" s="9"/>
      <c r="H284" s="9"/>
      <c r="I284" s="9" t="s">
        <v>5171</v>
      </c>
      <c r="J284" s="9" t="s">
        <v>2948</v>
      </c>
      <c r="K284" t="s">
        <v>5172</v>
      </c>
      <c r="L284" t="s">
        <v>5173</v>
      </c>
      <c r="M284" s="3" t="str">
        <f>HYPERLINK(склад2въезд13192021222[[#This Row],[RelativePath]])</f>
        <v>9 Ангар пилорама\E33149364_1_20251207T153424Z.jpg</v>
      </c>
    </row>
    <row r="285" spans="1:13" x14ac:dyDescent="0.25">
      <c r="A285" s="2" t="s">
        <v>22</v>
      </c>
      <c r="B285" s="4">
        <v>45998</v>
      </c>
      <c r="C285" s="5">
        <v>0.6753703703703704</v>
      </c>
      <c r="D285" s="9" t="s">
        <v>1987</v>
      </c>
      <c r="E285" s="9" t="s">
        <v>1267</v>
      </c>
      <c r="F285" s="9"/>
      <c r="H285" s="9"/>
      <c r="I285" s="9" t="s">
        <v>5174</v>
      </c>
      <c r="J285" s="9" t="s">
        <v>2948</v>
      </c>
      <c r="K285" t="s">
        <v>5175</v>
      </c>
      <c r="L285" t="s">
        <v>5176</v>
      </c>
      <c r="M285" s="3" t="str">
        <f>HYPERLINK(склад2въезд13192021222[[#This Row],[RelativePath]])</f>
        <v>9 Ангар пилорама\E33149364_1_20251207T161232Z.jpg</v>
      </c>
    </row>
    <row r="286" spans="1:13" x14ac:dyDescent="0.25">
      <c r="A286" s="2" t="s">
        <v>22</v>
      </c>
      <c r="B286" s="4">
        <v>45998</v>
      </c>
      <c r="C286" s="5">
        <v>0.72339120370370369</v>
      </c>
      <c r="D286" s="9" t="s">
        <v>4</v>
      </c>
      <c r="E286" s="9" t="s">
        <v>9</v>
      </c>
      <c r="F286" s="9"/>
      <c r="H286" s="9" t="s">
        <v>2891</v>
      </c>
      <c r="I286" s="9" t="s">
        <v>5177</v>
      </c>
      <c r="J286" s="9" t="s">
        <v>2948</v>
      </c>
      <c r="K286" t="s">
        <v>5178</v>
      </c>
      <c r="L286" t="s">
        <v>5179</v>
      </c>
      <c r="M286" s="3" t="str">
        <f>HYPERLINK(склад2въезд13192021222[[#This Row],[RelativePath]])</f>
        <v>9 Ангар пилорама\E33149364_1_20251207T172141Z.jpg</v>
      </c>
    </row>
    <row r="287" spans="1:13" x14ac:dyDescent="0.25">
      <c r="A287" s="2" t="s">
        <v>22</v>
      </c>
      <c r="B287" s="4">
        <v>45998</v>
      </c>
      <c r="C287" s="5">
        <v>0.75164351851851852</v>
      </c>
      <c r="D287" s="9" t="s">
        <v>4</v>
      </c>
      <c r="E287" s="9" t="s">
        <v>9</v>
      </c>
      <c r="F287" s="9"/>
      <c r="H287" s="9" t="s">
        <v>2891</v>
      </c>
      <c r="I287" s="9" t="s">
        <v>5180</v>
      </c>
      <c r="J287" s="9" t="s">
        <v>2948</v>
      </c>
      <c r="K287" t="s">
        <v>5181</v>
      </c>
      <c r="L287" t="s">
        <v>5182</v>
      </c>
      <c r="M287" s="3" t="str">
        <f>HYPERLINK(склад2въезд13192021222[[#This Row],[RelativePath]])</f>
        <v>9 Ангар пилорама\E33149364_1_20251207T180222Z.jpg</v>
      </c>
    </row>
    <row r="288" spans="1:13" x14ac:dyDescent="0.25">
      <c r="A288" s="2" t="s">
        <v>22</v>
      </c>
      <c r="B288" s="4">
        <v>45998</v>
      </c>
      <c r="C288" s="5">
        <v>0.79090277777777773</v>
      </c>
      <c r="D288" s="9" t="s">
        <v>4</v>
      </c>
      <c r="E288" s="9" t="s">
        <v>9</v>
      </c>
      <c r="F288" s="9"/>
      <c r="H288" s="9" t="s">
        <v>2891</v>
      </c>
      <c r="I288" s="9" t="s">
        <v>5183</v>
      </c>
      <c r="J288" s="9" t="s">
        <v>2948</v>
      </c>
      <c r="K288" t="s">
        <v>5184</v>
      </c>
      <c r="L288" t="s">
        <v>5185</v>
      </c>
      <c r="M288" s="3" t="str">
        <f>HYPERLINK(склад2въезд13192021222[[#This Row],[RelativePath]])</f>
        <v>9 Ангар пилорама\E33149364_1_20251207T185854Z.jpg</v>
      </c>
    </row>
    <row r="289" spans="1:13" x14ac:dyDescent="0.25">
      <c r="A289" s="2" t="s">
        <v>22</v>
      </c>
      <c r="B289" s="4">
        <v>45998</v>
      </c>
      <c r="C289" s="5">
        <v>0.86960648148148145</v>
      </c>
      <c r="D289" s="9" t="s">
        <v>4</v>
      </c>
      <c r="E289" s="9" t="s">
        <v>9</v>
      </c>
      <c r="F289" s="9"/>
      <c r="H289" s="9" t="s">
        <v>2891</v>
      </c>
      <c r="I289" s="9" t="s">
        <v>5186</v>
      </c>
      <c r="J289" s="9" t="s">
        <v>2948</v>
      </c>
      <c r="K289" t="s">
        <v>5187</v>
      </c>
      <c r="L289" t="s">
        <v>5188</v>
      </c>
      <c r="M289" s="3" t="str">
        <f>HYPERLINK(склад2въезд13192021222[[#This Row],[RelativePath]])</f>
        <v>9 Ангар пилорама\E33149364_1_20251207T205214Z.jpg</v>
      </c>
    </row>
    <row r="290" spans="1:13" x14ac:dyDescent="0.25">
      <c r="A290" s="2" t="s">
        <v>22</v>
      </c>
      <c r="B290" s="4">
        <v>45998</v>
      </c>
      <c r="C290" s="5">
        <v>0.90892361111111108</v>
      </c>
      <c r="D290" s="9" t="s">
        <v>4</v>
      </c>
      <c r="E290" s="9" t="s">
        <v>9</v>
      </c>
      <c r="F290" s="9"/>
      <c r="H290" s="9" t="s">
        <v>2891</v>
      </c>
      <c r="I290" s="9" t="s">
        <v>5189</v>
      </c>
      <c r="J290" s="9" t="s">
        <v>2948</v>
      </c>
      <c r="K290" t="s">
        <v>5190</v>
      </c>
      <c r="L290" t="s">
        <v>5191</v>
      </c>
      <c r="M290" s="3" t="str">
        <f>HYPERLINK(склад2въезд13192021222[[#This Row],[RelativePath]])</f>
        <v>9 Ангар пилорама\E33149364_1_20251207T214851Z.jpg</v>
      </c>
    </row>
    <row r="291" spans="1:13" x14ac:dyDescent="0.25">
      <c r="A291" s="2" t="s">
        <v>13</v>
      </c>
      <c r="B291" s="4">
        <v>45999</v>
      </c>
      <c r="C291" s="5">
        <v>0.30021990740740739</v>
      </c>
      <c r="D291" s="9" t="s">
        <v>4</v>
      </c>
      <c r="E291" s="9" t="s">
        <v>9</v>
      </c>
      <c r="F291" s="9"/>
      <c r="H291" s="9"/>
      <c r="I291" s="9" t="s">
        <v>5259</v>
      </c>
      <c r="J291" s="9" t="s">
        <v>2948</v>
      </c>
      <c r="K291" t="s">
        <v>5260</v>
      </c>
      <c r="L291" t="s">
        <v>5261</v>
      </c>
      <c r="M291" s="3" t="str">
        <f>HYPERLINK(склад2въезд13192021222[[#This Row],[RelativePath]])</f>
        <v>9 Ангар пилорама\E33149364_1_20251208T071219Z.jpg</v>
      </c>
    </row>
    <row r="292" spans="1:13" x14ac:dyDescent="0.25">
      <c r="A292" s="2" t="s">
        <v>13</v>
      </c>
      <c r="B292" s="4">
        <v>45999</v>
      </c>
      <c r="C292" s="5">
        <v>0.31190972222222224</v>
      </c>
      <c r="D292" s="9" t="s">
        <v>4</v>
      </c>
      <c r="E292" s="9" t="s">
        <v>9</v>
      </c>
      <c r="F292" s="9"/>
      <c r="H292" s="9" t="s">
        <v>2891</v>
      </c>
      <c r="I292" s="9" t="s">
        <v>5262</v>
      </c>
      <c r="J292" s="9" t="s">
        <v>2948</v>
      </c>
      <c r="K292" t="s">
        <v>5263</v>
      </c>
      <c r="L292" t="s">
        <v>5264</v>
      </c>
      <c r="M292" s="3" t="str">
        <f>HYPERLINK(склад2въезд13192021222[[#This Row],[RelativePath]])</f>
        <v>9 Ангар пилорама\E33149364_1_20251208T072909Z.jpg</v>
      </c>
    </row>
    <row r="293" spans="1:13" x14ac:dyDescent="0.25">
      <c r="A293" s="2" t="s">
        <v>13</v>
      </c>
      <c r="B293" s="4">
        <v>45999</v>
      </c>
      <c r="C293" s="5">
        <v>0.32190972222222225</v>
      </c>
      <c r="D293" s="9" t="s">
        <v>4</v>
      </c>
      <c r="E293" s="9" t="s">
        <v>9</v>
      </c>
      <c r="F293" s="9"/>
      <c r="H293" s="9" t="s">
        <v>2891</v>
      </c>
      <c r="I293" s="9" t="s">
        <v>5265</v>
      </c>
      <c r="J293" s="9" t="s">
        <v>2948</v>
      </c>
      <c r="K293" t="s">
        <v>5266</v>
      </c>
      <c r="L293" t="s">
        <v>5267</v>
      </c>
      <c r="M293" s="3" t="str">
        <f>HYPERLINK(склад2въезд13192021222[[#This Row],[RelativePath]])</f>
        <v>9 Ангар пилорама\E33149364_1_20251208T074333Z.jpg</v>
      </c>
    </row>
    <row r="294" spans="1:13" x14ac:dyDescent="0.25">
      <c r="A294" s="2" t="s">
        <v>13</v>
      </c>
      <c r="B294" s="4">
        <v>45999</v>
      </c>
      <c r="C294" s="5">
        <v>0.36814814814814817</v>
      </c>
      <c r="D294" s="9" t="s">
        <v>5070</v>
      </c>
      <c r="E294" s="9"/>
      <c r="F294" s="9"/>
      <c r="H294" s="9"/>
      <c r="I294" s="9" t="s">
        <v>5268</v>
      </c>
      <c r="J294" s="9" t="s">
        <v>2948</v>
      </c>
      <c r="K294" t="s">
        <v>5269</v>
      </c>
      <c r="L294" t="s">
        <v>5270</v>
      </c>
      <c r="M294" s="3" t="str">
        <f>HYPERLINK(склад2въезд13192021222[[#This Row],[RelativePath]])</f>
        <v>9 Ангар пилорама\E33149364_1_20251208T085008Z.jpg</v>
      </c>
    </row>
    <row r="295" spans="1:13" x14ac:dyDescent="0.25">
      <c r="A295" s="2" t="s">
        <v>13</v>
      </c>
      <c r="B295" s="4">
        <v>45999</v>
      </c>
      <c r="C295" s="5">
        <v>0.38108796296296299</v>
      </c>
      <c r="D295" s="9" t="s">
        <v>4</v>
      </c>
      <c r="E295" s="9" t="s">
        <v>53</v>
      </c>
      <c r="F295" s="9"/>
      <c r="H295" s="9"/>
      <c r="I295" s="9" t="s">
        <v>5271</v>
      </c>
      <c r="J295" s="9" t="s">
        <v>2948</v>
      </c>
      <c r="K295" t="s">
        <v>5272</v>
      </c>
      <c r="L295" t="s">
        <v>5273</v>
      </c>
      <c r="M295" s="3" t="str">
        <f>HYPERLINK(склад2въезд13192021222[[#This Row],[RelativePath]])</f>
        <v>9 Ангар пилорама\E33149364_1_20251208T090846Z.jpg</v>
      </c>
    </row>
    <row r="296" spans="1:13" x14ac:dyDescent="0.25">
      <c r="A296" s="2" t="s">
        <v>13</v>
      </c>
      <c r="B296" s="4">
        <v>45999</v>
      </c>
      <c r="C296" s="5">
        <v>0.3870601851851852</v>
      </c>
      <c r="D296" s="9" t="s">
        <v>1063</v>
      </c>
      <c r="E296" s="9" t="s">
        <v>53</v>
      </c>
      <c r="F296" s="9"/>
      <c r="H296" s="9"/>
      <c r="I296" s="9" t="s">
        <v>5274</v>
      </c>
      <c r="J296" s="9" t="s">
        <v>2948</v>
      </c>
      <c r="K296" t="s">
        <v>5275</v>
      </c>
      <c r="L296" t="s">
        <v>5276</v>
      </c>
      <c r="M296" s="3" t="str">
        <f>HYPERLINK(склад2въезд13192021222[[#This Row],[RelativePath]])</f>
        <v>9 Ангар пилорама\E33149364_1_20251208T091722Z.jpg</v>
      </c>
    </row>
    <row r="297" spans="1:13" x14ac:dyDescent="0.25">
      <c r="A297" s="2" t="s">
        <v>13</v>
      </c>
      <c r="B297" s="4">
        <v>45999</v>
      </c>
      <c r="C297" s="5">
        <v>0.39564814814814814</v>
      </c>
      <c r="D297" s="9" t="s">
        <v>1063</v>
      </c>
      <c r="E297" s="9" t="s">
        <v>58</v>
      </c>
      <c r="F297" s="9"/>
      <c r="H297" s="9"/>
      <c r="I297" s="9" t="s">
        <v>5277</v>
      </c>
      <c r="J297" s="9" t="s">
        <v>2948</v>
      </c>
      <c r="K297" t="s">
        <v>5278</v>
      </c>
      <c r="L297" t="s">
        <v>5279</v>
      </c>
      <c r="M297" s="3" t="str">
        <f>HYPERLINK(склад2въезд13192021222[[#This Row],[RelativePath]])</f>
        <v>9 Ангар пилорама\E33149364_1_20251208T092944Z.jpg</v>
      </c>
    </row>
    <row r="298" spans="1:13" x14ac:dyDescent="0.25">
      <c r="A298" s="2" t="s">
        <v>13</v>
      </c>
      <c r="B298" s="4">
        <v>45999</v>
      </c>
      <c r="C298" s="5">
        <v>0.39848379629629632</v>
      </c>
      <c r="D298" s="9" t="s">
        <v>4</v>
      </c>
      <c r="E298" s="9" t="s">
        <v>9</v>
      </c>
      <c r="F298" s="9"/>
      <c r="H298" s="9" t="s">
        <v>2891</v>
      </c>
      <c r="I298" s="9" t="s">
        <v>5280</v>
      </c>
      <c r="J298" s="9" t="s">
        <v>2948</v>
      </c>
      <c r="K298" t="s">
        <v>5281</v>
      </c>
      <c r="L298" t="s">
        <v>5282</v>
      </c>
      <c r="M298" s="3" t="str">
        <f>HYPERLINK(склад2въезд13192021222[[#This Row],[RelativePath]])</f>
        <v>9 Ангар пилорама\E33149364_1_20251208T093349Z.jpg</v>
      </c>
    </row>
    <row r="299" spans="1:13" x14ac:dyDescent="0.25">
      <c r="A299" s="2" t="s">
        <v>13</v>
      </c>
      <c r="B299" s="4">
        <v>45999</v>
      </c>
      <c r="C299" s="5">
        <v>0.40478009259259257</v>
      </c>
      <c r="D299" s="9" t="s">
        <v>4</v>
      </c>
      <c r="E299" s="9" t="s">
        <v>9</v>
      </c>
      <c r="F299" s="9"/>
      <c r="H299" s="9" t="s">
        <v>2891</v>
      </c>
      <c r="I299" s="9" t="s">
        <v>5283</v>
      </c>
      <c r="J299" s="9" t="s">
        <v>2948</v>
      </c>
      <c r="K299" t="s">
        <v>5284</v>
      </c>
      <c r="L299" t="s">
        <v>5285</v>
      </c>
      <c r="M299" s="3" t="str">
        <f>HYPERLINK(склад2въезд13192021222[[#This Row],[RelativePath]])</f>
        <v>9 Ангар пилорама\E33149364_1_20251208T094253Z.jpg</v>
      </c>
    </row>
    <row r="300" spans="1:13" x14ac:dyDescent="0.25">
      <c r="A300" s="2" t="s">
        <v>13</v>
      </c>
      <c r="B300" s="4">
        <v>45999</v>
      </c>
      <c r="C300" s="5">
        <v>0.41697916666666668</v>
      </c>
      <c r="D300" s="9" t="s">
        <v>4</v>
      </c>
      <c r="E300" s="9" t="s">
        <v>9</v>
      </c>
      <c r="F300" s="9"/>
      <c r="H300" s="9" t="s">
        <v>2891</v>
      </c>
      <c r="I300" s="9" t="s">
        <v>5286</v>
      </c>
      <c r="J300" s="9" t="s">
        <v>2948</v>
      </c>
      <c r="K300" t="s">
        <v>5287</v>
      </c>
      <c r="L300" t="s">
        <v>5288</v>
      </c>
      <c r="M300" s="3" t="str">
        <f>HYPERLINK(склад2въезд13192021222[[#This Row],[RelativePath]])</f>
        <v>9 Ангар пилорама\E33149364_1_20251208T100027Z.jpg</v>
      </c>
    </row>
    <row r="301" spans="1:13" x14ac:dyDescent="0.25">
      <c r="A301" s="2" t="s">
        <v>13</v>
      </c>
      <c r="B301" s="4">
        <v>45999</v>
      </c>
      <c r="C301" s="5">
        <v>0.41915509259259259</v>
      </c>
      <c r="D301" s="9" t="s">
        <v>5407</v>
      </c>
      <c r="E301" s="9" t="s">
        <v>86</v>
      </c>
      <c r="F301" s="9" t="s">
        <v>58</v>
      </c>
      <c r="H301" s="9"/>
      <c r="I301" s="9" t="s">
        <v>5289</v>
      </c>
      <c r="J301" s="9" t="s">
        <v>2948</v>
      </c>
      <c r="K301" t="s">
        <v>5290</v>
      </c>
      <c r="L301" t="s">
        <v>5291</v>
      </c>
      <c r="M301" s="3" t="str">
        <f>HYPERLINK(склад2въезд13192021222[[#This Row],[RelativePath]])</f>
        <v>9 Ангар пилорама\E33149364_1_20251208T100335Z.jpg</v>
      </c>
    </row>
    <row r="302" spans="1:13" x14ac:dyDescent="0.25">
      <c r="A302" s="2" t="s">
        <v>13</v>
      </c>
      <c r="B302" s="4">
        <v>45999</v>
      </c>
      <c r="C302" s="5">
        <v>0.42311342592592593</v>
      </c>
      <c r="D302" s="9" t="s">
        <v>5407</v>
      </c>
      <c r="E302" s="9" t="s">
        <v>86</v>
      </c>
      <c r="F302" s="9" t="s">
        <v>58</v>
      </c>
      <c r="H302" s="9"/>
      <c r="I302" s="9" t="s">
        <v>5292</v>
      </c>
      <c r="J302" s="9" t="s">
        <v>2948</v>
      </c>
      <c r="K302" t="s">
        <v>5293</v>
      </c>
      <c r="L302" t="s">
        <v>5294</v>
      </c>
      <c r="M302" s="3" t="str">
        <f>HYPERLINK(склад2въезд13192021222[[#This Row],[RelativePath]])</f>
        <v>9 Ангар пилорама\E33149364_1_20251208T100917Z.jpg</v>
      </c>
    </row>
    <row r="303" spans="1:13" x14ac:dyDescent="0.25">
      <c r="A303" s="2" t="s">
        <v>13</v>
      </c>
      <c r="B303" s="4">
        <v>45999</v>
      </c>
      <c r="C303" s="5">
        <v>0.4281712962962963</v>
      </c>
      <c r="D303" s="9" t="s">
        <v>4</v>
      </c>
      <c r="E303" s="9" t="s">
        <v>5408</v>
      </c>
      <c r="F303" s="9"/>
      <c r="H303" s="9"/>
      <c r="I303" s="9" t="s">
        <v>5295</v>
      </c>
      <c r="J303" s="9" t="s">
        <v>2948</v>
      </c>
      <c r="K303" t="s">
        <v>5296</v>
      </c>
      <c r="L303" t="s">
        <v>5297</v>
      </c>
      <c r="M303" s="3" t="str">
        <f>HYPERLINK(склад2въезд13192021222[[#This Row],[RelativePath]])</f>
        <v>9 Ангар пилорама\E33149364_1_20251208T101634Z.jpg</v>
      </c>
    </row>
    <row r="304" spans="1:13" x14ac:dyDescent="0.25">
      <c r="A304" s="2" t="s">
        <v>13</v>
      </c>
      <c r="B304" s="4">
        <v>45999</v>
      </c>
      <c r="C304" s="5">
        <v>0.44516203703703705</v>
      </c>
      <c r="D304" s="9" t="s">
        <v>4</v>
      </c>
      <c r="E304" s="9" t="s">
        <v>9</v>
      </c>
      <c r="F304" s="9"/>
      <c r="H304" s="9"/>
      <c r="I304" s="9" t="s">
        <v>5298</v>
      </c>
      <c r="J304" s="9" t="s">
        <v>2948</v>
      </c>
      <c r="K304" t="s">
        <v>5299</v>
      </c>
      <c r="L304" t="s">
        <v>5300</v>
      </c>
      <c r="M304" s="3" t="str">
        <f>HYPERLINK(склад2въезд13192021222[[#This Row],[RelativePath]])</f>
        <v>9 Ангар пилорама\E33149364_1_20251208T104102Z.jpg</v>
      </c>
    </row>
    <row r="305" spans="1:13" x14ac:dyDescent="0.25">
      <c r="A305" s="2" t="s">
        <v>13</v>
      </c>
      <c r="B305" s="4">
        <v>45999</v>
      </c>
      <c r="C305" s="5">
        <v>0.45057870370370373</v>
      </c>
      <c r="D305" s="9" t="s">
        <v>4</v>
      </c>
      <c r="E305" s="9" t="s">
        <v>9</v>
      </c>
      <c r="F305" s="9"/>
      <c r="H305" s="9" t="s">
        <v>2891</v>
      </c>
      <c r="I305" s="9" t="s">
        <v>5301</v>
      </c>
      <c r="J305" s="9" t="s">
        <v>2948</v>
      </c>
      <c r="K305" t="s">
        <v>5302</v>
      </c>
      <c r="L305" t="s">
        <v>5303</v>
      </c>
      <c r="M305" s="3" t="str">
        <f>HYPERLINK(склад2въезд13192021222[[#This Row],[RelativePath]])</f>
        <v>9 Ангар пилорама\E33149364_1_20251208T104850Z.jpg</v>
      </c>
    </row>
    <row r="306" spans="1:13" x14ac:dyDescent="0.25">
      <c r="A306" s="2" t="s">
        <v>13</v>
      </c>
      <c r="B306" s="4">
        <v>45999</v>
      </c>
      <c r="C306" s="5">
        <v>0.46060185185185187</v>
      </c>
      <c r="D306" s="9" t="s">
        <v>4</v>
      </c>
      <c r="E306" s="9" t="s">
        <v>9</v>
      </c>
      <c r="F306" s="9"/>
      <c r="H306" s="9" t="s">
        <v>2891</v>
      </c>
      <c r="I306" s="9" t="s">
        <v>5304</v>
      </c>
      <c r="J306" s="9" t="s">
        <v>2948</v>
      </c>
      <c r="K306" t="s">
        <v>5305</v>
      </c>
      <c r="L306" t="s">
        <v>5306</v>
      </c>
      <c r="M306" s="3" t="str">
        <f>HYPERLINK(склад2въезд13192021222[[#This Row],[RelativePath]])</f>
        <v>9 Ангар пилорама\E33149364_1_20251208T110316Z.jpg</v>
      </c>
    </row>
    <row r="307" spans="1:13" x14ac:dyDescent="0.25">
      <c r="A307" s="2" t="s">
        <v>13</v>
      </c>
      <c r="B307" s="4">
        <v>45999</v>
      </c>
      <c r="C307" s="5">
        <v>0.46185185185185185</v>
      </c>
      <c r="D307" s="9" t="s">
        <v>5407</v>
      </c>
      <c r="E307" s="9" t="s">
        <v>86</v>
      </c>
      <c r="F307" s="9" t="s">
        <v>58</v>
      </c>
      <c r="H307" s="9"/>
      <c r="I307" s="9" t="s">
        <v>5307</v>
      </c>
      <c r="J307" s="9" t="s">
        <v>2948</v>
      </c>
      <c r="K307" t="s">
        <v>5308</v>
      </c>
      <c r="L307" t="s">
        <v>5309</v>
      </c>
      <c r="M307" s="3" t="str">
        <f>HYPERLINK(склад2въезд13192021222[[#This Row],[RelativePath]])</f>
        <v>9 Ангар пилорама\E33149364_1_20251208T110504Z.jpg</v>
      </c>
    </row>
    <row r="308" spans="1:13" x14ac:dyDescent="0.25">
      <c r="A308" s="2" t="s">
        <v>13</v>
      </c>
      <c r="B308" s="4">
        <v>45999</v>
      </c>
      <c r="C308" s="5">
        <v>0.58391203703703709</v>
      </c>
      <c r="D308" s="9" t="s">
        <v>4</v>
      </c>
      <c r="E308" s="9" t="s">
        <v>9</v>
      </c>
      <c r="F308" s="9"/>
      <c r="H308" s="9"/>
      <c r="I308" s="9" t="s">
        <v>5310</v>
      </c>
      <c r="J308" s="9" t="s">
        <v>2948</v>
      </c>
      <c r="K308" t="s">
        <v>5311</v>
      </c>
      <c r="L308" t="s">
        <v>5312</v>
      </c>
      <c r="M308" s="3" t="str">
        <f>HYPERLINK(склад2въезд13192021222[[#This Row],[RelativePath]])</f>
        <v>9 Ангар пилорама\E33149364_1_20251208T140050Z.jpg</v>
      </c>
    </row>
    <row r="309" spans="1:13" x14ac:dyDescent="0.25">
      <c r="A309" s="2" t="s">
        <v>13</v>
      </c>
      <c r="B309" s="4">
        <v>45999</v>
      </c>
      <c r="C309" s="5">
        <v>0.92942129629629633</v>
      </c>
      <c r="D309" s="9" t="s">
        <v>4</v>
      </c>
      <c r="E309" s="9" t="s">
        <v>9</v>
      </c>
      <c r="F309" s="9"/>
      <c r="H309" s="9"/>
      <c r="I309" s="9" t="s">
        <v>5313</v>
      </c>
      <c r="J309" s="9" t="s">
        <v>2948</v>
      </c>
      <c r="K309" t="s">
        <v>5314</v>
      </c>
      <c r="L309" t="s">
        <v>5315</v>
      </c>
      <c r="M309" s="3" t="str">
        <f>HYPERLINK(склад2въезд13192021222[[#This Row],[RelativePath]])</f>
        <v>9 Ангар пилорама\E33149364_1_20251208T221822Z.jpg</v>
      </c>
    </row>
    <row r="310" spans="1:13" x14ac:dyDescent="0.25">
      <c r="A310" s="2" t="s">
        <v>14</v>
      </c>
      <c r="B310" s="4">
        <v>46000</v>
      </c>
      <c r="C310" s="5">
        <v>0.52533564814814815</v>
      </c>
      <c r="D310" s="9" t="s">
        <v>4</v>
      </c>
      <c r="E310" s="9" t="s">
        <v>9</v>
      </c>
      <c r="F310" s="9"/>
      <c r="H310" s="9"/>
      <c r="I310" s="9" t="s">
        <v>5488</v>
      </c>
      <c r="J310" s="9" t="s">
        <v>2948</v>
      </c>
      <c r="K310" t="s">
        <v>5489</v>
      </c>
      <c r="L310" t="s">
        <v>5490</v>
      </c>
      <c r="M310" s="3" t="str">
        <f>HYPERLINK(склад2въезд13192021222[[#This Row],[RelativePath]])</f>
        <v>9 Ангар пилорама\E33149364_1_20251209T123629Z.jpg</v>
      </c>
    </row>
    <row r="311" spans="1:13" x14ac:dyDescent="0.25">
      <c r="A311" s="2" t="s">
        <v>14</v>
      </c>
      <c r="B311" s="4">
        <v>46000</v>
      </c>
      <c r="C311" s="5">
        <v>0.62208333333333332</v>
      </c>
      <c r="D311" s="9" t="s">
        <v>4</v>
      </c>
      <c r="E311" s="9" t="s">
        <v>86</v>
      </c>
      <c r="F311" s="9" t="s">
        <v>500</v>
      </c>
      <c r="H311" s="9" t="s">
        <v>6098</v>
      </c>
      <c r="I311" s="9" t="s">
        <v>5491</v>
      </c>
      <c r="J311" s="9" t="s">
        <v>2948</v>
      </c>
      <c r="K311" t="s">
        <v>5492</v>
      </c>
      <c r="L311" t="s">
        <v>5493</v>
      </c>
      <c r="M311" s="3" t="str">
        <f>HYPERLINK(склад2въезд13192021222[[#This Row],[RelativePath]])</f>
        <v>9 Ангар пилорама\E33149364_1_20251209T145548Z.jpg</v>
      </c>
    </row>
    <row r="312" spans="1:13" x14ac:dyDescent="0.25">
      <c r="A312" s="2" t="s">
        <v>14</v>
      </c>
      <c r="B312" s="4">
        <v>46000</v>
      </c>
      <c r="C312" s="5">
        <v>0.62842592592592594</v>
      </c>
      <c r="D312" s="9" t="s">
        <v>4</v>
      </c>
      <c r="E312" s="9" t="s">
        <v>9</v>
      </c>
      <c r="F312" s="9"/>
      <c r="H312" s="9" t="s">
        <v>2891</v>
      </c>
      <c r="I312" s="9" t="s">
        <v>5494</v>
      </c>
      <c r="J312" s="9" t="s">
        <v>2948</v>
      </c>
      <c r="K312" t="s">
        <v>5495</v>
      </c>
      <c r="L312" t="s">
        <v>5496</v>
      </c>
      <c r="M312" s="3" t="str">
        <f>HYPERLINK(склад2въезд13192021222[[#This Row],[RelativePath]])</f>
        <v>9 Ангар пилорама\E33149364_1_20251209T150456Z.jpg</v>
      </c>
    </row>
    <row r="313" spans="1:13" x14ac:dyDescent="0.25">
      <c r="A313" s="2" t="s">
        <v>14</v>
      </c>
      <c r="B313" s="4">
        <v>46000</v>
      </c>
      <c r="C313" s="5">
        <v>0.65432870370370366</v>
      </c>
      <c r="D313" s="9" t="s">
        <v>4</v>
      </c>
      <c r="E313" s="9" t="s">
        <v>9</v>
      </c>
      <c r="F313" s="9"/>
      <c r="H313" s="9" t="s">
        <v>2891</v>
      </c>
      <c r="I313" s="9" t="s">
        <v>5497</v>
      </c>
      <c r="J313" s="9" t="s">
        <v>2948</v>
      </c>
      <c r="K313" t="s">
        <v>5498</v>
      </c>
      <c r="L313" t="s">
        <v>5499</v>
      </c>
      <c r="M313" s="3" t="str">
        <f>HYPERLINK(склад2въезд13192021222[[#This Row],[RelativePath]])</f>
        <v>9 Ангар пилорама\E33149364_1_20251209T154214Z.jpg</v>
      </c>
    </row>
    <row r="314" spans="1:13" x14ac:dyDescent="0.25">
      <c r="A314" s="2" t="s">
        <v>14</v>
      </c>
      <c r="B314" s="4">
        <v>46000</v>
      </c>
      <c r="C314" s="5">
        <v>0.67598379629629635</v>
      </c>
      <c r="D314" s="9" t="s">
        <v>4</v>
      </c>
      <c r="E314" s="9" t="s">
        <v>9</v>
      </c>
      <c r="F314" s="9"/>
      <c r="H314" s="9" t="s">
        <v>2891</v>
      </c>
      <c r="I314" s="9" t="s">
        <v>5500</v>
      </c>
      <c r="J314" s="9" t="s">
        <v>2948</v>
      </c>
      <c r="K314" t="s">
        <v>5501</v>
      </c>
      <c r="L314" t="s">
        <v>5502</v>
      </c>
      <c r="M314" s="3" t="str">
        <f>HYPERLINK(склад2въезд13192021222[[#This Row],[RelativePath]])</f>
        <v>9 Ангар пилорама\E33149364_1_20251209T161325Z.jpg</v>
      </c>
    </row>
    <row r="315" spans="1:13" x14ac:dyDescent="0.25">
      <c r="A315" s="2" t="s">
        <v>14</v>
      </c>
      <c r="B315" s="4">
        <v>46000</v>
      </c>
      <c r="C315" s="5">
        <v>0.68395833333333333</v>
      </c>
      <c r="D315" s="9" t="s">
        <v>4</v>
      </c>
      <c r="E315" s="9" t="s">
        <v>9</v>
      </c>
      <c r="F315" s="9"/>
      <c r="H315" s="9" t="s">
        <v>2891</v>
      </c>
      <c r="I315" s="9" t="s">
        <v>5503</v>
      </c>
      <c r="J315" s="9" t="s">
        <v>2948</v>
      </c>
      <c r="K315" t="s">
        <v>5504</v>
      </c>
      <c r="L315" t="s">
        <v>5505</v>
      </c>
      <c r="M315" s="3" t="str">
        <f>HYPERLINK(склад2въезд13192021222[[#This Row],[RelativePath]])</f>
        <v>9 Ангар пилорама\E33149364_1_20251209T162454Z.jpg</v>
      </c>
    </row>
    <row r="316" spans="1:13" x14ac:dyDescent="0.25">
      <c r="A316" s="2" t="s">
        <v>14</v>
      </c>
      <c r="B316" s="4">
        <v>46000</v>
      </c>
      <c r="C316" s="5">
        <v>0.84094907407407404</v>
      </c>
      <c r="D316" s="9" t="s">
        <v>4</v>
      </c>
      <c r="E316" s="9" t="s">
        <v>9</v>
      </c>
      <c r="F316" s="9"/>
      <c r="H316" s="9" t="s">
        <v>2891</v>
      </c>
      <c r="I316" s="9" t="s">
        <v>5506</v>
      </c>
      <c r="J316" s="9" t="s">
        <v>2948</v>
      </c>
      <c r="K316" t="s">
        <v>5507</v>
      </c>
      <c r="L316" t="s">
        <v>5508</v>
      </c>
      <c r="M316" s="3" t="str">
        <f>HYPERLINK(склад2въезд13192021222[[#This Row],[RelativePath]])</f>
        <v>9 Ангар пилорама\E33149364_1_20251209T201058Z.jpg</v>
      </c>
    </row>
    <row r="317" spans="1:13" x14ac:dyDescent="0.25">
      <c r="A317" s="2" t="s">
        <v>14</v>
      </c>
      <c r="B317" s="4">
        <v>46000</v>
      </c>
      <c r="C317" s="5">
        <v>0.94755787037037043</v>
      </c>
      <c r="D317" s="9" t="s">
        <v>4</v>
      </c>
      <c r="E317" s="9" t="s">
        <v>9</v>
      </c>
      <c r="F317" s="9"/>
      <c r="H317" s="9" t="s">
        <v>2891</v>
      </c>
      <c r="I317" s="9" t="s">
        <v>5509</v>
      </c>
      <c r="J317" s="9" t="s">
        <v>2948</v>
      </c>
      <c r="K317" t="s">
        <v>5510</v>
      </c>
      <c r="L317" t="s">
        <v>5511</v>
      </c>
      <c r="M317" s="3" t="str">
        <f>HYPERLINK(склад2въезд13192021222[[#This Row],[RelativePath]])</f>
        <v>9 Ангар пилорама\E33149364_1_20251209T224429Z.jpg</v>
      </c>
    </row>
    <row r="318" spans="1:13" x14ac:dyDescent="0.25">
      <c r="A318" s="2" t="s">
        <v>14</v>
      </c>
      <c r="B318" s="4">
        <v>46000</v>
      </c>
      <c r="C318" s="5">
        <v>0.97392361111111114</v>
      </c>
      <c r="D318" s="9" t="s">
        <v>4</v>
      </c>
      <c r="E318" s="9" t="s">
        <v>9</v>
      </c>
      <c r="F318" s="9"/>
      <c r="H318" s="9" t="s">
        <v>2891</v>
      </c>
      <c r="I318" s="9" t="s">
        <v>5512</v>
      </c>
      <c r="J318" s="9" t="s">
        <v>2948</v>
      </c>
      <c r="K318" t="s">
        <v>5513</v>
      </c>
      <c r="L318" t="s">
        <v>5514</v>
      </c>
      <c r="M318" s="3" t="str">
        <f>HYPERLINK(склад2въезд13192021222[[#This Row],[RelativePath]])</f>
        <v>9 Ангар пилорама\E33149364_1_20251209T232227Z.jpg</v>
      </c>
    </row>
    <row r="319" spans="1:13" x14ac:dyDescent="0.25">
      <c r="A319" s="2" t="s">
        <v>15</v>
      </c>
      <c r="B319" s="4">
        <v>46001</v>
      </c>
      <c r="C319" s="5">
        <v>0.35613425925925923</v>
      </c>
      <c r="D319" s="9" t="s">
        <v>4</v>
      </c>
      <c r="E319" s="9" t="s">
        <v>9</v>
      </c>
      <c r="F319" s="9"/>
      <c r="H319" s="9" t="s">
        <v>2891</v>
      </c>
      <c r="I319" s="9" t="s">
        <v>5515</v>
      </c>
      <c r="J319" s="9" t="s">
        <v>2948</v>
      </c>
      <c r="K319" t="s">
        <v>5516</v>
      </c>
      <c r="L319" t="s">
        <v>5517</v>
      </c>
      <c r="M319" s="3" t="str">
        <f>HYPERLINK(склад2въезд13192021222[[#This Row],[RelativePath]])</f>
        <v>9 Ангар пилорама\E33149364_1_20251210T083250Z.jpg</v>
      </c>
    </row>
    <row r="320" spans="1:13" x14ac:dyDescent="0.25">
      <c r="A320" s="2" t="s">
        <v>15</v>
      </c>
      <c r="B320" s="4">
        <v>46001</v>
      </c>
      <c r="C320" s="5">
        <v>0.41414351851851849</v>
      </c>
      <c r="D320" s="9" t="s">
        <v>4</v>
      </c>
      <c r="E320" s="9" t="s">
        <v>9</v>
      </c>
      <c r="F320" s="9"/>
      <c r="H320" s="9" t="s">
        <v>2891</v>
      </c>
      <c r="I320" s="9" t="s">
        <v>5518</v>
      </c>
      <c r="J320" s="9" t="s">
        <v>2948</v>
      </c>
      <c r="K320" t="s">
        <v>5519</v>
      </c>
      <c r="L320" t="s">
        <v>5520</v>
      </c>
      <c r="M320" s="3" t="str">
        <f>HYPERLINK(склад2въезд13192021222[[#This Row],[RelativePath]])</f>
        <v>9 Ангар пилорама\E33149364_1_20251210T095622Z.jpg</v>
      </c>
    </row>
    <row r="321" spans="1:13" x14ac:dyDescent="0.25">
      <c r="A321" s="2" t="s">
        <v>15</v>
      </c>
      <c r="B321" s="4">
        <v>46001</v>
      </c>
      <c r="C321" s="5">
        <v>0.45811342592592591</v>
      </c>
      <c r="D321" s="9" t="s">
        <v>6099</v>
      </c>
      <c r="E321" s="9"/>
      <c r="F321" s="9"/>
      <c r="H321" s="9"/>
      <c r="I321" s="9" t="s">
        <v>5521</v>
      </c>
      <c r="J321" s="9" t="s">
        <v>2948</v>
      </c>
      <c r="K321" t="s">
        <v>5522</v>
      </c>
      <c r="L321" t="s">
        <v>5523</v>
      </c>
      <c r="M321" s="3" t="str">
        <f>HYPERLINK(склад2въезд13192021222[[#This Row],[RelativePath]])</f>
        <v>9 Ангар пилорама\E33149364_1_20251210T105941Z.jpg</v>
      </c>
    </row>
    <row r="322" spans="1:13" x14ac:dyDescent="0.25">
      <c r="A322" s="2" t="s">
        <v>15</v>
      </c>
      <c r="B322" s="4">
        <v>46001</v>
      </c>
      <c r="C322" s="5">
        <v>0.46269675925925924</v>
      </c>
      <c r="D322" s="9" t="s">
        <v>1063</v>
      </c>
      <c r="E322" s="9" t="s">
        <v>503</v>
      </c>
      <c r="F322" s="9" t="s">
        <v>6100</v>
      </c>
      <c r="H322" s="9"/>
      <c r="I322" s="9" t="s">
        <v>5524</v>
      </c>
      <c r="J322" s="9" t="s">
        <v>2948</v>
      </c>
      <c r="K322" t="s">
        <v>5525</v>
      </c>
      <c r="L322" t="s">
        <v>5526</v>
      </c>
      <c r="M322" s="3" t="str">
        <f>HYPERLINK(склад2въезд13192021222[[#This Row],[RelativePath]])</f>
        <v>9 Ангар пилорама\E33149364_1_20251210T110617Z.jpg</v>
      </c>
    </row>
    <row r="323" spans="1:13" x14ac:dyDescent="0.25">
      <c r="A323" s="2" t="s">
        <v>15</v>
      </c>
      <c r="B323" s="4">
        <v>46001</v>
      </c>
      <c r="C323" s="5">
        <v>0.49589120370370371</v>
      </c>
      <c r="D323" s="9" t="s">
        <v>4</v>
      </c>
      <c r="E323" s="9" t="s">
        <v>9</v>
      </c>
      <c r="F323" s="9"/>
      <c r="H323" s="9"/>
      <c r="I323" s="9" t="s">
        <v>5527</v>
      </c>
      <c r="J323" s="9" t="s">
        <v>2948</v>
      </c>
      <c r="K323" t="s">
        <v>5528</v>
      </c>
      <c r="L323" t="s">
        <v>5529</v>
      </c>
      <c r="M323" s="3" t="str">
        <f>HYPERLINK(склад2въезд13192021222[[#This Row],[RelativePath]])</f>
        <v>9 Ангар пилорама\E33149364_1_20251210T115405Z.jpg</v>
      </c>
    </row>
    <row r="324" spans="1:13" x14ac:dyDescent="0.25">
      <c r="A324" s="2" t="s">
        <v>15</v>
      </c>
      <c r="B324" s="4">
        <v>46001</v>
      </c>
      <c r="C324" s="5">
        <v>0.50521990740740741</v>
      </c>
      <c r="D324" s="9" t="s">
        <v>4</v>
      </c>
      <c r="E324" s="9" t="s">
        <v>9</v>
      </c>
      <c r="F324" s="9"/>
      <c r="H324" s="9"/>
      <c r="I324" s="9" t="s">
        <v>5530</v>
      </c>
      <c r="J324" s="9" t="s">
        <v>2948</v>
      </c>
      <c r="K324" t="s">
        <v>5531</v>
      </c>
      <c r="L324" t="s">
        <v>5532</v>
      </c>
      <c r="M324" s="3" t="str">
        <f>HYPERLINK(склад2въезд13192021222[[#This Row],[RelativePath]])</f>
        <v>9 Ангар пилорама\E33149364_1_20251210T120731Z.jpg</v>
      </c>
    </row>
    <row r="325" spans="1:13" x14ac:dyDescent="0.25">
      <c r="A325" s="2" t="s">
        <v>15</v>
      </c>
      <c r="B325" s="4">
        <v>46001</v>
      </c>
      <c r="C325" s="5">
        <v>0.5220717592592593</v>
      </c>
      <c r="D325" s="9" t="s">
        <v>4</v>
      </c>
      <c r="E325" s="9" t="s">
        <v>9</v>
      </c>
      <c r="F325" s="9"/>
      <c r="H325" s="9"/>
      <c r="I325" s="9" t="s">
        <v>5533</v>
      </c>
      <c r="J325" s="9" t="s">
        <v>2948</v>
      </c>
      <c r="K325" t="s">
        <v>5534</v>
      </c>
      <c r="L325" t="s">
        <v>5535</v>
      </c>
      <c r="M325" s="3" t="str">
        <f>HYPERLINK(склад2въезд13192021222[[#This Row],[RelativePath]])</f>
        <v>9 Ангар пилорама\E33149364_1_20251210T123147Z.jpg</v>
      </c>
    </row>
    <row r="326" spans="1:13" x14ac:dyDescent="0.25">
      <c r="A326" s="2" t="s">
        <v>15</v>
      </c>
      <c r="B326" s="4">
        <v>46001</v>
      </c>
      <c r="C326" s="5">
        <v>0.53940972222222228</v>
      </c>
      <c r="D326" s="9" t="s">
        <v>4</v>
      </c>
      <c r="E326" s="9" t="s">
        <v>9</v>
      </c>
      <c r="F326" s="9"/>
      <c r="H326" s="9"/>
      <c r="I326" s="9" t="s">
        <v>5536</v>
      </c>
      <c r="J326" s="9" t="s">
        <v>2948</v>
      </c>
      <c r="K326" t="s">
        <v>5537</v>
      </c>
      <c r="L326" t="s">
        <v>5538</v>
      </c>
      <c r="M326" s="3" t="str">
        <f>HYPERLINK(склад2въезд13192021222[[#This Row],[RelativePath]])</f>
        <v>9 Ангар пилорама\E33149364_1_20251210T125645Z.jpg</v>
      </c>
    </row>
    <row r="327" spans="1:13" x14ac:dyDescent="0.25">
      <c r="A327" s="2" t="s">
        <v>15</v>
      </c>
      <c r="B327" s="4">
        <v>46001</v>
      </c>
      <c r="C327" s="5">
        <v>0.65284722222222225</v>
      </c>
      <c r="D327" s="9" t="s">
        <v>6099</v>
      </c>
      <c r="E327" s="9"/>
      <c r="F327" s="9"/>
      <c r="H327" s="9"/>
      <c r="I327" s="9" t="s">
        <v>5539</v>
      </c>
      <c r="J327" s="9" t="s">
        <v>2948</v>
      </c>
      <c r="K327" t="s">
        <v>5540</v>
      </c>
      <c r="L327" t="s">
        <v>5541</v>
      </c>
      <c r="M327" s="3" t="str">
        <f>HYPERLINK(склад2въезд13192021222[[#This Row],[RelativePath]])</f>
        <v>9 Ангар пилорама\E33149364_1_20251210T154006Z.jpg</v>
      </c>
    </row>
    <row r="328" spans="1:13" x14ac:dyDescent="0.25">
      <c r="A328" s="2" t="s">
        <v>15</v>
      </c>
      <c r="B328" s="4">
        <v>46001</v>
      </c>
      <c r="C328" s="5">
        <v>0.65546296296296291</v>
      </c>
      <c r="D328" s="9" t="s">
        <v>6101</v>
      </c>
      <c r="E328" s="9" t="s">
        <v>503</v>
      </c>
      <c r="F328" s="9" t="s">
        <v>6100</v>
      </c>
      <c r="H328" s="9"/>
      <c r="I328" s="9" t="s">
        <v>5542</v>
      </c>
      <c r="J328" s="9" t="s">
        <v>2948</v>
      </c>
      <c r="K328" t="s">
        <v>5543</v>
      </c>
      <c r="L328" t="s">
        <v>5544</v>
      </c>
      <c r="M328" s="3" t="str">
        <f>HYPERLINK(склад2въезд13192021222[[#This Row],[RelativePath]])</f>
        <v>9 Ангар пилорама\E33149364_1_20251210T154352Z.jpg</v>
      </c>
    </row>
    <row r="329" spans="1:13" x14ac:dyDescent="0.25">
      <c r="A329" s="2" t="s">
        <v>15</v>
      </c>
      <c r="B329" s="4">
        <v>46001</v>
      </c>
      <c r="C329" s="5">
        <v>0.66635416666666669</v>
      </c>
      <c r="D329" s="9" t="s">
        <v>4</v>
      </c>
      <c r="E329" s="9" t="s">
        <v>9</v>
      </c>
      <c r="F329" s="9"/>
      <c r="H329" s="9"/>
      <c r="I329" s="9" t="s">
        <v>5545</v>
      </c>
      <c r="J329" s="9" t="s">
        <v>2948</v>
      </c>
      <c r="K329" t="s">
        <v>5546</v>
      </c>
      <c r="L329" t="s">
        <v>5547</v>
      </c>
      <c r="M329" s="3" t="str">
        <f>HYPERLINK(склад2въезд13192021222[[#This Row],[RelativePath]])</f>
        <v>9 Ангар пилорама\E33149364_1_20251210T155933Z.jpg</v>
      </c>
    </row>
    <row r="330" spans="1:13" x14ac:dyDescent="0.25">
      <c r="A330" s="2" t="s">
        <v>16</v>
      </c>
      <c r="B330" s="4">
        <v>46002</v>
      </c>
      <c r="C330" s="5">
        <v>0.3835763888888889</v>
      </c>
      <c r="D330" s="9" t="s">
        <v>4</v>
      </c>
      <c r="E330" s="9" t="s">
        <v>9</v>
      </c>
      <c r="F330" s="9"/>
      <c r="H330" s="9"/>
      <c r="I330" s="9" t="s">
        <v>5548</v>
      </c>
      <c r="J330" s="9" t="s">
        <v>2948</v>
      </c>
      <c r="K330" t="s">
        <v>5549</v>
      </c>
      <c r="L330" t="s">
        <v>5550</v>
      </c>
      <c r="M330" s="3" t="str">
        <f>HYPERLINK(склад2въезд13192021222[[#This Row],[RelativePath]])</f>
        <v>9 Ангар пилорама\E33149364_1_20251211T091221Z.jpg</v>
      </c>
    </row>
    <row r="331" spans="1:13" x14ac:dyDescent="0.25">
      <c r="A331" s="2" t="s">
        <v>16</v>
      </c>
      <c r="B331" s="4">
        <v>46002</v>
      </c>
      <c r="C331" s="5">
        <v>0.84232638888888889</v>
      </c>
      <c r="D331" s="9" t="s">
        <v>4</v>
      </c>
      <c r="E331" s="9" t="s">
        <v>9</v>
      </c>
      <c r="F331" s="9"/>
      <c r="H331" s="9" t="s">
        <v>2891</v>
      </c>
      <c r="I331" s="9" t="s">
        <v>5551</v>
      </c>
      <c r="J331" s="9" t="s">
        <v>2948</v>
      </c>
      <c r="K331" t="s">
        <v>5552</v>
      </c>
      <c r="L331" t="s">
        <v>5553</v>
      </c>
      <c r="M331" s="3" t="str">
        <f>HYPERLINK(склад2въезд13192021222[[#This Row],[RelativePath]])</f>
        <v>9 Ангар пилорама\E33149364_1_20251211T201257Z.jpg</v>
      </c>
    </row>
    <row r="332" spans="1:13" x14ac:dyDescent="0.25">
      <c r="A332" s="2" t="s">
        <v>16</v>
      </c>
      <c r="B332" s="4">
        <v>46002</v>
      </c>
      <c r="C332" s="5">
        <v>0.85605324074074074</v>
      </c>
      <c r="D332" s="9" t="s">
        <v>4</v>
      </c>
      <c r="E332" s="9" t="s">
        <v>9</v>
      </c>
      <c r="F332" s="9"/>
      <c r="H332" s="9" t="s">
        <v>2891</v>
      </c>
      <c r="I332" s="9" t="s">
        <v>5554</v>
      </c>
      <c r="J332" s="9" t="s">
        <v>2948</v>
      </c>
      <c r="K332" t="s">
        <v>5555</v>
      </c>
      <c r="L332" t="s">
        <v>5556</v>
      </c>
      <c r="M332" s="3" t="str">
        <f>HYPERLINK(склад2въезд13192021222[[#This Row],[RelativePath]])</f>
        <v>9 Ангар пилорама\E33149364_1_20251211T203243Z.jpg</v>
      </c>
    </row>
    <row r="333" spans="1:13" x14ac:dyDescent="0.25">
      <c r="A333" s="2" t="s">
        <v>16</v>
      </c>
      <c r="B333" s="4">
        <v>46002</v>
      </c>
      <c r="C333" s="5">
        <v>0.90348379629629627</v>
      </c>
      <c r="D333" s="9" t="s">
        <v>4</v>
      </c>
      <c r="E333" s="9" t="s">
        <v>9</v>
      </c>
      <c r="F333" s="9"/>
      <c r="H333" s="9" t="s">
        <v>2891</v>
      </c>
      <c r="I333" s="9" t="s">
        <v>5557</v>
      </c>
      <c r="J333" s="9" t="s">
        <v>2948</v>
      </c>
      <c r="K333" t="s">
        <v>5558</v>
      </c>
      <c r="L333" t="s">
        <v>5559</v>
      </c>
      <c r="M333" s="3" t="str">
        <f>HYPERLINK(склад2въезд13192021222[[#This Row],[RelativePath]])</f>
        <v>9 Ангар пилорама\E33149364_1_20251211T214101Z.jpg</v>
      </c>
    </row>
    <row r="334" spans="1:13" x14ac:dyDescent="0.25">
      <c r="A334" s="2" t="s">
        <v>16</v>
      </c>
      <c r="B334" s="4">
        <v>46002</v>
      </c>
      <c r="C334" s="5">
        <v>0.97010416666666666</v>
      </c>
      <c r="D334" s="9" t="s">
        <v>4</v>
      </c>
      <c r="E334" s="9" t="s">
        <v>9</v>
      </c>
      <c r="F334" s="9"/>
      <c r="H334" s="9" t="s">
        <v>2891</v>
      </c>
      <c r="I334" s="9" t="s">
        <v>5560</v>
      </c>
      <c r="J334" s="9" t="s">
        <v>2948</v>
      </c>
      <c r="K334" t="s">
        <v>5561</v>
      </c>
      <c r="L334" t="s">
        <v>5562</v>
      </c>
      <c r="M334" s="3" t="str">
        <f>HYPERLINK(склад2въезд13192021222[[#This Row],[RelativePath]])</f>
        <v>9 Ангар пилорама\E33149364_1_20251211T231657Z.jpg</v>
      </c>
    </row>
    <row r="335" spans="1:13" x14ac:dyDescent="0.25">
      <c r="A335" s="2" t="s">
        <v>17</v>
      </c>
      <c r="B335" s="4">
        <v>46003</v>
      </c>
      <c r="C335" s="5">
        <v>1.861111111111111E-2</v>
      </c>
      <c r="D335" s="9" t="s">
        <v>4</v>
      </c>
      <c r="E335" s="9" t="s">
        <v>9</v>
      </c>
      <c r="F335" s="9"/>
      <c r="H335" s="9" t="s">
        <v>2891</v>
      </c>
      <c r="I335" s="9" t="s">
        <v>5857</v>
      </c>
      <c r="J335" s="9" t="s">
        <v>2948</v>
      </c>
      <c r="K335" t="s">
        <v>5858</v>
      </c>
      <c r="L335" t="s">
        <v>5859</v>
      </c>
      <c r="M335" s="3" t="str">
        <f>HYPERLINK(склад2въезд13192021222[[#This Row],[RelativePath]])</f>
        <v>9 Ангар пилорама\E33149364_1_20251212T002648Z.jpg</v>
      </c>
    </row>
    <row r="336" spans="1:13" x14ac:dyDescent="0.25">
      <c r="A336" s="2" t="s">
        <v>17</v>
      </c>
      <c r="B336" s="4">
        <v>46003</v>
      </c>
      <c r="C336" s="5">
        <v>3.079861111111111E-2</v>
      </c>
      <c r="D336" s="9" t="s">
        <v>4</v>
      </c>
      <c r="E336" s="9" t="s">
        <v>9</v>
      </c>
      <c r="F336" s="9"/>
      <c r="H336" s="9" t="s">
        <v>2891</v>
      </c>
      <c r="I336" s="9" t="s">
        <v>5860</v>
      </c>
      <c r="J336" s="9" t="s">
        <v>2948</v>
      </c>
      <c r="K336" t="s">
        <v>5861</v>
      </c>
      <c r="L336" t="s">
        <v>5862</v>
      </c>
      <c r="M336" s="3" t="str">
        <f>HYPERLINK(склад2въезд13192021222[[#This Row],[RelativePath]])</f>
        <v>9 Ангар пилорама\E33149364_1_20251212T004421Z.jpg</v>
      </c>
    </row>
    <row r="337" spans="1:13" x14ac:dyDescent="0.25">
      <c r="A337" s="2" t="s">
        <v>17</v>
      </c>
      <c r="B337" s="4">
        <v>46003</v>
      </c>
      <c r="C337" s="5">
        <v>4.1053240740740737E-2</v>
      </c>
      <c r="D337" s="9" t="s">
        <v>4</v>
      </c>
      <c r="E337" s="9" t="s">
        <v>9</v>
      </c>
      <c r="F337" s="9"/>
      <c r="H337" s="9" t="s">
        <v>2891</v>
      </c>
      <c r="I337" s="9" t="s">
        <v>5863</v>
      </c>
      <c r="J337" s="9" t="s">
        <v>2948</v>
      </c>
      <c r="K337" t="s">
        <v>5864</v>
      </c>
      <c r="L337" t="s">
        <v>5865</v>
      </c>
      <c r="M337" s="3" t="str">
        <f>HYPERLINK(склад2въезд13192021222[[#This Row],[RelativePath]])</f>
        <v>9 Ангар пилорама\E33149364_1_20251212T005907Z.jpg</v>
      </c>
    </row>
    <row r="338" spans="1:13" x14ac:dyDescent="0.25">
      <c r="A338" s="2" t="s">
        <v>17</v>
      </c>
      <c r="B338" s="4">
        <v>46003</v>
      </c>
      <c r="C338" s="5">
        <v>0.30113425925925924</v>
      </c>
      <c r="D338" s="9" t="s">
        <v>4</v>
      </c>
      <c r="E338" s="9" t="s">
        <v>9</v>
      </c>
      <c r="F338" s="9"/>
      <c r="H338" s="9" t="s">
        <v>2891</v>
      </c>
      <c r="I338" s="9" t="s">
        <v>5866</v>
      </c>
      <c r="J338" s="9" t="s">
        <v>2948</v>
      </c>
      <c r="K338" t="s">
        <v>5867</v>
      </c>
      <c r="L338" t="s">
        <v>5868</v>
      </c>
      <c r="M338" s="3" t="str">
        <f>HYPERLINK(склад2въезд13192021222[[#This Row],[RelativePath]])</f>
        <v>9 Ангар пилорама\E33149364_1_20251212T071338Z.jpg</v>
      </c>
    </row>
    <row r="339" spans="1:13" x14ac:dyDescent="0.25">
      <c r="A339" s="2" t="s">
        <v>17</v>
      </c>
      <c r="B339" s="4">
        <v>46003</v>
      </c>
      <c r="C339" s="5">
        <v>0.32002314814814814</v>
      </c>
      <c r="D339" s="9" t="s">
        <v>4</v>
      </c>
      <c r="E339" s="9" t="s">
        <v>9</v>
      </c>
      <c r="F339" s="9"/>
      <c r="H339" s="9" t="s">
        <v>2891</v>
      </c>
      <c r="I339" s="9" t="s">
        <v>5869</v>
      </c>
      <c r="J339" s="9" t="s">
        <v>2948</v>
      </c>
      <c r="K339" t="s">
        <v>5870</v>
      </c>
      <c r="L339" t="s">
        <v>5871</v>
      </c>
      <c r="M339" s="3" t="str">
        <f>HYPERLINK(склад2въезд13192021222[[#This Row],[RelativePath]])</f>
        <v>9 Ангар пилорама\E33149364_1_20251212T074050Z.jpg</v>
      </c>
    </row>
    <row r="340" spans="1:13" x14ac:dyDescent="0.25">
      <c r="A340" s="2" t="s">
        <v>17</v>
      </c>
      <c r="B340" s="4">
        <v>46003</v>
      </c>
      <c r="C340" s="5">
        <v>0.35215277777777776</v>
      </c>
      <c r="D340" s="9" t="s">
        <v>4</v>
      </c>
      <c r="E340" s="9" t="s">
        <v>9</v>
      </c>
      <c r="F340" s="9"/>
      <c r="H340" s="9" t="s">
        <v>2891</v>
      </c>
      <c r="I340" s="9" t="s">
        <v>5872</v>
      </c>
      <c r="J340" s="9" t="s">
        <v>2948</v>
      </c>
      <c r="K340" t="s">
        <v>5873</v>
      </c>
      <c r="L340" t="s">
        <v>5874</v>
      </c>
      <c r="M340" s="3" t="str">
        <f>HYPERLINK(склад2въезд13192021222[[#This Row],[RelativePath]])</f>
        <v>9 Ангар пилорама\E33149364_1_20251212T082706Z.jpg</v>
      </c>
    </row>
    <row r="341" spans="1:13" x14ac:dyDescent="0.25">
      <c r="A341" s="2" t="s">
        <v>17</v>
      </c>
      <c r="B341" s="4">
        <v>46003</v>
      </c>
      <c r="C341" s="5">
        <v>0.35690972222222223</v>
      </c>
      <c r="D341" s="9" t="s">
        <v>4</v>
      </c>
      <c r="E341" s="9" t="s">
        <v>9</v>
      </c>
      <c r="F341" s="9"/>
      <c r="H341" s="9" t="s">
        <v>2891</v>
      </c>
      <c r="I341" s="9" t="s">
        <v>5875</v>
      </c>
      <c r="J341" s="9" t="s">
        <v>2948</v>
      </c>
      <c r="K341" t="s">
        <v>5876</v>
      </c>
      <c r="L341" t="s">
        <v>5877</v>
      </c>
      <c r="M341" s="3" t="str">
        <f>HYPERLINK(склад2въезд13192021222[[#This Row],[RelativePath]])</f>
        <v>9 Ангар пилорама\E33149364_1_20251212T083357Z.jpg</v>
      </c>
    </row>
    <row r="342" spans="1:13" x14ac:dyDescent="0.25">
      <c r="A342" s="2" t="s">
        <v>17</v>
      </c>
      <c r="B342" s="4">
        <v>46003</v>
      </c>
      <c r="C342" s="5">
        <v>0.36461805555555554</v>
      </c>
      <c r="D342" s="9" t="s">
        <v>4</v>
      </c>
      <c r="E342" s="9" t="s">
        <v>9</v>
      </c>
      <c r="F342" s="9"/>
      <c r="H342" s="9" t="s">
        <v>2891</v>
      </c>
      <c r="I342" s="9" t="s">
        <v>5878</v>
      </c>
      <c r="J342" s="9" t="s">
        <v>2948</v>
      </c>
      <c r="K342" t="s">
        <v>5879</v>
      </c>
      <c r="L342" t="s">
        <v>5880</v>
      </c>
      <c r="M342" s="3" t="str">
        <f>HYPERLINK(склад2въезд13192021222[[#This Row],[RelativePath]])</f>
        <v>9 Ангар пилорама\E33149364_1_20251212T084503Z.jpg</v>
      </c>
    </row>
    <row r="343" spans="1:13" x14ac:dyDescent="0.25">
      <c r="A343" s="2" t="s">
        <v>17</v>
      </c>
      <c r="B343" s="4">
        <v>46003</v>
      </c>
      <c r="C343" s="5">
        <v>0.36774305555555553</v>
      </c>
      <c r="D343" s="9" t="s">
        <v>4</v>
      </c>
      <c r="E343" s="9" t="s">
        <v>9</v>
      </c>
      <c r="F343" s="9"/>
      <c r="H343" s="9" t="s">
        <v>2891</v>
      </c>
      <c r="I343" s="9" t="s">
        <v>5881</v>
      </c>
      <c r="J343" s="9" t="s">
        <v>2948</v>
      </c>
      <c r="K343" t="s">
        <v>5882</v>
      </c>
      <c r="L343" t="s">
        <v>5883</v>
      </c>
      <c r="M343" s="3" t="str">
        <f>HYPERLINK(склад2въезд13192021222[[#This Row],[RelativePath]])</f>
        <v>9 Ангар пилорама\E33149364_1_20251212T084933Z.jpg</v>
      </c>
    </row>
    <row r="344" spans="1:13" x14ac:dyDescent="0.25">
      <c r="A344" s="2" t="s">
        <v>17</v>
      </c>
      <c r="B344" s="4">
        <v>46003</v>
      </c>
      <c r="C344" s="5">
        <v>0.37748842592592591</v>
      </c>
      <c r="D344" s="9" t="s">
        <v>1063</v>
      </c>
      <c r="E344" s="9" t="s">
        <v>58</v>
      </c>
      <c r="F344" s="9"/>
      <c r="H344" s="9"/>
      <c r="I344" s="9" t="s">
        <v>5884</v>
      </c>
      <c r="J344" s="9" t="s">
        <v>2948</v>
      </c>
      <c r="K344" t="s">
        <v>5885</v>
      </c>
      <c r="L344" t="s">
        <v>5886</v>
      </c>
      <c r="M344" s="3" t="str">
        <f>HYPERLINK(склад2въезд13192021222[[#This Row],[RelativePath]])</f>
        <v>9 Ангар пилорама\E33149364_1_20251212T090335Z.jpg</v>
      </c>
    </row>
    <row r="345" spans="1:13" x14ac:dyDescent="0.25">
      <c r="A345" s="2" t="s">
        <v>17</v>
      </c>
      <c r="B345" s="4">
        <v>46003</v>
      </c>
      <c r="C345" s="5">
        <v>0.38756944444444447</v>
      </c>
      <c r="D345" s="9" t="s">
        <v>1063</v>
      </c>
      <c r="E345" s="9" t="s">
        <v>6102</v>
      </c>
      <c r="F345" s="9"/>
      <c r="H345" s="9"/>
      <c r="I345" s="9" t="s">
        <v>5887</v>
      </c>
      <c r="J345" s="9" t="s">
        <v>2948</v>
      </c>
      <c r="K345" t="s">
        <v>5888</v>
      </c>
      <c r="L345" t="s">
        <v>5889</v>
      </c>
      <c r="M345" s="3" t="str">
        <f>HYPERLINK(склад2въезд13192021222[[#This Row],[RelativePath]])</f>
        <v>9 Ангар пилорама\E33149364_1_20251212T091806Z.jpg</v>
      </c>
    </row>
    <row r="346" spans="1:13" x14ac:dyDescent="0.25">
      <c r="A346" s="2" t="s">
        <v>17</v>
      </c>
      <c r="B346" s="4">
        <v>46003</v>
      </c>
      <c r="C346" s="5">
        <v>0.42334490740740743</v>
      </c>
      <c r="D346" s="9" t="s">
        <v>4</v>
      </c>
      <c r="E346" s="9" t="s">
        <v>9</v>
      </c>
      <c r="F346" s="9"/>
      <c r="H346" s="9"/>
      <c r="I346" s="9" t="s">
        <v>5890</v>
      </c>
      <c r="J346" s="9" t="s">
        <v>2948</v>
      </c>
      <c r="K346" t="s">
        <v>5891</v>
      </c>
      <c r="L346" t="s">
        <v>5892</v>
      </c>
      <c r="M346" s="3" t="str">
        <f>HYPERLINK(склад2въезд13192021222[[#This Row],[RelativePath]])</f>
        <v>9 Ангар пилорама\E33149364_1_20251212T100937Z.jpg</v>
      </c>
    </row>
    <row r="347" spans="1:13" x14ac:dyDescent="0.25">
      <c r="A347" s="2" t="s">
        <v>17</v>
      </c>
      <c r="B347" s="4">
        <v>46003</v>
      </c>
      <c r="C347" s="5">
        <v>0.44680555555555557</v>
      </c>
      <c r="D347" s="9" t="s">
        <v>4</v>
      </c>
      <c r="E347" s="9" t="s">
        <v>9</v>
      </c>
      <c r="F347" s="9"/>
      <c r="H347" s="9" t="s">
        <v>2891</v>
      </c>
      <c r="I347" s="9" t="s">
        <v>5893</v>
      </c>
      <c r="J347" s="9" t="s">
        <v>2948</v>
      </c>
      <c r="K347" t="s">
        <v>5894</v>
      </c>
      <c r="L347" t="s">
        <v>5895</v>
      </c>
      <c r="M347" s="3" t="str">
        <f>HYPERLINK(склад2въезд13192021222[[#This Row],[RelativePath]])</f>
        <v>9 Ангар пилорама\E33149364_1_20251212T104324Z.jpg</v>
      </c>
    </row>
    <row r="348" spans="1:13" x14ac:dyDescent="0.25">
      <c r="A348" s="2" t="s">
        <v>17</v>
      </c>
      <c r="B348" s="4">
        <v>46003</v>
      </c>
      <c r="C348" s="5">
        <v>0.51659722222222226</v>
      </c>
      <c r="D348" s="9" t="s">
        <v>4</v>
      </c>
      <c r="E348" s="9" t="s">
        <v>9</v>
      </c>
      <c r="F348" s="9"/>
      <c r="H348" s="9" t="s">
        <v>2891</v>
      </c>
      <c r="I348" s="9" t="s">
        <v>5896</v>
      </c>
      <c r="J348" s="9" t="s">
        <v>2948</v>
      </c>
      <c r="K348" t="s">
        <v>5897</v>
      </c>
      <c r="L348" t="s">
        <v>5898</v>
      </c>
      <c r="M348" s="3" t="str">
        <f>HYPERLINK(склад2въезд13192021222[[#This Row],[RelativePath]])</f>
        <v>9 Ангар пилорама\E33149364_1_20251212T122354Z.jpg</v>
      </c>
    </row>
    <row r="349" spans="1:13" x14ac:dyDescent="0.25">
      <c r="A349" s="2" t="s">
        <v>17</v>
      </c>
      <c r="B349" s="4">
        <v>46003</v>
      </c>
      <c r="C349" s="5">
        <v>0.82158564814814816</v>
      </c>
      <c r="D349" s="9" t="s">
        <v>4</v>
      </c>
      <c r="E349" s="9" t="s">
        <v>9</v>
      </c>
      <c r="F349" s="9"/>
      <c r="H349" s="9" t="s">
        <v>2891</v>
      </c>
      <c r="I349" s="9" t="s">
        <v>5899</v>
      </c>
      <c r="J349" s="9" t="s">
        <v>2948</v>
      </c>
      <c r="K349" t="s">
        <v>5900</v>
      </c>
      <c r="L349" t="s">
        <v>5901</v>
      </c>
      <c r="M349" s="3" t="str">
        <f>HYPERLINK(склад2въезд13192021222[[#This Row],[RelativePath]])</f>
        <v>9 Ангар пилорама\E33149364_1_20251212T194305Z.jpg</v>
      </c>
    </row>
    <row r="350" spans="1:13" x14ac:dyDescent="0.25">
      <c r="A350" s="2" t="s">
        <v>17</v>
      </c>
      <c r="B350" s="4">
        <v>46003</v>
      </c>
      <c r="C350" s="5">
        <v>0.84995370370370371</v>
      </c>
      <c r="D350" s="9" t="s">
        <v>4</v>
      </c>
      <c r="E350" s="9" t="s">
        <v>9</v>
      </c>
      <c r="F350" s="9"/>
      <c r="H350" s="9" t="s">
        <v>2891</v>
      </c>
      <c r="I350" s="9" t="s">
        <v>5902</v>
      </c>
      <c r="J350" s="9" t="s">
        <v>2948</v>
      </c>
      <c r="K350" t="s">
        <v>5903</v>
      </c>
      <c r="L350" t="s">
        <v>5904</v>
      </c>
      <c r="M350" s="3" t="str">
        <f>HYPERLINK(склад2въезд13192021222[[#This Row],[RelativePath]])</f>
        <v>9 Ангар пилорама\E33149364_1_20251212T202356Z.jpg</v>
      </c>
    </row>
    <row r="351" spans="1:13" x14ac:dyDescent="0.25">
      <c r="A351" s="2" t="s">
        <v>17</v>
      </c>
      <c r="B351" s="4">
        <v>46003</v>
      </c>
      <c r="C351" s="5">
        <v>0.87767361111111108</v>
      </c>
      <c r="D351" s="9" t="s">
        <v>4</v>
      </c>
      <c r="E351" s="9" t="s">
        <v>9</v>
      </c>
      <c r="F351" s="9"/>
      <c r="H351" s="9" t="s">
        <v>2891</v>
      </c>
      <c r="I351" s="9" t="s">
        <v>5905</v>
      </c>
      <c r="J351" s="9" t="s">
        <v>2948</v>
      </c>
      <c r="K351" t="s">
        <v>5906</v>
      </c>
      <c r="L351" t="s">
        <v>5907</v>
      </c>
      <c r="M351" s="3" t="str">
        <f>HYPERLINK(склад2въезд13192021222[[#This Row],[RelativePath]])</f>
        <v>9 Ангар пилорама\E33149364_1_20251212T210351Z.jpg</v>
      </c>
    </row>
    <row r="352" spans="1:13" x14ac:dyDescent="0.25">
      <c r="A352" s="2" t="s">
        <v>17</v>
      </c>
      <c r="B352" s="4">
        <v>46003</v>
      </c>
      <c r="C352" s="5">
        <v>0.93428240740740742</v>
      </c>
      <c r="D352" s="9" t="s">
        <v>4</v>
      </c>
      <c r="E352" s="9" t="s">
        <v>9</v>
      </c>
      <c r="F352" s="9"/>
      <c r="H352" s="9" t="s">
        <v>2891</v>
      </c>
      <c r="I352" s="9" t="s">
        <v>5908</v>
      </c>
      <c r="J352" s="9" t="s">
        <v>2948</v>
      </c>
      <c r="K352" t="s">
        <v>5909</v>
      </c>
      <c r="L352" t="s">
        <v>5910</v>
      </c>
      <c r="M352" s="3" t="str">
        <f>HYPERLINK(склад2въезд13192021222[[#This Row],[RelativePath]])</f>
        <v>9 Ангар пилорама\E33149364_1_20251212T222522Z.jpg</v>
      </c>
    </row>
    <row r="353" spans="1:13" x14ac:dyDescent="0.25">
      <c r="A353" s="2" t="s">
        <v>17</v>
      </c>
      <c r="B353" s="4">
        <v>46003</v>
      </c>
      <c r="C353" s="5">
        <v>0.95846064814814813</v>
      </c>
      <c r="D353" s="9" t="s">
        <v>4</v>
      </c>
      <c r="E353" s="9" t="s">
        <v>9</v>
      </c>
      <c r="F353" s="9"/>
      <c r="H353" s="9" t="s">
        <v>2891</v>
      </c>
      <c r="I353" s="9" t="s">
        <v>5911</v>
      </c>
      <c r="J353" s="9" t="s">
        <v>2948</v>
      </c>
      <c r="K353" t="s">
        <v>5912</v>
      </c>
      <c r="L353" t="s">
        <v>5913</v>
      </c>
      <c r="M353" s="3" t="str">
        <f>HYPERLINK(склад2въезд13192021222[[#This Row],[RelativePath]])</f>
        <v>9 Ангар пилорама\E33149364_1_20251212T230011Z.jpg</v>
      </c>
    </row>
    <row r="354" spans="1:13" x14ac:dyDescent="0.25">
      <c r="A354" s="2" t="s">
        <v>18</v>
      </c>
      <c r="B354" s="4">
        <v>46004</v>
      </c>
      <c r="C354" s="5">
        <v>0.35418981481481482</v>
      </c>
      <c r="D354" s="9" t="s">
        <v>4</v>
      </c>
      <c r="E354" s="9" t="s">
        <v>9</v>
      </c>
      <c r="F354" s="9"/>
      <c r="H354" s="9" t="s">
        <v>2891</v>
      </c>
      <c r="I354" s="9" t="s">
        <v>6004</v>
      </c>
      <c r="J354" s="9" t="s">
        <v>2948</v>
      </c>
      <c r="K354" t="s">
        <v>6005</v>
      </c>
      <c r="L354" t="s">
        <v>6006</v>
      </c>
      <c r="M354" s="3" t="str">
        <f>HYPERLINK(склад2въезд13192021222[[#This Row],[RelativePath]])</f>
        <v>9 Ангар пилорама\E33149364_1_20251213T083002Z.jpg</v>
      </c>
    </row>
    <row r="355" spans="1:13" x14ac:dyDescent="0.25">
      <c r="A355" s="2" t="s">
        <v>18</v>
      </c>
      <c r="B355" s="4">
        <v>46004</v>
      </c>
      <c r="C355" s="5">
        <v>0.37368055555555557</v>
      </c>
      <c r="D355" s="9" t="s">
        <v>4</v>
      </c>
      <c r="E355" s="9" t="s">
        <v>9</v>
      </c>
      <c r="F355" s="9"/>
      <c r="H355" s="9" t="s">
        <v>2891</v>
      </c>
      <c r="I355" s="9" t="s">
        <v>6007</v>
      </c>
      <c r="J355" s="9" t="s">
        <v>2948</v>
      </c>
      <c r="K355" t="s">
        <v>6008</v>
      </c>
      <c r="L355" t="s">
        <v>6009</v>
      </c>
      <c r="M355" s="3" t="str">
        <f>HYPERLINK(склад2въезд13192021222[[#This Row],[RelativePath]])</f>
        <v>9 Ангар пилорама\E33149364_1_20251213T085806Z.jpg</v>
      </c>
    </row>
    <row r="356" spans="1:13" x14ac:dyDescent="0.25">
      <c r="A356" s="2" t="s">
        <v>18</v>
      </c>
      <c r="B356" s="4">
        <v>46004</v>
      </c>
      <c r="C356" s="5">
        <v>0.4193634259259259</v>
      </c>
      <c r="D356" s="9" t="s">
        <v>4</v>
      </c>
      <c r="E356" s="9" t="s">
        <v>9</v>
      </c>
      <c r="F356" s="9"/>
      <c r="H356" s="9" t="s">
        <v>2891</v>
      </c>
      <c r="I356" s="9" t="s">
        <v>6010</v>
      </c>
      <c r="J356" s="9" t="s">
        <v>2948</v>
      </c>
      <c r="K356" t="s">
        <v>6011</v>
      </c>
      <c r="L356" t="s">
        <v>6012</v>
      </c>
      <c r="M356" s="3" t="str">
        <f>HYPERLINK(склад2въезд13192021222[[#This Row],[RelativePath]])</f>
        <v>9 Ангар пилорама\E33149364_1_20251213T100353Z.jpg</v>
      </c>
    </row>
    <row r="357" spans="1:13" x14ac:dyDescent="0.25">
      <c r="A357" s="2" t="s">
        <v>18</v>
      </c>
      <c r="B357" s="4">
        <v>46004</v>
      </c>
      <c r="C357" s="5">
        <v>0.68322916666666667</v>
      </c>
      <c r="D357" s="9" t="s">
        <v>4</v>
      </c>
      <c r="E357" s="9" t="s">
        <v>9</v>
      </c>
      <c r="F357" s="9"/>
      <c r="H357" s="9"/>
      <c r="I357" s="9" t="s">
        <v>6013</v>
      </c>
      <c r="J357" s="9" t="s">
        <v>2948</v>
      </c>
      <c r="K357" t="s">
        <v>6014</v>
      </c>
      <c r="L357" t="s">
        <v>6015</v>
      </c>
      <c r="M357" s="3" t="str">
        <f>HYPERLINK(склад2въезд13192021222[[#This Row],[RelativePath]])</f>
        <v>9 Ангар пилорама\E33149364_1_20251213T162351Z.jpg</v>
      </c>
    </row>
    <row r="358" spans="1:13" x14ac:dyDescent="0.25">
      <c r="A358" s="2" t="s">
        <v>22</v>
      </c>
      <c r="B358" s="4">
        <v>46005</v>
      </c>
      <c r="C358" s="5">
        <v>0.3691550925925926</v>
      </c>
      <c r="D358" s="9" t="s">
        <v>4</v>
      </c>
      <c r="E358" s="9" t="s">
        <v>9</v>
      </c>
      <c r="F358" s="9"/>
      <c r="H358" s="9"/>
      <c r="I358" s="9" t="s">
        <v>6133</v>
      </c>
      <c r="J358" s="9" t="s">
        <v>2948</v>
      </c>
      <c r="K358" t="s">
        <v>6134</v>
      </c>
      <c r="L358" t="s">
        <v>6135</v>
      </c>
      <c r="M358" s="3" t="str">
        <f>HYPERLINK(склад2въезд13192021222[[#This Row],[RelativePath]])</f>
        <v>9 Ангар пилорама\E33149364_1_20251214T085135Z.jpg</v>
      </c>
    </row>
    <row r="359" spans="1:13" x14ac:dyDescent="0.25">
      <c r="A359" s="2" t="s">
        <v>22</v>
      </c>
      <c r="B359" s="4">
        <v>46005</v>
      </c>
      <c r="C359" s="5">
        <v>0.40965277777777775</v>
      </c>
      <c r="D359" s="9" t="s">
        <v>1987</v>
      </c>
      <c r="E359" s="9" t="s">
        <v>1267</v>
      </c>
      <c r="F359" s="9"/>
      <c r="H359" s="9"/>
      <c r="I359" s="9" t="s">
        <v>6136</v>
      </c>
      <c r="J359" s="9" t="s">
        <v>2948</v>
      </c>
      <c r="K359" t="s">
        <v>6137</v>
      </c>
      <c r="L359" t="s">
        <v>6138</v>
      </c>
      <c r="M359" s="3" t="str">
        <f>HYPERLINK(склад2въезд13192021222[[#This Row],[RelativePath]])</f>
        <v>9 Ангар пилорама\E33149364_1_20251214T094954Z.jpg</v>
      </c>
    </row>
    <row r="360" spans="1:13" x14ac:dyDescent="0.25">
      <c r="A360" s="2" t="s">
        <v>22</v>
      </c>
      <c r="B360" s="4">
        <v>46005</v>
      </c>
      <c r="C360" s="5">
        <v>0.42396990740740742</v>
      </c>
      <c r="D360" s="9" t="s">
        <v>4</v>
      </c>
      <c r="E360" s="9" t="s">
        <v>9</v>
      </c>
      <c r="F360" s="9"/>
      <c r="H360" s="9"/>
      <c r="I360" s="9" t="s">
        <v>6139</v>
      </c>
      <c r="J360" s="9" t="s">
        <v>2948</v>
      </c>
      <c r="K360" t="s">
        <v>6140</v>
      </c>
      <c r="L360" t="s">
        <v>6141</v>
      </c>
      <c r="M360" s="3" t="str">
        <f>HYPERLINK(склад2въезд13192021222[[#This Row],[RelativePath]])</f>
        <v>9 Ангар пилорама\E33149364_1_20251214T101031Z.jpg</v>
      </c>
    </row>
    <row r="361" spans="1:13" x14ac:dyDescent="0.25">
      <c r="A361" s="2" t="s">
        <v>22</v>
      </c>
      <c r="B361" s="4">
        <v>46005</v>
      </c>
      <c r="C361" s="5">
        <v>0.58008101851851857</v>
      </c>
      <c r="D361" s="9" t="s">
        <v>1987</v>
      </c>
      <c r="E361" s="9" t="s">
        <v>1267</v>
      </c>
      <c r="F361" s="9"/>
      <c r="H361" s="9"/>
      <c r="I361" s="9" t="s">
        <v>6142</v>
      </c>
      <c r="J361" s="9" t="s">
        <v>2948</v>
      </c>
      <c r="K361" t="s">
        <v>6143</v>
      </c>
      <c r="L361" t="s">
        <v>6144</v>
      </c>
      <c r="M361" s="3" t="str">
        <f>HYPERLINK(склад2въезд13192021222[[#This Row],[RelativePath]])</f>
        <v>9 Ангар пилорама\E33149364_1_20251214T135519Z.jpg</v>
      </c>
    </row>
    <row r="362" spans="1:13" x14ac:dyDescent="0.25">
      <c r="A362" s="2" t="s">
        <v>22</v>
      </c>
      <c r="B362" s="4">
        <v>46005</v>
      </c>
      <c r="C362" s="5">
        <v>0.60313657407407406</v>
      </c>
      <c r="D362" s="9" t="s">
        <v>1987</v>
      </c>
      <c r="E362" s="9" t="s">
        <v>1267</v>
      </c>
      <c r="F362" s="9"/>
      <c r="H362" s="9" t="s">
        <v>2891</v>
      </c>
      <c r="I362" s="9" t="s">
        <v>6145</v>
      </c>
      <c r="J362" s="9" t="s">
        <v>2948</v>
      </c>
      <c r="K362" t="s">
        <v>6146</v>
      </c>
      <c r="L362" t="s">
        <v>6147</v>
      </c>
      <c r="M362" s="3" t="str">
        <f>HYPERLINK(склад2въезд13192021222[[#This Row],[RelativePath]])</f>
        <v>9 Ангар пилорама\E33149364_1_20251214T142831Z.jpg</v>
      </c>
    </row>
    <row r="363" spans="1:13" x14ac:dyDescent="0.25">
      <c r="A363" s="2" t="s">
        <v>22</v>
      </c>
      <c r="B363" s="4">
        <v>46005</v>
      </c>
      <c r="C363" s="5">
        <v>0.62960648148148146</v>
      </c>
      <c r="D363" s="9" t="s">
        <v>1987</v>
      </c>
      <c r="E363" s="9" t="s">
        <v>1267</v>
      </c>
      <c r="F363" s="9"/>
      <c r="H363" s="9" t="s">
        <v>2891</v>
      </c>
      <c r="I363" s="9" t="s">
        <v>6148</v>
      </c>
      <c r="J363" s="9" t="s">
        <v>2948</v>
      </c>
      <c r="K363" t="s">
        <v>6149</v>
      </c>
      <c r="L363" t="s">
        <v>6150</v>
      </c>
      <c r="M363" s="3" t="str">
        <f>HYPERLINK(склад2въезд13192021222[[#This Row],[RelativePath]])</f>
        <v>9 Ангар пилорама\E33149364_1_20251214T150638Z.jpg</v>
      </c>
    </row>
    <row r="364" spans="1:13" x14ac:dyDescent="0.25">
      <c r="A364" s="2" t="s">
        <v>22</v>
      </c>
      <c r="B364" s="4">
        <v>46005</v>
      </c>
      <c r="C364" s="5">
        <v>0.66469907407407403</v>
      </c>
      <c r="D364" s="9" t="s">
        <v>4</v>
      </c>
      <c r="E364" s="9" t="s">
        <v>9</v>
      </c>
      <c r="F364" s="9"/>
      <c r="H364" s="9" t="s">
        <v>2891</v>
      </c>
      <c r="I364" s="9" t="s">
        <v>6151</v>
      </c>
      <c r="J364" s="9" t="s">
        <v>2948</v>
      </c>
      <c r="K364" t="s">
        <v>6152</v>
      </c>
      <c r="L364" t="s">
        <v>6153</v>
      </c>
      <c r="M364" s="3" t="str">
        <f>HYPERLINK(склад2въезд13192021222[[#This Row],[RelativePath]])</f>
        <v>9 Ангар пилорама\E33149364_1_20251214T155710Z.jpg</v>
      </c>
    </row>
    <row r="365" spans="1:13" x14ac:dyDescent="0.25">
      <c r="A365" s="2" t="s">
        <v>22</v>
      </c>
      <c r="B365" s="4">
        <v>46005</v>
      </c>
      <c r="C365" s="5">
        <v>0.70594907407407403</v>
      </c>
      <c r="D365" s="9" t="s">
        <v>1987</v>
      </c>
      <c r="E365" s="9" t="s">
        <v>1267</v>
      </c>
      <c r="F365" s="9"/>
      <c r="H365" s="9" t="s">
        <v>2891</v>
      </c>
      <c r="I365" s="9" t="s">
        <v>6154</v>
      </c>
      <c r="J365" s="9" t="s">
        <v>2948</v>
      </c>
      <c r="K365" t="s">
        <v>6155</v>
      </c>
      <c r="L365" t="s">
        <v>6156</v>
      </c>
      <c r="M365" s="3" t="str">
        <f>HYPERLINK(склад2въезд13192021222[[#This Row],[RelativePath]])</f>
        <v>9 Ангар пилорама\E33149364_1_20251214T165634Z.jpg</v>
      </c>
    </row>
    <row r="366" spans="1:13" x14ac:dyDescent="0.25">
      <c r="A366" s="2" t="s">
        <v>22</v>
      </c>
      <c r="B366" s="4">
        <v>46005</v>
      </c>
      <c r="C366" s="5">
        <v>0.74064814814814817</v>
      </c>
      <c r="D366" s="9" t="s">
        <v>1987</v>
      </c>
      <c r="E366" s="9" t="s">
        <v>1267</v>
      </c>
      <c r="F366" s="9"/>
      <c r="H366" s="9" t="s">
        <v>2891</v>
      </c>
      <c r="I366" s="9" t="s">
        <v>6157</v>
      </c>
      <c r="J366" s="9" t="s">
        <v>2948</v>
      </c>
      <c r="K366" t="s">
        <v>6158</v>
      </c>
      <c r="L366" t="s">
        <v>6159</v>
      </c>
      <c r="M366" s="3" t="str">
        <f>HYPERLINK(склад2въезд13192021222[[#This Row],[RelativePath]])</f>
        <v>9 Ангар пилорама\E33149364_1_20251214T174632Z.jpg</v>
      </c>
    </row>
    <row r="367" spans="1:13" x14ac:dyDescent="0.25">
      <c r="A367" s="2" t="s">
        <v>22</v>
      </c>
      <c r="B367" s="4">
        <v>46005</v>
      </c>
      <c r="C367" s="5">
        <v>0.80040509259259263</v>
      </c>
      <c r="D367" s="9" t="s">
        <v>1987</v>
      </c>
      <c r="E367" s="9" t="s">
        <v>1267</v>
      </c>
      <c r="F367" s="9"/>
      <c r="H367" s="9" t="s">
        <v>2891</v>
      </c>
      <c r="I367" s="9" t="s">
        <v>6160</v>
      </c>
      <c r="J367" s="9" t="s">
        <v>2948</v>
      </c>
      <c r="K367" t="s">
        <v>6161</v>
      </c>
      <c r="L367" t="s">
        <v>6162</v>
      </c>
      <c r="M367" s="3" t="str">
        <f>HYPERLINK(склад2въезд13192021222[[#This Row],[RelativePath]])</f>
        <v>9 Ангар пилорама\E33149364_1_20251214T191235Z.jpg</v>
      </c>
    </row>
    <row r="368" spans="1:13" x14ac:dyDescent="0.25">
      <c r="A368" s="2" t="s">
        <v>22</v>
      </c>
      <c r="B368" s="4">
        <v>46005</v>
      </c>
      <c r="C368" s="5">
        <v>0.85261574074074076</v>
      </c>
      <c r="D368" s="9" t="s">
        <v>1987</v>
      </c>
      <c r="E368" s="9" t="s">
        <v>1267</v>
      </c>
      <c r="F368" s="9"/>
      <c r="H368" s="9" t="s">
        <v>2891</v>
      </c>
      <c r="I368" s="9" t="s">
        <v>6163</v>
      </c>
      <c r="J368" s="9" t="s">
        <v>2948</v>
      </c>
      <c r="K368" t="s">
        <v>6164</v>
      </c>
      <c r="L368" t="s">
        <v>6165</v>
      </c>
      <c r="M368" s="3" t="str">
        <f>HYPERLINK(склад2въезд13192021222[[#This Row],[RelativePath]])</f>
        <v>9 Ангар пилорама\E33149364_1_20251214T202746Z.jpg</v>
      </c>
    </row>
    <row r="369" spans="1:13" x14ac:dyDescent="0.25">
      <c r="A369" s="2" t="s">
        <v>22</v>
      </c>
      <c r="B369" s="4">
        <v>46005</v>
      </c>
      <c r="C369" s="5">
        <v>0.89166666666666672</v>
      </c>
      <c r="D369" s="9" t="s">
        <v>1987</v>
      </c>
      <c r="E369" s="9" t="s">
        <v>1267</v>
      </c>
      <c r="F369" s="9"/>
      <c r="H369" s="9" t="s">
        <v>2891</v>
      </c>
      <c r="I369" s="9" t="s">
        <v>6166</v>
      </c>
      <c r="J369" s="9" t="s">
        <v>2948</v>
      </c>
      <c r="K369" t="s">
        <v>6167</v>
      </c>
      <c r="L369" t="s">
        <v>6168</v>
      </c>
      <c r="M369" s="3" t="str">
        <f>HYPERLINK(склад2въезд13192021222[[#This Row],[RelativePath]])</f>
        <v>9 Ангар пилорама\E33149364_1_20251214T212400Z.jpg</v>
      </c>
    </row>
    <row r="370" spans="1:13" x14ac:dyDescent="0.25">
      <c r="A370" s="2" t="s">
        <v>13</v>
      </c>
      <c r="B370" s="4">
        <v>46006</v>
      </c>
      <c r="C370" s="5">
        <v>0.38805555555555554</v>
      </c>
      <c r="D370" s="9" t="s">
        <v>4</v>
      </c>
      <c r="E370" s="9" t="s">
        <v>9</v>
      </c>
      <c r="F370" s="9"/>
      <c r="H370" s="9"/>
      <c r="I370" s="9" t="s">
        <v>6271</v>
      </c>
      <c r="J370" s="9" t="s">
        <v>2948</v>
      </c>
      <c r="K370" t="s">
        <v>6272</v>
      </c>
      <c r="L370" t="s">
        <v>6273</v>
      </c>
      <c r="M370" s="3" t="str">
        <f>HYPERLINK(склад2въезд13192021222[[#This Row],[RelativePath]])</f>
        <v>9 Ангар пилорама\E33149364_1_20251215T091848Z.jpg</v>
      </c>
    </row>
    <row r="371" spans="1:13" x14ac:dyDescent="0.25">
      <c r="A371" s="2" t="s">
        <v>13</v>
      </c>
      <c r="B371" s="4">
        <v>46006</v>
      </c>
      <c r="C371" s="5">
        <v>0.41413194444444446</v>
      </c>
      <c r="D371" s="9" t="s">
        <v>4</v>
      </c>
      <c r="E371" s="9" t="s">
        <v>9</v>
      </c>
      <c r="F371" s="9"/>
      <c r="H371" s="9" t="s">
        <v>2891</v>
      </c>
      <c r="I371" s="9" t="s">
        <v>6274</v>
      </c>
      <c r="J371" s="9" t="s">
        <v>2948</v>
      </c>
      <c r="K371" t="s">
        <v>6275</v>
      </c>
      <c r="L371" t="s">
        <v>6276</v>
      </c>
      <c r="M371" s="3" t="str">
        <f>HYPERLINK(склад2въезд13192021222[[#This Row],[RelativePath]])</f>
        <v>9 Ангар пилорама\E33149364_1_20251215T095621Z.jpg</v>
      </c>
    </row>
    <row r="372" spans="1:13" x14ac:dyDescent="0.25">
      <c r="A372" s="2" t="s">
        <v>13</v>
      </c>
      <c r="B372" s="4">
        <v>46006</v>
      </c>
      <c r="C372" s="5">
        <v>0.43663194444444442</v>
      </c>
      <c r="D372" s="9" t="s">
        <v>4</v>
      </c>
      <c r="E372" s="9" t="s">
        <v>9</v>
      </c>
      <c r="F372" s="9"/>
      <c r="H372" s="9" t="s">
        <v>2891</v>
      </c>
      <c r="I372" s="9" t="s">
        <v>6277</v>
      </c>
      <c r="J372" s="9" t="s">
        <v>2948</v>
      </c>
      <c r="K372" t="s">
        <v>6278</v>
      </c>
      <c r="L372" t="s">
        <v>6279</v>
      </c>
      <c r="M372" s="3" t="str">
        <f>HYPERLINK(склад2въезд13192021222[[#This Row],[RelativePath]])</f>
        <v>9 Ангар пилорама\E33149364_1_20251215T102845Z.jpg</v>
      </c>
    </row>
    <row r="373" spans="1:13" x14ac:dyDescent="0.25">
      <c r="A373" s="2" t="s">
        <v>13</v>
      </c>
      <c r="B373" s="4">
        <v>46006</v>
      </c>
      <c r="C373" s="5">
        <v>0.46731481481481479</v>
      </c>
      <c r="D373" s="9" t="s">
        <v>1063</v>
      </c>
      <c r="E373" s="9" t="s">
        <v>58</v>
      </c>
      <c r="F373" s="9"/>
      <c r="H373" s="9"/>
      <c r="I373" s="9" t="s">
        <v>6280</v>
      </c>
      <c r="J373" s="9" t="s">
        <v>2948</v>
      </c>
      <c r="K373" t="s">
        <v>6281</v>
      </c>
      <c r="L373" t="s">
        <v>6282</v>
      </c>
      <c r="M373" s="3" t="str">
        <f>HYPERLINK(склад2въезд13192021222[[#This Row],[RelativePath]])</f>
        <v>9 Ангар пилорама\E33149364_1_20251215T111256Z.jpg</v>
      </c>
    </row>
    <row r="374" spans="1:13" x14ac:dyDescent="0.25">
      <c r="A374" s="2" t="s">
        <v>13</v>
      </c>
      <c r="B374" s="4">
        <v>46006</v>
      </c>
      <c r="C374" s="5">
        <v>0.46868055555555554</v>
      </c>
      <c r="D374" s="9" t="s">
        <v>4</v>
      </c>
      <c r="E374" s="9" t="s">
        <v>9</v>
      </c>
      <c r="F374" s="9"/>
      <c r="H374" s="9" t="s">
        <v>2891</v>
      </c>
      <c r="I374" s="9" t="s">
        <v>6283</v>
      </c>
      <c r="J374" s="9" t="s">
        <v>2948</v>
      </c>
      <c r="K374" t="s">
        <v>6284</v>
      </c>
      <c r="L374" t="s">
        <v>6285</v>
      </c>
      <c r="M374" s="3" t="str">
        <f>HYPERLINK(склад2въезд13192021222[[#This Row],[RelativePath]])</f>
        <v>9 Ангар пилорама\E33149364_1_20251215T111454Z.jpg</v>
      </c>
    </row>
    <row r="375" spans="1:13" x14ac:dyDescent="0.25">
      <c r="A375" s="2" t="s">
        <v>13</v>
      </c>
      <c r="B375" s="4">
        <v>46006</v>
      </c>
      <c r="C375" s="5">
        <v>0.46912037037037035</v>
      </c>
      <c r="D375" s="9" t="s">
        <v>1063</v>
      </c>
      <c r="E375" s="9" t="s">
        <v>58</v>
      </c>
      <c r="F375" s="9"/>
      <c r="H375" s="9"/>
      <c r="I375" s="9" t="s">
        <v>6286</v>
      </c>
      <c r="J375" s="9" t="s">
        <v>2948</v>
      </c>
      <c r="K375" t="s">
        <v>6287</v>
      </c>
      <c r="L375" t="s">
        <v>6288</v>
      </c>
      <c r="M375" s="3" t="str">
        <f>HYPERLINK(склад2въезд13192021222[[#This Row],[RelativePath]])</f>
        <v>9 Ангар пилорама\E33149364_1_20251215T111532Z.jpg</v>
      </c>
    </row>
    <row r="376" spans="1:13" x14ac:dyDescent="0.25">
      <c r="A376" s="2" t="s">
        <v>13</v>
      </c>
      <c r="B376" s="4">
        <v>46006</v>
      </c>
      <c r="C376" s="5">
        <v>0.47025462962962961</v>
      </c>
      <c r="D376" s="9" t="s">
        <v>1063</v>
      </c>
      <c r="E376" s="9" t="s">
        <v>58</v>
      </c>
      <c r="F376" s="9"/>
      <c r="H376" s="9"/>
      <c r="I376" s="9" t="s">
        <v>6289</v>
      </c>
      <c r="J376" s="9" t="s">
        <v>2948</v>
      </c>
      <c r="K376" t="s">
        <v>6290</v>
      </c>
      <c r="L376" t="s">
        <v>6291</v>
      </c>
      <c r="M376" s="3" t="str">
        <f>HYPERLINK(склад2въезд13192021222[[#This Row],[RelativePath]])</f>
        <v>9 Ангар пилорама\E33149364_1_20251215T111710Z.jpg</v>
      </c>
    </row>
    <row r="377" spans="1:13" x14ac:dyDescent="0.25">
      <c r="A377" s="2" t="s">
        <v>13</v>
      </c>
      <c r="B377" s="4">
        <v>46006</v>
      </c>
      <c r="C377" s="5">
        <v>0.51065972222222222</v>
      </c>
      <c r="D377" s="9" t="s">
        <v>4</v>
      </c>
      <c r="E377" s="9" t="s">
        <v>9</v>
      </c>
      <c r="F377" s="9"/>
      <c r="H377" s="9"/>
      <c r="I377" s="9" t="s">
        <v>6292</v>
      </c>
      <c r="J377" s="9" t="s">
        <v>2948</v>
      </c>
      <c r="K377" t="s">
        <v>6293</v>
      </c>
      <c r="L377" t="s">
        <v>6294</v>
      </c>
      <c r="M377" s="3" t="str">
        <f>HYPERLINK(склад2въезд13192021222[[#This Row],[RelativePath]])</f>
        <v>9 Ангар пилорама\E33149364_1_20251215T121521Z.jpg</v>
      </c>
    </row>
    <row r="378" spans="1:13" x14ac:dyDescent="0.25">
      <c r="A378" s="2" t="s">
        <v>13</v>
      </c>
      <c r="B378" s="4">
        <v>46006</v>
      </c>
      <c r="C378" s="5">
        <v>0.61063657407407412</v>
      </c>
      <c r="D378" s="9" t="s">
        <v>1063</v>
      </c>
      <c r="E378" s="9" t="s">
        <v>53</v>
      </c>
      <c r="F378" s="9"/>
      <c r="H378" s="9"/>
      <c r="I378" s="9" t="s">
        <v>6295</v>
      </c>
      <c r="J378" s="9" t="s">
        <v>2948</v>
      </c>
      <c r="K378" t="s">
        <v>6296</v>
      </c>
      <c r="L378" t="s">
        <v>6297</v>
      </c>
      <c r="M378" s="3" t="str">
        <f>HYPERLINK(склад2въезд13192021222[[#This Row],[RelativePath]])</f>
        <v>9 Ангар пилорама\E33149364_1_20251215T143919Z.jpg</v>
      </c>
    </row>
    <row r="379" spans="1:13" x14ac:dyDescent="0.25">
      <c r="A379" s="2" t="s">
        <v>13</v>
      </c>
      <c r="B379" s="4">
        <v>46006</v>
      </c>
      <c r="C379" s="5">
        <v>0.67107638888888888</v>
      </c>
      <c r="D379" s="9" t="s">
        <v>4</v>
      </c>
      <c r="E379" s="9" t="s">
        <v>9</v>
      </c>
      <c r="F379" s="9"/>
      <c r="H379" s="9"/>
      <c r="I379" s="9" t="s">
        <v>6298</v>
      </c>
      <c r="J379" s="9" t="s">
        <v>2948</v>
      </c>
      <c r="K379" t="s">
        <v>6299</v>
      </c>
      <c r="L379" t="s">
        <v>6300</v>
      </c>
      <c r="M379" s="3" t="str">
        <f>HYPERLINK(склад2въезд13192021222[[#This Row],[RelativePath]])</f>
        <v>9 Ангар пилорама\E33149364_1_20251215T160621Z.jpg</v>
      </c>
    </row>
    <row r="380" spans="1:13" x14ac:dyDescent="0.25">
      <c r="A380" s="2" t="s">
        <v>13</v>
      </c>
      <c r="B380" s="4">
        <v>46006</v>
      </c>
      <c r="C380" s="5">
        <v>0.69133101851851853</v>
      </c>
      <c r="D380" s="9" t="s">
        <v>4</v>
      </c>
      <c r="E380" s="9" t="s">
        <v>9</v>
      </c>
      <c r="F380" s="9"/>
      <c r="H380" s="9" t="s">
        <v>2891</v>
      </c>
      <c r="I380" s="9" t="s">
        <v>6301</v>
      </c>
      <c r="J380" s="9" t="s">
        <v>2948</v>
      </c>
      <c r="K380" t="s">
        <v>6302</v>
      </c>
      <c r="L380" t="s">
        <v>6303</v>
      </c>
      <c r="M380" s="3" t="str">
        <f>HYPERLINK(склад2въезд13192021222[[#This Row],[RelativePath]])</f>
        <v>9 Ангар пилорама\E33149364_1_20251215T163531Z.jpg</v>
      </c>
    </row>
    <row r="381" spans="1:13" x14ac:dyDescent="0.25">
      <c r="A381" s="2" t="s">
        <v>13</v>
      </c>
      <c r="B381" s="4">
        <v>46006</v>
      </c>
      <c r="C381" s="5">
        <v>0.71236111111111111</v>
      </c>
      <c r="D381" s="9" t="s">
        <v>4</v>
      </c>
      <c r="E381" s="9" t="s">
        <v>9</v>
      </c>
      <c r="F381" s="9"/>
      <c r="H381" s="9" t="s">
        <v>2891</v>
      </c>
      <c r="I381" s="9" t="s">
        <v>6304</v>
      </c>
      <c r="J381" s="9" t="s">
        <v>2948</v>
      </c>
      <c r="K381" t="s">
        <v>6305</v>
      </c>
      <c r="L381" t="s">
        <v>6306</v>
      </c>
      <c r="M381" s="3" t="str">
        <f>HYPERLINK(склад2въезд13192021222[[#This Row],[RelativePath]])</f>
        <v>9 Ангар пилорама\E33149364_1_20251215T170548Z.jpg</v>
      </c>
    </row>
    <row r="382" spans="1:13" x14ac:dyDescent="0.25">
      <c r="A382" s="2" t="s">
        <v>13</v>
      </c>
      <c r="B382" s="4">
        <v>46006</v>
      </c>
      <c r="C382" s="5">
        <v>0.71415509259259258</v>
      </c>
      <c r="D382" s="9" t="s">
        <v>4</v>
      </c>
      <c r="E382" s="9" t="s">
        <v>9</v>
      </c>
      <c r="F382" s="9"/>
      <c r="H382" s="9" t="s">
        <v>2891</v>
      </c>
      <c r="I382" s="9" t="s">
        <v>6307</v>
      </c>
      <c r="J382" s="9" t="s">
        <v>2948</v>
      </c>
      <c r="K382" t="s">
        <v>6308</v>
      </c>
      <c r="L382" t="s">
        <v>6309</v>
      </c>
      <c r="M382" s="3" t="str">
        <f>HYPERLINK(склад2въезд13192021222[[#This Row],[RelativePath]])</f>
        <v>9 Ангар пилорама\E33149364_1_20251215T170823Z.jpg</v>
      </c>
    </row>
    <row r="383" spans="1:13" x14ac:dyDescent="0.25">
      <c r="A383" s="2" t="s">
        <v>14</v>
      </c>
      <c r="B383" s="4">
        <v>46007</v>
      </c>
      <c r="C383" s="5">
        <v>0.2507523148148148</v>
      </c>
      <c r="D383" s="9" t="s">
        <v>4</v>
      </c>
      <c r="E383" s="9" t="s">
        <v>9</v>
      </c>
      <c r="F383" s="9"/>
      <c r="H383" s="9"/>
      <c r="I383" s="9" t="s">
        <v>6502</v>
      </c>
      <c r="J383" s="9" t="s">
        <v>2948</v>
      </c>
      <c r="K383" t="s">
        <v>6503</v>
      </c>
      <c r="L383" t="s">
        <v>6504</v>
      </c>
      <c r="M383" s="3" t="str">
        <f>HYPERLINK(склад2въезд13192021222[[#This Row],[RelativePath]])</f>
        <v>9 Ангар пилорама\E33149364_1_20251216T060105Z.jpg</v>
      </c>
    </row>
    <row r="384" spans="1:13" x14ac:dyDescent="0.25">
      <c r="A384" s="2" t="s">
        <v>14</v>
      </c>
      <c r="B384" s="4">
        <v>46007</v>
      </c>
      <c r="C384" s="5">
        <v>0.31835648148148149</v>
      </c>
      <c r="D384" s="9" t="s">
        <v>4</v>
      </c>
      <c r="E384" s="9" t="s">
        <v>9</v>
      </c>
      <c r="F384" s="9"/>
      <c r="H384" s="9" t="s">
        <v>2891</v>
      </c>
      <c r="I384" s="9" t="s">
        <v>6505</v>
      </c>
      <c r="J384" s="9" t="s">
        <v>2948</v>
      </c>
      <c r="K384" t="s">
        <v>6506</v>
      </c>
      <c r="L384" t="s">
        <v>6507</v>
      </c>
      <c r="M384" s="3" t="str">
        <f>HYPERLINK(склад2въезд13192021222[[#This Row],[RelativePath]])</f>
        <v>9 Ангар пилорама\E33149364_1_20251216T073826Z.jpg</v>
      </c>
    </row>
    <row r="385" spans="1:13" x14ac:dyDescent="0.25">
      <c r="A385" s="2" t="s">
        <v>14</v>
      </c>
      <c r="B385" s="4">
        <v>46007</v>
      </c>
      <c r="C385" s="5">
        <v>0.38035879629629632</v>
      </c>
      <c r="D385" s="9" t="s">
        <v>4</v>
      </c>
      <c r="E385" s="9" t="s">
        <v>9</v>
      </c>
      <c r="F385" s="9"/>
      <c r="H385" s="9" t="s">
        <v>2891</v>
      </c>
      <c r="I385" s="9" t="s">
        <v>6508</v>
      </c>
      <c r="J385" s="9" t="s">
        <v>2948</v>
      </c>
      <c r="K385" t="s">
        <v>6509</v>
      </c>
      <c r="L385" t="s">
        <v>6510</v>
      </c>
      <c r="M385" s="3" t="str">
        <f>HYPERLINK(склад2въезд13192021222[[#This Row],[RelativePath]])</f>
        <v>9 Ангар пилорама\E33149364_1_20251216T090743Z.jpg</v>
      </c>
    </row>
    <row r="386" spans="1:13" x14ac:dyDescent="0.25">
      <c r="A386" s="2" t="s">
        <v>14</v>
      </c>
      <c r="B386" s="4">
        <v>46007</v>
      </c>
      <c r="C386" s="5">
        <v>0.39677083333333335</v>
      </c>
      <c r="D386" s="9" t="s">
        <v>4</v>
      </c>
      <c r="E386" s="9" t="s">
        <v>9</v>
      </c>
      <c r="F386" s="9"/>
      <c r="H386" s="9" t="s">
        <v>2891</v>
      </c>
      <c r="I386" s="9" t="s">
        <v>6511</v>
      </c>
      <c r="J386" s="9" t="s">
        <v>2948</v>
      </c>
      <c r="K386" t="s">
        <v>6512</v>
      </c>
      <c r="L386" t="s">
        <v>6513</v>
      </c>
      <c r="M386" s="3" t="str">
        <f>HYPERLINK(склад2въезд13192021222[[#This Row],[RelativePath]])</f>
        <v>9 Ангар пилорама\E33149364_1_20251216T093121Z.jpg</v>
      </c>
    </row>
    <row r="387" spans="1:13" x14ac:dyDescent="0.25">
      <c r="A387" s="2" t="s">
        <v>14</v>
      </c>
      <c r="B387" s="4">
        <v>46007</v>
      </c>
      <c r="C387" s="5">
        <v>0.41668981481481482</v>
      </c>
      <c r="D387" s="9" t="s">
        <v>4</v>
      </c>
      <c r="E387" s="9" t="s">
        <v>9</v>
      </c>
      <c r="F387" s="9"/>
      <c r="H387" s="9" t="s">
        <v>2891</v>
      </c>
      <c r="I387" s="9" t="s">
        <v>6514</v>
      </c>
      <c r="J387" s="9" t="s">
        <v>2948</v>
      </c>
      <c r="K387" t="s">
        <v>6515</v>
      </c>
      <c r="L387" t="s">
        <v>6516</v>
      </c>
      <c r="M387" s="3" t="str">
        <f>HYPERLINK(склад2въезд13192021222[[#This Row],[RelativePath]])</f>
        <v>9 Ангар пилорама\E33149364_1_20251216T100002Z.jpg</v>
      </c>
    </row>
    <row r="388" spans="1:13" x14ac:dyDescent="0.25">
      <c r="A388" s="2" t="s">
        <v>14</v>
      </c>
      <c r="B388" s="4">
        <v>46007</v>
      </c>
      <c r="C388" s="5">
        <v>0.53457175925925926</v>
      </c>
      <c r="D388" s="9" t="s">
        <v>4</v>
      </c>
      <c r="E388" s="9" t="s">
        <v>9</v>
      </c>
      <c r="F388" s="9"/>
      <c r="H388" s="9" t="s">
        <v>2891</v>
      </c>
      <c r="I388" s="9" t="s">
        <v>6517</v>
      </c>
      <c r="J388" s="9" t="s">
        <v>2948</v>
      </c>
      <c r="K388" t="s">
        <v>6518</v>
      </c>
      <c r="L388" t="s">
        <v>6519</v>
      </c>
      <c r="M388" s="3" t="str">
        <f>HYPERLINK(склад2въезд13192021222[[#This Row],[RelativePath]])</f>
        <v>9 Ангар пилорама\E33149364_1_20251216T124947Z.jpg</v>
      </c>
    </row>
    <row r="389" spans="1:13" x14ac:dyDescent="0.25">
      <c r="A389" s="2" t="s">
        <v>14</v>
      </c>
      <c r="B389" s="4">
        <v>46007</v>
      </c>
      <c r="C389" s="5">
        <v>0.58635416666666662</v>
      </c>
      <c r="D389" s="9" t="s">
        <v>4</v>
      </c>
      <c r="E389" s="9" t="s">
        <v>9</v>
      </c>
      <c r="F389" s="9"/>
      <c r="H389" s="9"/>
      <c r="I389" s="9" t="s">
        <v>6520</v>
      </c>
      <c r="J389" s="9" t="s">
        <v>2948</v>
      </c>
      <c r="K389" t="s">
        <v>6521</v>
      </c>
      <c r="L389" t="s">
        <v>6522</v>
      </c>
      <c r="M389" s="3" t="str">
        <f>HYPERLINK(склад2въезд13192021222[[#This Row],[RelativePath]])</f>
        <v>9 Ангар пилорама\E33149364_1_20251216T140421Z.jpg</v>
      </c>
    </row>
    <row r="390" spans="1:13" x14ac:dyDescent="0.25">
      <c r="A390" s="2" t="s">
        <v>14</v>
      </c>
      <c r="B390" s="4">
        <v>46007</v>
      </c>
      <c r="C390" s="5">
        <v>0.70187500000000003</v>
      </c>
      <c r="D390" s="9" t="s">
        <v>4</v>
      </c>
      <c r="E390" s="9" t="s">
        <v>9</v>
      </c>
      <c r="F390" s="9"/>
      <c r="H390" s="9"/>
      <c r="I390" s="9" t="s">
        <v>6523</v>
      </c>
      <c r="J390" s="9" t="s">
        <v>2948</v>
      </c>
      <c r="K390" t="s">
        <v>6524</v>
      </c>
      <c r="L390" t="s">
        <v>6525</v>
      </c>
      <c r="M390" s="3" t="str">
        <f>HYPERLINK(склад2въезд13192021222[[#This Row],[RelativePath]])</f>
        <v>9 Ангар пилорама\E33149364_1_20251216T165042Z.jpg</v>
      </c>
    </row>
    <row r="391" spans="1:13" x14ac:dyDescent="0.25">
      <c r="A391" s="2" t="s">
        <v>15</v>
      </c>
      <c r="B391" s="4">
        <v>46008</v>
      </c>
      <c r="C391" s="5">
        <v>0.37550925925925926</v>
      </c>
      <c r="D391" s="9" t="s">
        <v>4</v>
      </c>
      <c r="E391" s="9" t="s">
        <v>9</v>
      </c>
      <c r="F391" s="9"/>
      <c r="H391" s="9"/>
      <c r="I391" s="9" t="s">
        <v>6640</v>
      </c>
      <c r="J391" s="9" t="s">
        <v>2948</v>
      </c>
      <c r="K391" t="s">
        <v>6641</v>
      </c>
      <c r="L391" t="s">
        <v>6642</v>
      </c>
      <c r="M391" s="3" t="str">
        <f>HYPERLINK(склад2въезд13192021222[[#This Row],[RelativePath]])</f>
        <v>9 Ангар пилорама\E33149364_1_20251217T090044Z.jpg</v>
      </c>
    </row>
    <row r="392" spans="1:13" x14ac:dyDescent="0.25">
      <c r="A392" s="2" t="s">
        <v>15</v>
      </c>
      <c r="B392" s="4">
        <v>46008</v>
      </c>
      <c r="C392" s="5">
        <v>0.42748842592592595</v>
      </c>
      <c r="D392" s="9" t="s">
        <v>4</v>
      </c>
      <c r="E392" s="9" t="s">
        <v>6785</v>
      </c>
      <c r="F392" s="9"/>
      <c r="H392" s="9"/>
      <c r="I392" s="9" t="s">
        <v>6643</v>
      </c>
      <c r="J392" s="9" t="s">
        <v>2948</v>
      </c>
      <c r="K392" t="s">
        <v>6644</v>
      </c>
      <c r="L392" t="s">
        <v>6645</v>
      </c>
      <c r="M392" s="3" t="str">
        <f>HYPERLINK(склад2въезд13192021222[[#This Row],[RelativePath]])</f>
        <v>9 Ангар пилорама\E33149364_1_20251217T101535Z.jpg</v>
      </c>
    </row>
    <row r="393" spans="1:13" x14ac:dyDescent="0.25">
      <c r="A393" s="2" t="s">
        <v>15</v>
      </c>
      <c r="B393" s="4">
        <v>46008</v>
      </c>
      <c r="C393" s="5">
        <v>0.43063657407407407</v>
      </c>
      <c r="D393" s="9" t="s">
        <v>1063</v>
      </c>
      <c r="E393" s="9" t="s">
        <v>58</v>
      </c>
      <c r="F393" s="9"/>
      <c r="H393" s="9"/>
      <c r="I393" s="9" t="s">
        <v>6646</v>
      </c>
      <c r="J393" s="9" t="s">
        <v>2948</v>
      </c>
      <c r="K393" t="s">
        <v>6647</v>
      </c>
      <c r="L393" t="s">
        <v>6648</v>
      </c>
      <c r="M393" s="3" t="str">
        <f>HYPERLINK(склад2въезд13192021222[[#This Row],[RelativePath]])</f>
        <v>9 Ангар пилорама\E33149364_1_20251217T102007Z.jpg</v>
      </c>
    </row>
    <row r="394" spans="1:13" x14ac:dyDescent="0.25">
      <c r="A394" s="2" t="s">
        <v>15</v>
      </c>
      <c r="B394" s="4">
        <v>46008</v>
      </c>
      <c r="C394" s="5">
        <v>0.45927083333333335</v>
      </c>
      <c r="D394" s="9" t="s">
        <v>4</v>
      </c>
      <c r="E394" s="9" t="s">
        <v>9</v>
      </c>
      <c r="F394" s="9"/>
      <c r="H394" s="9" t="s">
        <v>2891</v>
      </c>
      <c r="I394" s="9" t="s">
        <v>6649</v>
      </c>
      <c r="J394" s="9" t="s">
        <v>2948</v>
      </c>
      <c r="K394" t="s">
        <v>6650</v>
      </c>
      <c r="L394" t="s">
        <v>6651</v>
      </c>
      <c r="M394" s="3" t="str">
        <f>HYPERLINK(склад2въезд13192021222[[#This Row],[RelativePath]])</f>
        <v>9 Ангар пилорама\E33149364_1_20251217T110121Z.jpg</v>
      </c>
    </row>
    <row r="395" spans="1:13" x14ac:dyDescent="0.25">
      <c r="A395" s="2" t="s">
        <v>15</v>
      </c>
      <c r="B395" s="4">
        <v>46008</v>
      </c>
      <c r="C395" s="5">
        <v>0.47336805555555556</v>
      </c>
      <c r="D395" s="9" t="s">
        <v>1063</v>
      </c>
      <c r="E395" s="9" t="s">
        <v>58</v>
      </c>
      <c r="F395" s="9"/>
      <c r="H395" s="9"/>
      <c r="I395" s="9" t="s">
        <v>6652</v>
      </c>
      <c r="J395" s="9" t="s">
        <v>2948</v>
      </c>
      <c r="K395" t="s">
        <v>6653</v>
      </c>
      <c r="L395" t="s">
        <v>6654</v>
      </c>
      <c r="M395" s="3" t="str">
        <f>HYPERLINK(склад2въезд13192021222[[#This Row],[RelativePath]])</f>
        <v>9 Ангар пилорама\E33149364_1_20251217T112139Z.jpg</v>
      </c>
    </row>
    <row r="396" spans="1:13" x14ac:dyDescent="0.25">
      <c r="A396" s="2" t="s">
        <v>15</v>
      </c>
      <c r="B396" s="4">
        <v>46008</v>
      </c>
      <c r="C396" s="5">
        <v>0.4846064814814815</v>
      </c>
      <c r="D396" s="9" t="s">
        <v>4</v>
      </c>
      <c r="E396" s="9" t="s">
        <v>9</v>
      </c>
      <c r="F396" s="9"/>
      <c r="H396" s="9" t="s">
        <v>2891</v>
      </c>
      <c r="I396" s="9" t="s">
        <v>6655</v>
      </c>
      <c r="J396" s="9" t="s">
        <v>2948</v>
      </c>
      <c r="K396" t="s">
        <v>6656</v>
      </c>
      <c r="L396" t="s">
        <v>6657</v>
      </c>
      <c r="M396" s="3" t="str">
        <f>HYPERLINK(склад2въезд13192021222[[#This Row],[RelativePath]])</f>
        <v>9 Ангар пилорама\E33149364_1_20251217T113750Z.jpg</v>
      </c>
    </row>
    <row r="397" spans="1:13" x14ac:dyDescent="0.25">
      <c r="A397" s="2" t="s">
        <v>15</v>
      </c>
      <c r="B397" s="4">
        <v>46008</v>
      </c>
      <c r="C397" s="5">
        <v>0.48640046296296297</v>
      </c>
      <c r="D397" s="9" t="s">
        <v>1063</v>
      </c>
      <c r="E397" s="9" t="s">
        <v>53</v>
      </c>
      <c r="F397" s="9"/>
      <c r="H397" s="9"/>
      <c r="I397" s="9" t="s">
        <v>6658</v>
      </c>
      <c r="J397" s="9" t="s">
        <v>2948</v>
      </c>
      <c r="K397" t="s">
        <v>6659</v>
      </c>
      <c r="L397" t="s">
        <v>6660</v>
      </c>
      <c r="M397" s="3" t="str">
        <f>HYPERLINK(склад2въезд13192021222[[#This Row],[RelativePath]])</f>
        <v>9 Ангар пилорама\E33149364_1_20251217T114025Z.jpg</v>
      </c>
    </row>
    <row r="398" spans="1:13" x14ac:dyDescent="0.25">
      <c r="A398" s="2" t="s">
        <v>15</v>
      </c>
      <c r="B398" s="4">
        <v>46008</v>
      </c>
      <c r="C398" s="5">
        <v>0.51541666666666663</v>
      </c>
      <c r="D398" s="9" t="s">
        <v>1063</v>
      </c>
      <c r="E398" s="9" t="s">
        <v>58</v>
      </c>
      <c r="F398" s="9"/>
      <c r="H398" s="9"/>
      <c r="I398" s="9" t="s">
        <v>6661</v>
      </c>
      <c r="J398" s="9" t="s">
        <v>2948</v>
      </c>
      <c r="K398" t="s">
        <v>6662</v>
      </c>
      <c r="L398" t="s">
        <v>6663</v>
      </c>
      <c r="M398" s="3" t="str">
        <f>HYPERLINK(склад2въезд13192021222[[#This Row],[RelativePath]])</f>
        <v>9 Ангар пилорама\E33149364_1_20251217T122212Z.jpg</v>
      </c>
    </row>
    <row r="399" spans="1:13" x14ac:dyDescent="0.25">
      <c r="A399" s="2" t="s">
        <v>15</v>
      </c>
      <c r="B399" s="4">
        <v>46008</v>
      </c>
      <c r="C399" s="5">
        <v>0.51849537037037041</v>
      </c>
      <c r="D399" s="9" t="s">
        <v>4</v>
      </c>
      <c r="E399" s="9" t="s">
        <v>9</v>
      </c>
      <c r="F399" s="9"/>
      <c r="H399" s="9" t="s">
        <v>2891</v>
      </c>
      <c r="I399" s="9" t="s">
        <v>6664</v>
      </c>
      <c r="J399" s="9" t="s">
        <v>2948</v>
      </c>
      <c r="K399" t="s">
        <v>6665</v>
      </c>
      <c r="L399" t="s">
        <v>6666</v>
      </c>
      <c r="M399" s="3" t="str">
        <f>HYPERLINK(склад2въезд13192021222[[#This Row],[RelativePath]])</f>
        <v>9 Ангар пилорама\E33149364_1_20251217T122638Z.jpg</v>
      </c>
    </row>
    <row r="400" spans="1:13" x14ac:dyDescent="0.25">
      <c r="A400" s="2" t="s">
        <v>15</v>
      </c>
      <c r="B400" s="4">
        <v>46008</v>
      </c>
      <c r="C400" s="5">
        <v>0.53151620370370367</v>
      </c>
      <c r="D400" s="9" t="s">
        <v>4</v>
      </c>
      <c r="E400" s="9" t="s">
        <v>9</v>
      </c>
      <c r="F400" s="9"/>
      <c r="H400" s="9" t="s">
        <v>2891</v>
      </c>
      <c r="I400" s="9" t="s">
        <v>6667</v>
      </c>
      <c r="J400" s="9" t="s">
        <v>2948</v>
      </c>
      <c r="K400" t="s">
        <v>6668</v>
      </c>
      <c r="L400" t="s">
        <v>6669</v>
      </c>
      <c r="M400" s="3" t="str">
        <f>HYPERLINK(склад2въезд13192021222[[#This Row],[RelativePath]])</f>
        <v>9 Ангар пилорама\E33149364_1_20251217T124523Z.jpg</v>
      </c>
    </row>
    <row r="401" spans="1:13" x14ac:dyDescent="0.25">
      <c r="A401" s="2" t="s">
        <v>15</v>
      </c>
      <c r="B401" s="4">
        <v>46008</v>
      </c>
      <c r="C401" s="5">
        <v>0.62016203703703698</v>
      </c>
      <c r="D401" s="9" t="s">
        <v>4</v>
      </c>
      <c r="E401" s="9" t="s">
        <v>9</v>
      </c>
      <c r="F401" s="9"/>
      <c r="H401" s="9" t="s">
        <v>2891</v>
      </c>
      <c r="I401" s="9" t="s">
        <v>6670</v>
      </c>
      <c r="J401" s="9" t="s">
        <v>2948</v>
      </c>
      <c r="K401" t="s">
        <v>6671</v>
      </c>
      <c r="L401" t="s">
        <v>6672</v>
      </c>
      <c r="M401" s="3" t="str">
        <f>HYPERLINK(склад2въезд13192021222[[#This Row],[RelativePath]])</f>
        <v>9 Ангар пилорама\E33149364_1_20251217T145302Z.jpg</v>
      </c>
    </row>
    <row r="402" spans="1:13" x14ac:dyDescent="0.25">
      <c r="A402" s="2" t="s">
        <v>15</v>
      </c>
      <c r="B402" s="4">
        <v>46008</v>
      </c>
      <c r="C402" s="5">
        <v>0.62037037037037035</v>
      </c>
      <c r="D402" s="9" t="s">
        <v>1063</v>
      </c>
      <c r="E402" s="9" t="s">
        <v>53</v>
      </c>
      <c r="F402" s="9"/>
      <c r="H402" s="9"/>
      <c r="I402" s="9" t="s">
        <v>6673</v>
      </c>
      <c r="J402" s="9" t="s">
        <v>2948</v>
      </c>
      <c r="K402" t="s">
        <v>6674</v>
      </c>
      <c r="L402" t="s">
        <v>6675</v>
      </c>
      <c r="M402" s="3" t="str">
        <f>HYPERLINK(склад2въезд13192021222[[#This Row],[RelativePath]])</f>
        <v>9 Ангар пилорама\E33149364_1_20251217T145320Z.jpg</v>
      </c>
    </row>
    <row r="403" spans="1:13" x14ac:dyDescent="0.25">
      <c r="A403" s="2" t="s">
        <v>15</v>
      </c>
      <c r="B403" s="4">
        <v>46008</v>
      </c>
      <c r="C403" s="5">
        <v>0.62105324074074075</v>
      </c>
      <c r="D403" s="9" t="s">
        <v>4</v>
      </c>
      <c r="E403" s="9" t="s">
        <v>6786</v>
      </c>
      <c r="F403" s="9"/>
      <c r="H403" s="9"/>
      <c r="I403" s="9" t="s">
        <v>6676</v>
      </c>
      <c r="J403" s="9" t="s">
        <v>2948</v>
      </c>
      <c r="K403" t="s">
        <v>6677</v>
      </c>
      <c r="L403" t="s">
        <v>6678</v>
      </c>
      <c r="M403" s="3" t="str">
        <f>HYPERLINK(склад2въезд13192021222[[#This Row],[RelativePath]])</f>
        <v>9 Ангар пилорама\E33149364_1_20251217T145419Z.jpg</v>
      </c>
    </row>
    <row r="404" spans="1:13" x14ac:dyDescent="0.25">
      <c r="A404" s="2" t="s">
        <v>15</v>
      </c>
      <c r="B404" s="4">
        <v>46008</v>
      </c>
      <c r="C404" s="5">
        <v>0.65487268518518515</v>
      </c>
      <c r="D404" s="9" t="s">
        <v>1063</v>
      </c>
      <c r="E404" s="9" t="s">
        <v>53</v>
      </c>
      <c r="F404" s="9"/>
      <c r="H404" s="9"/>
      <c r="I404" s="9" t="s">
        <v>6679</v>
      </c>
      <c r="J404" s="9" t="s">
        <v>2948</v>
      </c>
      <c r="K404" t="s">
        <v>6680</v>
      </c>
      <c r="L404" t="s">
        <v>6681</v>
      </c>
      <c r="M404" s="3" t="str">
        <f>HYPERLINK(склад2въезд13192021222[[#This Row],[RelativePath]])</f>
        <v>9 Ангар пилорама\E33149364_1_20251217T154301Z.jpg</v>
      </c>
    </row>
    <row r="405" spans="1:13" x14ac:dyDescent="0.25">
      <c r="A405" s="2" t="s">
        <v>15</v>
      </c>
      <c r="B405" s="4">
        <v>46008</v>
      </c>
      <c r="C405" s="5">
        <v>0.65680555555555553</v>
      </c>
      <c r="D405" s="9" t="s">
        <v>4</v>
      </c>
      <c r="E405" s="9" t="s">
        <v>9</v>
      </c>
      <c r="F405" s="9"/>
      <c r="H405" s="9"/>
      <c r="I405" s="9" t="s">
        <v>6682</v>
      </c>
      <c r="J405" s="9" t="s">
        <v>2948</v>
      </c>
      <c r="K405" t="s">
        <v>6683</v>
      </c>
      <c r="L405" t="s">
        <v>6684</v>
      </c>
      <c r="M405" s="3" t="str">
        <f>HYPERLINK(склад2въезд13192021222[[#This Row],[RelativePath]])</f>
        <v>9 Ангар пилорама\E33149364_1_20251217T154548Z.jpg</v>
      </c>
    </row>
    <row r="406" spans="1:13" x14ac:dyDescent="0.25">
      <c r="A406" s="2" t="s">
        <v>15</v>
      </c>
      <c r="B406" s="4">
        <v>46008</v>
      </c>
      <c r="C406" s="5">
        <v>0.6839467592592593</v>
      </c>
      <c r="D406" s="9" t="s">
        <v>1063</v>
      </c>
      <c r="E406" s="9" t="s">
        <v>58</v>
      </c>
      <c r="F406" s="9"/>
      <c r="H406" s="9"/>
      <c r="I406" s="9" t="s">
        <v>6685</v>
      </c>
      <c r="J406" s="9" t="s">
        <v>2948</v>
      </c>
      <c r="K406" t="s">
        <v>6686</v>
      </c>
      <c r="L406" t="s">
        <v>6687</v>
      </c>
      <c r="M406" s="3" t="str">
        <f>HYPERLINK(склад2въезд13192021222[[#This Row],[RelativePath]])</f>
        <v>9 Ангар пилорама\E33149364_1_20251217T162453Z.jpg</v>
      </c>
    </row>
    <row r="407" spans="1:13" x14ac:dyDescent="0.25">
      <c r="A407" s="2" t="s">
        <v>15</v>
      </c>
      <c r="B407" s="4">
        <v>46008</v>
      </c>
      <c r="C407" s="5">
        <v>0.68918981481481478</v>
      </c>
      <c r="D407" s="9" t="s">
        <v>1063</v>
      </c>
      <c r="E407" s="9" t="s">
        <v>58</v>
      </c>
      <c r="F407" s="9"/>
      <c r="H407" s="9"/>
      <c r="I407" s="9" t="s">
        <v>6688</v>
      </c>
      <c r="J407" s="9" t="s">
        <v>2948</v>
      </c>
      <c r="K407" t="s">
        <v>6689</v>
      </c>
      <c r="L407" t="s">
        <v>6690</v>
      </c>
      <c r="M407" s="3" t="str">
        <f>HYPERLINK(склад2въезд13192021222[[#This Row],[RelativePath]])</f>
        <v>9 Ангар пилорама\E33149364_1_20251217T163226Z.jpg</v>
      </c>
    </row>
    <row r="408" spans="1:13" x14ac:dyDescent="0.25">
      <c r="A408" s="2" t="s">
        <v>15</v>
      </c>
      <c r="B408" s="4">
        <v>46008</v>
      </c>
      <c r="C408" s="5">
        <v>0.69075231481481481</v>
      </c>
      <c r="D408" s="9" t="s">
        <v>1063</v>
      </c>
      <c r="E408" s="9" t="s">
        <v>58</v>
      </c>
      <c r="F408" s="9"/>
      <c r="H408" s="9"/>
      <c r="I408" s="9" t="s">
        <v>6691</v>
      </c>
      <c r="J408" s="9" t="s">
        <v>2948</v>
      </c>
      <c r="K408" t="s">
        <v>6692</v>
      </c>
      <c r="L408" t="s">
        <v>6693</v>
      </c>
      <c r="M408" s="3" t="str">
        <f>HYPERLINK(склад2въезд13192021222[[#This Row],[RelativePath]])</f>
        <v>9 Ангар пилорама\E33149364_1_20251217T163441Z.jpg</v>
      </c>
    </row>
    <row r="409" spans="1:13" x14ac:dyDescent="0.25">
      <c r="A409" s="2" t="s">
        <v>15</v>
      </c>
      <c r="B409" s="4">
        <v>46008</v>
      </c>
      <c r="C409" s="5">
        <v>0.70381944444444444</v>
      </c>
      <c r="D409" s="9" t="s">
        <v>4</v>
      </c>
      <c r="E409" s="9" t="s">
        <v>9</v>
      </c>
      <c r="F409" s="9"/>
      <c r="H409" s="9" t="s">
        <v>2891</v>
      </c>
      <c r="I409" s="9" t="s">
        <v>6694</v>
      </c>
      <c r="J409" s="9" t="s">
        <v>2948</v>
      </c>
      <c r="K409" t="s">
        <v>6695</v>
      </c>
      <c r="L409" t="s">
        <v>6696</v>
      </c>
      <c r="M409" s="3" t="str">
        <f>HYPERLINK(склад2въезд13192021222[[#This Row],[RelativePath]])</f>
        <v>9 Ангар пилорама\E33149364_1_20251217T165330Z.jpg</v>
      </c>
    </row>
    <row r="410" spans="1:13" x14ac:dyDescent="0.25">
      <c r="A410" s="2" t="s">
        <v>16</v>
      </c>
      <c r="B410" s="4">
        <v>46009</v>
      </c>
      <c r="C410" s="5">
        <v>0.36901620370370369</v>
      </c>
      <c r="D410" s="9" t="s">
        <v>4</v>
      </c>
      <c r="E410" s="9" t="s">
        <v>9</v>
      </c>
      <c r="F410" s="9"/>
      <c r="H410" s="9"/>
      <c r="I410" s="9" t="s">
        <v>6861</v>
      </c>
      <c r="J410" s="9" t="s">
        <v>2948</v>
      </c>
      <c r="K410" t="s">
        <v>6862</v>
      </c>
      <c r="L410" t="s">
        <v>6863</v>
      </c>
      <c r="M410" s="3" t="str">
        <f>HYPERLINK(склад2въезд13192021222[[#This Row],[RelativePath]])</f>
        <v>9 Ангар пилорама\E33149364_1_20251218T085123Z.jpg</v>
      </c>
    </row>
    <row r="411" spans="1:13" x14ac:dyDescent="0.25">
      <c r="A411" s="2" t="s">
        <v>16</v>
      </c>
      <c r="B411" s="4">
        <v>46009</v>
      </c>
      <c r="C411" s="5">
        <v>0.39912037037037035</v>
      </c>
      <c r="D411" s="9" t="s">
        <v>4</v>
      </c>
      <c r="E411" s="9" t="s">
        <v>9</v>
      </c>
      <c r="F411" s="9"/>
      <c r="H411" s="9" t="s">
        <v>2891</v>
      </c>
      <c r="I411" s="9" t="s">
        <v>6864</v>
      </c>
      <c r="J411" s="9" t="s">
        <v>2948</v>
      </c>
      <c r="K411" t="s">
        <v>6865</v>
      </c>
      <c r="L411" t="s">
        <v>6866</v>
      </c>
      <c r="M411" s="3" t="str">
        <f>HYPERLINK(склад2въезд13192021222[[#This Row],[RelativePath]])</f>
        <v>9 Ангар пилорама\E33149364_1_20251218T093444Z.jpg</v>
      </c>
    </row>
    <row r="412" spans="1:13" x14ac:dyDescent="0.25">
      <c r="A412" s="2" t="s">
        <v>16</v>
      </c>
      <c r="B412" s="4">
        <v>46009</v>
      </c>
      <c r="C412" s="5">
        <v>0.39923611111111112</v>
      </c>
      <c r="D412" s="9" t="s">
        <v>1063</v>
      </c>
      <c r="E412" s="9" t="s">
        <v>58</v>
      </c>
      <c r="F412" s="9"/>
      <c r="H412" s="9"/>
      <c r="I412" s="9" t="s">
        <v>6867</v>
      </c>
      <c r="J412" s="9" t="s">
        <v>2948</v>
      </c>
      <c r="K412" t="s">
        <v>6868</v>
      </c>
      <c r="L412" t="s">
        <v>6869</v>
      </c>
      <c r="M412" s="3" t="str">
        <f>HYPERLINK(склад2въезд13192021222[[#This Row],[RelativePath]])</f>
        <v>9 Ангар пилорама\E33149364_1_20251218T093454Z.jpg</v>
      </c>
    </row>
    <row r="413" spans="1:13" x14ac:dyDescent="0.25">
      <c r="A413" s="2" t="s">
        <v>16</v>
      </c>
      <c r="B413" s="4">
        <v>46009</v>
      </c>
      <c r="C413" s="5">
        <v>0.40178240740740739</v>
      </c>
      <c r="D413" s="9" t="s">
        <v>1063</v>
      </c>
      <c r="E413" s="9" t="s">
        <v>58</v>
      </c>
      <c r="F413" s="9"/>
      <c r="H413" s="9"/>
      <c r="I413" s="9" t="s">
        <v>6870</v>
      </c>
      <c r="J413" s="9" t="s">
        <v>2948</v>
      </c>
      <c r="K413" t="s">
        <v>6871</v>
      </c>
      <c r="L413" t="s">
        <v>6872</v>
      </c>
      <c r="M413" s="3" t="str">
        <f>HYPERLINK(склад2въезд13192021222[[#This Row],[RelativePath]])</f>
        <v>9 Ангар пилорама\E33149364_1_20251218T093834Z.jpg</v>
      </c>
    </row>
    <row r="414" spans="1:13" x14ac:dyDescent="0.25">
      <c r="A414" s="2" t="s">
        <v>16</v>
      </c>
      <c r="B414" s="4">
        <v>46009</v>
      </c>
      <c r="C414" s="5">
        <v>0.40280092592592592</v>
      </c>
      <c r="D414" s="9" t="s">
        <v>1063</v>
      </c>
      <c r="E414" s="9" t="s">
        <v>58</v>
      </c>
      <c r="F414" s="9"/>
      <c r="H414" s="9"/>
      <c r="I414" s="9" t="s">
        <v>6873</v>
      </c>
      <c r="J414" s="9" t="s">
        <v>2948</v>
      </c>
      <c r="K414" t="s">
        <v>6874</v>
      </c>
      <c r="L414" t="s">
        <v>6875</v>
      </c>
      <c r="M414" s="3" t="str">
        <f>HYPERLINK(склад2въезд13192021222[[#This Row],[RelativePath]])</f>
        <v>9 Ангар пилорама\E33149364_1_20251218T094002Z.jpg</v>
      </c>
    </row>
    <row r="415" spans="1:13" x14ac:dyDescent="0.25">
      <c r="A415" s="2" t="s">
        <v>16</v>
      </c>
      <c r="B415" s="4">
        <v>46009</v>
      </c>
      <c r="C415" s="5">
        <v>0.41087962962962965</v>
      </c>
      <c r="D415" s="9" t="s">
        <v>1063</v>
      </c>
      <c r="E415" s="9" t="s">
        <v>58</v>
      </c>
      <c r="F415" s="9"/>
      <c r="H415" s="9"/>
      <c r="I415" s="9" t="s">
        <v>6876</v>
      </c>
      <c r="J415" s="9" t="s">
        <v>2948</v>
      </c>
      <c r="K415" t="s">
        <v>6877</v>
      </c>
      <c r="L415" t="s">
        <v>6878</v>
      </c>
      <c r="M415" s="3" t="str">
        <f>HYPERLINK(склад2въезд13192021222[[#This Row],[RelativePath]])</f>
        <v>9 Ангар пилорама\E33149364_1_20251218T095140Z.jpg</v>
      </c>
    </row>
    <row r="416" spans="1:13" x14ac:dyDescent="0.25">
      <c r="A416" s="2" t="s">
        <v>16</v>
      </c>
      <c r="B416" s="4">
        <v>46009</v>
      </c>
      <c r="C416" s="5">
        <v>0.42708333333333331</v>
      </c>
      <c r="D416" s="9" t="s">
        <v>4</v>
      </c>
      <c r="E416" s="9" t="s">
        <v>9</v>
      </c>
      <c r="F416" s="9"/>
      <c r="H416" s="9" t="s">
        <v>2891</v>
      </c>
      <c r="I416" s="9" t="s">
        <v>6879</v>
      </c>
      <c r="J416" s="9" t="s">
        <v>2948</v>
      </c>
      <c r="K416" t="s">
        <v>6880</v>
      </c>
      <c r="L416" t="s">
        <v>6881</v>
      </c>
      <c r="M416" s="3" t="str">
        <f>HYPERLINK(склад2въезд13192021222[[#This Row],[RelativePath]])</f>
        <v>9 Ангар пилорама\E33149364_1_20251218T101500Z.jpg</v>
      </c>
    </row>
    <row r="417" spans="1:13" x14ac:dyDescent="0.25">
      <c r="A417" s="2" t="s">
        <v>16</v>
      </c>
      <c r="B417" s="4">
        <v>46009</v>
      </c>
      <c r="C417" s="5">
        <v>0.43113425925925924</v>
      </c>
      <c r="D417" s="9" t="s">
        <v>4</v>
      </c>
      <c r="E417" s="9" t="s">
        <v>9</v>
      </c>
      <c r="F417" s="9"/>
      <c r="H417" s="9" t="s">
        <v>2891</v>
      </c>
      <c r="I417" s="9" t="s">
        <v>6882</v>
      </c>
      <c r="J417" s="9" t="s">
        <v>2948</v>
      </c>
      <c r="K417" t="s">
        <v>6883</v>
      </c>
      <c r="L417" t="s">
        <v>6884</v>
      </c>
      <c r="M417" s="3" t="str">
        <f>HYPERLINK(склад2въезд13192021222[[#This Row],[RelativePath]])</f>
        <v>9 Ангар пилорама\E33149364_1_20251218T102050Z.jpg</v>
      </c>
    </row>
    <row r="418" spans="1:13" x14ac:dyDescent="0.25">
      <c r="A418" s="2" t="s">
        <v>16</v>
      </c>
      <c r="B418" s="4">
        <v>46009</v>
      </c>
      <c r="C418" s="5">
        <v>0.53173611111111108</v>
      </c>
      <c r="D418" s="9" t="s">
        <v>4</v>
      </c>
      <c r="E418" s="9" t="s">
        <v>9</v>
      </c>
      <c r="F418" s="9"/>
      <c r="H418" s="9" t="s">
        <v>2891</v>
      </c>
      <c r="I418" s="9" t="s">
        <v>6885</v>
      </c>
      <c r="J418" s="9" t="s">
        <v>2948</v>
      </c>
      <c r="K418" t="s">
        <v>6886</v>
      </c>
      <c r="L418" t="s">
        <v>6887</v>
      </c>
      <c r="M418" s="3" t="str">
        <f>HYPERLINK(склад2въезд13192021222[[#This Row],[RelativePath]])</f>
        <v>9 Ангар пилорама\E33149364_1_20251218T124542Z.jpg</v>
      </c>
    </row>
    <row r="419" spans="1:13" x14ac:dyDescent="0.25">
      <c r="A419" s="2" t="s">
        <v>16</v>
      </c>
      <c r="B419" s="4">
        <v>46009</v>
      </c>
      <c r="C419" s="5">
        <v>0.6004976851851852</v>
      </c>
      <c r="D419" s="9" t="s">
        <v>4162</v>
      </c>
      <c r="E419" s="9" t="s">
        <v>5411</v>
      </c>
      <c r="F419" s="9" t="s">
        <v>6109</v>
      </c>
      <c r="H419" s="9"/>
      <c r="I419" s="9" t="s">
        <v>6888</v>
      </c>
      <c r="J419" s="9" t="s">
        <v>2948</v>
      </c>
      <c r="K419" t="s">
        <v>6889</v>
      </c>
      <c r="L419" t="s">
        <v>6890</v>
      </c>
      <c r="M419" s="3" t="str">
        <f>HYPERLINK(склад2въезд13192021222[[#This Row],[RelativePath]])</f>
        <v>9 Ангар пилорама\E33149364_1_20251218T142443Z.jpg</v>
      </c>
    </row>
    <row r="420" spans="1:13" x14ac:dyDescent="0.25">
      <c r="A420" s="2" t="s">
        <v>16</v>
      </c>
      <c r="B420" s="4">
        <v>46009</v>
      </c>
      <c r="C420" s="5">
        <v>0.60859953703703706</v>
      </c>
      <c r="D420" s="9" t="s">
        <v>4162</v>
      </c>
      <c r="E420" s="9" t="s">
        <v>5411</v>
      </c>
      <c r="F420" s="9" t="s">
        <v>6109</v>
      </c>
      <c r="H420" s="9"/>
      <c r="I420" s="9" t="s">
        <v>6891</v>
      </c>
      <c r="J420" s="9" t="s">
        <v>2948</v>
      </c>
      <c r="K420" t="s">
        <v>6892</v>
      </c>
      <c r="L420" t="s">
        <v>6893</v>
      </c>
      <c r="M420" s="3" t="str">
        <f>HYPERLINK(склад2въезд13192021222[[#This Row],[RelativePath]])</f>
        <v>9 Ангар пилорама\E33149364_1_20251218T143623Z.jpg</v>
      </c>
    </row>
    <row r="421" spans="1:13" x14ac:dyDescent="0.25">
      <c r="A421" s="2" t="s">
        <v>16</v>
      </c>
      <c r="B421" s="4">
        <v>46009</v>
      </c>
      <c r="C421" s="5">
        <v>0.61283564814814817</v>
      </c>
      <c r="D421" s="9" t="s">
        <v>4162</v>
      </c>
      <c r="E421" s="9" t="s">
        <v>5411</v>
      </c>
      <c r="F421" s="9" t="s">
        <v>6109</v>
      </c>
      <c r="H421" s="9"/>
      <c r="I421" s="9" t="s">
        <v>6894</v>
      </c>
      <c r="J421" s="9" t="s">
        <v>2948</v>
      </c>
      <c r="K421" t="s">
        <v>6895</v>
      </c>
      <c r="L421" t="s">
        <v>6896</v>
      </c>
      <c r="M421" s="3" t="str">
        <f>HYPERLINK(склад2въезд13192021222[[#This Row],[RelativePath]])</f>
        <v>9 Ангар пилорама\E33149364_1_20251218T144229Z.jpg</v>
      </c>
    </row>
    <row r="422" spans="1:13" x14ac:dyDescent="0.25">
      <c r="A422" s="2" t="s">
        <v>16</v>
      </c>
      <c r="B422" s="4">
        <v>46009</v>
      </c>
      <c r="C422" s="5">
        <v>0.61603009259259256</v>
      </c>
      <c r="D422" s="9" t="s">
        <v>4</v>
      </c>
      <c r="E422" s="9" t="s">
        <v>9</v>
      </c>
      <c r="F422" s="9"/>
      <c r="H422" s="9"/>
      <c r="I422" s="9" t="s">
        <v>6897</v>
      </c>
      <c r="J422" s="9" t="s">
        <v>2948</v>
      </c>
      <c r="K422" t="s">
        <v>6898</v>
      </c>
      <c r="L422" t="s">
        <v>6899</v>
      </c>
      <c r="M422" s="3" t="str">
        <f>HYPERLINK(склад2въезд13192021222[[#This Row],[RelativePath]])</f>
        <v>9 Ангар пилорама\E33149364_1_20251218T144705Z.jpg</v>
      </c>
    </row>
    <row r="423" spans="1:13" x14ac:dyDescent="0.25">
      <c r="A423" s="2" t="s">
        <v>16</v>
      </c>
      <c r="B423" s="4">
        <v>46009</v>
      </c>
      <c r="C423" s="5">
        <v>0.67634259259259255</v>
      </c>
      <c r="D423" s="9" t="s">
        <v>1063</v>
      </c>
      <c r="E423" s="9" t="s">
        <v>58</v>
      </c>
      <c r="F423" s="9"/>
      <c r="H423" s="9"/>
      <c r="I423" s="9" t="s">
        <v>6900</v>
      </c>
      <c r="J423" s="9" t="s">
        <v>2948</v>
      </c>
      <c r="K423" t="s">
        <v>6901</v>
      </c>
      <c r="L423" t="s">
        <v>6902</v>
      </c>
      <c r="M423" s="3" t="str">
        <f>HYPERLINK(склад2въезд13192021222[[#This Row],[RelativePath]])</f>
        <v>9 Ангар пилорама\E33149364_1_20251218T161356Z.jpg</v>
      </c>
    </row>
    <row r="424" spans="1:13" x14ac:dyDescent="0.25">
      <c r="A424" s="2" t="s">
        <v>16</v>
      </c>
      <c r="B424" s="4">
        <v>46009</v>
      </c>
      <c r="C424" s="5">
        <v>0.68135416666666671</v>
      </c>
      <c r="D424" s="9" t="s">
        <v>4</v>
      </c>
      <c r="E424" s="9" t="s">
        <v>9</v>
      </c>
      <c r="F424" s="9"/>
      <c r="H424" s="9"/>
      <c r="I424" s="9" t="s">
        <v>6903</v>
      </c>
      <c r="J424" s="9" t="s">
        <v>2948</v>
      </c>
      <c r="K424" t="s">
        <v>6904</v>
      </c>
      <c r="L424" t="s">
        <v>6905</v>
      </c>
      <c r="M424" s="3" t="str">
        <f>HYPERLINK(склад2въезд13192021222[[#This Row],[RelativePath]])</f>
        <v>9 Ангар пилорама\E33149364_1_20251218T162109Z.jpg</v>
      </c>
    </row>
    <row r="425" spans="1:13" x14ac:dyDescent="0.25">
      <c r="A425" s="2" t="s">
        <v>16</v>
      </c>
      <c r="B425" s="4">
        <v>46009</v>
      </c>
      <c r="C425" s="5">
        <v>0.8699189814814815</v>
      </c>
      <c r="D425" s="9" t="s">
        <v>4</v>
      </c>
      <c r="E425" s="9" t="s">
        <v>9</v>
      </c>
      <c r="F425" s="9"/>
      <c r="H425" s="9" t="s">
        <v>2891</v>
      </c>
      <c r="I425" s="9" t="s">
        <v>6906</v>
      </c>
      <c r="J425" s="9" t="s">
        <v>2948</v>
      </c>
      <c r="K425" t="s">
        <v>6907</v>
      </c>
      <c r="L425" t="s">
        <v>6908</v>
      </c>
      <c r="M425" s="3" t="str">
        <f>HYPERLINK(склад2въезд13192021222[[#This Row],[RelativePath]])</f>
        <v>9 Ангар пилорама\E33149364_1_20251218T205241Z.jpg</v>
      </c>
    </row>
    <row r="426" spans="1:13" x14ac:dyDescent="0.25">
      <c r="A426" s="2" t="s">
        <v>16</v>
      </c>
      <c r="B426" s="4">
        <v>46009</v>
      </c>
      <c r="C426" s="5">
        <v>0.93030092592592595</v>
      </c>
      <c r="D426" s="9" t="s">
        <v>4</v>
      </c>
      <c r="E426" s="9" t="s">
        <v>9</v>
      </c>
      <c r="F426" s="9"/>
      <c r="H426" s="9" t="s">
        <v>2891</v>
      </c>
      <c r="I426" s="9" t="s">
        <v>6909</v>
      </c>
      <c r="J426" s="9" t="s">
        <v>2948</v>
      </c>
      <c r="K426" t="s">
        <v>6910</v>
      </c>
      <c r="L426" t="s">
        <v>6911</v>
      </c>
      <c r="M426" s="3" t="str">
        <f>HYPERLINK(склад2въезд13192021222[[#This Row],[RelativePath]])</f>
        <v>9 Ангар пилорама\E33149364_1_20251218T221938Z.jpg</v>
      </c>
    </row>
    <row r="427" spans="1:13" x14ac:dyDescent="0.25">
      <c r="A427" s="2" t="s">
        <v>16</v>
      </c>
      <c r="B427" s="4">
        <v>46009</v>
      </c>
      <c r="C427" s="5">
        <v>0.96598379629629627</v>
      </c>
      <c r="D427" s="9" t="s">
        <v>4</v>
      </c>
      <c r="E427" s="9" t="s">
        <v>9</v>
      </c>
      <c r="F427" s="9"/>
      <c r="H427" s="9" t="s">
        <v>2891</v>
      </c>
      <c r="I427" s="9" t="s">
        <v>6912</v>
      </c>
      <c r="J427" s="9" t="s">
        <v>2948</v>
      </c>
      <c r="K427" t="s">
        <v>6913</v>
      </c>
      <c r="L427" t="s">
        <v>6914</v>
      </c>
      <c r="M427" s="3" t="str">
        <f>HYPERLINK(склад2въезд13192021222[[#This Row],[RelativePath]])</f>
        <v>9 Ангар пилорама\E33149364_1_20251218T231101Z.jpg</v>
      </c>
    </row>
    <row r="428" spans="1:13" x14ac:dyDescent="0.25">
      <c r="A428" s="2" t="s">
        <v>17</v>
      </c>
      <c r="B428" s="4">
        <v>46010</v>
      </c>
      <c r="C428" s="5">
        <v>0.38917824074074076</v>
      </c>
      <c r="D428" s="9" t="s">
        <v>4</v>
      </c>
      <c r="E428" s="9" t="s">
        <v>9</v>
      </c>
      <c r="F428" s="9"/>
      <c r="H428" s="9" t="s">
        <v>2891</v>
      </c>
      <c r="I428" s="9" t="s">
        <v>6915</v>
      </c>
      <c r="J428" s="9" t="s">
        <v>2948</v>
      </c>
      <c r="K428" t="s">
        <v>6916</v>
      </c>
      <c r="L428" t="s">
        <v>6917</v>
      </c>
      <c r="M428" s="3" t="str">
        <f>HYPERLINK(склад2въезд13192021222[[#This Row],[RelativePath]])</f>
        <v>9 Ангар пилорама\E33149364_1_20251219T092025Z.jpg</v>
      </c>
    </row>
    <row r="429" spans="1:13" x14ac:dyDescent="0.25">
      <c r="A429" s="2" t="s">
        <v>17</v>
      </c>
      <c r="B429" s="4">
        <v>46010</v>
      </c>
      <c r="C429" s="5">
        <v>0.46508101851851852</v>
      </c>
      <c r="D429" s="9" t="s">
        <v>4</v>
      </c>
      <c r="E429" s="9" t="s">
        <v>9</v>
      </c>
      <c r="F429" s="9"/>
      <c r="H429" s="9" t="s">
        <v>2891</v>
      </c>
      <c r="I429" s="9" t="s">
        <v>6918</v>
      </c>
      <c r="J429" s="9" t="s">
        <v>2948</v>
      </c>
      <c r="K429" t="s">
        <v>6919</v>
      </c>
      <c r="L429" t="s">
        <v>6920</v>
      </c>
      <c r="M429" s="3" t="str">
        <f>HYPERLINK(склад2въезд13192021222[[#This Row],[RelativePath]])</f>
        <v>9 Ангар пилорама\E33149364_1_20251219T110943Z.jpg</v>
      </c>
    </row>
    <row r="430" spans="1:13" x14ac:dyDescent="0.25">
      <c r="A430" s="2" t="s">
        <v>17</v>
      </c>
      <c r="B430" s="4">
        <v>46010</v>
      </c>
      <c r="C430" s="5">
        <v>0.5122106481481481</v>
      </c>
      <c r="D430" s="9" t="s">
        <v>4</v>
      </c>
      <c r="E430" s="9" t="s">
        <v>9</v>
      </c>
      <c r="F430" s="9"/>
      <c r="H430" s="9" t="s">
        <v>2891</v>
      </c>
      <c r="I430" s="9" t="s">
        <v>6921</v>
      </c>
      <c r="J430" s="9" t="s">
        <v>2948</v>
      </c>
      <c r="K430" t="s">
        <v>6922</v>
      </c>
      <c r="L430" t="s">
        <v>6923</v>
      </c>
      <c r="M430" s="3" t="str">
        <f>HYPERLINK(склад2въезд13192021222[[#This Row],[RelativePath]])</f>
        <v>9 Ангар пилорама\E33149364_1_20251219T121735Z.jpg</v>
      </c>
    </row>
    <row r="431" spans="1:13" x14ac:dyDescent="0.25">
      <c r="A431" s="2" t="s">
        <v>17</v>
      </c>
      <c r="B431" s="4">
        <v>46010</v>
      </c>
      <c r="C431" s="5">
        <v>0.51262731481481483</v>
      </c>
      <c r="D431" s="9" t="s">
        <v>4</v>
      </c>
      <c r="E431" s="9" t="s">
        <v>1570</v>
      </c>
      <c r="F431" s="9" t="s">
        <v>7082</v>
      </c>
      <c r="H431" s="9"/>
      <c r="I431" s="9" t="s">
        <v>6924</v>
      </c>
      <c r="J431" s="9" t="s">
        <v>2948</v>
      </c>
      <c r="K431" t="s">
        <v>6925</v>
      </c>
      <c r="L431" t="s">
        <v>6926</v>
      </c>
      <c r="M431" s="3" t="str">
        <f>HYPERLINK(склад2въезд13192021222[[#This Row],[RelativePath]])</f>
        <v>9 Ангар пилорама\E33149364_1_20251219T121811Z.jpg</v>
      </c>
    </row>
    <row r="432" spans="1:13" x14ac:dyDescent="0.25">
      <c r="A432" s="2" t="s">
        <v>17</v>
      </c>
      <c r="B432" s="4">
        <v>46010</v>
      </c>
      <c r="C432" s="5">
        <v>0.6617939814814815</v>
      </c>
      <c r="D432" s="9" t="s">
        <v>4</v>
      </c>
      <c r="E432" s="9" t="s">
        <v>1570</v>
      </c>
      <c r="F432" s="9" t="s">
        <v>3031</v>
      </c>
      <c r="H432" s="9"/>
      <c r="I432" s="9" t="s">
        <v>6927</v>
      </c>
      <c r="J432" s="9" t="s">
        <v>2948</v>
      </c>
      <c r="K432" t="s">
        <v>6928</v>
      </c>
      <c r="L432" t="s">
        <v>6929</v>
      </c>
      <c r="M432" s="3" t="str">
        <f>HYPERLINK(склад2въезд13192021222[[#This Row],[RelativePath]])</f>
        <v>9 Ангар пилорама\E33149364_1_20251219T155259Z.jpg</v>
      </c>
    </row>
    <row r="433" spans="1:13" x14ac:dyDescent="0.25">
      <c r="A433" s="2" t="s">
        <v>17</v>
      </c>
      <c r="B433" s="4">
        <v>46010</v>
      </c>
      <c r="C433" s="5">
        <v>0.68521990740740746</v>
      </c>
      <c r="D433" s="9" t="s">
        <v>4</v>
      </c>
      <c r="E433" s="9" t="s">
        <v>9</v>
      </c>
      <c r="F433" s="9"/>
      <c r="H433" s="9"/>
      <c r="I433" s="9" t="s">
        <v>6930</v>
      </c>
      <c r="J433" s="9" t="s">
        <v>2948</v>
      </c>
      <c r="K433" t="s">
        <v>6931</v>
      </c>
      <c r="L433" t="s">
        <v>6932</v>
      </c>
      <c r="M433" s="3" t="str">
        <f>HYPERLINK(склад2въезд13192021222[[#This Row],[RelativePath]])</f>
        <v>9 Ангар пилорама\E33149364_1_20251219T162643Z.jpg</v>
      </c>
    </row>
    <row r="434" spans="1:13" x14ac:dyDescent="0.25">
      <c r="A434" s="2" t="s">
        <v>18</v>
      </c>
      <c r="B434" s="4">
        <v>46011</v>
      </c>
      <c r="C434" s="5">
        <v>0.50359953703703708</v>
      </c>
      <c r="D434" s="9" t="s">
        <v>1967</v>
      </c>
      <c r="E434" s="9" t="s">
        <v>9</v>
      </c>
      <c r="F434" s="9"/>
      <c r="H434" s="9"/>
      <c r="I434" s="9" t="s">
        <v>6933</v>
      </c>
      <c r="J434" s="9" t="s">
        <v>2948</v>
      </c>
      <c r="K434" t="s">
        <v>6934</v>
      </c>
      <c r="L434" t="s">
        <v>6935</v>
      </c>
      <c r="M434" s="3" t="str">
        <f>HYPERLINK(склад2въезд13192021222[[#This Row],[RelativePath]])</f>
        <v>9 Ангар пилорама\E33149364_1_20251220T120511Z.jpg</v>
      </c>
    </row>
    <row r="435" spans="1:13" x14ac:dyDescent="0.25">
      <c r="A435" s="2" t="s">
        <v>18</v>
      </c>
      <c r="B435" s="4">
        <v>46011</v>
      </c>
      <c r="C435" s="5">
        <v>0.71201388888888884</v>
      </c>
      <c r="D435" s="9" t="s">
        <v>1967</v>
      </c>
      <c r="E435" s="9" t="s">
        <v>9</v>
      </c>
      <c r="F435" s="9"/>
      <c r="H435" s="9"/>
      <c r="I435" s="9" t="s">
        <v>6936</v>
      </c>
      <c r="J435" s="9" t="s">
        <v>2948</v>
      </c>
      <c r="K435" t="s">
        <v>6937</v>
      </c>
      <c r="L435" t="s">
        <v>6938</v>
      </c>
      <c r="M435" s="3" t="str">
        <f>HYPERLINK(склад2въезд13192021222[[#This Row],[RelativePath]])</f>
        <v>9 Ангар пилорама\E33149364_1_20251220T170518Z.jpg</v>
      </c>
    </row>
    <row r="436" spans="1:13" x14ac:dyDescent="0.25">
      <c r="A436" s="2" t="s">
        <v>22</v>
      </c>
      <c r="B436" s="4">
        <v>46012</v>
      </c>
      <c r="C436" s="5">
        <v>0.44805555555555554</v>
      </c>
      <c r="D436" s="9" t="s">
        <v>4</v>
      </c>
      <c r="E436" s="9" t="s">
        <v>9</v>
      </c>
      <c r="F436" s="9"/>
      <c r="H436" s="9"/>
      <c r="I436" s="9" t="s">
        <v>7106</v>
      </c>
      <c r="J436" s="9" t="s">
        <v>2948</v>
      </c>
      <c r="K436" t="s">
        <v>7107</v>
      </c>
      <c r="L436" t="s">
        <v>7108</v>
      </c>
      <c r="M436" s="3" t="str">
        <f>HYPERLINK(склад2въезд13192021222[[#This Row],[RelativePath]])</f>
        <v>9 Ангар пилорама\E33149364_1_20251221T104512Z.jpg</v>
      </c>
    </row>
    <row r="437" spans="1:13" x14ac:dyDescent="0.25">
      <c r="A437" s="2" t="s">
        <v>22</v>
      </c>
      <c r="B437" s="4">
        <v>46012</v>
      </c>
      <c r="C437" s="5">
        <v>0.59471064814814811</v>
      </c>
      <c r="D437" s="9" t="s">
        <v>4</v>
      </c>
      <c r="E437" s="9" t="s">
        <v>7130</v>
      </c>
      <c r="F437" s="9"/>
      <c r="H437" s="9"/>
      <c r="I437" s="9" t="s">
        <v>7109</v>
      </c>
      <c r="J437" s="9" t="s">
        <v>2948</v>
      </c>
      <c r="K437" t="s">
        <v>7110</v>
      </c>
      <c r="L437" t="s">
        <v>7111</v>
      </c>
      <c r="M437" s="3" t="str">
        <f>HYPERLINK(склад2въезд13192021222[[#This Row],[RelativePath]])</f>
        <v>9 Ангар пилорама\E33149364_1_20251221T141623Z.jpg</v>
      </c>
    </row>
    <row r="438" spans="1:13" x14ac:dyDescent="0.25">
      <c r="A438" s="2" t="s">
        <v>22</v>
      </c>
      <c r="B438" s="4">
        <v>46012</v>
      </c>
      <c r="C438" s="5">
        <v>0.69439814814814815</v>
      </c>
      <c r="D438" s="9" t="s">
        <v>4</v>
      </c>
      <c r="E438" s="9" t="s">
        <v>7130</v>
      </c>
      <c r="F438" s="9"/>
      <c r="H438" s="9" t="s">
        <v>2891</v>
      </c>
      <c r="I438" s="9" t="s">
        <v>7112</v>
      </c>
      <c r="J438" s="9" t="s">
        <v>2948</v>
      </c>
      <c r="K438" t="s">
        <v>7113</v>
      </c>
      <c r="L438" t="s">
        <v>7114</v>
      </c>
      <c r="M438" s="3" t="str">
        <f>HYPERLINK(склад2въезд13192021222[[#This Row],[RelativePath]])</f>
        <v>9 Ангар пилорама\E33149364_1_20251221T163956Z.jpg</v>
      </c>
    </row>
    <row r="439" spans="1:13" x14ac:dyDescent="0.25">
      <c r="A439" s="2" t="s">
        <v>13</v>
      </c>
      <c r="B439" s="4">
        <v>46013</v>
      </c>
      <c r="C439" s="5">
        <v>0.41359953703703706</v>
      </c>
      <c r="D439" s="9" t="s">
        <v>4</v>
      </c>
      <c r="E439" s="9" t="s">
        <v>9</v>
      </c>
      <c r="F439" s="9"/>
      <c r="H439" s="9"/>
      <c r="I439" s="9" t="s">
        <v>7179</v>
      </c>
      <c r="J439" s="9" t="s">
        <v>2948</v>
      </c>
      <c r="K439" t="s">
        <v>7180</v>
      </c>
      <c r="L439" t="s">
        <v>7181</v>
      </c>
      <c r="M439" s="3" t="str">
        <f>HYPERLINK(склад2въезд13192021222[[#This Row],[RelativePath]])</f>
        <v>9 Ангар пилорама\E33149364_1_20251222T095535Z.jpg</v>
      </c>
    </row>
    <row r="440" spans="1:13" x14ac:dyDescent="0.25">
      <c r="A440" s="2" t="s">
        <v>13</v>
      </c>
      <c r="B440" s="4">
        <v>46013</v>
      </c>
      <c r="C440" s="5">
        <v>0.44239583333333332</v>
      </c>
      <c r="D440" s="9" t="s">
        <v>4</v>
      </c>
      <c r="E440" s="9" t="s">
        <v>7130</v>
      </c>
      <c r="F440" s="9"/>
      <c r="H440" s="9"/>
      <c r="I440" s="9" t="s">
        <v>7182</v>
      </c>
      <c r="J440" s="9" t="s">
        <v>2948</v>
      </c>
      <c r="K440" t="s">
        <v>7183</v>
      </c>
      <c r="L440" t="s">
        <v>7184</v>
      </c>
      <c r="M440" s="3" t="str">
        <f>HYPERLINK(склад2въезд13192021222[[#This Row],[RelativePath]])</f>
        <v>9 Ангар пилорама\E33149364_1_20251222T103703Z.jpg</v>
      </c>
    </row>
    <row r="441" spans="1:13" x14ac:dyDescent="0.25">
      <c r="A441" s="2" t="s">
        <v>13</v>
      </c>
      <c r="B441" s="4">
        <v>46013</v>
      </c>
      <c r="C441" s="5">
        <v>0.45758101851851851</v>
      </c>
      <c r="D441" s="9" t="s">
        <v>4</v>
      </c>
      <c r="E441" s="9" t="s">
        <v>9</v>
      </c>
      <c r="F441" s="9"/>
      <c r="H441" s="9"/>
      <c r="I441" s="9" t="s">
        <v>7185</v>
      </c>
      <c r="J441" s="9" t="s">
        <v>2948</v>
      </c>
      <c r="K441" t="s">
        <v>7186</v>
      </c>
      <c r="L441" t="s">
        <v>7187</v>
      </c>
      <c r="M441" s="3" t="str">
        <f>HYPERLINK(склад2въезд13192021222[[#This Row],[RelativePath]])</f>
        <v>9 Ангар пилорама\E33149364_1_20251222T105855Z.jpg</v>
      </c>
    </row>
    <row r="442" spans="1:13" x14ac:dyDescent="0.25">
      <c r="A442" s="2" t="s">
        <v>13</v>
      </c>
      <c r="B442" s="4">
        <v>46013</v>
      </c>
      <c r="C442" s="5">
        <v>0.52186342592592594</v>
      </c>
      <c r="D442" s="9" t="s">
        <v>4</v>
      </c>
      <c r="E442" s="9" t="s">
        <v>9</v>
      </c>
      <c r="F442" s="9"/>
      <c r="H442" s="9" t="s">
        <v>2891</v>
      </c>
      <c r="I442" s="9" t="s">
        <v>7188</v>
      </c>
      <c r="J442" s="9" t="s">
        <v>2948</v>
      </c>
      <c r="K442" t="s">
        <v>7189</v>
      </c>
      <c r="L442" t="s">
        <v>7190</v>
      </c>
      <c r="M442" s="3" t="str">
        <f>HYPERLINK(склад2въезд13192021222[[#This Row],[RelativePath]])</f>
        <v>9 Ангар пилорама\E33149364_1_20251222T123129Z.jpg</v>
      </c>
    </row>
    <row r="443" spans="1:13" x14ac:dyDescent="0.25">
      <c r="A443" s="2" t="s">
        <v>13</v>
      </c>
      <c r="B443" s="4">
        <v>46013</v>
      </c>
      <c r="C443" s="5">
        <v>0.52649305555555559</v>
      </c>
      <c r="D443" s="9" t="s">
        <v>4</v>
      </c>
      <c r="E443" s="9" t="s">
        <v>9</v>
      </c>
      <c r="F443" s="9"/>
      <c r="H443" s="9" t="s">
        <v>2891</v>
      </c>
      <c r="I443" s="9" t="s">
        <v>7191</v>
      </c>
      <c r="J443" s="9" t="s">
        <v>2948</v>
      </c>
      <c r="K443" t="s">
        <v>7192</v>
      </c>
      <c r="L443" t="s">
        <v>7193</v>
      </c>
      <c r="M443" s="3" t="str">
        <f>HYPERLINK(склад2въезд13192021222[[#This Row],[RelativePath]])</f>
        <v>9 Ангар пилорама\E33149364_1_20251222T123809Z.jpg</v>
      </c>
    </row>
    <row r="444" spans="1:13" x14ac:dyDescent="0.25">
      <c r="A444" s="2" t="s">
        <v>13</v>
      </c>
      <c r="B444" s="4">
        <v>46013</v>
      </c>
      <c r="C444" s="5">
        <v>0.57959490740740738</v>
      </c>
      <c r="D444" s="9" t="s">
        <v>4</v>
      </c>
      <c r="E444" s="9" t="s">
        <v>7130</v>
      </c>
      <c r="F444" s="9"/>
      <c r="H444" s="9"/>
      <c r="I444" s="9" t="s">
        <v>7194</v>
      </c>
      <c r="J444" s="9" t="s">
        <v>2948</v>
      </c>
      <c r="K444" t="s">
        <v>7195</v>
      </c>
      <c r="L444" t="s">
        <v>7196</v>
      </c>
      <c r="M444" s="3" t="str">
        <f>HYPERLINK(склад2въезд13192021222[[#This Row],[RelativePath]])</f>
        <v>9 Ангар пилорама\E33149364_1_20251222T135437Z.jpg</v>
      </c>
    </row>
    <row r="445" spans="1:13" x14ac:dyDescent="0.25">
      <c r="A445" s="2" t="s">
        <v>13</v>
      </c>
      <c r="B445" s="4">
        <v>46013</v>
      </c>
      <c r="C445" s="5">
        <v>0.58578703703703705</v>
      </c>
      <c r="D445" s="9" t="s">
        <v>4</v>
      </c>
      <c r="E445" s="9" t="s">
        <v>9</v>
      </c>
      <c r="F445" s="9"/>
      <c r="H445" s="9" t="s">
        <v>2891</v>
      </c>
      <c r="I445" s="9" t="s">
        <v>7197</v>
      </c>
      <c r="J445" s="9" t="s">
        <v>2948</v>
      </c>
      <c r="K445" t="s">
        <v>7198</v>
      </c>
      <c r="L445" t="s">
        <v>7199</v>
      </c>
      <c r="M445" s="3" t="str">
        <f>HYPERLINK(склад2въезд13192021222[[#This Row],[RelativePath]])</f>
        <v>9 Ангар пилорама\E33149364_1_20251222T140332Z.jpg</v>
      </c>
    </row>
    <row r="446" spans="1:13" x14ac:dyDescent="0.25">
      <c r="A446" s="2" t="s">
        <v>13</v>
      </c>
      <c r="B446" s="4">
        <v>46013</v>
      </c>
      <c r="C446" s="5">
        <v>0.6206828703703704</v>
      </c>
      <c r="D446" s="9" t="s">
        <v>4</v>
      </c>
      <c r="E446" s="9" t="s">
        <v>9</v>
      </c>
      <c r="F446" s="9"/>
      <c r="H446" s="9" t="s">
        <v>2891</v>
      </c>
      <c r="I446" s="9" t="s">
        <v>7200</v>
      </c>
      <c r="J446" s="9" t="s">
        <v>2948</v>
      </c>
      <c r="K446" t="s">
        <v>7201</v>
      </c>
      <c r="L446" t="s">
        <v>7202</v>
      </c>
      <c r="M446" s="3" t="str">
        <f>HYPERLINK(склад2въезд13192021222[[#This Row],[RelativePath]])</f>
        <v>9 Ангар пилорама\E33149364_1_20251222T145347Z.jpg</v>
      </c>
    </row>
    <row r="447" spans="1:13" x14ac:dyDescent="0.25">
      <c r="A447" s="2" t="s">
        <v>14</v>
      </c>
      <c r="B447" s="4">
        <v>46014</v>
      </c>
      <c r="C447" s="5">
        <v>0.37344907407407407</v>
      </c>
      <c r="D447" s="9" t="s">
        <v>4</v>
      </c>
      <c r="E447" s="9" t="s">
        <v>9</v>
      </c>
      <c r="F447" s="9"/>
      <c r="H447" s="9" t="s">
        <v>2891</v>
      </c>
      <c r="I447" s="9" t="s">
        <v>7203</v>
      </c>
      <c r="J447" s="9" t="s">
        <v>2948</v>
      </c>
      <c r="K447" t="s">
        <v>7204</v>
      </c>
      <c r="L447" t="s">
        <v>7205</v>
      </c>
      <c r="M447" s="3" t="str">
        <f>HYPERLINK(склад2въезд13192021222[[#This Row],[RelativePath]])</f>
        <v>9 Ангар пилорама\E33149364_1_20251223T085746Z.jpg</v>
      </c>
    </row>
    <row r="448" spans="1:13" x14ac:dyDescent="0.25">
      <c r="A448" s="2" t="s">
        <v>14</v>
      </c>
      <c r="B448" s="4">
        <v>46014</v>
      </c>
      <c r="C448" s="5">
        <v>0.82148148148148148</v>
      </c>
      <c r="D448" s="9" t="s">
        <v>4</v>
      </c>
      <c r="E448" s="9" t="s">
        <v>86</v>
      </c>
      <c r="F448" s="9"/>
      <c r="H448" s="9" t="s">
        <v>7616</v>
      </c>
      <c r="I448" s="9" t="s">
        <v>7206</v>
      </c>
      <c r="J448" s="9" t="s">
        <v>2948</v>
      </c>
      <c r="K448" t="s">
        <v>7207</v>
      </c>
      <c r="L448" t="s">
        <v>7208</v>
      </c>
      <c r="M448" s="3" t="str">
        <f>HYPERLINK(склад2въезд13192021222[[#This Row],[RelativePath]])</f>
        <v>9 Ангар пилорама\E33149364_1_20251223T194256Z.jpg</v>
      </c>
    </row>
    <row r="449" spans="1:13" x14ac:dyDescent="0.25">
      <c r="A449" s="2" t="s">
        <v>15</v>
      </c>
      <c r="B449" s="4">
        <v>46015</v>
      </c>
      <c r="C449" s="5">
        <v>0.42211805555555554</v>
      </c>
      <c r="D449" s="9" t="s">
        <v>4</v>
      </c>
      <c r="E449" s="9" t="s">
        <v>86</v>
      </c>
      <c r="F449" s="9"/>
      <c r="H449" s="9" t="s">
        <v>7616</v>
      </c>
      <c r="I449" s="9" t="s">
        <v>7361</v>
      </c>
      <c r="J449" s="9" t="s">
        <v>2948</v>
      </c>
      <c r="K449" t="s">
        <v>7362</v>
      </c>
      <c r="L449" t="s">
        <v>7363</v>
      </c>
      <c r="M449" s="3" t="str">
        <f>HYPERLINK(склад2въезд13192021222[[#This Row],[RelativePath]])</f>
        <v>9 Ангар пилорама\E33149364_1_20251224T100751Z.jpg</v>
      </c>
    </row>
    <row r="450" spans="1:13" x14ac:dyDescent="0.25">
      <c r="A450" s="2" t="s">
        <v>15</v>
      </c>
      <c r="B450" s="4">
        <v>46015</v>
      </c>
      <c r="C450" s="5">
        <v>0.69784722222222217</v>
      </c>
      <c r="D450" s="9" t="s">
        <v>4</v>
      </c>
      <c r="E450" s="9" t="s">
        <v>7615</v>
      </c>
      <c r="F450" s="9"/>
      <c r="H450" s="9"/>
      <c r="I450" s="9" t="s">
        <v>7364</v>
      </c>
      <c r="J450" s="9" t="s">
        <v>2948</v>
      </c>
      <c r="K450" t="s">
        <v>7365</v>
      </c>
      <c r="L450" t="s">
        <v>7366</v>
      </c>
      <c r="M450" s="3" t="str">
        <f>HYPERLINK(склад2въезд13192021222[[#This Row],[RelativePath]])</f>
        <v>9 Ангар пилорама\E33149364_1_20251224T164454Z.jpg</v>
      </c>
    </row>
    <row r="451" spans="1:13" x14ac:dyDescent="0.25">
      <c r="A451" s="2" t="s">
        <v>15</v>
      </c>
      <c r="B451" s="4">
        <v>46015</v>
      </c>
      <c r="C451" s="5">
        <v>0.92019675925925926</v>
      </c>
      <c r="D451" s="9" t="s">
        <v>4</v>
      </c>
      <c r="E451" s="9" t="s">
        <v>86</v>
      </c>
      <c r="F451" s="9"/>
      <c r="H451" s="9" t="s">
        <v>7616</v>
      </c>
      <c r="I451" s="9" t="s">
        <v>7367</v>
      </c>
      <c r="J451" s="9" t="s">
        <v>2948</v>
      </c>
      <c r="K451" t="s">
        <v>7368</v>
      </c>
      <c r="L451" t="s">
        <v>7369</v>
      </c>
      <c r="M451" s="3" t="str">
        <f>HYPERLINK(склад2въезд13192021222[[#This Row],[RelativePath]])</f>
        <v>9 Ангар пилорама\E33149364_1_20251224T220505Z.jpg</v>
      </c>
    </row>
    <row r="452" spans="1:13" x14ac:dyDescent="0.25">
      <c r="A452" s="2" t="s">
        <v>16</v>
      </c>
      <c r="B452" s="4">
        <v>46016</v>
      </c>
      <c r="C452" s="5">
        <v>0.14521990740740739</v>
      </c>
      <c r="D452" s="9" t="s">
        <v>4</v>
      </c>
      <c r="E452" s="9" t="s">
        <v>86</v>
      </c>
      <c r="F452" s="9"/>
      <c r="H452" s="9" t="s">
        <v>7616</v>
      </c>
      <c r="I452" s="9" t="s">
        <v>7370</v>
      </c>
      <c r="J452" s="9" t="s">
        <v>2948</v>
      </c>
      <c r="K452" t="s">
        <v>7371</v>
      </c>
      <c r="L452" t="s">
        <v>7372</v>
      </c>
      <c r="M452" s="3" t="str">
        <f>HYPERLINK(склад2въезд13192021222[[#This Row],[RelativePath]])</f>
        <v>9 Ангар пилорама\E33149364_1_20251225T032907Z.jpg</v>
      </c>
    </row>
    <row r="453" spans="1:13" x14ac:dyDescent="0.25">
      <c r="A453" s="2" t="s">
        <v>16</v>
      </c>
      <c r="B453" s="4">
        <v>46016</v>
      </c>
      <c r="C453" s="5">
        <v>0.40482638888888889</v>
      </c>
      <c r="D453" s="9" t="s">
        <v>4</v>
      </c>
      <c r="E453" s="9" t="s">
        <v>7615</v>
      </c>
      <c r="F453" s="9"/>
      <c r="H453" s="9"/>
      <c r="I453" s="9" t="s">
        <v>7373</v>
      </c>
      <c r="J453" s="9" t="s">
        <v>2948</v>
      </c>
      <c r="K453" t="s">
        <v>7374</v>
      </c>
      <c r="L453" t="s">
        <v>7375</v>
      </c>
      <c r="M453" s="3" t="str">
        <f>HYPERLINK(склад2въезд13192021222[[#This Row],[RelativePath]])</f>
        <v>9 Ангар пилорама\E33149364_1_20251225T094257Z.jpg</v>
      </c>
    </row>
    <row r="454" spans="1:13" x14ac:dyDescent="0.25">
      <c r="A454" s="2" t="s">
        <v>16</v>
      </c>
      <c r="B454" s="4">
        <v>46016</v>
      </c>
      <c r="C454" s="5">
        <v>0.42539351851851853</v>
      </c>
      <c r="D454" s="9" t="s">
        <v>4</v>
      </c>
      <c r="E454" s="9" t="s">
        <v>7615</v>
      </c>
      <c r="F454" s="9"/>
      <c r="H454" s="9"/>
      <c r="I454" s="9" t="s">
        <v>7376</v>
      </c>
      <c r="J454" s="9" t="s">
        <v>2948</v>
      </c>
      <c r="K454" t="s">
        <v>7377</v>
      </c>
      <c r="L454" t="s">
        <v>7378</v>
      </c>
      <c r="M454" s="3" t="str">
        <f>HYPERLINK(склад2въезд13192021222[[#This Row],[RelativePath]])</f>
        <v>9 Ангар пилорама\E33149364_1_20251225T101234Z.jpg</v>
      </c>
    </row>
    <row r="455" spans="1:13" x14ac:dyDescent="0.25">
      <c r="A455" s="2" t="s">
        <v>16</v>
      </c>
      <c r="B455" s="4">
        <v>46016</v>
      </c>
      <c r="C455" s="5">
        <v>0.48836805555555557</v>
      </c>
      <c r="D455" s="9" t="s">
        <v>4</v>
      </c>
      <c r="E455" s="9" t="s">
        <v>86</v>
      </c>
      <c r="F455" s="9"/>
      <c r="H455" s="9" t="s">
        <v>7616</v>
      </c>
      <c r="I455" s="9" t="s">
        <v>7379</v>
      </c>
      <c r="J455" s="9" t="s">
        <v>2948</v>
      </c>
      <c r="K455" t="s">
        <v>7380</v>
      </c>
      <c r="L455" t="s">
        <v>7381</v>
      </c>
      <c r="M455" s="3" t="str">
        <f>HYPERLINK(склад2въезд13192021222[[#This Row],[RelativePath]])</f>
        <v>9 Ангар пилорама\E33149364_1_20251225T114315Z.jpg</v>
      </c>
    </row>
    <row r="456" spans="1:13" x14ac:dyDescent="0.25">
      <c r="A456" s="2" t="s">
        <v>16</v>
      </c>
      <c r="B456" s="4">
        <v>46016</v>
      </c>
      <c r="C456" s="5">
        <v>0.65744212962962967</v>
      </c>
      <c r="D456" s="9" t="s">
        <v>4</v>
      </c>
      <c r="E456" s="9" t="s">
        <v>7615</v>
      </c>
      <c r="F456" s="9"/>
      <c r="H456" s="9"/>
      <c r="I456" s="9" t="s">
        <v>7382</v>
      </c>
      <c r="J456" s="9" t="s">
        <v>2948</v>
      </c>
      <c r="K456" t="s">
        <v>7383</v>
      </c>
      <c r="L456" t="s">
        <v>7384</v>
      </c>
      <c r="M456" s="3" t="str">
        <f>HYPERLINK(склад2въезд13192021222[[#This Row],[RelativePath]])</f>
        <v>9 Ангар пилорама\E33149364_1_20251225T154643Z.jpg</v>
      </c>
    </row>
    <row r="457" spans="1:13" x14ac:dyDescent="0.25">
      <c r="A457" s="2" t="s">
        <v>16</v>
      </c>
      <c r="B457" s="4">
        <v>46016</v>
      </c>
      <c r="C457" s="5">
        <v>0.7091319444444445</v>
      </c>
      <c r="D457" s="9" t="s">
        <v>4</v>
      </c>
      <c r="E457" s="9" t="s">
        <v>86</v>
      </c>
      <c r="F457" s="9"/>
      <c r="H457" s="9" t="s">
        <v>7616</v>
      </c>
      <c r="I457" s="9" t="s">
        <v>7385</v>
      </c>
      <c r="J457" s="9" t="s">
        <v>2948</v>
      </c>
      <c r="K457" t="s">
        <v>7386</v>
      </c>
      <c r="L457" t="s">
        <v>7387</v>
      </c>
      <c r="M457" s="3" t="str">
        <f>HYPERLINK(склад2въезд13192021222[[#This Row],[RelativePath]])</f>
        <v>9 Ангар пилорама\E33149364_1_20251225T170109Z.jpg</v>
      </c>
    </row>
    <row r="458" spans="1:13" x14ac:dyDescent="0.25">
      <c r="A458" s="2" t="s">
        <v>17</v>
      </c>
      <c r="B458" s="4">
        <v>46017</v>
      </c>
      <c r="C458" s="5">
        <v>0.36872685185185183</v>
      </c>
      <c r="D458" s="9" t="s">
        <v>4</v>
      </c>
      <c r="E458" s="9" t="s">
        <v>86</v>
      </c>
      <c r="F458" s="9"/>
      <c r="H458" s="9" t="s">
        <v>7616</v>
      </c>
      <c r="I458" s="9" t="s">
        <v>7635</v>
      </c>
      <c r="J458" s="9" t="s">
        <v>2948</v>
      </c>
      <c r="K458" t="s">
        <v>7636</v>
      </c>
      <c r="L458" t="s">
        <v>7637</v>
      </c>
      <c r="M458" s="3" t="str">
        <f>HYPERLINK(склад2въезд13192021222[[#This Row],[RelativePath]])</f>
        <v>9 Ангар пилорама\E33149364_1_20251226T085058Z.jpg</v>
      </c>
    </row>
    <row r="459" spans="1:13" x14ac:dyDescent="0.25">
      <c r="A459" s="2" t="s">
        <v>17</v>
      </c>
      <c r="B459" s="4">
        <v>46017</v>
      </c>
      <c r="C459" s="5">
        <v>0.41701388888888891</v>
      </c>
      <c r="D459" s="9" t="s">
        <v>4</v>
      </c>
      <c r="E459" s="9" t="s">
        <v>7615</v>
      </c>
      <c r="F459" s="9"/>
      <c r="H459" s="9"/>
      <c r="I459" s="9" t="s">
        <v>7638</v>
      </c>
      <c r="J459" s="9" t="s">
        <v>2948</v>
      </c>
      <c r="K459" t="s">
        <v>7639</v>
      </c>
      <c r="L459" t="s">
        <v>7640</v>
      </c>
      <c r="M459" s="3" t="str">
        <f>HYPERLINK(склад2въезд13192021222[[#This Row],[RelativePath]])</f>
        <v>9 Ангар пилорама\E33149364_1_20251226T100030Z.jpg</v>
      </c>
    </row>
    <row r="460" spans="1:13" x14ac:dyDescent="0.25">
      <c r="A460" s="2" t="s">
        <v>17</v>
      </c>
      <c r="B460" s="4">
        <v>46017</v>
      </c>
      <c r="C460" s="5">
        <v>0.53240740740740744</v>
      </c>
      <c r="D460" s="9" t="s">
        <v>4</v>
      </c>
      <c r="E460" s="9" t="s">
        <v>86</v>
      </c>
      <c r="F460" s="9"/>
      <c r="H460" s="9" t="s">
        <v>7616</v>
      </c>
      <c r="I460" s="9" t="s">
        <v>7641</v>
      </c>
      <c r="J460" s="9" t="s">
        <v>2948</v>
      </c>
      <c r="K460" t="s">
        <v>7642</v>
      </c>
      <c r="L460" t="s">
        <v>7643</v>
      </c>
      <c r="M460" s="3" t="str">
        <f>HYPERLINK(склад2въезд13192021222[[#This Row],[RelativePath]])</f>
        <v>9 Ангар пилорама\E33149364_1_20251226T124640Z.jpg</v>
      </c>
    </row>
    <row r="461" spans="1:13" x14ac:dyDescent="0.25">
      <c r="A461" s="2" t="s">
        <v>17</v>
      </c>
      <c r="B461" s="4">
        <v>46017</v>
      </c>
      <c r="C461" s="5">
        <v>0.59583333333333333</v>
      </c>
      <c r="D461" s="9" t="s">
        <v>4</v>
      </c>
      <c r="E461" s="9" t="s">
        <v>7615</v>
      </c>
      <c r="F461" s="9"/>
      <c r="H461" s="9"/>
      <c r="I461" s="9" t="s">
        <v>7644</v>
      </c>
      <c r="J461" s="9" t="s">
        <v>2948</v>
      </c>
      <c r="K461" t="s">
        <v>7645</v>
      </c>
      <c r="L461" t="s">
        <v>7646</v>
      </c>
      <c r="M461" s="3" t="str">
        <f>HYPERLINK(склад2въезд13192021222[[#This Row],[RelativePath]])</f>
        <v>9 Ангар пилорама\E33149364_1_20251226T141800Z.jpg</v>
      </c>
    </row>
    <row r="462" spans="1:13" x14ac:dyDescent="0.25">
      <c r="A462" s="2" t="s">
        <v>17</v>
      </c>
      <c r="B462" s="4">
        <v>46017</v>
      </c>
      <c r="C462" s="5">
        <v>0.98486111111111108</v>
      </c>
      <c r="D462" s="9" t="s">
        <v>4</v>
      </c>
      <c r="E462" s="9" t="s">
        <v>86</v>
      </c>
      <c r="F462" s="9"/>
      <c r="H462" s="9" t="s">
        <v>7616</v>
      </c>
      <c r="I462" s="9" t="s">
        <v>7647</v>
      </c>
      <c r="J462" s="9" t="s">
        <v>2948</v>
      </c>
      <c r="K462" t="s">
        <v>7648</v>
      </c>
      <c r="L462" t="s">
        <v>7649</v>
      </c>
      <c r="M462" s="3" t="str">
        <f>HYPERLINK(склад2въезд13192021222[[#This Row],[RelativePath]])</f>
        <v>9 Ангар пилорама\E33149364_1_20251226T233812Z.jpg</v>
      </c>
    </row>
    <row r="463" spans="1:13" x14ac:dyDescent="0.25">
      <c r="A463" s="2" t="s">
        <v>18</v>
      </c>
      <c r="B463" s="4">
        <v>46018</v>
      </c>
      <c r="C463" s="5">
        <v>0.45038194444444446</v>
      </c>
      <c r="D463" s="9" t="s">
        <v>1967</v>
      </c>
      <c r="E463" s="9" t="s">
        <v>86</v>
      </c>
      <c r="F463" s="9"/>
      <c r="H463" s="9"/>
      <c r="I463" s="9" t="s">
        <v>7858</v>
      </c>
      <c r="J463" s="9" t="s">
        <v>2948</v>
      </c>
      <c r="K463" t="s">
        <v>7859</v>
      </c>
      <c r="L463" t="s">
        <v>7860</v>
      </c>
      <c r="M463" s="3" t="str">
        <f>HYPERLINK(склад2въезд13192021222[[#This Row],[RelativePath]])</f>
        <v>9 Ангар пилорама\E33149364_1_20251227T104833Z.jpg</v>
      </c>
    </row>
    <row r="464" spans="1:13" x14ac:dyDescent="0.25">
      <c r="A464" s="2" t="s">
        <v>22</v>
      </c>
      <c r="B464" s="4">
        <v>46019</v>
      </c>
      <c r="C464" s="5">
        <v>0.97547453703703701</v>
      </c>
      <c r="D464" s="9" t="s">
        <v>1967</v>
      </c>
      <c r="E464" s="9" t="s">
        <v>86</v>
      </c>
      <c r="F464" s="9"/>
      <c r="H464" s="9"/>
      <c r="I464" s="9" t="s">
        <v>7861</v>
      </c>
      <c r="J464" s="9" t="s">
        <v>2948</v>
      </c>
      <c r="K464" t="s">
        <v>7862</v>
      </c>
      <c r="L464" t="s">
        <v>7863</v>
      </c>
      <c r="M464" s="3" t="str">
        <f>HYPERLINK(склад2въезд13192021222[[#This Row],[RelativePath]])</f>
        <v>9 Ангар пилорама\E33149364_1_20251228T232441Z.jpg</v>
      </c>
    </row>
    <row r="465" spans="1:13" x14ac:dyDescent="0.25">
      <c r="A465" s="2" t="s">
        <v>13</v>
      </c>
      <c r="B465" s="4">
        <v>46020</v>
      </c>
      <c r="C465" s="5">
        <v>0.39093749999999999</v>
      </c>
      <c r="D465" s="9" t="s">
        <v>4</v>
      </c>
      <c r="E465" s="9" t="s">
        <v>8233</v>
      </c>
      <c r="F465" s="9"/>
      <c r="H465" s="9"/>
      <c r="I465" s="9" t="s">
        <v>8018</v>
      </c>
      <c r="J465" s="9" t="s">
        <v>2948</v>
      </c>
      <c r="K465" t="s">
        <v>8019</v>
      </c>
      <c r="L465" t="s">
        <v>8020</v>
      </c>
      <c r="M465" s="3" t="str">
        <f>HYPERLINK(склад2въезд13192021222[[#This Row],[RelativePath]])</f>
        <v>9 Ангар пилорама\E33149364_1_20251229T092257Z.jpg</v>
      </c>
    </row>
    <row r="466" spans="1:13" x14ac:dyDescent="0.25">
      <c r="A466" s="2" t="s">
        <v>13</v>
      </c>
      <c r="B466" s="4">
        <v>46020</v>
      </c>
      <c r="C466" s="5">
        <v>0.41165509259259259</v>
      </c>
      <c r="D466" s="9" t="s">
        <v>1063</v>
      </c>
      <c r="E466" s="9" t="s">
        <v>8233</v>
      </c>
      <c r="F466" s="9" t="s">
        <v>53</v>
      </c>
      <c r="G466">
        <v>2</v>
      </c>
      <c r="H466" s="9" t="s">
        <v>8260</v>
      </c>
      <c r="I466" s="9" t="s">
        <v>8021</v>
      </c>
      <c r="J466" s="9" t="s">
        <v>2948</v>
      </c>
      <c r="K466" t="s">
        <v>8022</v>
      </c>
      <c r="L466" t="s">
        <v>8023</v>
      </c>
      <c r="M466" s="3" t="str">
        <f>HYPERLINK(склад2въезд13192021222[[#This Row],[RelativePath]])</f>
        <v>9 Ангар пилорама\E33149364_1_20251229T095247Z.jpg</v>
      </c>
    </row>
    <row r="467" spans="1:13" x14ac:dyDescent="0.25">
      <c r="A467" s="2" t="s">
        <v>13</v>
      </c>
      <c r="B467" s="4">
        <v>46020</v>
      </c>
      <c r="C467" s="5">
        <v>0.41174768518518517</v>
      </c>
      <c r="D467" s="9" t="s">
        <v>1063</v>
      </c>
      <c r="E467" s="9" t="s">
        <v>8233</v>
      </c>
      <c r="F467" s="9" t="s">
        <v>53</v>
      </c>
      <c r="G467">
        <v>1</v>
      </c>
      <c r="H467" s="9"/>
      <c r="I467" s="9" t="s">
        <v>8024</v>
      </c>
      <c r="J467" s="9" t="s">
        <v>2948</v>
      </c>
      <c r="K467" t="s">
        <v>8025</v>
      </c>
      <c r="L467" t="s">
        <v>8026</v>
      </c>
      <c r="M467" s="3" t="str">
        <f>HYPERLINK(склад2въезд13192021222[[#This Row],[RelativePath]])</f>
        <v>9 Ангар пилорама\E33149364_1_20251229T095255Z.jpg</v>
      </c>
    </row>
    <row r="468" spans="1:13" x14ac:dyDescent="0.25">
      <c r="A468" s="2" t="s">
        <v>13</v>
      </c>
      <c r="B468" s="4">
        <v>46020</v>
      </c>
      <c r="C468" s="5">
        <v>0.41200231481481481</v>
      </c>
      <c r="D468" s="9" t="s">
        <v>1063</v>
      </c>
      <c r="E468" s="9" t="s">
        <v>8233</v>
      </c>
      <c r="F468" s="9" t="s">
        <v>53</v>
      </c>
      <c r="G468">
        <v>2</v>
      </c>
      <c r="H468" s="9"/>
      <c r="I468" s="9" t="s">
        <v>8027</v>
      </c>
      <c r="J468" s="9" t="s">
        <v>2948</v>
      </c>
      <c r="K468" t="s">
        <v>8028</v>
      </c>
      <c r="L468" t="s">
        <v>8029</v>
      </c>
      <c r="M468" s="3" t="str">
        <f>HYPERLINK(склад2въезд13192021222[[#This Row],[RelativePath]])</f>
        <v>9 Ангар пилорама\E33149364_1_20251229T095317Z.jpg</v>
      </c>
    </row>
    <row r="469" spans="1:13" x14ac:dyDescent="0.25">
      <c r="A469" s="2" t="s">
        <v>13</v>
      </c>
      <c r="B469" s="4">
        <v>46020</v>
      </c>
      <c r="C469" s="5">
        <v>0.49380787037037038</v>
      </c>
      <c r="D469" s="9" t="s">
        <v>4</v>
      </c>
      <c r="E469" s="9" t="s">
        <v>1570</v>
      </c>
      <c r="F469" s="9"/>
      <c r="H469" s="9"/>
      <c r="I469" s="9" t="s">
        <v>8030</v>
      </c>
      <c r="J469" s="9" t="s">
        <v>2948</v>
      </c>
      <c r="K469" t="s">
        <v>8031</v>
      </c>
      <c r="L469" t="s">
        <v>8032</v>
      </c>
      <c r="M469" s="3" t="str">
        <f>HYPERLINK(склад2въезд13192021222[[#This Row],[RelativePath]])</f>
        <v>9 Ангар пилорама\E33149364_1_20251229T115105Z.jpg</v>
      </c>
    </row>
    <row r="470" spans="1:13" x14ac:dyDescent="0.25">
      <c r="A470" s="2" t="s">
        <v>14</v>
      </c>
      <c r="B470" s="4">
        <v>46021</v>
      </c>
      <c r="C470" s="5">
        <v>0.6925810185185185</v>
      </c>
      <c r="D470" s="9" t="s">
        <v>1967</v>
      </c>
      <c r="E470" s="9" t="s">
        <v>86</v>
      </c>
      <c r="F470" s="9"/>
      <c r="H470" s="9" t="s">
        <v>5410</v>
      </c>
      <c r="I470" s="9" t="s">
        <v>8033</v>
      </c>
      <c r="J470" s="9" t="s">
        <v>2948</v>
      </c>
      <c r="K470" t="s">
        <v>8034</v>
      </c>
      <c r="L470" t="s">
        <v>8035</v>
      </c>
      <c r="M470" s="3" t="str">
        <f>HYPERLINK(склад2въезд13192021222[[#This Row],[RelativePath]])</f>
        <v>9 Ангар пилорама\E33149364_1_20251230T163719Z.jpg</v>
      </c>
    </row>
    <row r="471" spans="1:13" x14ac:dyDescent="0.25">
      <c r="A471" s="2" t="s">
        <v>15</v>
      </c>
      <c r="B471" s="4">
        <v>46022</v>
      </c>
      <c r="C471" s="5">
        <v>0.70347222222222228</v>
      </c>
      <c r="D471" s="9" t="s">
        <v>1967</v>
      </c>
      <c r="E471" s="9" t="s">
        <v>86</v>
      </c>
      <c r="F471" s="9"/>
      <c r="H471" s="9" t="s">
        <v>5410</v>
      </c>
      <c r="I471" s="9" t="s">
        <v>8036</v>
      </c>
      <c r="J471" s="9" t="s">
        <v>2948</v>
      </c>
      <c r="K471" t="s">
        <v>8037</v>
      </c>
      <c r="L471" t="s">
        <v>8038</v>
      </c>
      <c r="M471" s="3" t="str">
        <f>HYPERLINK(склад2въезд13192021222[[#This Row],[RelativePath]])</f>
        <v>9 Ангар пилорама\E33149364_1_20251231T165300Z.jpg</v>
      </c>
    </row>
    <row r="472" spans="1:13" x14ac:dyDescent="0.25">
      <c r="A472" s="2" t="s">
        <v>16</v>
      </c>
      <c r="B472" s="4">
        <v>46023</v>
      </c>
      <c r="C472" s="5">
        <v>0.71578703703703705</v>
      </c>
      <c r="D472" s="9" t="s">
        <v>1967</v>
      </c>
      <c r="E472" s="9" t="s">
        <v>86</v>
      </c>
      <c r="F472" s="9"/>
      <c r="H472" s="9" t="s">
        <v>5410</v>
      </c>
      <c r="I472" s="9" t="s">
        <v>8039</v>
      </c>
      <c r="J472" s="9" t="s">
        <v>2948</v>
      </c>
      <c r="K472" t="s">
        <v>8040</v>
      </c>
      <c r="L472" t="s">
        <v>8041</v>
      </c>
      <c r="M472" s="3" t="str">
        <f>HYPERLINK(склад2въезд13192021222[[#This Row],[RelativePath]])</f>
        <v>9 Ангар пилорама\E33149364_1_20260101T171044Z.jpg</v>
      </c>
    </row>
    <row r="473" spans="1:13" x14ac:dyDescent="0.25">
      <c r="A473" s="2" t="s">
        <v>17</v>
      </c>
      <c r="B473" s="4">
        <v>46024</v>
      </c>
      <c r="C473" s="5">
        <v>0.71284722222222219</v>
      </c>
      <c r="D473" s="9" t="s">
        <v>1967</v>
      </c>
      <c r="E473" s="9" t="s">
        <v>86</v>
      </c>
      <c r="F473" s="9"/>
      <c r="H473" s="9" t="s">
        <v>5410</v>
      </c>
      <c r="I473" s="9" t="s">
        <v>8315</v>
      </c>
      <c r="J473" s="9" t="s">
        <v>2948</v>
      </c>
      <c r="K473" t="s">
        <v>8316</v>
      </c>
      <c r="L473" t="s">
        <v>8317</v>
      </c>
      <c r="M473" s="3" t="str">
        <f>HYPERLINK(склад2въезд13192021222[[#This Row],[RelativePath]])</f>
        <v>9 Ангар пилорама\E33149364_1_20260102T170630Z.jpg</v>
      </c>
    </row>
    <row r="474" spans="1:13" x14ac:dyDescent="0.25">
      <c r="A474" s="2" t="s">
        <v>18</v>
      </c>
      <c r="B474" s="4">
        <v>46025</v>
      </c>
      <c r="C474" s="5">
        <v>0.71440972222222221</v>
      </c>
      <c r="D474" s="9" t="s">
        <v>1967</v>
      </c>
      <c r="E474" s="9" t="s">
        <v>86</v>
      </c>
      <c r="F474" s="9"/>
      <c r="H474" s="9" t="s">
        <v>5410</v>
      </c>
      <c r="I474" s="9" t="s">
        <v>8318</v>
      </c>
      <c r="J474" s="9" t="s">
        <v>2948</v>
      </c>
      <c r="K474" t="s">
        <v>8319</v>
      </c>
      <c r="L474" t="s">
        <v>8320</v>
      </c>
      <c r="M474" s="3" t="str">
        <f>HYPERLINK(склад2въезд13192021222[[#This Row],[RelativePath]])</f>
        <v>9 Ангар пилорама\E33149364_1_20260103T170845Z.jpg</v>
      </c>
    </row>
    <row r="475" spans="1:13" x14ac:dyDescent="0.25">
      <c r="A475" s="2" t="s">
        <v>22</v>
      </c>
      <c r="B475" s="4">
        <v>46026</v>
      </c>
      <c r="C475" s="5">
        <v>0.70715277777777774</v>
      </c>
      <c r="D475" s="9" t="s">
        <v>1967</v>
      </c>
      <c r="E475" s="9" t="s">
        <v>86</v>
      </c>
      <c r="F475" s="9"/>
      <c r="H475" s="9" t="s">
        <v>5410</v>
      </c>
      <c r="I475" s="9" t="s">
        <v>8321</v>
      </c>
      <c r="J475" s="9" t="s">
        <v>2948</v>
      </c>
      <c r="K475" t="s">
        <v>8322</v>
      </c>
      <c r="L475" t="s">
        <v>8323</v>
      </c>
      <c r="M475" s="3" t="str">
        <f>HYPERLINK(склад2въезд13192021222[[#This Row],[RelativePath]])</f>
        <v>9 Ангар пилорама\E33149364_1_20260104T165818Z.jpg</v>
      </c>
    </row>
    <row r="476" spans="1:13" x14ac:dyDescent="0.25">
      <c r="A476" s="2" t="s">
        <v>13</v>
      </c>
      <c r="B476" s="4">
        <v>46027</v>
      </c>
      <c r="C476" s="5">
        <v>0.70526620370370374</v>
      </c>
      <c r="D476" s="9" t="s">
        <v>1967</v>
      </c>
      <c r="E476" s="9" t="s">
        <v>86</v>
      </c>
      <c r="F476" s="9"/>
      <c r="H476" s="9" t="s">
        <v>5410</v>
      </c>
      <c r="I476" s="9" t="s">
        <v>8570</v>
      </c>
      <c r="J476" s="9" t="s">
        <v>2948</v>
      </c>
      <c r="K476" t="s">
        <v>8571</v>
      </c>
      <c r="L476" t="s">
        <v>8572</v>
      </c>
      <c r="M476" s="3" t="str">
        <f>HYPERLINK(склад2въезд13192021222[[#This Row],[RelativePath]])</f>
        <v>9 Ангар пилорама\E33149364_1_20260105T165535Z.jpg</v>
      </c>
    </row>
    <row r="477" spans="1:13" x14ac:dyDescent="0.25">
      <c r="A477" s="2" t="s">
        <v>14</v>
      </c>
      <c r="B477" s="4">
        <v>46028</v>
      </c>
      <c r="C477" s="5">
        <v>0.42364583333333333</v>
      </c>
      <c r="D477" s="9" t="s">
        <v>1967</v>
      </c>
      <c r="E477" s="9" t="s">
        <v>86</v>
      </c>
      <c r="F477" s="9"/>
      <c r="H477" s="9" t="s">
        <v>5410</v>
      </c>
      <c r="I477" s="9" t="s">
        <v>8573</v>
      </c>
      <c r="J477" s="9" t="s">
        <v>2948</v>
      </c>
      <c r="K477" t="s">
        <v>8574</v>
      </c>
      <c r="L477" t="s">
        <v>8575</v>
      </c>
      <c r="M477" s="3" t="str">
        <f>HYPERLINK(склад2въезд13192021222[[#This Row],[RelativePath]])</f>
        <v>9 Ангар пилорама\E33149364_1_20260106T101003Z.jpg</v>
      </c>
    </row>
    <row r="478" spans="1:13" x14ac:dyDescent="0.25">
      <c r="A478" s="2" t="s">
        <v>15</v>
      </c>
      <c r="B478" s="4">
        <v>46029</v>
      </c>
      <c r="C478" s="5">
        <v>0.50497685185185182</v>
      </c>
      <c r="D478" s="9" t="s">
        <v>1967</v>
      </c>
      <c r="E478" s="9" t="s">
        <v>8713</v>
      </c>
      <c r="F478" s="9"/>
      <c r="H478" s="9" t="s">
        <v>5410</v>
      </c>
      <c r="I478" s="9" t="s">
        <v>8576</v>
      </c>
      <c r="J478" s="9" t="s">
        <v>2948</v>
      </c>
      <c r="K478" t="s">
        <v>8577</v>
      </c>
      <c r="L478" t="s">
        <v>8578</v>
      </c>
      <c r="M478" s="3" t="str">
        <f>HYPERLINK(склад2въезд13192021222[[#This Row],[RelativePath]])</f>
        <v>9 Ангар пилорама\E33149364_1_20260107T120710Z.jpg</v>
      </c>
    </row>
    <row r="479" spans="1:13" x14ac:dyDescent="0.25">
      <c r="A479" s="2" t="s">
        <v>16</v>
      </c>
      <c r="B479" s="4">
        <v>46030</v>
      </c>
      <c r="C479" s="5">
        <v>0.71959490740740739</v>
      </c>
      <c r="D479" s="9" t="s">
        <v>1967</v>
      </c>
      <c r="E479" s="9" t="s">
        <v>86</v>
      </c>
      <c r="F479" s="9"/>
      <c r="H479" s="9" t="s">
        <v>5410</v>
      </c>
      <c r="I479" s="9" t="s">
        <v>8579</v>
      </c>
      <c r="J479" s="9" t="s">
        <v>2948</v>
      </c>
      <c r="K479" t="s">
        <v>8580</v>
      </c>
      <c r="L479" t="s">
        <v>8581</v>
      </c>
      <c r="M479" s="3" t="str">
        <f>HYPERLINK(склад2въезд13192021222[[#This Row],[RelativePath]])</f>
        <v>9 Ангар пилорама\E33149364_1_20260108T171613Z.jpg</v>
      </c>
    </row>
    <row r="480" spans="1:13" x14ac:dyDescent="0.25">
      <c r="A480" s="2" t="s">
        <v>17</v>
      </c>
      <c r="B480" s="4">
        <v>46031</v>
      </c>
      <c r="C480" s="5">
        <v>0.57805555555555554</v>
      </c>
      <c r="D480" s="9" t="s">
        <v>1967</v>
      </c>
      <c r="E480" s="9" t="s">
        <v>86</v>
      </c>
      <c r="F480" s="9"/>
      <c r="H480" s="9" t="s">
        <v>5410</v>
      </c>
      <c r="I480" s="9" t="s">
        <v>8582</v>
      </c>
      <c r="J480" s="9" t="s">
        <v>2948</v>
      </c>
      <c r="K480" t="s">
        <v>8583</v>
      </c>
      <c r="L480" t="s">
        <v>8584</v>
      </c>
      <c r="M480" s="3" t="str">
        <f>HYPERLINK(склад2въезд13192021222[[#This Row],[RelativePath]])</f>
        <v>9 Ангар пилорама\E33149364_1_20260109T135224Z.jpg</v>
      </c>
    </row>
    <row r="481" spans="1:13" x14ac:dyDescent="0.25">
      <c r="A481" s="2" t="s">
        <v>18</v>
      </c>
      <c r="B481" s="4">
        <v>46032</v>
      </c>
      <c r="C481" s="5">
        <v>0.40118055555555554</v>
      </c>
      <c r="D481" s="9" t="s">
        <v>1967</v>
      </c>
      <c r="E481" s="9" t="s">
        <v>86</v>
      </c>
      <c r="F481" s="9"/>
      <c r="H481" s="9" t="s">
        <v>5410</v>
      </c>
      <c r="I481" s="9" t="s">
        <v>8585</v>
      </c>
      <c r="J481" s="9" t="s">
        <v>2948</v>
      </c>
      <c r="K481" t="s">
        <v>8586</v>
      </c>
      <c r="L481" t="s">
        <v>8587</v>
      </c>
      <c r="M481" s="3" t="str">
        <f>HYPERLINK(склад2въезд13192021222[[#This Row],[RelativePath]])</f>
        <v>9 Ангар пилорама\E33149364_1_20260110T093742Z.jpg</v>
      </c>
    </row>
    <row r="482" spans="1:13" x14ac:dyDescent="0.25">
      <c r="A482" s="2" t="s">
        <v>22</v>
      </c>
      <c r="B482" s="4">
        <v>46033</v>
      </c>
      <c r="C482" s="5">
        <v>0.63531249999999995</v>
      </c>
      <c r="D482" s="9" t="s">
        <v>1967</v>
      </c>
      <c r="E482" s="9" t="s">
        <v>86</v>
      </c>
      <c r="F482" s="9"/>
      <c r="H482" s="9" t="s">
        <v>5410</v>
      </c>
      <c r="I482" s="9" t="s">
        <v>8588</v>
      </c>
      <c r="J482" s="9" t="s">
        <v>2948</v>
      </c>
      <c r="K482" t="s">
        <v>8589</v>
      </c>
      <c r="L482" t="s">
        <v>8590</v>
      </c>
      <c r="M482" s="3" t="str">
        <f>HYPERLINK(склад2въезд13192021222[[#This Row],[RelativePath]])</f>
        <v>9 Ангар пилорама\E33149364_1_20260111T151451Z.jpg</v>
      </c>
    </row>
    <row r="483" spans="1:13" x14ac:dyDescent="0.25">
      <c r="A483" s="2" t="s">
        <v>13</v>
      </c>
      <c r="B483" s="4">
        <v>46034</v>
      </c>
      <c r="C483" s="5">
        <v>0.4266550925925926</v>
      </c>
      <c r="D483" s="9" t="s">
        <v>1967</v>
      </c>
      <c r="E483" s="9" t="s">
        <v>86</v>
      </c>
      <c r="F483" s="9"/>
      <c r="H483" s="9" t="s">
        <v>5410</v>
      </c>
      <c r="I483" s="9" t="s">
        <v>8785</v>
      </c>
      <c r="J483" s="9" t="s">
        <v>2948</v>
      </c>
      <c r="K483" t="s">
        <v>8786</v>
      </c>
      <c r="L483" t="s">
        <v>8787</v>
      </c>
      <c r="M483" s="3" t="str">
        <f>HYPERLINK(склад2въезд13192021222[[#This Row],[RelativePath]])</f>
        <v>9 Ангар пилорама\E33149364_1_20260112T101423Z.jpg</v>
      </c>
    </row>
    <row r="484" spans="1:13" x14ac:dyDescent="0.25">
      <c r="A484" s="2" t="s">
        <v>13</v>
      </c>
      <c r="B484" s="4">
        <v>46034</v>
      </c>
      <c r="C484" s="5">
        <v>0.45538194444444446</v>
      </c>
      <c r="D484" s="9" t="s">
        <v>4</v>
      </c>
      <c r="E484" s="9" t="s">
        <v>9</v>
      </c>
      <c r="F484" s="9"/>
      <c r="H484" s="9"/>
      <c r="I484" s="9" t="s">
        <v>8788</v>
      </c>
      <c r="J484" s="9" t="s">
        <v>2948</v>
      </c>
      <c r="K484" t="s">
        <v>8789</v>
      </c>
      <c r="L484" t="s">
        <v>8790</v>
      </c>
      <c r="M484" s="3" t="str">
        <f>HYPERLINK(склад2въезд13192021222[[#This Row],[RelativePath]])</f>
        <v>9 Ангар пилорама\E33149364_1_20260112T105545Z.jpg</v>
      </c>
    </row>
    <row r="485" spans="1:13" x14ac:dyDescent="0.25">
      <c r="A485" s="2" t="s">
        <v>13</v>
      </c>
      <c r="B485" s="4">
        <v>46034</v>
      </c>
      <c r="C485" s="5">
        <v>0.45577546296296295</v>
      </c>
      <c r="D485" s="9" t="s">
        <v>9086</v>
      </c>
      <c r="E485" s="9" t="s">
        <v>9087</v>
      </c>
      <c r="F485" s="9"/>
      <c r="H485" s="9"/>
      <c r="I485" s="9" t="s">
        <v>8791</v>
      </c>
      <c r="J485" s="9" t="s">
        <v>2948</v>
      </c>
      <c r="K485" t="s">
        <v>8792</v>
      </c>
      <c r="L485" t="s">
        <v>8793</v>
      </c>
      <c r="M485" s="3" t="str">
        <f>HYPERLINK(склад2въезд13192021222[[#This Row],[RelativePath]])</f>
        <v>9 Ангар пилорама\E33149364_1_20260112T105619Z.jpg</v>
      </c>
    </row>
    <row r="486" spans="1:13" x14ac:dyDescent="0.25">
      <c r="A486" s="2" t="s">
        <v>13</v>
      </c>
      <c r="B486" s="4">
        <v>46034</v>
      </c>
      <c r="C486" s="5">
        <v>0.45582175925925927</v>
      </c>
      <c r="D486" s="9" t="s">
        <v>1987</v>
      </c>
      <c r="E486" s="9" t="s">
        <v>1267</v>
      </c>
      <c r="F486" s="9"/>
      <c r="H486" s="9"/>
      <c r="I486" s="9" t="s">
        <v>8794</v>
      </c>
      <c r="J486" s="9" t="s">
        <v>2948</v>
      </c>
      <c r="K486" t="s">
        <v>8795</v>
      </c>
      <c r="L486" t="s">
        <v>8796</v>
      </c>
      <c r="M486" s="3" t="str">
        <f>HYPERLINK(склад2въезд13192021222[[#This Row],[RelativePath]])</f>
        <v>9 Ангар пилорама\E33149364_1_20260112T105623Z.jpg</v>
      </c>
    </row>
    <row r="487" spans="1:13" x14ac:dyDescent="0.25">
      <c r="A487" s="2" t="s">
        <v>13</v>
      </c>
      <c r="B487" s="4">
        <v>46034</v>
      </c>
      <c r="C487" s="5">
        <v>0.47841435185185183</v>
      </c>
      <c r="D487" s="9" t="s">
        <v>9086</v>
      </c>
      <c r="E487" s="9" t="s">
        <v>5071</v>
      </c>
      <c r="F487" s="9"/>
      <c r="H487" s="9"/>
      <c r="I487" s="9" t="s">
        <v>8797</v>
      </c>
      <c r="J487" s="9" t="s">
        <v>2948</v>
      </c>
      <c r="K487" t="s">
        <v>8798</v>
      </c>
      <c r="L487" t="s">
        <v>8799</v>
      </c>
      <c r="M487" s="3" t="str">
        <f>HYPERLINK(склад2въезд13192021222[[#This Row],[RelativePath]])</f>
        <v>9 Ангар пилорама\E33149364_1_20260112T112855Z.jpg</v>
      </c>
    </row>
    <row r="488" spans="1:13" x14ac:dyDescent="0.25">
      <c r="A488" s="2" t="s">
        <v>13</v>
      </c>
      <c r="B488" s="4">
        <v>46034</v>
      </c>
      <c r="C488" s="5">
        <v>0.48241898148148149</v>
      </c>
      <c r="D488" s="9" t="s">
        <v>5407</v>
      </c>
      <c r="E488" s="9" t="s">
        <v>5411</v>
      </c>
      <c r="F488" s="9" t="s">
        <v>9088</v>
      </c>
      <c r="H488" s="9"/>
      <c r="I488" s="9" t="s">
        <v>8800</v>
      </c>
      <c r="J488" s="9" t="s">
        <v>2948</v>
      </c>
      <c r="K488" t="s">
        <v>8801</v>
      </c>
      <c r="L488" t="s">
        <v>8802</v>
      </c>
      <c r="M488" s="3" t="str">
        <f>HYPERLINK(склад2въезд13192021222[[#This Row],[RelativePath]])</f>
        <v>9 Ангар пилорама\E33149364_1_20260112T113441Z.jpg</v>
      </c>
    </row>
    <row r="489" spans="1:13" x14ac:dyDescent="0.25">
      <c r="A489" s="2" t="s">
        <v>13</v>
      </c>
      <c r="B489" s="4">
        <v>46034</v>
      </c>
      <c r="C489" s="5">
        <v>0.49310185185185185</v>
      </c>
      <c r="D489" s="9" t="s">
        <v>4</v>
      </c>
      <c r="E489" s="9" t="s">
        <v>9</v>
      </c>
      <c r="F489" s="9"/>
      <c r="H489" s="9"/>
      <c r="I489" s="9" t="s">
        <v>8803</v>
      </c>
      <c r="J489" s="9" t="s">
        <v>2948</v>
      </c>
      <c r="K489" t="s">
        <v>8804</v>
      </c>
      <c r="L489" t="s">
        <v>8805</v>
      </c>
      <c r="M489" s="3" t="str">
        <f>HYPERLINK(склад2въезд13192021222[[#This Row],[RelativePath]])</f>
        <v>9 Ангар пилорама\E33149364_1_20260112T115004Z.jpg</v>
      </c>
    </row>
    <row r="490" spans="1:13" x14ac:dyDescent="0.25">
      <c r="A490" s="2" t="s">
        <v>13</v>
      </c>
      <c r="B490" s="4">
        <v>46034</v>
      </c>
      <c r="C490" s="5">
        <v>0.49789351851851854</v>
      </c>
      <c r="D490" s="9" t="s">
        <v>5407</v>
      </c>
      <c r="E490" s="9" t="s">
        <v>5411</v>
      </c>
      <c r="F490" s="9" t="s">
        <v>9089</v>
      </c>
      <c r="H490" s="9"/>
      <c r="I490" s="9" t="s">
        <v>8806</v>
      </c>
      <c r="J490" s="9" t="s">
        <v>2948</v>
      </c>
      <c r="K490" t="s">
        <v>8807</v>
      </c>
      <c r="L490" t="s">
        <v>8808</v>
      </c>
      <c r="M490" s="3" t="str">
        <f>HYPERLINK(склад2въезд13192021222[[#This Row],[RelativePath]])</f>
        <v>9 Ангар пилорама\E33149364_1_20260112T115658Z.jpg</v>
      </c>
    </row>
    <row r="491" spans="1:13" x14ac:dyDescent="0.25">
      <c r="A491" s="2" t="s">
        <v>13</v>
      </c>
      <c r="B491" s="4">
        <v>46034</v>
      </c>
      <c r="C491" s="5">
        <v>0.50311342592592589</v>
      </c>
      <c r="D491" s="9" t="s">
        <v>4</v>
      </c>
      <c r="E491" s="9" t="s">
        <v>9090</v>
      </c>
      <c r="F491" s="9"/>
      <c r="H491" s="9"/>
      <c r="I491" s="9" t="s">
        <v>8809</v>
      </c>
      <c r="J491" s="9" t="s">
        <v>2948</v>
      </c>
      <c r="K491" t="s">
        <v>8810</v>
      </c>
      <c r="L491" t="s">
        <v>8811</v>
      </c>
      <c r="M491" s="3" t="str">
        <f>HYPERLINK(склад2въезд13192021222[[#This Row],[RelativePath]])</f>
        <v>9 Ангар пилорама\E33149364_1_20260112T120429Z.jpg</v>
      </c>
    </row>
    <row r="492" spans="1:13" x14ac:dyDescent="0.25">
      <c r="A492" s="2" t="s">
        <v>13</v>
      </c>
      <c r="B492" s="4">
        <v>46034</v>
      </c>
      <c r="C492" s="5">
        <v>0.51141203703703708</v>
      </c>
      <c r="D492" s="9" t="s">
        <v>5407</v>
      </c>
      <c r="E492" s="9" t="s">
        <v>5411</v>
      </c>
      <c r="F492" s="9" t="s">
        <v>9089</v>
      </c>
      <c r="H492" s="9"/>
      <c r="I492" s="9" t="s">
        <v>8812</v>
      </c>
      <c r="J492" s="9" t="s">
        <v>2948</v>
      </c>
      <c r="K492" t="s">
        <v>8813</v>
      </c>
      <c r="L492" t="s">
        <v>8814</v>
      </c>
      <c r="M492" s="3" t="str">
        <f>HYPERLINK(склад2въезд13192021222[[#This Row],[RelativePath]])</f>
        <v>9 Ангар пилорама\E33149364_1_20260112T121626Z.jpg</v>
      </c>
    </row>
    <row r="493" spans="1:13" x14ac:dyDescent="0.25">
      <c r="A493" s="2" t="s">
        <v>13</v>
      </c>
      <c r="B493" s="4">
        <v>46034</v>
      </c>
      <c r="C493" s="5">
        <v>0.51883101851851854</v>
      </c>
      <c r="D493" s="9" t="s">
        <v>5407</v>
      </c>
      <c r="E493" s="9" t="s">
        <v>5411</v>
      </c>
      <c r="F493" s="9" t="s">
        <v>9089</v>
      </c>
      <c r="H493" s="9"/>
      <c r="I493" s="9" t="s">
        <v>8815</v>
      </c>
      <c r="J493" s="9" t="s">
        <v>2948</v>
      </c>
      <c r="K493" t="s">
        <v>8816</v>
      </c>
      <c r="L493" t="s">
        <v>8817</v>
      </c>
      <c r="M493" s="3" t="str">
        <f>HYPERLINK(склад2въезд13192021222[[#This Row],[RelativePath]])</f>
        <v>9 Ангар пилорама\E33149364_1_20260112T122707Z.jpg</v>
      </c>
    </row>
    <row r="494" spans="1:13" x14ac:dyDescent="0.25">
      <c r="A494" s="2" t="s">
        <v>13</v>
      </c>
      <c r="B494" s="4">
        <v>46034</v>
      </c>
      <c r="C494" s="5">
        <v>0.59407407407407409</v>
      </c>
      <c r="D494" s="9" t="s">
        <v>4</v>
      </c>
      <c r="E494" s="9" t="s">
        <v>9</v>
      </c>
      <c r="F494" s="9"/>
      <c r="H494" s="9"/>
      <c r="I494" s="9" t="s">
        <v>8818</v>
      </c>
      <c r="J494" s="9" t="s">
        <v>2948</v>
      </c>
      <c r="K494" t="s">
        <v>8819</v>
      </c>
      <c r="L494" t="s">
        <v>8820</v>
      </c>
      <c r="M494" s="3" t="str">
        <f>HYPERLINK(склад2въезд13192021222[[#This Row],[RelativePath]])</f>
        <v>9 Ангар пилорама\E33149364_1_20260112T141528Z.jpg</v>
      </c>
    </row>
    <row r="495" spans="1:13" x14ac:dyDescent="0.25">
      <c r="A495" s="2" t="s">
        <v>13</v>
      </c>
      <c r="B495" s="4">
        <v>46034</v>
      </c>
      <c r="C495" s="5">
        <v>0.60145833333333332</v>
      </c>
      <c r="D495" s="9" t="s">
        <v>5407</v>
      </c>
      <c r="E495" s="9" t="s">
        <v>5411</v>
      </c>
      <c r="F495" s="9" t="s">
        <v>9089</v>
      </c>
      <c r="H495" s="9"/>
      <c r="I495" s="9" t="s">
        <v>8821</v>
      </c>
      <c r="J495" s="9" t="s">
        <v>2948</v>
      </c>
      <c r="K495" t="s">
        <v>8822</v>
      </c>
      <c r="L495" t="s">
        <v>8823</v>
      </c>
      <c r="M495" s="3" t="str">
        <f>HYPERLINK(склад2въезд13192021222[[#This Row],[RelativePath]])</f>
        <v>9 Ангар пилорама\E33149364_1_20260112T142606Z.jpg</v>
      </c>
    </row>
    <row r="496" spans="1:13" x14ac:dyDescent="0.25">
      <c r="A496" s="2" t="s">
        <v>13</v>
      </c>
      <c r="B496" s="4">
        <v>46034</v>
      </c>
      <c r="C496" s="5">
        <v>0.62015046296296295</v>
      </c>
      <c r="D496" s="9" t="s">
        <v>5407</v>
      </c>
      <c r="E496" s="9" t="s">
        <v>5411</v>
      </c>
      <c r="F496" s="9" t="s">
        <v>9089</v>
      </c>
      <c r="H496" s="9"/>
      <c r="I496" s="9" t="s">
        <v>8824</v>
      </c>
      <c r="J496" s="9" t="s">
        <v>2948</v>
      </c>
      <c r="K496" t="s">
        <v>8825</v>
      </c>
      <c r="L496" t="s">
        <v>8826</v>
      </c>
      <c r="M496" s="3" t="str">
        <f>HYPERLINK(склад2въезд13192021222[[#This Row],[RelativePath]])</f>
        <v>9 Ангар пилорама\E33149364_1_20260112T145301Z.jpg</v>
      </c>
    </row>
    <row r="497" spans="1:13" x14ac:dyDescent="0.25">
      <c r="A497" s="2" t="s">
        <v>13</v>
      </c>
      <c r="B497" s="4">
        <v>46034</v>
      </c>
      <c r="C497" s="5">
        <v>0.71547453703703701</v>
      </c>
      <c r="D497" s="9" t="s">
        <v>4</v>
      </c>
      <c r="E497" s="9" t="s">
        <v>9</v>
      </c>
      <c r="F497" s="9"/>
      <c r="H497" s="9"/>
      <c r="I497" s="9" t="s">
        <v>8827</v>
      </c>
      <c r="J497" s="9" t="s">
        <v>2948</v>
      </c>
      <c r="K497" t="s">
        <v>8828</v>
      </c>
      <c r="L497" t="s">
        <v>8829</v>
      </c>
      <c r="M497" s="3" t="str">
        <f>HYPERLINK(склад2въезд13192021222[[#This Row],[RelativePath]])</f>
        <v>9 Ангар пилорама\E33149364_1_20260112T171017Z.jpg</v>
      </c>
    </row>
    <row r="498" spans="1:13" x14ac:dyDescent="0.25">
      <c r="A498" s="2" t="s">
        <v>13</v>
      </c>
      <c r="B498" s="4">
        <v>46034</v>
      </c>
      <c r="C498" s="5">
        <v>0.89054398148148151</v>
      </c>
      <c r="D498" s="9" t="s">
        <v>4</v>
      </c>
      <c r="E498" s="9" t="s">
        <v>86</v>
      </c>
      <c r="F498" s="9"/>
      <c r="H498" s="9" t="s">
        <v>5410</v>
      </c>
      <c r="I498" s="9" t="s">
        <v>8830</v>
      </c>
      <c r="J498" s="9" t="s">
        <v>2948</v>
      </c>
      <c r="K498" t="s">
        <v>8831</v>
      </c>
      <c r="L498" t="s">
        <v>8832</v>
      </c>
      <c r="M498" s="3" t="str">
        <f>HYPERLINK(склад2въезд13192021222[[#This Row],[RelativePath]])</f>
        <v>9 Ангар пилорама\E33149364_1_20260112T212223Z.jpg</v>
      </c>
    </row>
    <row r="499" spans="1:13" x14ac:dyDescent="0.25">
      <c r="A499" s="2" t="s">
        <v>14</v>
      </c>
      <c r="B499" s="4">
        <v>46035</v>
      </c>
      <c r="C499" s="5">
        <v>0.37564814814814818</v>
      </c>
      <c r="D499" s="9" t="s">
        <v>9091</v>
      </c>
      <c r="E499" s="9" t="s">
        <v>1267</v>
      </c>
      <c r="F499" s="9"/>
      <c r="H499" s="9"/>
      <c r="I499" s="9" t="s">
        <v>8833</v>
      </c>
      <c r="J499" s="9" t="s">
        <v>2948</v>
      </c>
      <c r="K499" t="s">
        <v>8834</v>
      </c>
      <c r="L499" t="s">
        <v>8835</v>
      </c>
      <c r="M499" s="3" t="str">
        <f>HYPERLINK(склад2въезд13192021222[[#This Row],[RelativePath]])</f>
        <v>9 Ангар пилорама\E33149364_1_20260113T090056Z.jpg</v>
      </c>
    </row>
    <row r="500" spans="1:13" x14ac:dyDescent="0.25">
      <c r="A500" s="2" t="s">
        <v>14</v>
      </c>
      <c r="B500" s="4">
        <v>46035</v>
      </c>
      <c r="C500" s="5">
        <v>0.42016203703703703</v>
      </c>
      <c r="D500" s="9" t="s">
        <v>1987</v>
      </c>
      <c r="E500" s="9" t="s">
        <v>1267</v>
      </c>
      <c r="F500" s="9"/>
      <c r="H500" s="9"/>
      <c r="I500" s="9" t="s">
        <v>8836</v>
      </c>
      <c r="J500" s="9" t="s">
        <v>2948</v>
      </c>
      <c r="K500" t="s">
        <v>8837</v>
      </c>
      <c r="L500" t="s">
        <v>8838</v>
      </c>
      <c r="M500" s="3" t="str">
        <f>HYPERLINK(склад2въезд13192021222[[#This Row],[RelativePath]])</f>
        <v>9 Ангар пилорама\E33149364_1_20260113T100502Z.jpg</v>
      </c>
    </row>
    <row r="501" spans="1:13" x14ac:dyDescent="0.25">
      <c r="A501" s="2" t="s">
        <v>14</v>
      </c>
      <c r="B501" s="4">
        <v>46035</v>
      </c>
      <c r="C501" s="5">
        <v>0.42708333333333331</v>
      </c>
      <c r="D501" s="9" t="s">
        <v>1987</v>
      </c>
      <c r="E501" s="9" t="s">
        <v>1267</v>
      </c>
      <c r="F501" s="9"/>
      <c r="H501" s="9"/>
      <c r="I501" s="9" t="s">
        <v>8839</v>
      </c>
      <c r="J501" s="9" t="s">
        <v>2948</v>
      </c>
      <c r="K501" t="s">
        <v>8840</v>
      </c>
      <c r="L501" t="s">
        <v>8841</v>
      </c>
      <c r="M501" s="3" t="str">
        <f>HYPERLINK(склад2въезд13192021222[[#This Row],[RelativePath]])</f>
        <v>9 Ангар пилорама\E33149364_1_20260113T101500Z.jpg</v>
      </c>
    </row>
    <row r="502" spans="1:13" x14ac:dyDescent="0.25">
      <c r="A502" s="2" t="s">
        <v>14</v>
      </c>
      <c r="B502" s="4">
        <v>46035</v>
      </c>
      <c r="C502" s="5">
        <v>0.42746527777777776</v>
      </c>
      <c r="D502" s="9" t="s">
        <v>4</v>
      </c>
      <c r="E502" s="9" t="s">
        <v>9</v>
      </c>
      <c r="F502" s="9"/>
      <c r="H502" s="9"/>
      <c r="I502" s="9" t="s">
        <v>8842</v>
      </c>
      <c r="J502" s="9" t="s">
        <v>2948</v>
      </c>
      <c r="K502" t="s">
        <v>8843</v>
      </c>
      <c r="L502" t="s">
        <v>8844</v>
      </c>
      <c r="M502" s="3" t="str">
        <f>HYPERLINK(склад2въезд13192021222[[#This Row],[RelativePath]])</f>
        <v>9 Ангар пилорама\E33149364_1_20260113T101533Z.jpg</v>
      </c>
    </row>
    <row r="503" spans="1:13" x14ac:dyDescent="0.25">
      <c r="A503" s="2" t="s">
        <v>14</v>
      </c>
      <c r="B503" s="4">
        <v>46035</v>
      </c>
      <c r="C503" s="5">
        <v>0.42787037037037035</v>
      </c>
      <c r="D503" s="9" t="s">
        <v>9086</v>
      </c>
      <c r="E503" s="9" t="s">
        <v>5071</v>
      </c>
      <c r="F503" s="9"/>
      <c r="H503" s="9"/>
      <c r="I503" s="9" t="s">
        <v>8845</v>
      </c>
      <c r="J503" s="9" t="s">
        <v>2948</v>
      </c>
      <c r="K503" t="s">
        <v>8846</v>
      </c>
      <c r="L503" t="s">
        <v>8847</v>
      </c>
      <c r="M503" s="3" t="str">
        <f>HYPERLINK(склад2въезд13192021222[[#This Row],[RelativePath]])</f>
        <v>9 Ангар пилорама\E33149364_1_20260113T101608Z.jpg</v>
      </c>
    </row>
    <row r="504" spans="1:13" x14ac:dyDescent="0.25">
      <c r="A504" s="2" t="s">
        <v>14</v>
      </c>
      <c r="B504" s="4">
        <v>46035</v>
      </c>
      <c r="C504" s="5">
        <v>0.4654861111111111</v>
      </c>
      <c r="D504" s="9" t="s">
        <v>5407</v>
      </c>
      <c r="E504" s="9" t="s">
        <v>5411</v>
      </c>
      <c r="F504" s="9" t="s">
        <v>500</v>
      </c>
      <c r="H504" s="9"/>
      <c r="I504" s="9" t="s">
        <v>8848</v>
      </c>
      <c r="J504" s="9" t="s">
        <v>2948</v>
      </c>
      <c r="K504" t="s">
        <v>8849</v>
      </c>
      <c r="L504" t="s">
        <v>8850</v>
      </c>
      <c r="M504" s="3" t="str">
        <f>HYPERLINK(склад2въезд13192021222[[#This Row],[RelativePath]])</f>
        <v>9 Ангар пилорама\E33149364_1_20260113T111018Z.jpg</v>
      </c>
    </row>
    <row r="505" spans="1:13" x14ac:dyDescent="0.25">
      <c r="A505" s="2" t="s">
        <v>14</v>
      </c>
      <c r="B505" s="4">
        <v>46035</v>
      </c>
      <c r="C505" s="5">
        <v>0.52651620370370367</v>
      </c>
      <c r="D505" s="9" t="s">
        <v>4</v>
      </c>
      <c r="E505" s="9" t="s">
        <v>7615</v>
      </c>
      <c r="F505" s="9"/>
      <c r="H505" s="9"/>
      <c r="I505" s="9" t="s">
        <v>8851</v>
      </c>
      <c r="J505" s="9" t="s">
        <v>2948</v>
      </c>
      <c r="K505" t="s">
        <v>8852</v>
      </c>
      <c r="L505" t="s">
        <v>8853</v>
      </c>
      <c r="M505" s="3" t="str">
        <f>HYPERLINK(склад2въезд13192021222[[#This Row],[RelativePath]])</f>
        <v>9 Ангар пилорама\E33149364_1_20260113T123811Z.jpg</v>
      </c>
    </row>
    <row r="506" spans="1:13" x14ac:dyDescent="0.25">
      <c r="A506" s="2" t="s">
        <v>14</v>
      </c>
      <c r="B506" s="4">
        <v>46035</v>
      </c>
      <c r="C506" s="5">
        <v>0.67047453703703708</v>
      </c>
      <c r="D506" s="9" t="s">
        <v>9092</v>
      </c>
      <c r="E506" s="9" t="s">
        <v>1267</v>
      </c>
      <c r="F506" s="9"/>
      <c r="H506" s="9"/>
      <c r="I506" s="9" t="s">
        <v>8854</v>
      </c>
      <c r="J506" s="9" t="s">
        <v>2948</v>
      </c>
      <c r="K506" t="s">
        <v>8855</v>
      </c>
      <c r="L506" t="s">
        <v>8856</v>
      </c>
      <c r="M506" s="3" t="str">
        <f>HYPERLINK(склад2въезд13192021222[[#This Row],[RelativePath]])</f>
        <v>9 Ангар пилорама\E33149364_1_20260113T160529Z.jpg</v>
      </c>
    </row>
    <row r="507" spans="1:13" x14ac:dyDescent="0.25">
      <c r="A507" s="2" t="s">
        <v>14</v>
      </c>
      <c r="B507" s="4">
        <v>46035</v>
      </c>
      <c r="C507" s="5">
        <v>0.67603009259259261</v>
      </c>
      <c r="D507" s="9" t="s">
        <v>9092</v>
      </c>
      <c r="E507" s="9" t="s">
        <v>1267</v>
      </c>
      <c r="F507" s="9"/>
      <c r="H507" s="9"/>
      <c r="I507" s="9" t="s">
        <v>8857</v>
      </c>
      <c r="J507" s="9" t="s">
        <v>2948</v>
      </c>
      <c r="K507" t="s">
        <v>8858</v>
      </c>
      <c r="L507" t="s">
        <v>8859</v>
      </c>
      <c r="M507" s="3" t="str">
        <f>HYPERLINK(склад2въезд13192021222[[#This Row],[RelativePath]])</f>
        <v>9 Ангар пилорама\E33149364_1_20260113T161329Z.jpg</v>
      </c>
    </row>
    <row r="508" spans="1:13" x14ac:dyDescent="0.25">
      <c r="A508" s="2" t="s">
        <v>14</v>
      </c>
      <c r="B508" s="4">
        <v>46035</v>
      </c>
      <c r="C508" s="5">
        <v>0.86349537037037039</v>
      </c>
      <c r="D508" s="9" t="s">
        <v>4</v>
      </c>
      <c r="E508" s="9" t="s">
        <v>86</v>
      </c>
      <c r="F508" s="9"/>
      <c r="H508" s="9" t="s">
        <v>5410</v>
      </c>
      <c r="I508" s="9" t="s">
        <v>8860</v>
      </c>
      <c r="J508" s="9" t="s">
        <v>2948</v>
      </c>
      <c r="K508" t="s">
        <v>8861</v>
      </c>
      <c r="L508" t="s">
        <v>8862</v>
      </c>
      <c r="M508" s="3" t="str">
        <f>HYPERLINK(склад2въезд13192021222[[#This Row],[RelativePath]])</f>
        <v>9 Ангар пилорама\E33149364_1_20260113T204326Z.jpg</v>
      </c>
    </row>
    <row r="509" spans="1:13" x14ac:dyDescent="0.25">
      <c r="A509" s="2" t="s">
        <v>15</v>
      </c>
      <c r="B509" s="4">
        <v>46036</v>
      </c>
      <c r="C509" s="5">
        <v>0.38776620370370368</v>
      </c>
      <c r="D509" s="9" t="s">
        <v>9338</v>
      </c>
      <c r="E509" s="9" t="s">
        <v>1267</v>
      </c>
      <c r="F509" s="9"/>
      <c r="H509" s="9"/>
      <c r="I509" s="9" t="s">
        <v>9173</v>
      </c>
      <c r="J509" s="9" t="s">
        <v>2948</v>
      </c>
      <c r="K509" t="s">
        <v>9174</v>
      </c>
      <c r="L509" t="s">
        <v>9175</v>
      </c>
      <c r="M509" s="3" t="str">
        <f>HYPERLINK(склад2въезд13192021222[[#This Row],[RelativePath]])</f>
        <v>9 Ангар пилорама\E33149364_1_20260114T091823Z.jpg</v>
      </c>
    </row>
    <row r="510" spans="1:13" x14ac:dyDescent="0.25">
      <c r="A510" s="2" t="s">
        <v>15</v>
      </c>
      <c r="B510" s="4">
        <v>46036</v>
      </c>
      <c r="C510" s="5">
        <v>0.43040509259259258</v>
      </c>
      <c r="D510" s="9" t="s">
        <v>9338</v>
      </c>
      <c r="E510" s="9" t="s">
        <v>1267</v>
      </c>
      <c r="F510" s="9"/>
      <c r="H510" s="9"/>
      <c r="I510" s="9" t="s">
        <v>9176</v>
      </c>
      <c r="J510" s="9" t="s">
        <v>2948</v>
      </c>
      <c r="K510" t="s">
        <v>9177</v>
      </c>
      <c r="L510" t="s">
        <v>9178</v>
      </c>
      <c r="M510" s="3" t="str">
        <f>HYPERLINK(склад2въезд13192021222[[#This Row],[RelativePath]])</f>
        <v>9 Ангар пилорама\E33149364_1_20260114T101947Z.jpg</v>
      </c>
    </row>
    <row r="511" spans="1:13" x14ac:dyDescent="0.25">
      <c r="A511" s="2" t="s">
        <v>15</v>
      </c>
      <c r="B511" s="4">
        <v>46036</v>
      </c>
      <c r="C511" s="5">
        <v>0.4992361111111111</v>
      </c>
      <c r="D511" s="9" t="s">
        <v>9338</v>
      </c>
      <c r="E511" s="9" t="s">
        <v>9339</v>
      </c>
      <c r="F511" s="9"/>
      <c r="H511" s="9"/>
      <c r="I511" s="9" t="s">
        <v>9179</v>
      </c>
      <c r="J511" s="9" t="s">
        <v>2948</v>
      </c>
      <c r="K511" t="s">
        <v>9180</v>
      </c>
      <c r="L511" t="s">
        <v>9181</v>
      </c>
      <c r="M511" s="3" t="str">
        <f>HYPERLINK(склад2въезд13192021222[[#This Row],[RelativePath]])</f>
        <v>9 Ангар пилорама\E33149364_1_20260114T115854Z.jpg</v>
      </c>
    </row>
    <row r="512" spans="1:13" x14ac:dyDescent="0.25">
      <c r="A512" s="2" t="s">
        <v>15</v>
      </c>
      <c r="B512" s="4">
        <v>46036</v>
      </c>
      <c r="C512" s="5">
        <v>0.8630902777777778</v>
      </c>
      <c r="D512" s="9" t="s">
        <v>4</v>
      </c>
      <c r="E512" s="9" t="s">
        <v>7615</v>
      </c>
      <c r="F512" s="9"/>
      <c r="H512" s="9"/>
      <c r="I512" s="9" t="s">
        <v>9182</v>
      </c>
      <c r="J512" s="9" t="s">
        <v>2948</v>
      </c>
      <c r="K512" t="s">
        <v>9183</v>
      </c>
      <c r="L512" t="s">
        <v>9184</v>
      </c>
      <c r="M512" s="3" t="str">
        <f>HYPERLINK(склад2въезд13192021222[[#This Row],[RelativePath]])</f>
        <v>9 Ангар пилорама\E33149364_1_20260114T204251Z.jpg</v>
      </c>
    </row>
    <row r="513" spans="1:13" x14ac:dyDescent="0.25">
      <c r="A513" s="2" t="s">
        <v>16</v>
      </c>
      <c r="B513" s="4">
        <v>46037</v>
      </c>
      <c r="C513" s="5">
        <v>0.39008101851851851</v>
      </c>
      <c r="D513" s="9" t="s">
        <v>9338</v>
      </c>
      <c r="E513" s="9" t="s">
        <v>1267</v>
      </c>
      <c r="F513" s="9"/>
      <c r="H513" s="9"/>
      <c r="I513" s="9" t="s">
        <v>9340</v>
      </c>
      <c r="J513" s="9" t="s">
        <v>2948</v>
      </c>
      <c r="K513" t="s">
        <v>9341</v>
      </c>
      <c r="L513" t="s">
        <v>9342</v>
      </c>
      <c r="M513" s="3" t="str">
        <f>HYPERLINK(склад2въезд13192021222[[#This Row],[RelativePath]])</f>
        <v>9 Ангар пилорама\E33149364_1_20260115T092143Z.jpg</v>
      </c>
    </row>
    <row r="514" spans="1:13" x14ac:dyDescent="0.25">
      <c r="A514" s="2" t="s">
        <v>16</v>
      </c>
      <c r="B514" s="4">
        <v>46037</v>
      </c>
      <c r="C514" s="5">
        <v>0.43109953703703702</v>
      </c>
      <c r="D514" s="9" t="s">
        <v>9338</v>
      </c>
      <c r="E514" s="9" t="s">
        <v>1267</v>
      </c>
      <c r="F514" s="9"/>
      <c r="H514" s="9"/>
      <c r="I514" s="9" t="s">
        <v>9343</v>
      </c>
      <c r="J514" s="9" t="s">
        <v>2948</v>
      </c>
      <c r="K514" t="s">
        <v>9344</v>
      </c>
      <c r="L514" t="s">
        <v>9345</v>
      </c>
      <c r="M514" s="3" t="str">
        <f>HYPERLINK(склад2въезд13192021222[[#This Row],[RelativePath]])</f>
        <v>9 Ангар пилорама\E33149364_1_20260115T102047Z.jpg</v>
      </c>
    </row>
    <row r="515" spans="1:13" x14ac:dyDescent="0.25">
      <c r="A515" s="2" t="s">
        <v>16</v>
      </c>
      <c r="B515" s="4">
        <v>46037</v>
      </c>
      <c r="C515" s="5">
        <v>0.59337962962962965</v>
      </c>
      <c r="D515" s="9" t="s">
        <v>9338</v>
      </c>
      <c r="E515" s="9" t="s">
        <v>1267</v>
      </c>
      <c r="F515" s="9"/>
      <c r="H515" s="9"/>
      <c r="I515" s="9" t="s">
        <v>9346</v>
      </c>
      <c r="J515" s="9" t="s">
        <v>2948</v>
      </c>
      <c r="K515" t="s">
        <v>9347</v>
      </c>
      <c r="L515" t="s">
        <v>9348</v>
      </c>
      <c r="M515" s="3" t="str">
        <f>HYPERLINK(склад2въезд13192021222[[#This Row],[RelativePath]])</f>
        <v>9 Ангар пилорама\E33149364_1_20260115T141428Z.jpg</v>
      </c>
    </row>
    <row r="516" spans="1:13" x14ac:dyDescent="0.25">
      <c r="A516" s="2" t="s">
        <v>16</v>
      </c>
      <c r="B516" s="4">
        <v>46037</v>
      </c>
      <c r="C516" s="5">
        <v>0.64023148148148146</v>
      </c>
      <c r="D516" s="9" t="s">
        <v>9338</v>
      </c>
      <c r="E516" s="9" t="s">
        <v>1267</v>
      </c>
      <c r="F516" s="9"/>
      <c r="H516" s="9"/>
      <c r="I516" s="9" t="s">
        <v>9349</v>
      </c>
      <c r="J516" s="9" t="s">
        <v>2948</v>
      </c>
      <c r="K516" t="s">
        <v>9350</v>
      </c>
      <c r="L516" t="s">
        <v>9351</v>
      </c>
      <c r="M516" s="3" t="str">
        <f>HYPERLINK(склад2въезд13192021222[[#This Row],[RelativePath]])</f>
        <v>9 Ангар пилорама\E33149364_1_20260115T152156Z.jpg</v>
      </c>
    </row>
    <row r="517" spans="1:13" x14ac:dyDescent="0.25">
      <c r="A517" s="2" t="s">
        <v>16</v>
      </c>
      <c r="B517" s="4">
        <v>46037</v>
      </c>
      <c r="C517" s="5">
        <v>0.67712962962962964</v>
      </c>
      <c r="D517" s="9" t="s">
        <v>9338</v>
      </c>
      <c r="E517" s="9" t="s">
        <v>1267</v>
      </c>
      <c r="F517" s="9"/>
      <c r="H517" s="9"/>
      <c r="I517" s="9" t="s">
        <v>9352</v>
      </c>
      <c r="J517" s="9" t="s">
        <v>2948</v>
      </c>
      <c r="K517" t="s">
        <v>9353</v>
      </c>
      <c r="L517" t="s">
        <v>9354</v>
      </c>
      <c r="M517" s="3" t="str">
        <f>HYPERLINK(склад2въезд13192021222[[#This Row],[RelativePath]])</f>
        <v>9 Ангар пилорама\E33149364_1_20260115T161504Z.jpg</v>
      </c>
    </row>
    <row r="518" spans="1:13" x14ac:dyDescent="0.25">
      <c r="A518" s="2" t="s">
        <v>17</v>
      </c>
      <c r="B518" s="4">
        <v>46038</v>
      </c>
      <c r="C518" s="5">
        <v>0.44732638888888887</v>
      </c>
      <c r="D518" s="9" t="s">
        <v>9338</v>
      </c>
      <c r="E518" s="9" t="s">
        <v>1267</v>
      </c>
      <c r="F518" s="9"/>
      <c r="H518" s="9"/>
      <c r="I518" s="9" t="s">
        <v>9355</v>
      </c>
      <c r="J518" s="9" t="s">
        <v>2948</v>
      </c>
      <c r="K518" t="s">
        <v>9356</v>
      </c>
      <c r="L518" t="s">
        <v>9357</v>
      </c>
      <c r="M518" s="3" t="str">
        <f>HYPERLINK(склад2въезд13192021222[[#This Row],[RelativePath]])</f>
        <v>9 Ангар пилорама\E33149364_1_20260116T104409Z.jpg</v>
      </c>
    </row>
    <row r="519" spans="1:13" x14ac:dyDescent="0.25">
      <c r="A519" s="2" t="s">
        <v>17</v>
      </c>
      <c r="B519" s="4">
        <v>46038</v>
      </c>
      <c r="C519" s="5">
        <v>0.4646527777777778</v>
      </c>
      <c r="D519" s="9" t="s">
        <v>9367</v>
      </c>
      <c r="E519" s="9" t="s">
        <v>1267</v>
      </c>
      <c r="F519" s="9"/>
      <c r="H519" s="9"/>
      <c r="I519" s="9" t="s">
        <v>9358</v>
      </c>
      <c r="J519" s="9" t="s">
        <v>2948</v>
      </c>
      <c r="K519" t="s">
        <v>9359</v>
      </c>
      <c r="L519" t="s">
        <v>9360</v>
      </c>
      <c r="M519" s="3" t="str">
        <f>HYPERLINK(склад2въезд13192021222[[#This Row],[RelativePath]])</f>
        <v>9 Ангар пилорама\E33149364_1_20260116T110906Z.jpg</v>
      </c>
    </row>
    <row r="520" spans="1:13" x14ac:dyDescent="0.25">
      <c r="A520" s="2" t="s">
        <v>17</v>
      </c>
      <c r="B520" s="4">
        <v>46038</v>
      </c>
      <c r="C520" s="5">
        <v>0.50703703703703706</v>
      </c>
      <c r="D520" s="9" t="s">
        <v>9337</v>
      </c>
      <c r="E520" s="9" t="s">
        <v>5071</v>
      </c>
      <c r="F520" s="9"/>
      <c r="H520" s="9"/>
      <c r="I520" s="9" t="s">
        <v>9361</v>
      </c>
      <c r="J520" s="9" t="s">
        <v>2948</v>
      </c>
      <c r="K520" t="s">
        <v>9362</v>
      </c>
      <c r="L520" t="s">
        <v>9363</v>
      </c>
      <c r="M520" s="3" t="str">
        <f>HYPERLINK(склад2въезд13192021222[[#This Row],[RelativePath]])</f>
        <v>9 Ангар пилорама\E33149364_1_20260116T121008Z.jpg</v>
      </c>
    </row>
    <row r="521" spans="1:13" x14ac:dyDescent="0.25">
      <c r="A521" s="2" t="s">
        <v>17</v>
      </c>
      <c r="B521" s="4">
        <v>46038</v>
      </c>
      <c r="C521" s="5">
        <v>0.63501157407407405</v>
      </c>
      <c r="D521" s="9" t="s">
        <v>4</v>
      </c>
      <c r="E521" s="9" t="s">
        <v>86</v>
      </c>
      <c r="F521" s="9"/>
      <c r="H521" s="9" t="s">
        <v>5410</v>
      </c>
      <c r="I521" s="9" t="s">
        <v>9364</v>
      </c>
      <c r="J521" s="9" t="s">
        <v>2948</v>
      </c>
      <c r="K521" t="s">
        <v>9365</v>
      </c>
      <c r="L521" t="s">
        <v>9366</v>
      </c>
      <c r="M521" s="3" t="str">
        <f>HYPERLINK(склад2въезд13192021222[[#This Row],[RelativePath]])</f>
        <v>9 Ангар пилорама\E33149364_1_20260116T151425Z.jpg</v>
      </c>
    </row>
    <row r="522" spans="1:13" x14ac:dyDescent="0.25">
      <c r="A522" s="2" t="s">
        <v>18</v>
      </c>
      <c r="B522" s="4">
        <v>46039</v>
      </c>
      <c r="C522" s="5">
        <v>0.51003472222222224</v>
      </c>
      <c r="D522" s="9" t="s">
        <v>4</v>
      </c>
      <c r="E522" s="9" t="s">
        <v>86</v>
      </c>
      <c r="F522" s="9"/>
      <c r="H522" s="9" t="s">
        <v>5410</v>
      </c>
      <c r="I522" s="9" t="s">
        <v>9528</v>
      </c>
      <c r="J522" s="9" t="s">
        <v>2948</v>
      </c>
      <c r="K522" t="s">
        <v>9529</v>
      </c>
      <c r="L522" t="s">
        <v>9530</v>
      </c>
      <c r="M522" s="3" t="str">
        <f>HYPERLINK(склад2въезд13192021222[[#This Row],[RelativePath]])</f>
        <v>9 Ангар пилорама\E33149364_1_20260117T121427Z.jpg</v>
      </c>
    </row>
    <row r="523" spans="1:13" x14ac:dyDescent="0.25">
      <c r="A523" s="2" t="s">
        <v>22</v>
      </c>
      <c r="B523" s="4">
        <v>46040</v>
      </c>
      <c r="C523" s="5">
        <v>0.62616898148148148</v>
      </c>
      <c r="D523" s="9" t="s">
        <v>4</v>
      </c>
      <c r="E523" s="9" t="s">
        <v>9571</v>
      </c>
      <c r="F523" s="9"/>
      <c r="H523" s="9"/>
      <c r="I523" s="9" t="s">
        <v>9531</v>
      </c>
      <c r="J523" s="9" t="s">
        <v>2948</v>
      </c>
      <c r="K523" t="s">
        <v>9532</v>
      </c>
      <c r="L523" t="s">
        <v>9533</v>
      </c>
      <c r="M523" s="3" t="str">
        <f>HYPERLINK(склад2въезд13192021222[[#This Row],[RelativePath]])</f>
        <v>9 Ангар пилорама\E33149364_1_20260118T150141Z.jpg</v>
      </c>
    </row>
    <row r="524" spans="1:13" x14ac:dyDescent="0.25">
      <c r="A524" s="2" t="s">
        <v>22</v>
      </c>
      <c r="B524" s="4">
        <v>46040</v>
      </c>
      <c r="C524" s="5">
        <v>0.63059027777777776</v>
      </c>
      <c r="D524" s="9" t="s">
        <v>9572</v>
      </c>
      <c r="E524" s="9" t="s">
        <v>9087</v>
      </c>
      <c r="F524" s="9"/>
      <c r="H524" s="9"/>
      <c r="I524" s="9" t="s">
        <v>9534</v>
      </c>
      <c r="J524" s="9" t="s">
        <v>2948</v>
      </c>
      <c r="K524" t="s">
        <v>9535</v>
      </c>
      <c r="L524" t="s">
        <v>9536</v>
      </c>
      <c r="M524" s="3" t="str">
        <f>HYPERLINK(склад2въезд13192021222[[#This Row],[RelativePath]])</f>
        <v>9 Ангар пилорама\E33149364_1_20260118T150803Z.jpg</v>
      </c>
    </row>
    <row r="525" spans="1:13" x14ac:dyDescent="0.25">
      <c r="A525" s="2" t="s">
        <v>13</v>
      </c>
      <c r="B525" s="4">
        <v>46041</v>
      </c>
      <c r="C525" s="5">
        <v>0.3956365740740741</v>
      </c>
      <c r="D525" s="9" t="s">
        <v>9338</v>
      </c>
      <c r="E525" s="9" t="s">
        <v>1267</v>
      </c>
      <c r="F525" s="9"/>
      <c r="H525" s="9"/>
      <c r="I525" s="9" t="s">
        <v>9673</v>
      </c>
      <c r="J525" s="9" t="s">
        <v>2948</v>
      </c>
      <c r="K525" t="s">
        <v>9674</v>
      </c>
      <c r="L525" t="s">
        <v>9675</v>
      </c>
      <c r="M525" s="3" t="str">
        <f>HYPERLINK(склад2въезд13192021222[[#This Row],[RelativePath]])</f>
        <v>9 Ангар пилорама\E33149364_1_20260119T092943Z.jpg</v>
      </c>
    </row>
    <row r="526" spans="1:13" x14ac:dyDescent="0.25">
      <c r="A526" s="2" t="s">
        <v>13</v>
      </c>
      <c r="B526" s="4">
        <v>46041</v>
      </c>
      <c r="C526" s="5">
        <v>0.64296296296296296</v>
      </c>
      <c r="D526" s="9" t="s">
        <v>9338</v>
      </c>
      <c r="E526" s="9" t="s">
        <v>1267</v>
      </c>
      <c r="F526" s="9"/>
      <c r="H526" s="9"/>
      <c r="I526" s="9" t="s">
        <v>9676</v>
      </c>
      <c r="J526" s="9" t="s">
        <v>2948</v>
      </c>
      <c r="K526" t="s">
        <v>9677</v>
      </c>
      <c r="L526" t="s">
        <v>9678</v>
      </c>
      <c r="M526" s="3" t="str">
        <f>HYPERLINK(склад2въезд13192021222[[#This Row],[RelativePath]])</f>
        <v>9 Ангар пилорама\E33149364_1_20260119T152552Z.jpg</v>
      </c>
    </row>
    <row r="527" spans="1:13" x14ac:dyDescent="0.25">
      <c r="A527" s="2" t="s">
        <v>14</v>
      </c>
      <c r="B527" s="4">
        <v>46042</v>
      </c>
      <c r="C527" s="5">
        <v>0.39396990740740739</v>
      </c>
      <c r="D527" s="9" t="s">
        <v>4</v>
      </c>
      <c r="E527" s="9" t="s">
        <v>9</v>
      </c>
      <c r="F527" s="9"/>
      <c r="H527" s="9"/>
      <c r="I527" s="9" t="s">
        <v>9679</v>
      </c>
      <c r="J527" s="9" t="s">
        <v>2948</v>
      </c>
      <c r="K527" t="s">
        <v>9680</v>
      </c>
      <c r="L527" t="s">
        <v>9681</v>
      </c>
      <c r="M527" s="3" t="str">
        <f>HYPERLINK(склад2въезд13192021222[[#This Row],[RelativePath]])</f>
        <v>9 Ангар пилорама\E33149364_1_20260120T092719Z.jpg</v>
      </c>
    </row>
    <row r="528" spans="1:13" x14ac:dyDescent="0.25">
      <c r="A528" s="2" t="s">
        <v>14</v>
      </c>
      <c r="B528" s="4">
        <v>46042</v>
      </c>
      <c r="C528" s="5">
        <v>0.42283564814814817</v>
      </c>
      <c r="D528" s="9" t="s">
        <v>4</v>
      </c>
      <c r="E528" s="9" t="s">
        <v>5408</v>
      </c>
      <c r="F528" s="9"/>
      <c r="H528" s="9"/>
      <c r="I528" s="9" t="s">
        <v>9682</v>
      </c>
      <c r="J528" s="9" t="s">
        <v>2948</v>
      </c>
      <c r="K528" t="s">
        <v>9683</v>
      </c>
      <c r="L528" t="s">
        <v>9684</v>
      </c>
      <c r="M528" s="3" t="str">
        <f>HYPERLINK(склад2въезд13192021222[[#This Row],[RelativePath]])</f>
        <v>9 Ангар пилорама\E33149364_1_20260120T100853Z.jpg</v>
      </c>
    </row>
    <row r="529" spans="1:13" x14ac:dyDescent="0.25">
      <c r="A529" s="2" t="s">
        <v>14</v>
      </c>
      <c r="B529" s="4">
        <v>46042</v>
      </c>
      <c r="C529" s="5">
        <v>0.42439814814814814</v>
      </c>
      <c r="D529" s="9" t="s">
        <v>5407</v>
      </c>
      <c r="E529" s="9" t="s">
        <v>5411</v>
      </c>
      <c r="F529" s="9" t="s">
        <v>9088</v>
      </c>
      <c r="G529">
        <v>1</v>
      </c>
      <c r="H529" s="9"/>
      <c r="I529" s="9" t="s">
        <v>9685</v>
      </c>
      <c r="J529" s="9" t="s">
        <v>2948</v>
      </c>
      <c r="K529" t="s">
        <v>9686</v>
      </c>
      <c r="L529" t="s">
        <v>9687</v>
      </c>
      <c r="M529" s="3" t="str">
        <f>HYPERLINK(склад2въезд13192021222[[#This Row],[RelativePath]])</f>
        <v>9 Ангар пилорама\E33149364_1_20260120T101108Z.jpg</v>
      </c>
    </row>
    <row r="530" spans="1:13" x14ac:dyDescent="0.25">
      <c r="A530" s="2" t="s">
        <v>14</v>
      </c>
      <c r="B530" s="4">
        <v>46042</v>
      </c>
      <c r="C530" s="5">
        <v>0.43718750000000001</v>
      </c>
      <c r="D530" s="9" t="s">
        <v>5407</v>
      </c>
      <c r="E530" s="9" t="s">
        <v>5411</v>
      </c>
      <c r="F530" s="9" t="s">
        <v>9088</v>
      </c>
      <c r="G530">
        <v>2</v>
      </c>
      <c r="H530" s="9"/>
      <c r="I530" s="9" t="s">
        <v>9688</v>
      </c>
      <c r="J530" s="9" t="s">
        <v>2948</v>
      </c>
      <c r="K530" t="s">
        <v>9689</v>
      </c>
      <c r="L530" t="s">
        <v>9690</v>
      </c>
      <c r="M530" s="3" t="str">
        <f>HYPERLINK(склад2въезд13192021222[[#This Row],[RelativePath]])</f>
        <v>9 Ангар пилорама\E33149364_1_20260120T102933Z.jpg</v>
      </c>
    </row>
    <row r="531" spans="1:13" x14ac:dyDescent="0.25">
      <c r="A531" s="2" t="s">
        <v>14</v>
      </c>
      <c r="B531" s="4">
        <v>46042</v>
      </c>
      <c r="C531" s="5">
        <v>0.44275462962962964</v>
      </c>
      <c r="D531" s="9" t="s">
        <v>5407</v>
      </c>
      <c r="E531" s="9" t="s">
        <v>5411</v>
      </c>
      <c r="F531" s="9" t="s">
        <v>9088</v>
      </c>
      <c r="G531">
        <v>1</v>
      </c>
      <c r="H531" s="9"/>
      <c r="I531" s="9" t="s">
        <v>9691</v>
      </c>
      <c r="J531" s="9" t="s">
        <v>2948</v>
      </c>
      <c r="K531" t="s">
        <v>9692</v>
      </c>
      <c r="L531" t="s">
        <v>9693</v>
      </c>
      <c r="M531" s="3" t="str">
        <f>HYPERLINK(склад2въезд13192021222[[#This Row],[RelativePath]])</f>
        <v>9 Ангар пилорама\E33149364_1_20260120T103734Z.jpg</v>
      </c>
    </row>
    <row r="532" spans="1:13" x14ac:dyDescent="0.25">
      <c r="A532" s="2" t="s">
        <v>14</v>
      </c>
      <c r="B532" s="4">
        <v>46042</v>
      </c>
      <c r="C532" s="5">
        <v>0.46475694444444443</v>
      </c>
      <c r="D532" s="9" t="s">
        <v>4</v>
      </c>
      <c r="E532" s="9" t="s">
        <v>5408</v>
      </c>
      <c r="F532" s="9"/>
      <c r="H532" s="9"/>
      <c r="I532" s="9" t="s">
        <v>9694</v>
      </c>
      <c r="J532" s="9" t="s">
        <v>2948</v>
      </c>
      <c r="K532" t="s">
        <v>9695</v>
      </c>
      <c r="L532" t="s">
        <v>9696</v>
      </c>
      <c r="M532" s="3" t="str">
        <f>HYPERLINK(склад2въезд13192021222[[#This Row],[RelativePath]])</f>
        <v>9 Ангар пилорама\E33149364_1_20260120T110915Z.jpg</v>
      </c>
    </row>
    <row r="533" spans="1:13" x14ac:dyDescent="0.25">
      <c r="A533" s="2" t="s">
        <v>14</v>
      </c>
      <c r="B533" s="4">
        <v>46042</v>
      </c>
      <c r="C533" s="5">
        <v>0.53749999999999998</v>
      </c>
      <c r="D533" s="9" t="s">
        <v>4</v>
      </c>
      <c r="E533" s="9" t="s">
        <v>5408</v>
      </c>
      <c r="F533" s="9"/>
      <c r="H533" s="9"/>
      <c r="I533" s="9" t="s">
        <v>9697</v>
      </c>
      <c r="J533" s="9" t="s">
        <v>2948</v>
      </c>
      <c r="K533" t="s">
        <v>9698</v>
      </c>
      <c r="L533" t="s">
        <v>9699</v>
      </c>
      <c r="M533" s="3" t="str">
        <f>HYPERLINK(склад2въезд13192021222[[#This Row],[RelativePath]])</f>
        <v>9 Ангар пилорама\E33149364_1_20260120T125400Z.jpg</v>
      </c>
    </row>
    <row r="534" spans="1:13" x14ac:dyDescent="0.25">
      <c r="A534" s="2" t="s">
        <v>14</v>
      </c>
      <c r="B534" s="4">
        <v>46042</v>
      </c>
      <c r="C534" s="5">
        <v>0.88525462962962964</v>
      </c>
      <c r="D534" s="9" t="s">
        <v>4</v>
      </c>
      <c r="E534" s="9" t="s">
        <v>86</v>
      </c>
      <c r="F534" s="9"/>
      <c r="H534" s="9" t="s">
        <v>5410</v>
      </c>
      <c r="I534" s="9" t="s">
        <v>9700</v>
      </c>
      <c r="J534" s="9" t="s">
        <v>2948</v>
      </c>
      <c r="K534" t="s">
        <v>9701</v>
      </c>
      <c r="L534" t="s">
        <v>9702</v>
      </c>
      <c r="M534" s="3" t="str">
        <f>HYPERLINK(склад2въезд13192021222[[#This Row],[RelativePath]])</f>
        <v>9 Ангар пилорама\E33149364_1_20260120T211446Z.jpg</v>
      </c>
    </row>
    <row r="535" spans="1:13" x14ac:dyDescent="0.25">
      <c r="A535" s="2" t="s">
        <v>15</v>
      </c>
      <c r="B535" s="4">
        <v>46043</v>
      </c>
      <c r="C535" s="5">
        <v>0.38946759259259262</v>
      </c>
      <c r="D535" s="9" t="s">
        <v>9086</v>
      </c>
      <c r="E535" s="9" t="s">
        <v>5071</v>
      </c>
      <c r="F535" s="9"/>
      <c r="H535" s="9"/>
      <c r="I535" s="9" t="s">
        <v>9892</v>
      </c>
      <c r="J535" s="9" t="s">
        <v>2948</v>
      </c>
      <c r="K535" t="s">
        <v>9893</v>
      </c>
      <c r="L535" t="s">
        <v>9894</v>
      </c>
      <c r="M535" s="3" t="str">
        <f>HYPERLINK(склад2въезд13192021222[[#This Row],[RelativePath]])</f>
        <v>9 Ангар пилорама\E33149364_1_20260121T092050Z.jpg</v>
      </c>
    </row>
    <row r="536" spans="1:13" x14ac:dyDescent="0.25">
      <c r="A536" s="2" t="s">
        <v>15</v>
      </c>
      <c r="B536" s="4">
        <v>46043</v>
      </c>
      <c r="C536" s="5">
        <v>0.88011574074074073</v>
      </c>
      <c r="D536" s="9" t="s">
        <v>4</v>
      </c>
      <c r="E536" s="9" t="s">
        <v>7615</v>
      </c>
      <c r="F536" s="9"/>
      <c r="H536" s="9"/>
      <c r="I536" s="9" t="s">
        <v>9895</v>
      </c>
      <c r="J536" s="9" t="s">
        <v>2948</v>
      </c>
      <c r="K536" t="s">
        <v>9896</v>
      </c>
      <c r="L536" t="s">
        <v>9897</v>
      </c>
      <c r="M536" s="3" t="str">
        <f>HYPERLINK(склад2въезд13192021222[[#This Row],[RelativePath]])</f>
        <v>9 Ангар пилорама\E33149364_1_20260121T210722Z.jpg</v>
      </c>
    </row>
    <row r="537" spans="1:13" x14ac:dyDescent="0.25">
      <c r="A537" s="2" t="s">
        <v>16</v>
      </c>
      <c r="B537" s="4">
        <v>46044</v>
      </c>
      <c r="C537" s="5">
        <v>0.48199074074074072</v>
      </c>
      <c r="D537" s="9" t="s">
        <v>5407</v>
      </c>
      <c r="E537" s="9" t="s">
        <v>5411</v>
      </c>
      <c r="F537" s="9" t="s">
        <v>9088</v>
      </c>
      <c r="G537">
        <v>1</v>
      </c>
      <c r="H537" s="9"/>
      <c r="I537" s="9" t="s">
        <v>9898</v>
      </c>
      <c r="J537" s="9" t="s">
        <v>2948</v>
      </c>
      <c r="K537" t="s">
        <v>9899</v>
      </c>
      <c r="L537" t="s">
        <v>9900</v>
      </c>
      <c r="M537" s="3" t="str">
        <f>HYPERLINK(склад2въезд13192021222[[#This Row],[RelativePath]])</f>
        <v>9 Ангар пилорама\E33149364_1_20260122T113404Z.jpg</v>
      </c>
    </row>
    <row r="538" spans="1:13" x14ac:dyDescent="0.25">
      <c r="A538" s="2" t="s">
        <v>16</v>
      </c>
      <c r="B538" s="4">
        <v>46044</v>
      </c>
      <c r="C538" s="5">
        <v>0.49608796296296298</v>
      </c>
      <c r="D538" s="9" t="s">
        <v>5407</v>
      </c>
      <c r="E538" s="9" t="s">
        <v>5411</v>
      </c>
      <c r="F538" s="9" t="s">
        <v>9088</v>
      </c>
      <c r="G538">
        <v>1</v>
      </c>
      <c r="H538" s="9"/>
      <c r="I538" s="9" t="s">
        <v>9901</v>
      </c>
      <c r="J538" s="9" t="s">
        <v>2948</v>
      </c>
      <c r="K538" t="s">
        <v>9902</v>
      </c>
      <c r="L538" t="s">
        <v>9903</v>
      </c>
      <c r="M538" s="3" t="str">
        <f>HYPERLINK(склад2въезд13192021222[[#This Row],[RelativePath]])</f>
        <v>9 Ангар пилорама\E33149364_1_20260122T115422Z.jpg</v>
      </c>
    </row>
    <row r="539" spans="1:13" x14ac:dyDescent="0.25">
      <c r="A539" s="2" t="s">
        <v>16</v>
      </c>
      <c r="B539" s="4">
        <v>46044</v>
      </c>
      <c r="C539" s="5">
        <v>0.49717592592592591</v>
      </c>
      <c r="D539" s="9" t="s">
        <v>9572</v>
      </c>
      <c r="E539" s="9" t="s">
        <v>5071</v>
      </c>
      <c r="F539" s="9"/>
      <c r="H539" s="9"/>
      <c r="I539" s="9" t="s">
        <v>9904</v>
      </c>
      <c r="J539" s="9" t="s">
        <v>2948</v>
      </c>
      <c r="K539" t="s">
        <v>9905</v>
      </c>
      <c r="L539" t="s">
        <v>9906</v>
      </c>
      <c r="M539" s="3" t="str">
        <f>HYPERLINK(склад2въезд13192021222[[#This Row],[RelativePath]])</f>
        <v>9 Ангар пилорама\E33149364_1_20260122T115556Z.jpg</v>
      </c>
    </row>
    <row r="540" spans="1:13" x14ac:dyDescent="0.25">
      <c r="A540" s="2" t="s">
        <v>16</v>
      </c>
      <c r="B540" s="4">
        <v>46044</v>
      </c>
      <c r="C540" s="5">
        <v>0.50127314814814816</v>
      </c>
      <c r="D540" s="9" t="s">
        <v>5407</v>
      </c>
      <c r="E540" s="9" t="s">
        <v>5411</v>
      </c>
      <c r="F540" s="9" t="s">
        <v>9088</v>
      </c>
      <c r="G540">
        <v>2</v>
      </c>
      <c r="H540" s="9"/>
      <c r="I540" s="9" t="s">
        <v>9907</v>
      </c>
      <c r="J540" s="9" t="s">
        <v>2948</v>
      </c>
      <c r="K540" t="s">
        <v>9908</v>
      </c>
      <c r="L540" t="s">
        <v>9909</v>
      </c>
      <c r="M540" s="3" t="str">
        <f>HYPERLINK(склад2въезд13192021222[[#This Row],[RelativePath]])</f>
        <v>9 Ангар пилорама\E33149364_1_20260122T120150Z.jpg</v>
      </c>
    </row>
    <row r="541" spans="1:13" x14ac:dyDescent="0.25">
      <c r="A541" s="2" t="s">
        <v>16</v>
      </c>
      <c r="B541" s="4">
        <v>46044</v>
      </c>
      <c r="C541" s="5">
        <v>0.614375</v>
      </c>
      <c r="D541" s="9" t="s">
        <v>158</v>
      </c>
      <c r="E541" s="9" t="s">
        <v>5411</v>
      </c>
      <c r="F541" s="9" t="s">
        <v>500</v>
      </c>
      <c r="G541">
        <v>1</v>
      </c>
      <c r="H541" s="9"/>
      <c r="I541" s="9" t="s">
        <v>9910</v>
      </c>
      <c r="J541" s="9" t="s">
        <v>2948</v>
      </c>
      <c r="K541" t="s">
        <v>9911</v>
      </c>
      <c r="L541" t="s">
        <v>9912</v>
      </c>
      <c r="M541" s="3" t="str">
        <f>HYPERLINK(склад2въезд13192021222[[#This Row],[RelativePath]])</f>
        <v>9 Ангар пилорама\E33149364_1_20260122T144442Z.jpg</v>
      </c>
    </row>
    <row r="542" spans="1:13" x14ac:dyDescent="0.25">
      <c r="A542" s="2" t="s">
        <v>16</v>
      </c>
      <c r="B542" s="4">
        <v>46044</v>
      </c>
      <c r="C542" s="5">
        <v>0.96657407407407403</v>
      </c>
      <c r="D542" s="9" t="s">
        <v>622</v>
      </c>
      <c r="E542" s="9" t="s">
        <v>5411</v>
      </c>
      <c r="F542" s="9"/>
      <c r="H542" s="9"/>
      <c r="I542" s="9" t="s">
        <v>9913</v>
      </c>
      <c r="J542" s="9" t="s">
        <v>2948</v>
      </c>
      <c r="K542" t="s">
        <v>9914</v>
      </c>
      <c r="L542" t="s">
        <v>9915</v>
      </c>
      <c r="M542" s="3" t="str">
        <f>HYPERLINK(склад2въезд13192021222[[#This Row],[RelativePath]])</f>
        <v>9 Ангар пилорама\E33149364_1_20260122T231152Z.jpg</v>
      </c>
    </row>
    <row r="543" spans="1:13" x14ac:dyDescent="0.25">
      <c r="A543" s="2" t="s">
        <v>16</v>
      </c>
      <c r="B543" s="4">
        <v>46044</v>
      </c>
      <c r="C543" s="5">
        <v>0.99260416666666662</v>
      </c>
      <c r="D543" s="9" t="s">
        <v>4</v>
      </c>
      <c r="E543" s="9" t="s">
        <v>8712</v>
      </c>
      <c r="F543" s="9"/>
      <c r="H543" s="9"/>
      <c r="I543" s="9" t="s">
        <v>9916</v>
      </c>
      <c r="J543" s="9" t="s">
        <v>2948</v>
      </c>
      <c r="K543" t="s">
        <v>9917</v>
      </c>
      <c r="L543" t="s">
        <v>9918</v>
      </c>
      <c r="M543" s="3" t="str">
        <f>HYPERLINK(склад2въезд13192021222[[#This Row],[RelativePath]])</f>
        <v>9 Ангар пилорама\E33149364_1_20260122T234921Z.jpg</v>
      </c>
    </row>
    <row r="544" spans="1:13" x14ac:dyDescent="0.25">
      <c r="A544" s="2" t="s">
        <v>17</v>
      </c>
      <c r="B544" s="4">
        <v>46045</v>
      </c>
      <c r="C544" s="5">
        <v>1.1261574074074075E-2</v>
      </c>
      <c r="D544" s="9" t="s">
        <v>4</v>
      </c>
      <c r="E544" s="9" t="s">
        <v>10267</v>
      </c>
      <c r="F544" s="9"/>
      <c r="H544" s="9" t="s">
        <v>5410</v>
      </c>
      <c r="I544" s="9" t="s">
        <v>10245</v>
      </c>
      <c r="J544" s="9" t="s">
        <v>2948</v>
      </c>
      <c r="K544" t="s">
        <v>10246</v>
      </c>
      <c r="L544" t="s">
        <v>10247</v>
      </c>
      <c r="M544" s="3" t="str">
        <f>HYPERLINK(склад2въезд13192021222[[#This Row],[RelativePath]])</f>
        <v>9 Ангар пилорама\E33149364_1_20260123T001613Z.jpg</v>
      </c>
    </row>
    <row r="545" spans="1:13" x14ac:dyDescent="0.25">
      <c r="A545" s="2" t="s">
        <v>17</v>
      </c>
      <c r="B545" s="4">
        <v>46045</v>
      </c>
      <c r="C545" s="5">
        <v>0.40991898148148148</v>
      </c>
      <c r="D545" s="9" t="s">
        <v>4</v>
      </c>
      <c r="E545" s="9" t="s">
        <v>7615</v>
      </c>
      <c r="F545" s="9"/>
      <c r="H545" s="9"/>
      <c r="I545" s="9" t="s">
        <v>10248</v>
      </c>
      <c r="J545" s="9" t="s">
        <v>2948</v>
      </c>
      <c r="K545" t="s">
        <v>10249</v>
      </c>
      <c r="L545" t="s">
        <v>10250</v>
      </c>
      <c r="M545" s="3" t="str">
        <f>HYPERLINK(склад2въезд13192021222[[#This Row],[RelativePath]])</f>
        <v>9 Ангар пилорама\E33149364_1_20260123T095017Z.jpg</v>
      </c>
    </row>
    <row r="546" spans="1:13" x14ac:dyDescent="0.25">
      <c r="A546" s="2" t="s">
        <v>17</v>
      </c>
      <c r="B546" s="4">
        <v>46045</v>
      </c>
      <c r="C546" s="5">
        <v>0.450625</v>
      </c>
      <c r="D546" s="9" t="s">
        <v>261</v>
      </c>
      <c r="E546" s="9" t="s">
        <v>9402</v>
      </c>
      <c r="F546" s="9" t="s">
        <v>58</v>
      </c>
      <c r="H546" s="9" t="s">
        <v>10319</v>
      </c>
      <c r="I546" s="9" t="s">
        <v>10251</v>
      </c>
      <c r="J546" s="9" t="s">
        <v>2948</v>
      </c>
      <c r="K546" t="s">
        <v>10252</v>
      </c>
      <c r="L546" t="s">
        <v>10253</v>
      </c>
      <c r="M546" s="3" t="str">
        <f>HYPERLINK(склад2въезд13192021222[[#This Row],[RelativePath]])</f>
        <v>9 Ангар пилорама\E33149364_1_20260123T104854Z.jpg</v>
      </c>
    </row>
    <row r="547" spans="1:13" x14ac:dyDescent="0.25">
      <c r="A547" s="2" t="s">
        <v>17</v>
      </c>
      <c r="B547" s="4">
        <v>46045</v>
      </c>
      <c r="C547" s="5">
        <v>0.45423611111111112</v>
      </c>
      <c r="D547" s="9" t="s">
        <v>261</v>
      </c>
      <c r="E547" s="9" t="s">
        <v>9402</v>
      </c>
      <c r="F547" s="9" t="s">
        <v>58</v>
      </c>
      <c r="H547" s="9" t="s">
        <v>2891</v>
      </c>
      <c r="I547" s="9" t="s">
        <v>10254</v>
      </c>
      <c r="J547" s="9" t="s">
        <v>2948</v>
      </c>
      <c r="K547" t="s">
        <v>10255</v>
      </c>
      <c r="L547" t="s">
        <v>10256</v>
      </c>
      <c r="M547" s="3" t="str">
        <f>HYPERLINK(склад2въезд13192021222[[#This Row],[RelativePath]])</f>
        <v>9 Ангар пилорама\E33149364_1_20260123T105406Z.jpg</v>
      </c>
    </row>
    <row r="548" spans="1:13" x14ac:dyDescent="0.25">
      <c r="A548" s="2" t="s">
        <v>17</v>
      </c>
      <c r="B548" s="4">
        <v>46045</v>
      </c>
      <c r="C548" s="5">
        <v>0.69060185185185186</v>
      </c>
      <c r="D548" s="9" t="s">
        <v>4</v>
      </c>
      <c r="E548" s="9" t="s">
        <v>5411</v>
      </c>
      <c r="F548" s="9"/>
      <c r="H548" s="9" t="s">
        <v>5410</v>
      </c>
      <c r="I548" s="9" t="s">
        <v>10257</v>
      </c>
      <c r="J548" s="9" t="s">
        <v>2948</v>
      </c>
      <c r="K548" t="s">
        <v>10258</v>
      </c>
      <c r="L548" t="s">
        <v>10259</v>
      </c>
      <c r="M548" s="3" t="str">
        <f>HYPERLINK(склад2въезд13192021222[[#This Row],[RelativePath]])</f>
        <v>9 Ангар пилорама\E33149364_1_20260123T163428Z.jpg</v>
      </c>
    </row>
    <row r="549" spans="1:13" x14ac:dyDescent="0.25">
      <c r="A549" s="2" t="s">
        <v>18</v>
      </c>
      <c r="B549" s="4">
        <v>46046</v>
      </c>
      <c r="C549" s="5">
        <v>0.4387847222222222</v>
      </c>
      <c r="D549" s="9" t="s">
        <v>4</v>
      </c>
      <c r="E549" s="9" t="s">
        <v>5411</v>
      </c>
      <c r="F549" s="9"/>
      <c r="H549" s="9" t="s">
        <v>5410</v>
      </c>
      <c r="I549" s="9" t="s">
        <v>10341</v>
      </c>
      <c r="J549" s="9" t="s">
        <v>2948</v>
      </c>
      <c r="K549" t="s">
        <v>10342</v>
      </c>
      <c r="L549" t="s">
        <v>10343</v>
      </c>
      <c r="M549" s="3" t="str">
        <f>HYPERLINK(склад2въезд13192021222[[#This Row],[RelativePath]])</f>
        <v>9 Ангар пилорама\E33149364_1_20260124T103151Z.jpg</v>
      </c>
    </row>
    <row r="550" spans="1:13" x14ac:dyDescent="0.25">
      <c r="A550" s="2" t="s">
        <v>22</v>
      </c>
      <c r="B550" s="4">
        <v>46047</v>
      </c>
      <c r="C550" s="5">
        <v>0.68355324074074075</v>
      </c>
      <c r="D550" s="9" t="s">
        <v>4</v>
      </c>
      <c r="E550" s="9" t="s">
        <v>5071</v>
      </c>
      <c r="F550" s="9"/>
      <c r="H550" s="9"/>
      <c r="I550" s="9" t="s">
        <v>10391</v>
      </c>
      <c r="J550" s="9" t="s">
        <v>2948</v>
      </c>
      <c r="K550" t="s">
        <v>10392</v>
      </c>
      <c r="L550" t="s">
        <v>10393</v>
      </c>
      <c r="M550" s="3" t="str">
        <f>HYPERLINK(склад2въезд13192021222[[#This Row],[RelativePath]])</f>
        <v>9 Ангар пилорама\E33149364_1_20260125T162419Z.jpg</v>
      </c>
    </row>
    <row r="551" spans="1:13" x14ac:dyDescent="0.25">
      <c r="A551" s="2" t="s">
        <v>13</v>
      </c>
      <c r="B551" s="4">
        <v>46048</v>
      </c>
      <c r="C551" s="5">
        <v>0.52254629629629634</v>
      </c>
      <c r="D551" s="9" t="s">
        <v>9337</v>
      </c>
      <c r="E551" s="9" t="s">
        <v>503</v>
      </c>
      <c r="F551" s="9"/>
      <c r="H551" s="9"/>
      <c r="I551" s="9" t="s">
        <v>10455</v>
      </c>
      <c r="J551" s="9" t="s">
        <v>2948</v>
      </c>
      <c r="K551" t="s">
        <v>10456</v>
      </c>
      <c r="L551" t="s">
        <v>10457</v>
      </c>
      <c r="M551" s="3" t="str">
        <f>HYPERLINK(склад2въезд13192021222[[#This Row],[RelativePath]])</f>
        <v>9 Ангар пилорама\E33149364_1_20260126T123228Z.jpg</v>
      </c>
    </row>
    <row r="552" spans="1:13" x14ac:dyDescent="0.25">
      <c r="A552" s="2" t="s">
        <v>13</v>
      </c>
      <c r="B552" s="4">
        <v>46048</v>
      </c>
      <c r="C552" s="5">
        <v>0.68349537037037034</v>
      </c>
      <c r="D552" s="9" t="s">
        <v>10507</v>
      </c>
      <c r="E552" s="9" t="s">
        <v>503</v>
      </c>
      <c r="F552" s="9"/>
      <c r="H552" s="9"/>
      <c r="I552" s="9" t="s">
        <v>10458</v>
      </c>
      <c r="J552" s="9" t="s">
        <v>2948</v>
      </c>
      <c r="K552" t="s">
        <v>10459</v>
      </c>
      <c r="L552" t="s">
        <v>10460</v>
      </c>
      <c r="M552" s="3" t="str">
        <f>HYPERLINK(склад2въезд13192021222[[#This Row],[RelativePath]])</f>
        <v>9 Ангар пилорама\E33149364_1_20260126T162414Z.jpg</v>
      </c>
    </row>
    <row r="553" spans="1:13" x14ac:dyDescent="0.25">
      <c r="A553" s="2" t="s">
        <v>14</v>
      </c>
      <c r="B553" s="4">
        <v>46049</v>
      </c>
      <c r="C553" s="5">
        <v>0.52869212962962964</v>
      </c>
      <c r="D553" s="9" t="s">
        <v>9337</v>
      </c>
      <c r="E553" s="9" t="s">
        <v>503</v>
      </c>
      <c r="F553" s="9"/>
      <c r="H553" s="9"/>
      <c r="I553" s="9" t="s">
        <v>10461</v>
      </c>
      <c r="J553" s="9" t="s">
        <v>2948</v>
      </c>
      <c r="K553" t="s">
        <v>10462</v>
      </c>
      <c r="L553" t="s">
        <v>10463</v>
      </c>
      <c r="M553" s="3" t="str">
        <f>HYPERLINK(склад2въезд13192021222[[#This Row],[RelativePath]])</f>
        <v>9 Ангар пилорама\E33149364_1_20260127T124119Z.jpg</v>
      </c>
    </row>
    <row r="554" spans="1:13" x14ac:dyDescent="0.25">
      <c r="A554" s="2" t="s">
        <v>14</v>
      </c>
      <c r="B554" s="4">
        <v>46049</v>
      </c>
      <c r="C554" s="5">
        <v>0.60849537037037038</v>
      </c>
      <c r="D554" s="9" t="s">
        <v>10507</v>
      </c>
      <c r="E554" s="9" t="s">
        <v>503</v>
      </c>
      <c r="F554" s="9"/>
      <c r="H554" s="9"/>
      <c r="I554" s="9" t="s">
        <v>10464</v>
      </c>
      <c r="J554" s="9" t="s">
        <v>2948</v>
      </c>
      <c r="K554" t="s">
        <v>10465</v>
      </c>
      <c r="L554" t="s">
        <v>10466</v>
      </c>
      <c r="M554" s="3" t="str">
        <f>HYPERLINK(склад2въезд13192021222[[#This Row],[RelativePath]])</f>
        <v>9 Ангар пилорама\E33149364_1_20260127T143614Z.jpg</v>
      </c>
    </row>
    <row r="555" spans="1:13" x14ac:dyDescent="0.25">
      <c r="A555" s="2" t="s">
        <v>14</v>
      </c>
      <c r="B555" s="4">
        <v>46049</v>
      </c>
      <c r="C555" s="5">
        <v>0.70747685185185183</v>
      </c>
      <c r="D555" s="9" t="s">
        <v>4</v>
      </c>
      <c r="E555" s="9" t="s">
        <v>7615</v>
      </c>
      <c r="F555" s="9"/>
      <c r="H555" s="9"/>
      <c r="I555" s="9" t="s">
        <v>10467</v>
      </c>
      <c r="J555" s="9" t="s">
        <v>2948</v>
      </c>
      <c r="K555" t="s">
        <v>10468</v>
      </c>
      <c r="L555" t="s">
        <v>10469</v>
      </c>
      <c r="M555" s="3" t="str">
        <f>HYPERLINK(склад2въезд13192021222[[#This Row],[RelativePath]])</f>
        <v>9 Ангар пилорама\E33149364_1_20260127T165846Z.jpg</v>
      </c>
    </row>
    <row r="556" spans="1:13" x14ac:dyDescent="0.25">
      <c r="A556" s="2" t="s">
        <v>15</v>
      </c>
      <c r="B556" s="4">
        <v>46050</v>
      </c>
      <c r="C556" s="5">
        <v>0.38651620370370371</v>
      </c>
      <c r="D556" s="9" t="s">
        <v>9337</v>
      </c>
      <c r="E556" s="9" t="s">
        <v>503</v>
      </c>
      <c r="F556" s="9"/>
      <c r="H556" s="9"/>
      <c r="I556" s="9" t="s">
        <v>10656</v>
      </c>
      <c r="J556" s="9" t="s">
        <v>2948</v>
      </c>
      <c r="K556" t="s">
        <v>10657</v>
      </c>
      <c r="L556" t="s">
        <v>10658</v>
      </c>
      <c r="M556" s="3" t="str">
        <f>HYPERLINK(склад2въезд13192021222[[#This Row],[RelativePath]])</f>
        <v>9 Ангар пилорама\E33149364_1_20260128T091635Z.jpg</v>
      </c>
    </row>
    <row r="557" spans="1:13" x14ac:dyDescent="0.25">
      <c r="A557" s="2" t="s">
        <v>15</v>
      </c>
      <c r="B557" s="4">
        <v>46050</v>
      </c>
      <c r="C557" s="5">
        <v>0.41680555555555554</v>
      </c>
      <c r="D557" s="9" t="s">
        <v>4</v>
      </c>
      <c r="E557" s="9" t="s">
        <v>7615</v>
      </c>
      <c r="F557" s="9"/>
      <c r="H557" s="9"/>
      <c r="I557" s="9" t="s">
        <v>10659</v>
      </c>
      <c r="J557" s="9" t="s">
        <v>2948</v>
      </c>
      <c r="K557" t="s">
        <v>10660</v>
      </c>
      <c r="L557" t="s">
        <v>10661</v>
      </c>
      <c r="M557" s="3" t="str">
        <f>HYPERLINK(склад2въезд13192021222[[#This Row],[RelativePath]])</f>
        <v>9 Ангар пилорама\E33149364_1_20260128T100012Z.jpg</v>
      </c>
    </row>
    <row r="558" spans="1:13" x14ac:dyDescent="0.25">
      <c r="A558" s="2" t="s">
        <v>15</v>
      </c>
      <c r="B558" s="4">
        <v>46050</v>
      </c>
      <c r="C558" s="5">
        <v>0.42199074074074072</v>
      </c>
      <c r="D558" s="9" t="s">
        <v>5407</v>
      </c>
      <c r="E558" s="9" t="s">
        <v>5411</v>
      </c>
      <c r="F558" s="9" t="s">
        <v>9088</v>
      </c>
      <c r="H558" s="9"/>
      <c r="I558" s="9" t="s">
        <v>10662</v>
      </c>
      <c r="J558" s="9" t="s">
        <v>2948</v>
      </c>
      <c r="K558" t="s">
        <v>10663</v>
      </c>
      <c r="L558" t="s">
        <v>10664</v>
      </c>
      <c r="M558" s="3" t="str">
        <f>HYPERLINK(склад2въезд13192021222[[#This Row],[RelativePath]])</f>
        <v>9 Ангар пилорама\E33149364_1_20260128T100740Z.jpg</v>
      </c>
    </row>
    <row r="559" spans="1:13" x14ac:dyDescent="0.25">
      <c r="A559" s="2" t="s">
        <v>15</v>
      </c>
      <c r="B559" s="4">
        <v>46050</v>
      </c>
      <c r="C559" s="5">
        <v>0.42229166666666668</v>
      </c>
      <c r="D559" s="9" t="s">
        <v>9572</v>
      </c>
      <c r="E559" s="9" t="s">
        <v>5071</v>
      </c>
      <c r="F559" s="9"/>
      <c r="H559" s="9"/>
      <c r="I559" s="9" t="s">
        <v>10665</v>
      </c>
      <c r="J559" s="9" t="s">
        <v>2948</v>
      </c>
      <c r="K559" t="s">
        <v>10666</v>
      </c>
      <c r="L559" t="s">
        <v>10667</v>
      </c>
      <c r="M559" s="3" t="str">
        <f>HYPERLINK(склад2въезд13192021222[[#This Row],[RelativePath]])</f>
        <v>9 Ангар пилорама\E33149364_1_20260128T100806Z.jpg</v>
      </c>
    </row>
    <row r="560" spans="1:13" x14ac:dyDescent="0.25">
      <c r="A560" s="2" t="s">
        <v>15</v>
      </c>
      <c r="B560" s="4">
        <v>46050</v>
      </c>
      <c r="C560" s="5">
        <v>0.65254629629629635</v>
      </c>
      <c r="D560" s="9" t="s">
        <v>5407</v>
      </c>
      <c r="E560" s="9" t="s">
        <v>5411</v>
      </c>
      <c r="F560" s="9" t="s">
        <v>9088</v>
      </c>
      <c r="H560" s="9"/>
      <c r="I560" s="9" t="s">
        <v>10668</v>
      </c>
      <c r="J560" s="9" t="s">
        <v>2948</v>
      </c>
      <c r="K560" t="s">
        <v>10669</v>
      </c>
      <c r="L560" t="s">
        <v>10670</v>
      </c>
      <c r="M560" s="3" t="str">
        <f>HYPERLINK(склад2въезд13192021222[[#This Row],[RelativePath]])</f>
        <v>9 Ангар пилорама\E33149364_1_20260128T153940Z.jpg</v>
      </c>
    </row>
    <row r="561" spans="1:13" x14ac:dyDescent="0.25">
      <c r="A561" s="2" t="s">
        <v>15</v>
      </c>
      <c r="B561" s="4">
        <v>46050</v>
      </c>
      <c r="C561" s="5">
        <v>0.6539814814814815</v>
      </c>
      <c r="D561" s="9" t="s">
        <v>158</v>
      </c>
      <c r="E561" s="9" t="s">
        <v>9087</v>
      </c>
      <c r="F561" s="9" t="s">
        <v>2884</v>
      </c>
      <c r="H561" s="9"/>
      <c r="I561" s="9" t="s">
        <v>10671</v>
      </c>
      <c r="J561" s="9" t="s">
        <v>2948</v>
      </c>
      <c r="K561" t="s">
        <v>10672</v>
      </c>
      <c r="L561" t="s">
        <v>10673</v>
      </c>
      <c r="M561" s="3" t="str">
        <f>HYPERLINK(склад2въезд13192021222[[#This Row],[RelativePath]])</f>
        <v>9 Ангар пилорама\E33149364_1_20260128T154144Z.jpg</v>
      </c>
    </row>
    <row r="562" spans="1:13" x14ac:dyDescent="0.25">
      <c r="A562" s="2" t="s">
        <v>15</v>
      </c>
      <c r="B562" s="4">
        <v>46050</v>
      </c>
      <c r="C562" s="5">
        <v>0.89396990740740745</v>
      </c>
      <c r="D562" s="9" t="s">
        <v>9086</v>
      </c>
      <c r="E562" s="9" t="s">
        <v>5071</v>
      </c>
      <c r="F562" s="9"/>
      <c r="H562" s="9"/>
      <c r="I562" s="9" t="s">
        <v>10674</v>
      </c>
      <c r="J562" s="9" t="s">
        <v>2948</v>
      </c>
      <c r="K562" t="s">
        <v>10675</v>
      </c>
      <c r="L562" t="s">
        <v>10676</v>
      </c>
      <c r="M562" s="3" t="str">
        <f>HYPERLINK(склад2въезд13192021222[[#This Row],[RelativePath]])</f>
        <v>9 Ангар пилорама\E33149364_1_20260128T212719Z.jpg</v>
      </c>
    </row>
    <row r="563" spans="1:13" x14ac:dyDescent="0.25">
      <c r="A563" s="2" t="s">
        <v>16</v>
      </c>
      <c r="B563" s="4">
        <v>46051</v>
      </c>
      <c r="C563" s="5">
        <v>0.44464120370370369</v>
      </c>
      <c r="D563" s="9" t="s">
        <v>9337</v>
      </c>
      <c r="E563" s="9" t="s">
        <v>503</v>
      </c>
      <c r="F563" s="9"/>
      <c r="H563" s="9"/>
      <c r="I563" s="9" t="s">
        <v>10677</v>
      </c>
      <c r="J563" s="9" t="s">
        <v>2948</v>
      </c>
      <c r="K563" t="s">
        <v>10678</v>
      </c>
      <c r="L563" t="s">
        <v>10679</v>
      </c>
      <c r="M563" s="3" t="str">
        <f>HYPERLINK(склад2въезд13192021222[[#This Row],[RelativePath]])</f>
        <v>9 Ангар пилорама\E33149364_1_20260129T104017Z.jpg</v>
      </c>
    </row>
    <row r="564" spans="1:13" x14ac:dyDescent="0.25">
      <c r="A564" s="2" t="s">
        <v>16</v>
      </c>
      <c r="B564" s="4">
        <v>46051</v>
      </c>
      <c r="C564" s="5">
        <v>0.49818287037037035</v>
      </c>
      <c r="D564" s="9" t="s">
        <v>9086</v>
      </c>
      <c r="E564" s="9" t="s">
        <v>5071</v>
      </c>
      <c r="F564" s="9"/>
      <c r="H564" s="9"/>
      <c r="I564" s="9" t="s">
        <v>10680</v>
      </c>
      <c r="J564" s="9" t="s">
        <v>2948</v>
      </c>
      <c r="K564" t="s">
        <v>10681</v>
      </c>
      <c r="L564" t="s">
        <v>10682</v>
      </c>
      <c r="M564" s="3" t="str">
        <f>HYPERLINK(склад2въезд13192021222[[#This Row],[RelativePath]])</f>
        <v>9 Ангар пилорама\E33149364_1_20260129T115723Z.jpg</v>
      </c>
    </row>
    <row r="565" spans="1:13" x14ac:dyDescent="0.25">
      <c r="A565" s="2" t="s">
        <v>16</v>
      </c>
      <c r="B565" s="4">
        <v>46051</v>
      </c>
      <c r="C565" s="5">
        <v>0.52173611111111107</v>
      </c>
      <c r="D565" s="9" t="s">
        <v>9086</v>
      </c>
      <c r="E565" s="9" t="s">
        <v>5071</v>
      </c>
      <c r="F565" s="9"/>
      <c r="H565" s="9"/>
      <c r="I565" s="9" t="s">
        <v>10683</v>
      </c>
      <c r="J565" s="9" t="s">
        <v>2948</v>
      </c>
      <c r="K565" t="s">
        <v>10684</v>
      </c>
      <c r="L565" t="s">
        <v>10685</v>
      </c>
      <c r="M565" s="3" t="str">
        <f>HYPERLINK(склад2въезд13192021222[[#This Row],[RelativePath]])</f>
        <v>9 Ангар пилорама\E33149364_1_20260129T123118Z.jpg</v>
      </c>
    </row>
    <row r="566" spans="1:13" x14ac:dyDescent="0.25">
      <c r="A566" s="2" t="s">
        <v>16</v>
      </c>
      <c r="B566" s="4">
        <v>46051</v>
      </c>
      <c r="C566" s="5">
        <v>0.5367939814814815</v>
      </c>
      <c r="D566" s="9" t="s">
        <v>1987</v>
      </c>
      <c r="E566" s="9" t="s">
        <v>1267</v>
      </c>
      <c r="F566" s="9"/>
      <c r="H566" s="9" t="s">
        <v>10757</v>
      </c>
      <c r="I566" s="9" t="s">
        <v>10686</v>
      </c>
      <c r="J566" s="9" t="s">
        <v>2948</v>
      </c>
      <c r="K566" t="s">
        <v>10687</v>
      </c>
      <c r="L566" t="s">
        <v>10688</v>
      </c>
      <c r="M566" s="3" t="str">
        <f>HYPERLINK(склад2въезд13192021222[[#This Row],[RelativePath]])</f>
        <v>9 Ангар пилорама\E33149364_1_20260129T125259Z.jpg</v>
      </c>
    </row>
    <row r="567" spans="1:13" x14ac:dyDescent="0.25">
      <c r="A567" s="2" t="s">
        <v>16</v>
      </c>
      <c r="B567" s="4">
        <v>46051</v>
      </c>
      <c r="C567" s="5">
        <v>0.66745370370370372</v>
      </c>
      <c r="D567" s="9" t="s">
        <v>9086</v>
      </c>
      <c r="E567" s="9" t="s">
        <v>5071</v>
      </c>
      <c r="F567" s="9"/>
      <c r="H567" s="9"/>
      <c r="I567" s="9" t="s">
        <v>10689</v>
      </c>
      <c r="J567" s="9" t="s">
        <v>2948</v>
      </c>
      <c r="K567" t="s">
        <v>10690</v>
      </c>
      <c r="L567" t="s">
        <v>10691</v>
      </c>
      <c r="M567" s="3" t="str">
        <f>HYPERLINK(склад2въезд13192021222[[#This Row],[RelativePath]])</f>
        <v>9 Ангар пилорама\E33149364_1_20260129T160108Z.jpg</v>
      </c>
    </row>
    <row r="568" spans="1:13" x14ac:dyDescent="0.25">
      <c r="A568" s="2" t="s">
        <v>17</v>
      </c>
      <c r="B568" s="4">
        <v>46052</v>
      </c>
      <c r="C568" s="5">
        <v>0.39917824074074076</v>
      </c>
      <c r="D568" s="9" t="s">
        <v>9337</v>
      </c>
      <c r="E568" s="9" t="s">
        <v>503</v>
      </c>
      <c r="F568" s="9"/>
      <c r="H568" s="9"/>
      <c r="I568" s="9" t="s">
        <v>10813</v>
      </c>
      <c r="J568" s="9" t="s">
        <v>2948</v>
      </c>
      <c r="K568" t="s">
        <v>10814</v>
      </c>
      <c r="L568" t="s">
        <v>10815</v>
      </c>
      <c r="M568" s="3" t="str">
        <f>HYPERLINK(склад2въезд13192021222[[#This Row],[RelativePath]])</f>
        <v>9 Ангар пилорама\E33149364_1_20260130T093449Z.jpg</v>
      </c>
    </row>
    <row r="569" spans="1:13" x14ac:dyDescent="0.25">
      <c r="A569" s="2" t="s">
        <v>17</v>
      </c>
      <c r="B569" s="4">
        <v>46052</v>
      </c>
      <c r="C569" s="5">
        <v>0.41440972222222222</v>
      </c>
      <c r="D569" s="9" t="s">
        <v>4</v>
      </c>
      <c r="E569" s="9" t="s">
        <v>7615</v>
      </c>
      <c r="F569" s="9"/>
      <c r="H569" s="9"/>
      <c r="I569" s="9" t="s">
        <v>10816</v>
      </c>
      <c r="J569" s="9" t="s">
        <v>2948</v>
      </c>
      <c r="K569" t="s">
        <v>10817</v>
      </c>
      <c r="L569" t="s">
        <v>10818</v>
      </c>
      <c r="M569" s="3" t="str">
        <f>HYPERLINK(склад2въезд13192021222[[#This Row],[RelativePath]])</f>
        <v>9 Ангар пилорама\E33149364_1_20260130T095645Z.jpg</v>
      </c>
    </row>
    <row r="570" spans="1:13" x14ac:dyDescent="0.25">
      <c r="A570" s="2" t="s">
        <v>17</v>
      </c>
      <c r="B570" s="4">
        <v>46052</v>
      </c>
      <c r="C570" s="5">
        <v>0.72223379629629625</v>
      </c>
      <c r="D570" s="9" t="s">
        <v>4</v>
      </c>
      <c r="E570" s="9" t="s">
        <v>5411</v>
      </c>
      <c r="F570" s="9"/>
      <c r="H570" s="9" t="s">
        <v>5410</v>
      </c>
      <c r="I570" s="9" t="s">
        <v>10819</v>
      </c>
      <c r="J570" s="9" t="s">
        <v>2948</v>
      </c>
      <c r="K570" t="s">
        <v>10820</v>
      </c>
      <c r="L570" t="s">
        <v>10821</v>
      </c>
      <c r="M570" s="3" t="str">
        <f>HYPERLINK(склад2въезд13192021222[[#This Row],[RelativePath]])</f>
        <v>9 Ангар пилорама\E33149364_1_20260130T172001Z.jpg</v>
      </c>
    </row>
    <row r="571" spans="1:13" x14ac:dyDescent="0.25">
      <c r="A571" s="2" t="s">
        <v>18</v>
      </c>
      <c r="B571" s="4">
        <v>46053</v>
      </c>
      <c r="C571" s="5">
        <v>0.50487268518518513</v>
      </c>
      <c r="D571" s="9" t="s">
        <v>10997</v>
      </c>
      <c r="E571" s="9" t="s">
        <v>10998</v>
      </c>
      <c r="F571" s="9"/>
      <c r="H571" s="9"/>
      <c r="I571" s="9" t="s">
        <v>10912</v>
      </c>
      <c r="J571" s="9" t="s">
        <v>2948</v>
      </c>
      <c r="K571" t="s">
        <v>10913</v>
      </c>
      <c r="L571" t="s">
        <v>10914</v>
      </c>
      <c r="M571" s="3" t="str">
        <f>HYPERLINK(склад2въезд13192021222[[#This Row],[RelativePath]])</f>
        <v>9 Ангар пилорама\E33149364_1_20260131T120701Z.jpg</v>
      </c>
    </row>
    <row r="572" spans="1:13" x14ac:dyDescent="0.25">
      <c r="A572" s="2" t="s">
        <v>22</v>
      </c>
      <c r="B572" s="4">
        <v>46054</v>
      </c>
      <c r="C572" s="5">
        <v>0.51655092592592589</v>
      </c>
      <c r="D572" s="9" t="s">
        <v>9572</v>
      </c>
      <c r="E572" s="9" t="s">
        <v>1570</v>
      </c>
      <c r="F572" s="9"/>
      <c r="H572" s="9"/>
      <c r="I572" s="9" t="s">
        <v>10915</v>
      </c>
      <c r="J572" s="9" t="s">
        <v>2948</v>
      </c>
      <c r="K572" t="s">
        <v>10916</v>
      </c>
      <c r="L572" t="s">
        <v>10917</v>
      </c>
      <c r="M572" s="3" t="str">
        <f>HYPERLINK(склад2въезд13192021222[[#This Row],[RelativePath]])</f>
        <v>9 Ангар пилорама\E33149364_1_20260201T122350Z.jpg</v>
      </c>
    </row>
    <row r="573" spans="1:13" x14ac:dyDescent="0.25">
      <c r="A573" s="2" t="s">
        <v>13</v>
      </c>
      <c r="B573" s="4">
        <v>46055</v>
      </c>
      <c r="C573" s="5">
        <v>0.39640046296296294</v>
      </c>
      <c r="D573" s="9" t="s">
        <v>4</v>
      </c>
      <c r="E573" s="9" t="s">
        <v>9</v>
      </c>
      <c r="F573" s="9"/>
      <c r="H573" s="9"/>
      <c r="I573" s="9" t="s">
        <v>11087</v>
      </c>
      <c r="J573" s="9" t="s">
        <v>2948</v>
      </c>
      <c r="K573" t="s">
        <v>11088</v>
      </c>
      <c r="L573" t="s">
        <v>11089</v>
      </c>
      <c r="M573" s="3" t="str">
        <f>HYPERLINK(склад2въезд13192021222[[#This Row],[RelativePath]])</f>
        <v>9 Ангар пилорама\E33149364_1_20260202T093049Z.jpg</v>
      </c>
    </row>
    <row r="574" spans="1:13" x14ac:dyDescent="0.25">
      <c r="A574" s="2" t="s">
        <v>13</v>
      </c>
      <c r="B574" s="4">
        <v>46055</v>
      </c>
      <c r="C574" s="5">
        <v>0.40559027777777779</v>
      </c>
      <c r="D574" s="9" t="s">
        <v>158</v>
      </c>
      <c r="E574" s="9" t="s">
        <v>5411</v>
      </c>
      <c r="F574" s="9" t="s">
        <v>500</v>
      </c>
      <c r="G574">
        <v>1</v>
      </c>
      <c r="H574" s="9"/>
      <c r="I574" s="9" t="s">
        <v>11090</v>
      </c>
      <c r="J574" s="9" t="s">
        <v>2948</v>
      </c>
      <c r="K574" t="s">
        <v>11091</v>
      </c>
      <c r="L574" t="s">
        <v>11092</v>
      </c>
      <c r="M574" s="3" t="str">
        <f>HYPERLINK(склад2въезд13192021222[[#This Row],[RelativePath]])</f>
        <v>9 Ангар пилорама\E33149364_1_20260202T094403Z.jpg</v>
      </c>
    </row>
    <row r="575" spans="1:13" x14ac:dyDescent="0.25">
      <c r="A575" s="2" t="s">
        <v>13</v>
      </c>
      <c r="B575" s="4">
        <v>46055</v>
      </c>
      <c r="C575" s="5">
        <v>0.41613425925925923</v>
      </c>
      <c r="D575" s="9" t="s">
        <v>5407</v>
      </c>
      <c r="E575" s="9" t="s">
        <v>5411</v>
      </c>
      <c r="F575" s="9" t="s">
        <v>9089</v>
      </c>
      <c r="G575">
        <v>1</v>
      </c>
      <c r="H575" s="9"/>
      <c r="I575" s="9" t="s">
        <v>11093</v>
      </c>
      <c r="J575" s="9" t="s">
        <v>2948</v>
      </c>
      <c r="K575" t="s">
        <v>11094</v>
      </c>
      <c r="L575" t="s">
        <v>11095</v>
      </c>
      <c r="M575" s="3" t="str">
        <f>HYPERLINK(склад2въезд13192021222[[#This Row],[RelativePath]])</f>
        <v>9 Ангар пилорама\E33149364_1_20260202T095914Z.jpg</v>
      </c>
    </row>
    <row r="576" spans="1:13" x14ac:dyDescent="0.25">
      <c r="A576" s="2" t="s">
        <v>13</v>
      </c>
      <c r="B576" s="4">
        <v>46055</v>
      </c>
      <c r="C576" s="5">
        <v>0.95606481481481487</v>
      </c>
      <c r="D576" s="9" t="s">
        <v>9086</v>
      </c>
      <c r="E576" s="9" t="s">
        <v>9087</v>
      </c>
      <c r="F576" s="9"/>
      <c r="H576" s="9"/>
      <c r="I576" s="9" t="s">
        <v>11096</v>
      </c>
      <c r="J576" s="9" t="s">
        <v>2948</v>
      </c>
      <c r="K576" t="s">
        <v>11097</v>
      </c>
      <c r="L576" t="s">
        <v>11098</v>
      </c>
      <c r="M576" s="3" t="str">
        <f>HYPERLINK(склад2въезд13192021222[[#This Row],[RelativePath]])</f>
        <v>9 Ангар пилорама\E33149364_1_20260202T225644Z.jpg</v>
      </c>
    </row>
    <row r="577" spans="1:13" x14ac:dyDescent="0.25">
      <c r="A577" s="2" t="s">
        <v>14</v>
      </c>
      <c r="B577" s="4">
        <v>46056</v>
      </c>
      <c r="C577" s="5">
        <v>0.51756944444444442</v>
      </c>
      <c r="D577" s="9" t="s">
        <v>1987</v>
      </c>
      <c r="E577" s="9" t="s">
        <v>1267</v>
      </c>
      <c r="F577" s="9"/>
      <c r="H577" s="9" t="s">
        <v>10757</v>
      </c>
      <c r="I577" s="9" t="s">
        <v>11099</v>
      </c>
      <c r="J577" s="9" t="s">
        <v>2948</v>
      </c>
      <c r="K577" t="s">
        <v>11100</v>
      </c>
      <c r="L577" t="s">
        <v>11101</v>
      </c>
      <c r="M577" s="3" t="str">
        <f>HYPERLINK(склад2въезд13192021222[[#This Row],[RelativePath]])</f>
        <v>9 Ангар пилорама\E33149364_1_20260203T122518Z.jpg</v>
      </c>
    </row>
    <row r="578" spans="1:13" x14ac:dyDescent="0.25">
      <c r="A578" s="2" t="s">
        <v>14</v>
      </c>
      <c r="B578" s="4">
        <v>46056</v>
      </c>
      <c r="C578" s="5">
        <v>0.52474537037037039</v>
      </c>
      <c r="D578" s="9" t="s">
        <v>9086</v>
      </c>
      <c r="E578" s="9" t="s">
        <v>9087</v>
      </c>
      <c r="F578" s="9"/>
      <c r="H578" s="9"/>
      <c r="I578" s="9" t="s">
        <v>11102</v>
      </c>
      <c r="J578" s="9" t="s">
        <v>2948</v>
      </c>
      <c r="K578" t="s">
        <v>11103</v>
      </c>
      <c r="L578" t="s">
        <v>11104</v>
      </c>
      <c r="M578" s="3" t="str">
        <f>HYPERLINK(склад2въезд13192021222[[#This Row],[RelativePath]])</f>
        <v>9 Ангар пилорама\E33149364_1_20260203T123538Z.jpg</v>
      </c>
    </row>
    <row r="579" spans="1:13" x14ac:dyDescent="0.25">
      <c r="A579" s="2" t="s">
        <v>14</v>
      </c>
      <c r="B579" s="4">
        <v>46056</v>
      </c>
      <c r="C579" s="5">
        <v>0.63618055555555553</v>
      </c>
      <c r="D579" s="9" t="s">
        <v>9086</v>
      </c>
      <c r="E579" s="9" t="s">
        <v>9087</v>
      </c>
      <c r="F579" s="9"/>
      <c r="H579" s="9"/>
      <c r="I579" s="9" t="s">
        <v>11105</v>
      </c>
      <c r="J579" s="9" t="s">
        <v>2948</v>
      </c>
      <c r="K579" t="s">
        <v>11106</v>
      </c>
      <c r="L579" t="s">
        <v>11107</v>
      </c>
      <c r="M579" s="3" t="str">
        <f>HYPERLINK(склад2въезд13192021222[[#This Row],[RelativePath]])</f>
        <v>9 Ангар пилорама\E33149364_1_20260203T151606Z.jpg</v>
      </c>
    </row>
    <row r="580" spans="1:13" x14ac:dyDescent="0.25">
      <c r="A580" s="2" t="s">
        <v>14</v>
      </c>
      <c r="B580" s="4">
        <v>46056</v>
      </c>
      <c r="C580" s="5">
        <v>0.68791666666666662</v>
      </c>
      <c r="D580" s="9" t="s">
        <v>9572</v>
      </c>
      <c r="E580" s="9" t="s">
        <v>1570</v>
      </c>
      <c r="F580" s="9"/>
      <c r="H580" s="9"/>
      <c r="I580" s="9" t="s">
        <v>11108</v>
      </c>
      <c r="J580" s="9" t="s">
        <v>2948</v>
      </c>
      <c r="K580" t="s">
        <v>11109</v>
      </c>
      <c r="L580" t="s">
        <v>11110</v>
      </c>
      <c r="M580" s="3" t="str">
        <f>HYPERLINK(склад2въезд13192021222[[#This Row],[RelativePath]])</f>
        <v>9 Ангар пилорама\E33149364_1_20260203T163036Z.jpg</v>
      </c>
    </row>
    <row r="581" spans="1:13" x14ac:dyDescent="0.25">
      <c r="A581" s="2" t="s">
        <v>14</v>
      </c>
      <c r="B581" s="4">
        <v>46056</v>
      </c>
      <c r="C581" s="5">
        <v>0.9021527777777778</v>
      </c>
      <c r="D581" s="9" t="s">
        <v>4</v>
      </c>
      <c r="E581" s="9" t="s">
        <v>7615</v>
      </c>
      <c r="F581" s="9"/>
      <c r="H581" s="9"/>
      <c r="I581" s="9" t="s">
        <v>11111</v>
      </c>
      <c r="J581" s="9" t="s">
        <v>2948</v>
      </c>
      <c r="K581" t="s">
        <v>11112</v>
      </c>
      <c r="L581" t="s">
        <v>11113</v>
      </c>
      <c r="M581" s="3" t="str">
        <f>HYPERLINK(склад2въезд13192021222[[#This Row],[RelativePath]])</f>
        <v>9 Ангар пилорама\E33149364_1_20260203T213906Z.jpg</v>
      </c>
    </row>
    <row r="582" spans="1:13" x14ac:dyDescent="0.25">
      <c r="A582" s="2" t="s">
        <v>15</v>
      </c>
      <c r="B582" s="4">
        <v>46057</v>
      </c>
      <c r="C582" s="5">
        <v>0.3732638888888889</v>
      </c>
      <c r="D582" s="9" t="s">
        <v>9086</v>
      </c>
      <c r="E582" s="9" t="s">
        <v>9087</v>
      </c>
      <c r="F582" s="9"/>
      <c r="H582" s="9"/>
      <c r="I582" s="9" t="s">
        <v>11342</v>
      </c>
      <c r="J582" s="9" t="s">
        <v>2948</v>
      </c>
      <c r="K582" t="s">
        <v>11343</v>
      </c>
      <c r="L582" t="s">
        <v>11344</v>
      </c>
      <c r="M582" s="3" t="str">
        <f>HYPERLINK(склад2въезд13192021222[[#This Row],[RelativePath]])</f>
        <v>9 Ангар пилорама\E33149364_1_20260204T085730Z.jpg</v>
      </c>
    </row>
    <row r="583" spans="1:13" x14ac:dyDescent="0.25">
      <c r="A583" s="2" t="s">
        <v>15</v>
      </c>
      <c r="B583" s="4">
        <v>46057</v>
      </c>
      <c r="C583" s="5">
        <v>0.37883101851851853</v>
      </c>
      <c r="D583" s="9" t="s">
        <v>9086</v>
      </c>
      <c r="E583" s="9" t="s">
        <v>9087</v>
      </c>
      <c r="F583" s="9"/>
      <c r="H583" s="9"/>
      <c r="I583" s="9" t="s">
        <v>11345</v>
      </c>
      <c r="J583" s="9" t="s">
        <v>2948</v>
      </c>
      <c r="K583" t="s">
        <v>11346</v>
      </c>
      <c r="L583" t="s">
        <v>11347</v>
      </c>
      <c r="M583" s="3" t="str">
        <f>HYPERLINK(склад2въезд13192021222[[#This Row],[RelativePath]])</f>
        <v>9 Ангар пилорама\E33149364_1_20260204T090531Z.jpg</v>
      </c>
    </row>
    <row r="584" spans="1:13" x14ac:dyDescent="0.25">
      <c r="A584" s="2" t="s">
        <v>15</v>
      </c>
      <c r="B584" s="4">
        <v>46057</v>
      </c>
      <c r="C584" s="5">
        <v>0.59903935185185186</v>
      </c>
      <c r="D584" s="9" t="s">
        <v>9572</v>
      </c>
      <c r="E584" s="9" t="s">
        <v>1570</v>
      </c>
      <c r="F584" s="9"/>
      <c r="H584" s="9"/>
      <c r="I584" s="9" t="s">
        <v>11348</v>
      </c>
      <c r="J584" s="9" t="s">
        <v>2948</v>
      </c>
      <c r="K584" t="s">
        <v>11349</v>
      </c>
      <c r="L584" t="s">
        <v>11350</v>
      </c>
      <c r="M584" s="3" t="str">
        <f>HYPERLINK(склад2въезд13192021222[[#This Row],[RelativePath]])</f>
        <v>9 Ангар пилорама\E33149364_1_20260204T142237Z.jpg</v>
      </c>
    </row>
    <row r="585" spans="1:13" x14ac:dyDescent="0.25">
      <c r="A585" s="2" t="s">
        <v>15</v>
      </c>
      <c r="B585" s="4">
        <v>46057</v>
      </c>
      <c r="C585" s="5">
        <v>0.64440972222222226</v>
      </c>
      <c r="D585" s="9" t="s">
        <v>11503</v>
      </c>
      <c r="E585" s="9" t="s">
        <v>1570</v>
      </c>
      <c r="F585" s="9"/>
      <c r="H585" s="9"/>
      <c r="I585" s="9" t="s">
        <v>11351</v>
      </c>
      <c r="J585" s="9" t="s">
        <v>2948</v>
      </c>
      <c r="K585" t="s">
        <v>11352</v>
      </c>
      <c r="L585" t="s">
        <v>11353</v>
      </c>
      <c r="M585" s="3" t="str">
        <f>HYPERLINK(склад2въезд13192021222[[#This Row],[RelativePath]])</f>
        <v>9 Ангар пилорама\E33149364_1_20260204T152757Z.jpg</v>
      </c>
    </row>
    <row r="586" spans="1:13" x14ac:dyDescent="0.25">
      <c r="A586" s="2" t="s">
        <v>15</v>
      </c>
      <c r="B586" s="4">
        <v>46057</v>
      </c>
      <c r="C586" s="5">
        <v>0.79494212962962962</v>
      </c>
      <c r="D586" s="9" t="s">
        <v>9086</v>
      </c>
      <c r="E586" s="9" t="s">
        <v>9087</v>
      </c>
      <c r="F586" s="9"/>
      <c r="H586" s="9"/>
      <c r="I586" s="9" t="s">
        <v>11354</v>
      </c>
      <c r="J586" s="9" t="s">
        <v>2948</v>
      </c>
      <c r="K586" t="s">
        <v>11355</v>
      </c>
      <c r="L586" t="s">
        <v>11356</v>
      </c>
      <c r="M586" s="3" t="str">
        <f>HYPERLINK(склад2въезд13192021222[[#This Row],[RelativePath]])</f>
        <v>9 Ангар пилорама\E33149364_1_20260204T190443Z.jpg</v>
      </c>
    </row>
    <row r="587" spans="1:13" x14ac:dyDescent="0.25">
      <c r="A587" s="2" t="s">
        <v>15</v>
      </c>
      <c r="B587" s="4">
        <v>46057</v>
      </c>
      <c r="C587" s="5">
        <v>0.90642361111111114</v>
      </c>
      <c r="D587" s="9" t="s">
        <v>1987</v>
      </c>
      <c r="E587" s="9" t="s">
        <v>1267</v>
      </c>
      <c r="F587" s="9"/>
      <c r="H587" s="9"/>
      <c r="I587" s="9" t="s">
        <v>11357</v>
      </c>
      <c r="J587" s="9" t="s">
        <v>2948</v>
      </c>
      <c r="K587" t="s">
        <v>11358</v>
      </c>
      <c r="L587" t="s">
        <v>11359</v>
      </c>
      <c r="M587" s="3" t="str">
        <f>HYPERLINK(склад2въезд13192021222[[#This Row],[RelativePath]])</f>
        <v>9 Ангар пилорама\E33149364_1_20260204T214515Z.jpg</v>
      </c>
    </row>
    <row r="588" spans="1:13" x14ac:dyDescent="0.25">
      <c r="A588" s="2" t="s">
        <v>16</v>
      </c>
      <c r="B588" s="4">
        <v>46058</v>
      </c>
      <c r="C588" s="5">
        <v>8.4247685185185189E-2</v>
      </c>
      <c r="D588" s="9" t="s">
        <v>4</v>
      </c>
      <c r="E588" s="9" t="s">
        <v>9</v>
      </c>
      <c r="F588" s="9"/>
      <c r="H588" s="9"/>
      <c r="I588" s="9" t="s">
        <v>11360</v>
      </c>
      <c r="J588" s="9" t="s">
        <v>2948</v>
      </c>
      <c r="K588" t="s">
        <v>11361</v>
      </c>
      <c r="L588" t="s">
        <v>11362</v>
      </c>
      <c r="M588" s="3" t="str">
        <f>HYPERLINK(склад2въезд13192021222[[#This Row],[RelativePath]])</f>
        <v>9 Ангар пилорама\E33149364_1_20260205T020119Z.jpg</v>
      </c>
    </row>
    <row r="589" spans="1:13" x14ac:dyDescent="0.25">
      <c r="A589" s="2" t="s">
        <v>16</v>
      </c>
      <c r="B589" s="4">
        <v>46058</v>
      </c>
      <c r="C589" s="5">
        <v>0.62304398148148143</v>
      </c>
      <c r="D589" s="9" t="s">
        <v>4</v>
      </c>
      <c r="E589" s="9" t="s">
        <v>9</v>
      </c>
      <c r="F589" s="9"/>
      <c r="H589" s="9"/>
      <c r="I589" s="9" t="s">
        <v>11363</v>
      </c>
      <c r="J589" s="9" t="s">
        <v>2948</v>
      </c>
      <c r="K589" t="s">
        <v>11364</v>
      </c>
      <c r="L589" t="s">
        <v>11365</v>
      </c>
      <c r="M589" s="3" t="str">
        <f>HYPERLINK(склад2въезд13192021222[[#This Row],[RelativePath]])</f>
        <v>9 Ангар пилорама\E33149364_1_20260205T145711Z.jpg</v>
      </c>
    </row>
    <row r="590" spans="1:13" x14ac:dyDescent="0.25">
      <c r="A590" s="2" t="s">
        <v>16</v>
      </c>
      <c r="B590" s="4">
        <v>46058</v>
      </c>
      <c r="C590" s="5">
        <v>0.85769675925925926</v>
      </c>
      <c r="D590" s="9" t="s">
        <v>9086</v>
      </c>
      <c r="E590" s="9" t="s">
        <v>9087</v>
      </c>
      <c r="F590" s="9"/>
      <c r="H590" s="9"/>
      <c r="I590" s="9" t="s">
        <v>11366</v>
      </c>
      <c r="J590" s="9" t="s">
        <v>2948</v>
      </c>
      <c r="K590" t="s">
        <v>11367</v>
      </c>
      <c r="L590" t="s">
        <v>11368</v>
      </c>
      <c r="M590" s="3" t="str">
        <f>HYPERLINK(склад2въезд13192021222[[#This Row],[RelativePath]])</f>
        <v>9 Ангар пилорама\E33149364_1_20260205T203505Z.jpg</v>
      </c>
    </row>
    <row r="591" spans="1:13" x14ac:dyDescent="0.25">
      <c r="A591" s="2" t="s">
        <v>17</v>
      </c>
      <c r="B591" s="4">
        <v>46059</v>
      </c>
      <c r="C591" s="5">
        <v>0.45833333333333331</v>
      </c>
      <c r="D591" s="9" t="s">
        <v>4</v>
      </c>
      <c r="E591" s="9" t="s">
        <v>11504</v>
      </c>
      <c r="F591" s="9"/>
      <c r="H591" s="9"/>
      <c r="I591" s="9" t="s">
        <v>11369</v>
      </c>
      <c r="J591" s="9" t="s">
        <v>2948</v>
      </c>
      <c r="K591" t="s">
        <v>11370</v>
      </c>
      <c r="L591" t="s">
        <v>11371</v>
      </c>
      <c r="M591" s="3" t="str">
        <f>HYPERLINK(склад2въезд13192021222[[#This Row],[RelativePath]])</f>
        <v>9 Ангар пилорама\E33149364_1_20260206T110000Z.jpg</v>
      </c>
    </row>
    <row r="592" spans="1:13" x14ac:dyDescent="0.25">
      <c r="A592" s="2" t="s">
        <v>17</v>
      </c>
      <c r="B592" s="4">
        <v>46059</v>
      </c>
      <c r="C592" s="5">
        <v>0.51790509259259254</v>
      </c>
      <c r="D592" s="9" t="s">
        <v>9572</v>
      </c>
      <c r="E592" s="9" t="s">
        <v>1570</v>
      </c>
      <c r="F592" s="9"/>
      <c r="H592" s="9" t="s">
        <v>11505</v>
      </c>
      <c r="I592" s="9" t="s">
        <v>11372</v>
      </c>
      <c r="J592" s="9" t="s">
        <v>2948</v>
      </c>
      <c r="K592" t="s">
        <v>11373</v>
      </c>
      <c r="L592" t="s">
        <v>11374</v>
      </c>
      <c r="M592" s="3" t="str">
        <f>HYPERLINK(склад2въезд13192021222[[#This Row],[RelativePath]])</f>
        <v>9 Ангар пилорама\E33149364_1_20260206T122547Z.jpg</v>
      </c>
    </row>
    <row r="593" spans="1:13" x14ac:dyDescent="0.25">
      <c r="A593" s="2" t="s">
        <v>17</v>
      </c>
      <c r="B593" s="4">
        <v>46059</v>
      </c>
      <c r="C593" s="5">
        <v>0.89486111111111111</v>
      </c>
      <c r="D593" s="9" t="s">
        <v>9086</v>
      </c>
      <c r="E593" s="9" t="s">
        <v>9087</v>
      </c>
      <c r="F593" s="9"/>
      <c r="H593" s="9"/>
      <c r="I593" s="9" t="s">
        <v>11375</v>
      </c>
      <c r="J593" s="9" t="s">
        <v>2948</v>
      </c>
      <c r="K593" t="s">
        <v>11376</v>
      </c>
      <c r="L593" t="s">
        <v>11377</v>
      </c>
      <c r="M593" s="3" t="str">
        <f>HYPERLINK(склад2въезд13192021222[[#This Row],[RelativePath]])</f>
        <v>9 Ангар пилорама\E33149364_1_20260206T212836Z.jpg</v>
      </c>
    </row>
    <row r="594" spans="1:13" x14ac:dyDescent="0.25">
      <c r="A594" s="2" t="s">
        <v>18</v>
      </c>
      <c r="B594" s="4">
        <v>46060</v>
      </c>
      <c r="C594" s="5">
        <v>0.7510648148148148</v>
      </c>
      <c r="D594" s="9" t="s">
        <v>4</v>
      </c>
      <c r="E594" s="9" t="s">
        <v>7615</v>
      </c>
      <c r="F594" s="9"/>
      <c r="H594" s="9"/>
      <c r="I594" s="9" t="s">
        <v>11559</v>
      </c>
      <c r="J594" s="9" t="s">
        <v>2948</v>
      </c>
      <c r="K594" t="s">
        <v>11560</v>
      </c>
      <c r="L594" t="s">
        <v>11561</v>
      </c>
      <c r="M594" s="3" t="str">
        <f>HYPERLINK(склад2въезд13192021222[[#This Row],[RelativePath]])</f>
        <v>9 Ангар пилорама\E33149364_1_20260207T180132Z.jpg</v>
      </c>
    </row>
    <row r="595" spans="1:13" x14ac:dyDescent="0.25">
      <c r="A595" s="2" t="s">
        <v>22</v>
      </c>
      <c r="B595" s="4">
        <v>46061</v>
      </c>
      <c r="C595" s="5">
        <v>0.46247685185185183</v>
      </c>
      <c r="D595" s="9" t="s">
        <v>1987</v>
      </c>
      <c r="E595" s="9" t="s">
        <v>1267</v>
      </c>
      <c r="F595" s="9"/>
      <c r="H595" s="9"/>
      <c r="I595" s="9" t="s">
        <v>11562</v>
      </c>
      <c r="J595" s="9" t="s">
        <v>2948</v>
      </c>
      <c r="K595" t="s">
        <v>11563</v>
      </c>
      <c r="L595" t="s">
        <v>11564</v>
      </c>
      <c r="M595" s="3" t="str">
        <f>HYPERLINK(склад2въезд13192021222[[#This Row],[RelativePath]])</f>
        <v>9 Ангар пилорама\E33149364_1_20260208T110558Z.jpg</v>
      </c>
    </row>
    <row r="596" spans="1:13" x14ac:dyDescent="0.25">
      <c r="A596" s="2" t="s">
        <v>22</v>
      </c>
      <c r="B596" s="4">
        <v>46061</v>
      </c>
      <c r="C596" s="5">
        <v>0.46512731481481484</v>
      </c>
      <c r="D596" s="9" t="s">
        <v>9086</v>
      </c>
      <c r="E596" s="9" t="s">
        <v>9087</v>
      </c>
      <c r="F596" s="9"/>
      <c r="H596" s="9"/>
      <c r="I596" s="9" t="s">
        <v>11565</v>
      </c>
      <c r="J596" s="9" t="s">
        <v>2948</v>
      </c>
      <c r="K596" t="s">
        <v>11566</v>
      </c>
      <c r="L596" t="s">
        <v>11567</v>
      </c>
      <c r="M596" s="3" t="str">
        <f>HYPERLINK(склад2въезд13192021222[[#This Row],[RelativePath]])</f>
        <v>9 Ангар пилорама\E33149364_1_20260208T110947Z.jpg</v>
      </c>
    </row>
    <row r="597" spans="1:13" x14ac:dyDescent="0.25">
      <c r="A597" s="2" t="s">
        <v>22</v>
      </c>
      <c r="B597" s="4">
        <v>46061</v>
      </c>
      <c r="C597" s="5">
        <v>0.48649305555555555</v>
      </c>
      <c r="D597" s="9" t="s">
        <v>9572</v>
      </c>
      <c r="E597" s="9" t="s">
        <v>1570</v>
      </c>
      <c r="F597" s="9"/>
      <c r="H597" s="9"/>
      <c r="I597" s="9" t="s">
        <v>11568</v>
      </c>
      <c r="J597" s="9" t="s">
        <v>2948</v>
      </c>
      <c r="K597" t="s">
        <v>11569</v>
      </c>
      <c r="L597" t="s">
        <v>11570</v>
      </c>
      <c r="M597" s="3" t="str">
        <f>HYPERLINK(склад2въезд13192021222[[#This Row],[RelativePath]])</f>
        <v>9 Ангар пилорама\E33149364_1_20260208T114033Z.jpg</v>
      </c>
    </row>
    <row r="598" spans="1:13" x14ac:dyDescent="0.25">
      <c r="A598" s="2" t="s">
        <v>22</v>
      </c>
      <c r="B598" s="4">
        <v>46061</v>
      </c>
      <c r="C598" s="5">
        <v>0.52831018518518513</v>
      </c>
      <c r="D598" s="9" t="s">
        <v>9572</v>
      </c>
      <c r="E598" s="9" t="s">
        <v>1570</v>
      </c>
      <c r="F598" s="9"/>
      <c r="H598" s="9"/>
      <c r="I598" s="9" t="s">
        <v>11571</v>
      </c>
      <c r="J598" s="9" t="s">
        <v>2948</v>
      </c>
      <c r="K598" t="s">
        <v>11572</v>
      </c>
      <c r="L598" t="s">
        <v>11573</v>
      </c>
      <c r="M598" s="3" t="str">
        <f>HYPERLINK(склад2въезд13192021222[[#This Row],[RelativePath]])</f>
        <v>9 Ангар пилорама\E33149364_1_20260208T124046Z.jpg</v>
      </c>
    </row>
    <row r="599" spans="1:13" x14ac:dyDescent="0.25">
      <c r="A599" s="2" t="s">
        <v>22</v>
      </c>
      <c r="B599" s="4">
        <v>46061</v>
      </c>
      <c r="C599" s="5">
        <v>0.76416666666666666</v>
      </c>
      <c r="D599" s="9" t="s">
        <v>9086</v>
      </c>
      <c r="E599" s="9" t="s">
        <v>9087</v>
      </c>
      <c r="F599" s="9"/>
      <c r="H599" s="9"/>
      <c r="I599" s="9" t="s">
        <v>11574</v>
      </c>
      <c r="J599" s="9" t="s">
        <v>2948</v>
      </c>
      <c r="K599" t="s">
        <v>11575</v>
      </c>
      <c r="L599" t="s">
        <v>11576</v>
      </c>
      <c r="M599" s="3" t="str">
        <f>HYPERLINK(склад2въезд13192021222[[#This Row],[RelativePath]])</f>
        <v>9 Ангар пилорама\E33149364_1_20260208T182024Z.jpg</v>
      </c>
    </row>
    <row r="600" spans="1:13" x14ac:dyDescent="0.25">
      <c r="A600" s="2" t="s">
        <v>22</v>
      </c>
      <c r="B600" s="4">
        <v>46061</v>
      </c>
      <c r="C600" s="5">
        <v>0.92877314814814815</v>
      </c>
      <c r="D600" s="9" t="s">
        <v>9086</v>
      </c>
      <c r="E600" s="9" t="s">
        <v>9087</v>
      </c>
      <c r="F600" s="9"/>
      <c r="H600" s="9"/>
      <c r="I600" s="9" t="s">
        <v>11577</v>
      </c>
      <c r="J600" s="9" t="s">
        <v>2948</v>
      </c>
      <c r="K600" t="s">
        <v>11578</v>
      </c>
      <c r="L600" t="s">
        <v>11579</v>
      </c>
      <c r="M600" s="3" t="str">
        <f>HYPERLINK(склад2въезд13192021222[[#This Row],[RelativePath]])</f>
        <v>9 Ангар пилорама\E33149364_1_20260208T221726Z.jpg</v>
      </c>
    </row>
    <row r="601" spans="1:13" x14ac:dyDescent="0.25">
      <c r="A601" s="2" t="s">
        <v>13</v>
      </c>
      <c r="B601" s="4">
        <v>46062</v>
      </c>
      <c r="C601" s="5">
        <v>0.37874999999999998</v>
      </c>
      <c r="D601" s="9" t="s">
        <v>4</v>
      </c>
      <c r="E601" s="9" t="s">
        <v>9</v>
      </c>
      <c r="F601" s="9"/>
      <c r="H601" s="9"/>
      <c r="I601" s="9" t="s">
        <v>11580</v>
      </c>
      <c r="J601" s="9" t="s">
        <v>2948</v>
      </c>
      <c r="K601" t="s">
        <v>11581</v>
      </c>
      <c r="L601" t="s">
        <v>11582</v>
      </c>
      <c r="M601" s="3" t="str">
        <f>HYPERLINK(склад2въезд13192021222[[#This Row],[RelativePath]])</f>
        <v>9 Ангар пилорама\E33149364_1_20260209T090524Z.jpg</v>
      </c>
    </row>
    <row r="602" spans="1:13" x14ac:dyDescent="0.25">
      <c r="A602" s="2" t="s">
        <v>13</v>
      </c>
      <c r="B602" s="4">
        <v>46062</v>
      </c>
      <c r="C602" s="5">
        <v>0.48042824074074075</v>
      </c>
      <c r="D602" s="9" t="s">
        <v>4</v>
      </c>
      <c r="E602" s="9" t="s">
        <v>9</v>
      </c>
      <c r="F602" s="9"/>
      <c r="H602" s="9" t="s">
        <v>2891</v>
      </c>
      <c r="I602" s="9" t="s">
        <v>11583</v>
      </c>
      <c r="J602" s="9" t="s">
        <v>2948</v>
      </c>
      <c r="K602" t="s">
        <v>11584</v>
      </c>
      <c r="L602" t="s">
        <v>11585</v>
      </c>
      <c r="M602" s="3" t="str">
        <f>HYPERLINK(склад2въезд13192021222[[#This Row],[RelativePath]])</f>
        <v>9 Ангар пилорама\E33149364_1_20260209T113149Z.jpg</v>
      </c>
    </row>
    <row r="603" spans="1:13" x14ac:dyDescent="0.25">
      <c r="A603" s="2" t="s">
        <v>13</v>
      </c>
      <c r="B603" s="4">
        <v>46062</v>
      </c>
      <c r="C603" s="5">
        <v>0.68579861111111107</v>
      </c>
      <c r="D603" s="9" t="s">
        <v>4</v>
      </c>
      <c r="E603" s="9" t="s">
        <v>11633</v>
      </c>
      <c r="F603" s="9"/>
      <c r="H603" s="9"/>
      <c r="I603" s="9" t="s">
        <v>11586</v>
      </c>
      <c r="J603" s="9" t="s">
        <v>2948</v>
      </c>
      <c r="K603" t="s">
        <v>11587</v>
      </c>
      <c r="L603" t="s">
        <v>11588</v>
      </c>
      <c r="M603" s="3" t="str">
        <f>HYPERLINK(склад2въезд13192021222[[#This Row],[RelativePath]])</f>
        <v>9 Ангар пилорама\E33149364_1_20260209T162733Z.jpg</v>
      </c>
    </row>
    <row r="604" spans="1:13" x14ac:dyDescent="0.25">
      <c r="A604" s="2" t="s">
        <v>14</v>
      </c>
      <c r="B604" s="4">
        <v>46077</v>
      </c>
      <c r="C604" s="5">
        <v>0.3810763888888889</v>
      </c>
      <c r="D604" s="9"/>
      <c r="E604" s="9"/>
      <c r="F604" s="9"/>
      <c r="H604" s="9"/>
      <c r="I604" s="9" t="s">
        <v>12998</v>
      </c>
      <c r="J604" s="9" t="s">
        <v>12999</v>
      </c>
      <c r="K604" t="s">
        <v>13000</v>
      </c>
      <c r="L604" t="s">
        <v>13001</v>
      </c>
      <c r="M604" s="3" t="str">
        <f>HYPERLINK(склад2въезд13192021222[[#This Row],[RelativePath]])</f>
        <v>9 Ангар пилорама\GA3948333_2_20260224T090845Z.jpg</v>
      </c>
    </row>
    <row r="605" spans="1:13" x14ac:dyDescent="0.25">
      <c r="A605" s="2" t="s">
        <v>14</v>
      </c>
      <c r="B605" s="4">
        <v>46077</v>
      </c>
      <c r="C605" s="5">
        <v>0.64776620370370375</v>
      </c>
      <c r="D605" s="9"/>
      <c r="E605" s="9"/>
      <c r="F605" s="9"/>
      <c r="H605" s="9"/>
      <c r="I605" s="9" t="s">
        <v>13002</v>
      </c>
      <c r="J605" s="9" t="s">
        <v>12999</v>
      </c>
      <c r="K605" t="s">
        <v>13003</v>
      </c>
      <c r="L605" t="s">
        <v>13004</v>
      </c>
      <c r="M605" s="3" t="str">
        <f>HYPERLINK(склад2въезд13192021222[[#This Row],[RelativePath]])</f>
        <v>9 Ангар пилорама\GA3948333_2_20260224T153247Z.jpg</v>
      </c>
    </row>
    <row r="606" spans="1:13" x14ac:dyDescent="0.25">
      <c r="A606" s="2" t="s">
        <v>14</v>
      </c>
      <c r="B606" s="4">
        <v>46077</v>
      </c>
      <c r="C606" s="5">
        <v>0.66259259259259262</v>
      </c>
      <c r="D606" s="9"/>
      <c r="E606" s="9"/>
      <c r="F606" s="9"/>
      <c r="H606" s="9"/>
      <c r="I606" s="9" t="s">
        <v>13005</v>
      </c>
      <c r="J606" s="9" t="s">
        <v>12999</v>
      </c>
      <c r="K606" t="s">
        <v>13006</v>
      </c>
      <c r="L606" t="s">
        <v>13007</v>
      </c>
      <c r="M606" s="3" t="str">
        <f>HYPERLINK(склад2въезд13192021222[[#This Row],[RelativePath]])</f>
        <v>9 Ангар пилорама\GA3948333_2_20260224T155408Z.jpg</v>
      </c>
    </row>
    <row r="607" spans="1:13" x14ac:dyDescent="0.25">
      <c r="A607" s="2" t="s">
        <v>14</v>
      </c>
      <c r="B607" s="4">
        <v>46077</v>
      </c>
      <c r="C607" s="5">
        <v>0.75173611111111116</v>
      </c>
      <c r="D607" s="9"/>
      <c r="E607" s="9"/>
      <c r="F607" s="9"/>
      <c r="H607" s="9"/>
      <c r="I607" s="9" t="s">
        <v>13008</v>
      </c>
      <c r="J607" s="9" t="s">
        <v>12999</v>
      </c>
      <c r="K607" t="s">
        <v>13009</v>
      </c>
      <c r="L607" t="s">
        <v>13010</v>
      </c>
      <c r="M607" s="3" t="str">
        <f>HYPERLINK(склад2въезд13192021222[[#This Row],[RelativePath]])</f>
        <v>9 Ангар пилорама\GA3948333_2_20260224T180230Z.jpg</v>
      </c>
    </row>
    <row r="608" spans="1:13" x14ac:dyDescent="0.25">
      <c r="A608" s="2" t="s">
        <v>15</v>
      </c>
      <c r="B608" s="4">
        <v>46078</v>
      </c>
      <c r="C608" s="5">
        <v>0.42092592592592593</v>
      </c>
      <c r="D608" s="9"/>
      <c r="E608" s="9"/>
      <c r="F608" s="9"/>
      <c r="H608" s="9"/>
      <c r="I608" s="9" t="s">
        <v>13011</v>
      </c>
      <c r="J608" s="9" t="s">
        <v>12999</v>
      </c>
      <c r="K608" t="s">
        <v>13012</v>
      </c>
      <c r="L608" t="s">
        <v>13013</v>
      </c>
      <c r="M608" s="3" t="str">
        <f>HYPERLINK(склад2въезд13192021222[[#This Row],[RelativePath]])</f>
        <v>9 Ангар пилорама\GA3948333_2_20260225T100608Z.jpg</v>
      </c>
    </row>
    <row r="609" spans="1:13" x14ac:dyDescent="0.25">
      <c r="A609" s="2" t="s">
        <v>15</v>
      </c>
      <c r="B609" s="4">
        <v>46078</v>
      </c>
      <c r="C609" s="5">
        <v>0.43320601851851853</v>
      </c>
      <c r="D609" s="9"/>
      <c r="E609" s="9"/>
      <c r="F609" s="9"/>
      <c r="H609" s="9"/>
      <c r="I609" s="9" t="s">
        <v>13014</v>
      </c>
      <c r="J609" s="9" t="s">
        <v>12999</v>
      </c>
      <c r="K609" t="s">
        <v>13015</v>
      </c>
      <c r="L609" t="s">
        <v>13016</v>
      </c>
      <c r="M609" s="3" t="str">
        <f>HYPERLINK(склад2въезд13192021222[[#This Row],[RelativePath]])</f>
        <v>9 Ангар пилорама\GA3948333_2_20260225T102349Z.jpg</v>
      </c>
    </row>
    <row r="610" spans="1:13" x14ac:dyDescent="0.25">
      <c r="A610" s="2" t="s">
        <v>15</v>
      </c>
      <c r="B610" s="4">
        <v>46078</v>
      </c>
      <c r="C610" s="5">
        <v>0.4346875</v>
      </c>
      <c r="D610" s="9"/>
      <c r="E610" s="9"/>
      <c r="F610" s="9"/>
      <c r="H610" s="9"/>
      <c r="I610" s="9" t="s">
        <v>13017</v>
      </c>
      <c r="J610" s="9" t="s">
        <v>12999</v>
      </c>
      <c r="K610" t="s">
        <v>13018</v>
      </c>
      <c r="L610" t="s">
        <v>13019</v>
      </c>
      <c r="M610" s="3" t="str">
        <f>HYPERLINK(склад2въезд13192021222[[#This Row],[RelativePath]])</f>
        <v>9 Ангар пилорама\GA3948333_2_20260225T102557Z.jpg</v>
      </c>
    </row>
    <row r="611" spans="1:13" x14ac:dyDescent="0.25">
      <c r="A611" s="2" t="s">
        <v>15</v>
      </c>
      <c r="B611" s="4">
        <v>46078</v>
      </c>
      <c r="C611" s="5">
        <v>0.47596064814814815</v>
      </c>
      <c r="D611" s="9"/>
      <c r="E611" s="9"/>
      <c r="F611" s="9"/>
      <c r="H611" s="9"/>
      <c r="I611" s="9" t="s">
        <v>13020</v>
      </c>
      <c r="J611" s="9" t="s">
        <v>12999</v>
      </c>
      <c r="K611" t="s">
        <v>13021</v>
      </c>
      <c r="L611" t="s">
        <v>13022</v>
      </c>
      <c r="M611" s="3" t="str">
        <f>HYPERLINK(склад2въезд13192021222[[#This Row],[RelativePath]])</f>
        <v>9 Ангар пилорама\GA3948333_2_20260225T112523Z.jpg</v>
      </c>
    </row>
    <row r="612" spans="1:13" x14ac:dyDescent="0.25">
      <c r="A612" s="2" t="s">
        <v>15</v>
      </c>
      <c r="B612" s="4">
        <v>46078</v>
      </c>
      <c r="C612" s="5">
        <v>0.6471527777777778</v>
      </c>
      <c r="D612" s="9"/>
      <c r="E612" s="9"/>
      <c r="F612" s="9"/>
      <c r="H612" s="9"/>
      <c r="I612" s="9" t="s">
        <v>13023</v>
      </c>
      <c r="J612" s="9" t="s">
        <v>12999</v>
      </c>
      <c r="K612" t="s">
        <v>13024</v>
      </c>
      <c r="L612" t="s">
        <v>13025</v>
      </c>
      <c r="M612" s="3" t="str">
        <f>HYPERLINK(склад2въезд13192021222[[#This Row],[RelativePath]])</f>
        <v>9 Ангар пилорама\GA3948333_2_20260225T153154Z.jpg</v>
      </c>
    </row>
    <row r="613" spans="1:13" x14ac:dyDescent="0.25">
      <c r="A613" s="2" t="s">
        <v>15</v>
      </c>
      <c r="B613" s="4">
        <v>46078</v>
      </c>
      <c r="C613" s="5">
        <v>0.86476851851851855</v>
      </c>
      <c r="D613" s="9"/>
      <c r="E613" s="9"/>
      <c r="F613" s="9"/>
      <c r="H613" s="9"/>
      <c r="I613" s="9" t="s">
        <v>13026</v>
      </c>
      <c r="J613" s="9" t="s">
        <v>12999</v>
      </c>
      <c r="K613" t="s">
        <v>13027</v>
      </c>
      <c r="L613" t="s">
        <v>13028</v>
      </c>
      <c r="M613" s="3" t="str">
        <f>HYPERLINK(склад2въезд13192021222[[#This Row],[RelativePath]])</f>
        <v>9 Ангар пилорама\GA3948333_2_20260225T204516Z.jpg</v>
      </c>
    </row>
    <row r="614" spans="1:13" x14ac:dyDescent="0.25">
      <c r="A614" s="2" t="s">
        <v>15</v>
      </c>
      <c r="B614" s="4">
        <v>46078</v>
      </c>
      <c r="C614" s="5">
        <v>0.96893518518518518</v>
      </c>
      <c r="D614" s="9"/>
      <c r="E614" s="9"/>
      <c r="F614" s="9"/>
      <c r="H614" s="9"/>
      <c r="I614" s="9" t="s">
        <v>13029</v>
      </c>
      <c r="J614" s="9" t="s">
        <v>12999</v>
      </c>
      <c r="K614" t="s">
        <v>13030</v>
      </c>
      <c r="L614" t="s">
        <v>13031</v>
      </c>
      <c r="M614" s="3" t="str">
        <f>HYPERLINK(склад2въезд13192021222[[#This Row],[RelativePath]])</f>
        <v>9 Ангар пилорама\GA3948333_2_20260225T231516Z.jpg</v>
      </c>
    </row>
    <row r="615" spans="1:13" x14ac:dyDescent="0.25">
      <c r="A615" s="2" t="s">
        <v>15</v>
      </c>
      <c r="B615" s="4">
        <v>46078</v>
      </c>
      <c r="C615" s="5">
        <v>0.99686342592592592</v>
      </c>
      <c r="D615" s="9"/>
      <c r="E615" s="9"/>
      <c r="F615" s="9"/>
      <c r="H615" s="9"/>
      <c r="I615" s="9" t="s">
        <v>13032</v>
      </c>
      <c r="J615" s="9" t="s">
        <v>12999</v>
      </c>
      <c r="K615" t="s">
        <v>13033</v>
      </c>
      <c r="L615" t="s">
        <v>13034</v>
      </c>
      <c r="M615" s="3" t="str">
        <f>HYPERLINK(склад2въезд13192021222[[#This Row],[RelativePath]])</f>
        <v>9 Ангар пилорама\GA3948333_2_20260225T235529Z.jpg</v>
      </c>
    </row>
  </sheetData>
  <conditionalFormatting sqref="D616:D626 E616:E629 G2:H615 D2:E615">
    <cfRule type="containsText" dxfId="290" priority="14" operator="containsText" text="Выезд с территории">
      <formula>NOT(ISERROR(SEARCH("Выезд с территории",D2)))</formula>
    </cfRule>
  </conditionalFormatting>
  <conditionalFormatting sqref="F2:F615">
    <cfRule type="notContainsText" dxfId="289" priority="13" operator="notContains" text="порожний">
      <formula>ISERROR(SEARCH("порожний",F2))</formula>
    </cfRule>
  </conditionalFormatting>
  <conditionalFormatting sqref="E2:E629">
    <cfRule type="containsText" dxfId="288" priority="11" operator="containsText" text="Газель базы">
      <formula>NOT(ISERROR(SEARCH("Газель базы",E2)))</formula>
    </cfRule>
    <cfRule type="containsText" dxfId="287" priority="12" operator="containsText" text="Погрузчик базы">
      <formula>NOT(ISERROR(SEARCH("Погрузчик базы",E2)))</formula>
    </cfRule>
  </conditionalFormatting>
  <conditionalFormatting sqref="E2:E629">
    <cfRule type="containsText" dxfId="286" priority="10" operator="containsText" text="Трактор базы">
      <formula>NOT(ISERROR(SEARCH("Трактор базы",E2)))</formula>
    </cfRule>
  </conditionalFormatting>
  <conditionalFormatting sqref="A2:C615">
    <cfRule type="expression" dxfId="285" priority="9">
      <formula>$A2="пн"</formula>
    </cfRule>
  </conditionalFormatting>
  <conditionalFormatting sqref="A2:C617">
    <cfRule type="expression" dxfId="284" priority="3">
      <formula>$A2="вс"</formula>
    </cfRule>
    <cfRule type="expression" dxfId="283" priority="4">
      <formula>$A2="сб"</formula>
    </cfRule>
    <cfRule type="expression" dxfId="282" priority="5">
      <formula>$A2="пт"</formula>
    </cfRule>
    <cfRule type="expression" dxfId="281" priority="6">
      <formula>$A2="чт"</formula>
    </cfRule>
    <cfRule type="expression" dxfId="280" priority="7">
      <formula>$A2="ср"</formula>
    </cfRule>
    <cfRule type="expression" dxfId="279" priority="8">
      <formula>$A2="вт"</formula>
    </cfRule>
  </conditionalFormatting>
  <conditionalFormatting sqref="D2:D626">
    <cfRule type="containsText" dxfId="278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626">
    <cfRule type="containsText" dxfId="277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7E6A-C342-4F3E-A85F-C59A3988141D}">
  <sheetPr>
    <tabColor theme="5" tint="-0.249977111117893"/>
  </sheetPr>
  <dimension ref="A1:M633"/>
  <sheetViews>
    <sheetView zoomScale="90" zoomScaleNormal="90" workbookViewId="0">
      <pane ySplit="1" topLeftCell="A617" activePane="bottomLeft" state="frozen"/>
      <selection pane="bottomLeft" activeCell="I620" sqref="I620:I622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40.5703125" bestFit="1" customWidth="1"/>
    <col min="5" max="5" width="41" bestFit="1" customWidth="1"/>
    <col min="6" max="6" width="34.7109375" bestFit="1" customWidth="1"/>
    <col min="7" max="7" width="7.28515625" bestFit="1" customWidth="1"/>
    <col min="8" max="8" width="46.7109375" bestFit="1" customWidth="1"/>
    <col min="9" max="9" width="35.7109375" bestFit="1" customWidth="1"/>
    <col min="10" max="10" width="41.7109375" hidden="1" customWidth="1"/>
    <col min="11" max="11" width="52.85546875" hidden="1" customWidth="1"/>
    <col min="12" max="12" width="24.5703125" hidden="1" customWidth="1"/>
    <col min="13" max="13" width="52.855468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0.35249999999999998</v>
      </c>
      <c r="D2" s="9" t="s">
        <v>4</v>
      </c>
      <c r="E2" s="9" t="s">
        <v>8</v>
      </c>
      <c r="F2" s="9"/>
      <c r="H2" s="9" t="s">
        <v>5</v>
      </c>
      <c r="I2" s="9" t="s">
        <v>1270</v>
      </c>
      <c r="J2" s="9" t="s">
        <v>2940</v>
      </c>
      <c r="K2" t="s">
        <v>1272</v>
      </c>
      <c r="L2" t="s">
        <v>1273</v>
      </c>
      <c r="M2" s="3" t="str">
        <f>HYPERLINK(склад2въезд131920212223[[#This Row],[RelativePath]])</f>
        <v>10 Сушилка навес\E33149364_3_20251110T082736Z.jpg</v>
      </c>
    </row>
    <row r="3" spans="1:13" x14ac:dyDescent="0.25">
      <c r="A3" s="2" t="s">
        <v>13</v>
      </c>
      <c r="B3" s="4">
        <v>45971</v>
      </c>
      <c r="C3" s="5">
        <v>0.36761574074074072</v>
      </c>
      <c r="D3" s="9" t="s">
        <v>4</v>
      </c>
      <c r="E3" s="9" t="s">
        <v>8</v>
      </c>
      <c r="F3" s="9"/>
      <c r="H3" s="9"/>
      <c r="I3" s="9" t="s">
        <v>1274</v>
      </c>
      <c r="J3" s="9" t="s">
        <v>2940</v>
      </c>
      <c r="K3" t="s">
        <v>1275</v>
      </c>
      <c r="L3" t="s">
        <v>1276</v>
      </c>
      <c r="M3" s="3" t="str">
        <f>HYPERLINK(склад2въезд131920212223[[#This Row],[RelativePath]])</f>
        <v>10 Сушилка навес\E33149364_3_20251110T084922Z.jpg</v>
      </c>
    </row>
    <row r="4" spans="1:13" x14ac:dyDescent="0.25">
      <c r="A4" s="2" t="s">
        <v>13</v>
      </c>
      <c r="B4" s="4">
        <v>45971</v>
      </c>
      <c r="C4" s="5">
        <v>0.38142361111111112</v>
      </c>
      <c r="D4" s="9" t="s">
        <v>4</v>
      </c>
      <c r="E4" s="9" t="s">
        <v>8</v>
      </c>
      <c r="F4" s="9"/>
      <c r="H4" s="9"/>
      <c r="I4" s="9" t="s">
        <v>1277</v>
      </c>
      <c r="J4" s="9" t="s">
        <v>2940</v>
      </c>
      <c r="K4" t="s">
        <v>1278</v>
      </c>
      <c r="L4" t="s">
        <v>1279</v>
      </c>
      <c r="M4" s="3" t="str">
        <f>HYPERLINK(склад2въезд131920212223[[#This Row],[RelativePath]])</f>
        <v>10 Сушилка навес\E33149364_3_20251110T090915Z.jpg</v>
      </c>
    </row>
    <row r="5" spans="1:13" x14ac:dyDescent="0.25">
      <c r="A5" s="2" t="s">
        <v>13</v>
      </c>
      <c r="B5" s="4">
        <v>45971</v>
      </c>
      <c r="C5" s="5">
        <v>0.38827546296296295</v>
      </c>
      <c r="D5" s="9" t="s">
        <v>1567</v>
      </c>
      <c r="E5" s="9" t="s">
        <v>1069</v>
      </c>
      <c r="F5" s="9"/>
      <c r="H5" s="9"/>
      <c r="I5" s="9" t="s">
        <v>1280</v>
      </c>
      <c r="J5" s="9" t="s">
        <v>2940</v>
      </c>
      <c r="K5" t="s">
        <v>1281</v>
      </c>
      <c r="L5" t="s">
        <v>1282</v>
      </c>
      <c r="M5" s="3" t="str">
        <f>HYPERLINK(склад2въезд131920212223[[#This Row],[RelativePath]])</f>
        <v>10 Сушилка навес\E33149364_3_20251110T091907Z.jpg</v>
      </c>
    </row>
    <row r="6" spans="1:13" x14ac:dyDescent="0.25">
      <c r="A6" s="2" t="s">
        <v>13</v>
      </c>
      <c r="B6" s="4">
        <v>45971</v>
      </c>
      <c r="C6" s="5">
        <v>0.38836805555555554</v>
      </c>
      <c r="D6" s="9" t="s">
        <v>1567</v>
      </c>
      <c r="E6" s="9" t="s">
        <v>1069</v>
      </c>
      <c r="F6" s="9"/>
      <c r="H6" s="9"/>
      <c r="I6" s="9" t="s">
        <v>1283</v>
      </c>
      <c r="J6" s="9" t="s">
        <v>2940</v>
      </c>
      <c r="K6" t="s">
        <v>1284</v>
      </c>
      <c r="L6" t="s">
        <v>1285</v>
      </c>
      <c r="M6" s="3" t="str">
        <f>HYPERLINK(склад2въезд131920212223[[#This Row],[RelativePath]])</f>
        <v>10 Сушилка навес\E33149364_3_20251110T091915Z.jpg</v>
      </c>
    </row>
    <row r="7" spans="1:13" x14ac:dyDescent="0.25">
      <c r="A7" s="2" t="s">
        <v>13</v>
      </c>
      <c r="B7" s="4">
        <v>45971</v>
      </c>
      <c r="C7" s="5">
        <v>0.38846064814814812</v>
      </c>
      <c r="D7" s="9" t="s">
        <v>1567</v>
      </c>
      <c r="E7" s="9" t="s">
        <v>1069</v>
      </c>
      <c r="F7" s="9"/>
      <c r="H7" s="9"/>
      <c r="I7" s="9" t="s">
        <v>1286</v>
      </c>
      <c r="J7" s="9" t="s">
        <v>2940</v>
      </c>
      <c r="K7" t="s">
        <v>1287</v>
      </c>
      <c r="L7" t="s">
        <v>1288</v>
      </c>
      <c r="M7" s="3" t="str">
        <f>HYPERLINK(склад2въезд131920212223[[#This Row],[RelativePath]])</f>
        <v>10 Сушилка навес\E33149364_3_20251110T091923Z.jpg</v>
      </c>
    </row>
    <row r="8" spans="1:13" x14ac:dyDescent="0.25">
      <c r="A8" s="2" t="s">
        <v>13</v>
      </c>
      <c r="B8" s="4">
        <v>45971</v>
      </c>
      <c r="C8" s="5">
        <v>0.38942129629629629</v>
      </c>
      <c r="D8" s="9" t="s">
        <v>1567</v>
      </c>
      <c r="E8" s="9" t="s">
        <v>1069</v>
      </c>
      <c r="F8" s="9"/>
      <c r="H8" s="9"/>
      <c r="I8" s="9" t="s">
        <v>1289</v>
      </c>
      <c r="J8" s="9" t="s">
        <v>2940</v>
      </c>
      <c r="K8" t="s">
        <v>1290</v>
      </c>
      <c r="L8" t="s">
        <v>1291</v>
      </c>
      <c r="M8" s="3" t="str">
        <f>HYPERLINK(склад2въезд131920212223[[#This Row],[RelativePath]])</f>
        <v>10 Сушилка навес\E33149364_3_20251110T092046Z.jpg</v>
      </c>
    </row>
    <row r="9" spans="1:13" x14ac:dyDescent="0.25">
      <c r="A9" s="2" t="s">
        <v>13</v>
      </c>
      <c r="B9" s="4">
        <v>45971</v>
      </c>
      <c r="C9" s="5">
        <v>0.39202546296296298</v>
      </c>
      <c r="D9" s="9" t="s">
        <v>159</v>
      </c>
      <c r="E9" s="9" t="s">
        <v>86</v>
      </c>
      <c r="F9" s="9" t="s">
        <v>60</v>
      </c>
      <c r="H9" s="9" t="s">
        <v>1568</v>
      </c>
      <c r="I9" s="9" t="s">
        <v>1292</v>
      </c>
      <c r="J9" s="9" t="s">
        <v>2940</v>
      </c>
      <c r="K9" t="s">
        <v>1293</v>
      </c>
      <c r="L9" t="s">
        <v>1294</v>
      </c>
      <c r="M9" s="3" t="str">
        <f>HYPERLINK(склад2въезд131920212223[[#This Row],[RelativePath]])</f>
        <v>10 Сушилка навес\E33149364_3_20251110T092431Z.jpg</v>
      </c>
    </row>
    <row r="10" spans="1:13" x14ac:dyDescent="0.25">
      <c r="A10" s="2" t="s">
        <v>13</v>
      </c>
      <c r="B10" s="4">
        <v>45971</v>
      </c>
      <c r="C10" s="5">
        <v>0.39728009259259262</v>
      </c>
      <c r="D10" s="9" t="s">
        <v>1066</v>
      </c>
      <c r="E10" s="9" t="s">
        <v>1067</v>
      </c>
      <c r="F10" s="9"/>
      <c r="H10" s="9"/>
      <c r="I10" s="9" t="s">
        <v>1295</v>
      </c>
      <c r="J10" s="9" t="s">
        <v>2940</v>
      </c>
      <c r="K10" t="s">
        <v>1296</v>
      </c>
      <c r="L10" t="s">
        <v>1297</v>
      </c>
      <c r="M10" s="3" t="str">
        <f>HYPERLINK(склад2въезд131920212223[[#This Row],[RelativePath]])</f>
        <v>10 Сушилка навес\E33149364_3_20251110T093205Z.jpg</v>
      </c>
    </row>
    <row r="11" spans="1:13" x14ac:dyDescent="0.25">
      <c r="A11" s="2" t="s">
        <v>13</v>
      </c>
      <c r="B11" s="4">
        <v>45971</v>
      </c>
      <c r="C11" s="5">
        <v>0.40636574074074072</v>
      </c>
      <c r="D11" s="9" t="s">
        <v>1066</v>
      </c>
      <c r="E11" s="9" t="s">
        <v>1067</v>
      </c>
      <c r="F11" s="9"/>
      <c r="H11" s="9"/>
      <c r="I11" s="9" t="s">
        <v>1298</v>
      </c>
      <c r="J11" s="9" t="s">
        <v>2940</v>
      </c>
      <c r="K11" t="s">
        <v>1299</v>
      </c>
      <c r="L11" t="s">
        <v>1300</v>
      </c>
      <c r="M11" s="3" t="str">
        <f>HYPERLINK(склад2въезд131920212223[[#This Row],[RelativePath]])</f>
        <v>10 Сушилка навес\E33149364_3_20251110T094510Z.jpg</v>
      </c>
    </row>
    <row r="12" spans="1:13" x14ac:dyDescent="0.25">
      <c r="A12" s="2" t="s">
        <v>13</v>
      </c>
      <c r="B12" s="4">
        <v>45971</v>
      </c>
      <c r="C12" s="5">
        <v>0.41952546296296295</v>
      </c>
      <c r="D12" s="9" t="s">
        <v>159</v>
      </c>
      <c r="E12" s="9" t="s">
        <v>86</v>
      </c>
      <c r="F12" s="9" t="s">
        <v>51</v>
      </c>
      <c r="H12" s="9"/>
      <c r="I12" s="9" t="s">
        <v>1301</v>
      </c>
      <c r="J12" s="9" t="s">
        <v>2940</v>
      </c>
      <c r="K12" t="s">
        <v>1302</v>
      </c>
      <c r="L12" t="s">
        <v>1303</v>
      </c>
      <c r="M12" s="3" t="str">
        <f>HYPERLINK(склад2въезд131920212223[[#This Row],[RelativePath]])</f>
        <v>10 Сушилка навес\E33149364_3_20251110T100407Z.jpg</v>
      </c>
    </row>
    <row r="13" spans="1:13" x14ac:dyDescent="0.25">
      <c r="A13" s="2" t="s">
        <v>13</v>
      </c>
      <c r="B13" s="4">
        <v>45971</v>
      </c>
      <c r="C13" s="5">
        <v>0.4205787037037037</v>
      </c>
      <c r="D13" s="9" t="s">
        <v>1569</v>
      </c>
      <c r="E13" s="9" t="s">
        <v>86</v>
      </c>
      <c r="F13" s="9" t="s">
        <v>51</v>
      </c>
      <c r="H13" s="9"/>
      <c r="I13" s="9" t="s">
        <v>1304</v>
      </c>
      <c r="J13" s="9" t="s">
        <v>2940</v>
      </c>
      <c r="K13" t="s">
        <v>1305</v>
      </c>
      <c r="L13" t="s">
        <v>1306</v>
      </c>
      <c r="M13" s="3" t="str">
        <f>HYPERLINK(склад2въезд131920212223[[#This Row],[RelativePath]])</f>
        <v>10 Сушилка навес\E33149364_3_20251110T100538Z.jpg</v>
      </c>
    </row>
    <row r="14" spans="1:13" x14ac:dyDescent="0.25">
      <c r="A14" s="2" t="s">
        <v>13</v>
      </c>
      <c r="B14" s="4">
        <v>45971</v>
      </c>
      <c r="C14" s="5">
        <v>0.4215740740740741</v>
      </c>
      <c r="D14" s="9" t="s">
        <v>261</v>
      </c>
      <c r="E14" s="9" t="s">
        <v>86</v>
      </c>
      <c r="F14" s="9" t="s">
        <v>53</v>
      </c>
      <c r="G14">
        <v>1</v>
      </c>
      <c r="H14" s="9"/>
      <c r="I14" s="9" t="s">
        <v>1307</v>
      </c>
      <c r="J14" s="9" t="s">
        <v>2940</v>
      </c>
      <c r="K14" t="s">
        <v>1308</v>
      </c>
      <c r="L14" t="s">
        <v>1309</v>
      </c>
      <c r="M14" s="3" t="str">
        <f>HYPERLINK(склад2въезд131920212223[[#This Row],[RelativePath]])</f>
        <v>10 Сушилка навес\E33149364_3_20251110T100704Z.jpg</v>
      </c>
    </row>
    <row r="15" spans="1:13" x14ac:dyDescent="0.25">
      <c r="A15" s="2" t="s">
        <v>13</v>
      </c>
      <c r="B15" s="4">
        <v>45971</v>
      </c>
      <c r="C15" s="5">
        <v>0.42166666666666669</v>
      </c>
      <c r="D15" s="9" t="s">
        <v>622</v>
      </c>
      <c r="E15" s="9" t="s">
        <v>86</v>
      </c>
      <c r="F15" s="9" t="s">
        <v>1572</v>
      </c>
      <c r="H15" s="9"/>
      <c r="I15" s="9" t="s">
        <v>1310</v>
      </c>
      <c r="J15" s="9" t="s">
        <v>2940</v>
      </c>
      <c r="K15" t="s">
        <v>1311</v>
      </c>
      <c r="L15" t="s">
        <v>1312</v>
      </c>
      <c r="M15" s="3" t="str">
        <f>HYPERLINK(склад2въезд131920212223[[#This Row],[RelativePath]])</f>
        <v>10 Сушилка навес\E33149364_3_20251110T100712Z.jpg</v>
      </c>
    </row>
    <row r="16" spans="1:13" x14ac:dyDescent="0.25">
      <c r="A16" s="2" t="s">
        <v>13</v>
      </c>
      <c r="B16" s="4">
        <v>45971</v>
      </c>
      <c r="C16" s="5">
        <v>0.42212962962962963</v>
      </c>
      <c r="D16" s="9" t="s">
        <v>4</v>
      </c>
      <c r="E16" s="9" t="s">
        <v>8</v>
      </c>
      <c r="F16" s="9"/>
      <c r="H16" s="9"/>
      <c r="I16" s="9" t="s">
        <v>1313</v>
      </c>
      <c r="J16" s="9" t="s">
        <v>2940</v>
      </c>
      <c r="K16" t="s">
        <v>1314</v>
      </c>
      <c r="L16" t="s">
        <v>1315</v>
      </c>
      <c r="M16" s="3" t="str">
        <f>HYPERLINK(склад2въезд131920212223[[#This Row],[RelativePath]])</f>
        <v>10 Сушилка навес\E33149364_3_20251110T100752Z.jpg</v>
      </c>
    </row>
    <row r="17" spans="1:13" x14ac:dyDescent="0.25">
      <c r="A17" s="2" t="s">
        <v>13</v>
      </c>
      <c r="B17" s="4">
        <v>45971</v>
      </c>
      <c r="C17" s="5">
        <v>0.42531249999999998</v>
      </c>
      <c r="D17" s="9" t="s">
        <v>1569</v>
      </c>
      <c r="E17" s="9" t="s">
        <v>86</v>
      </c>
      <c r="F17" s="9" t="s">
        <v>51</v>
      </c>
      <c r="H17" s="9"/>
      <c r="I17" s="9" t="s">
        <v>1316</v>
      </c>
      <c r="J17" s="9" t="s">
        <v>2940</v>
      </c>
      <c r="K17" t="s">
        <v>1317</v>
      </c>
      <c r="L17" t="s">
        <v>1318</v>
      </c>
      <c r="M17" s="3" t="str">
        <f>HYPERLINK(склад2въезд131920212223[[#This Row],[RelativePath]])</f>
        <v>10 Сушилка навес\E33149364_3_20251110T101227Z.jpg</v>
      </c>
    </row>
    <row r="18" spans="1:13" x14ac:dyDescent="0.25">
      <c r="A18" s="2" t="s">
        <v>13</v>
      </c>
      <c r="B18" s="4">
        <v>45971</v>
      </c>
      <c r="C18" s="5">
        <v>0.42618055555555556</v>
      </c>
      <c r="D18" s="9" t="s">
        <v>261</v>
      </c>
      <c r="E18" s="9" t="s">
        <v>86</v>
      </c>
      <c r="F18" s="9" t="s">
        <v>53</v>
      </c>
      <c r="G18">
        <v>1</v>
      </c>
      <c r="H18" s="9"/>
      <c r="I18" s="9" t="s">
        <v>1319</v>
      </c>
      <c r="J18" s="9" t="s">
        <v>2940</v>
      </c>
      <c r="K18" t="s">
        <v>1320</v>
      </c>
      <c r="L18" t="s">
        <v>1321</v>
      </c>
      <c r="M18" s="3" t="str">
        <f>HYPERLINK(склад2въезд131920212223[[#This Row],[RelativePath]])</f>
        <v>10 Сушилка навес\E33149364_3_20251110T101342Z.jpg</v>
      </c>
    </row>
    <row r="19" spans="1:13" x14ac:dyDescent="0.25">
      <c r="A19" s="2" t="s">
        <v>13</v>
      </c>
      <c r="B19" s="4">
        <v>45971</v>
      </c>
      <c r="C19" s="5">
        <v>0.42623842592592592</v>
      </c>
      <c r="D19" s="9" t="s">
        <v>622</v>
      </c>
      <c r="E19" s="9" t="s">
        <v>86</v>
      </c>
      <c r="F19" s="9" t="s">
        <v>1572</v>
      </c>
      <c r="H19" s="9"/>
      <c r="I19" s="9" t="s">
        <v>1322</v>
      </c>
      <c r="J19" s="9" t="s">
        <v>2940</v>
      </c>
      <c r="K19" t="s">
        <v>1323</v>
      </c>
      <c r="L19" t="s">
        <v>1324</v>
      </c>
      <c r="M19" s="3" t="str">
        <f>HYPERLINK(склад2въезд131920212223[[#This Row],[RelativePath]])</f>
        <v>10 Сушилка навес\E33149364_3_20251110T101347Z.jpg</v>
      </c>
    </row>
    <row r="20" spans="1:13" x14ac:dyDescent="0.25">
      <c r="A20" s="2" t="s">
        <v>13</v>
      </c>
      <c r="B20" s="4">
        <v>45971</v>
      </c>
      <c r="C20" s="5">
        <v>0.43119212962962961</v>
      </c>
      <c r="D20" s="9" t="s">
        <v>1569</v>
      </c>
      <c r="E20" s="9" t="s">
        <v>86</v>
      </c>
      <c r="F20" s="9" t="s">
        <v>51</v>
      </c>
      <c r="H20" s="9"/>
      <c r="I20" s="9" t="s">
        <v>1325</v>
      </c>
      <c r="J20" s="9" t="s">
        <v>2940</v>
      </c>
      <c r="K20" t="s">
        <v>1326</v>
      </c>
      <c r="L20" t="s">
        <v>1327</v>
      </c>
      <c r="M20" s="3" t="str">
        <f>HYPERLINK(склад2въезд131920212223[[#This Row],[RelativePath]])</f>
        <v>10 Сушилка навес\E33149364_3_20251110T102055Z.jpg</v>
      </c>
    </row>
    <row r="21" spans="1:13" x14ac:dyDescent="0.25">
      <c r="A21" s="2" t="s">
        <v>13</v>
      </c>
      <c r="B21" s="4">
        <v>45971</v>
      </c>
      <c r="C21" s="5">
        <v>0.43146990740740743</v>
      </c>
      <c r="D21" s="9" t="s">
        <v>261</v>
      </c>
      <c r="E21" s="9" t="s">
        <v>86</v>
      </c>
      <c r="F21" s="9" t="s">
        <v>53</v>
      </c>
      <c r="G21">
        <v>1</v>
      </c>
      <c r="H21" s="9"/>
      <c r="I21" s="9" t="s">
        <v>1328</v>
      </c>
      <c r="J21" s="9" t="s">
        <v>2940</v>
      </c>
      <c r="K21" t="s">
        <v>1329</v>
      </c>
      <c r="L21" t="s">
        <v>1330</v>
      </c>
      <c r="M21" s="3" t="str">
        <f>HYPERLINK(склад2въезд131920212223[[#This Row],[RelativePath]])</f>
        <v>10 Сушилка навес\E33149364_3_20251110T102119Z.jpg</v>
      </c>
    </row>
    <row r="22" spans="1:13" x14ac:dyDescent="0.25">
      <c r="A22" s="2" t="s">
        <v>13</v>
      </c>
      <c r="B22" s="4">
        <v>45971</v>
      </c>
      <c r="C22" s="5">
        <v>0.43155092592592592</v>
      </c>
      <c r="D22" s="9" t="s">
        <v>622</v>
      </c>
      <c r="E22" s="9" t="s">
        <v>86</v>
      </c>
      <c r="F22" s="9" t="s">
        <v>1572</v>
      </c>
      <c r="H22" s="9"/>
      <c r="I22" s="9" t="s">
        <v>1331</v>
      </c>
      <c r="J22" s="9" t="s">
        <v>2940</v>
      </c>
      <c r="K22" t="s">
        <v>1332</v>
      </c>
      <c r="L22" t="s">
        <v>1333</v>
      </c>
      <c r="M22" s="3" t="str">
        <f>HYPERLINK(склад2въезд131920212223[[#This Row],[RelativePath]])</f>
        <v>10 Сушилка навес\E33149364_3_20251110T102126Z.jpg</v>
      </c>
    </row>
    <row r="23" spans="1:13" x14ac:dyDescent="0.25">
      <c r="A23" s="2" t="s">
        <v>13</v>
      </c>
      <c r="B23" s="4">
        <v>45971</v>
      </c>
      <c r="C23" s="5">
        <v>0.43638888888888888</v>
      </c>
      <c r="D23" s="9" t="s">
        <v>4</v>
      </c>
      <c r="E23" s="9" t="s">
        <v>1570</v>
      </c>
      <c r="F23" s="9" t="s">
        <v>1571</v>
      </c>
      <c r="H23" s="9"/>
      <c r="I23" s="9" t="s">
        <v>1334</v>
      </c>
      <c r="J23" s="9" t="s">
        <v>2940</v>
      </c>
      <c r="K23" t="s">
        <v>1335</v>
      </c>
      <c r="L23" t="s">
        <v>1336</v>
      </c>
      <c r="M23" s="3" t="str">
        <f>HYPERLINK(склад2въезд131920212223[[#This Row],[RelativePath]])</f>
        <v>10 Сушилка навес\E33149364_3_20251110T102824Z.jpg</v>
      </c>
    </row>
    <row r="24" spans="1:13" x14ac:dyDescent="0.25">
      <c r="A24" s="2" t="s">
        <v>13</v>
      </c>
      <c r="B24" s="4">
        <v>45971</v>
      </c>
      <c r="C24" s="5">
        <v>0.43645833333333334</v>
      </c>
      <c r="D24" s="9" t="s">
        <v>4</v>
      </c>
      <c r="E24" s="9" t="s">
        <v>1570</v>
      </c>
      <c r="F24" s="9" t="s">
        <v>1571</v>
      </c>
      <c r="H24" s="9"/>
      <c r="I24" s="9" t="s">
        <v>1337</v>
      </c>
      <c r="J24" s="9" t="s">
        <v>2940</v>
      </c>
      <c r="K24" t="s">
        <v>1338</v>
      </c>
      <c r="L24" t="s">
        <v>1339</v>
      </c>
      <c r="M24" s="3" t="str">
        <f>HYPERLINK(склад2въезд131920212223[[#This Row],[RelativePath]])</f>
        <v>10 Сушилка навес\E33149364_3_20251110T102830Z.jpg</v>
      </c>
    </row>
    <row r="25" spans="1:13" x14ac:dyDescent="0.25">
      <c r="A25" s="2" t="s">
        <v>13</v>
      </c>
      <c r="B25" s="4">
        <v>45971</v>
      </c>
      <c r="C25" s="5">
        <v>0.43714120370370368</v>
      </c>
      <c r="D25" s="9" t="s">
        <v>159</v>
      </c>
      <c r="E25" s="9" t="s">
        <v>86</v>
      </c>
      <c r="F25" s="9" t="s">
        <v>60</v>
      </c>
      <c r="H25" s="9" t="s">
        <v>1568</v>
      </c>
      <c r="I25" s="9" t="s">
        <v>1340</v>
      </c>
      <c r="J25" s="9" t="s">
        <v>2940</v>
      </c>
      <c r="K25" t="s">
        <v>1341</v>
      </c>
      <c r="L25" t="s">
        <v>1342</v>
      </c>
      <c r="M25" s="3" t="str">
        <f>HYPERLINK(склад2въезд131920212223[[#This Row],[RelativePath]])</f>
        <v>10 Сушилка навес\E33149364_3_20251110T102929Z.jpg</v>
      </c>
    </row>
    <row r="26" spans="1:13" x14ac:dyDescent="0.25">
      <c r="A26" s="2" t="s">
        <v>13</v>
      </c>
      <c r="B26" s="4">
        <v>45971</v>
      </c>
      <c r="C26" s="5">
        <v>0.44962962962962966</v>
      </c>
      <c r="D26" s="9" t="s">
        <v>4</v>
      </c>
      <c r="E26" s="9" t="s">
        <v>8</v>
      </c>
      <c r="F26" s="9"/>
      <c r="H26" s="9"/>
      <c r="I26" s="9" t="s">
        <v>1343</v>
      </c>
      <c r="J26" s="9" t="s">
        <v>2940</v>
      </c>
      <c r="K26" t="s">
        <v>1344</v>
      </c>
      <c r="L26" t="s">
        <v>1345</v>
      </c>
      <c r="M26" s="3" t="str">
        <f>HYPERLINK(склад2въезд131920212223[[#This Row],[RelativePath]])</f>
        <v>10 Сушилка навес\E33149364_3_20251110T104728Z.jpg</v>
      </c>
    </row>
    <row r="27" spans="1:13" x14ac:dyDescent="0.25">
      <c r="A27" s="2" t="s">
        <v>13</v>
      </c>
      <c r="B27" s="4">
        <v>45971</v>
      </c>
      <c r="C27" s="5">
        <v>0.45780092592592592</v>
      </c>
      <c r="D27" s="9" t="s">
        <v>1569</v>
      </c>
      <c r="E27" s="9" t="s">
        <v>86</v>
      </c>
      <c r="F27" s="9" t="s">
        <v>51</v>
      </c>
      <c r="H27" s="9"/>
      <c r="I27" s="9" t="s">
        <v>1346</v>
      </c>
      <c r="J27" s="9" t="s">
        <v>2940</v>
      </c>
      <c r="K27" t="s">
        <v>1347</v>
      </c>
      <c r="L27" t="s">
        <v>1348</v>
      </c>
      <c r="M27" s="3" t="str">
        <f>HYPERLINK(склад2въезд131920212223[[#This Row],[RelativePath]])</f>
        <v>10 Сушилка навес\E33149364_3_20251110T105914Z.jpg</v>
      </c>
    </row>
    <row r="28" spans="1:13" x14ac:dyDescent="0.25">
      <c r="A28" s="2" t="s">
        <v>13</v>
      </c>
      <c r="B28" s="4">
        <v>45971</v>
      </c>
      <c r="C28" s="5">
        <v>0.48737268518518517</v>
      </c>
      <c r="D28" s="9" t="s">
        <v>4</v>
      </c>
      <c r="E28" s="9" t="s">
        <v>8</v>
      </c>
      <c r="F28" s="9"/>
      <c r="H28" s="9"/>
      <c r="I28" s="9" t="s">
        <v>1349</v>
      </c>
      <c r="J28" s="9" t="s">
        <v>2940</v>
      </c>
      <c r="K28" t="s">
        <v>1350</v>
      </c>
      <c r="L28" t="s">
        <v>1351</v>
      </c>
      <c r="M28" s="3" t="str">
        <f>HYPERLINK(склад2въезд131920212223[[#This Row],[RelativePath]])</f>
        <v>10 Сушилка навес\E33149364_3_20251110T114149Z.jpg</v>
      </c>
    </row>
    <row r="29" spans="1:13" x14ac:dyDescent="0.25">
      <c r="A29" s="2" t="s">
        <v>13</v>
      </c>
      <c r="B29" s="4">
        <v>45971</v>
      </c>
      <c r="C29" s="5">
        <v>0.49100694444444443</v>
      </c>
      <c r="D29" s="9" t="s">
        <v>622</v>
      </c>
      <c r="E29" s="9" t="s">
        <v>86</v>
      </c>
      <c r="F29" s="9" t="s">
        <v>51</v>
      </c>
      <c r="H29" s="9"/>
      <c r="I29" s="9" t="s">
        <v>1352</v>
      </c>
      <c r="J29" s="9" t="s">
        <v>2940</v>
      </c>
      <c r="K29" t="s">
        <v>1353</v>
      </c>
      <c r="L29" t="s">
        <v>1354</v>
      </c>
      <c r="M29" s="3" t="str">
        <f>HYPERLINK(склад2въезд131920212223[[#This Row],[RelativePath]])</f>
        <v>10 Сушилка навес\E33149364_3_20251110T114703Z.jpg</v>
      </c>
    </row>
    <row r="30" spans="1:13" x14ac:dyDescent="0.25">
      <c r="A30" s="2" t="s">
        <v>13</v>
      </c>
      <c r="B30" s="4">
        <v>45971</v>
      </c>
      <c r="C30" s="5">
        <v>0.49104166666666665</v>
      </c>
      <c r="D30" s="9" t="s">
        <v>4</v>
      </c>
      <c r="E30" s="9" t="s">
        <v>8</v>
      </c>
      <c r="F30" s="9"/>
      <c r="H30" s="9"/>
      <c r="I30" s="9" t="s">
        <v>1355</v>
      </c>
      <c r="J30" s="9" t="s">
        <v>2940</v>
      </c>
      <c r="K30" t="s">
        <v>1356</v>
      </c>
      <c r="L30" t="s">
        <v>1357</v>
      </c>
      <c r="M30" s="3" t="str">
        <f>HYPERLINK(склад2въезд131920212223[[#This Row],[RelativePath]])</f>
        <v>10 Сушилка навес\E33149364_3_20251110T114706Z.jpg</v>
      </c>
    </row>
    <row r="31" spans="1:13" x14ac:dyDescent="0.25">
      <c r="A31" s="2" t="s">
        <v>13</v>
      </c>
      <c r="B31" s="4">
        <v>45971</v>
      </c>
      <c r="C31" s="5">
        <v>0.50260416666666663</v>
      </c>
      <c r="D31" s="9" t="s">
        <v>1569</v>
      </c>
      <c r="E31" s="9" t="s">
        <v>56</v>
      </c>
      <c r="F31" s="9" t="s">
        <v>51</v>
      </c>
      <c r="H31" s="9"/>
      <c r="I31" s="9" t="s">
        <v>1358</v>
      </c>
      <c r="J31" s="9" t="s">
        <v>2940</v>
      </c>
      <c r="K31" t="s">
        <v>1359</v>
      </c>
      <c r="L31" t="s">
        <v>1360</v>
      </c>
      <c r="M31" s="3" t="str">
        <f>HYPERLINK(склад2въезд131920212223[[#This Row],[RelativePath]])</f>
        <v>10 Сушилка навес\E33149364_3_20251110T120345Z.jpg</v>
      </c>
    </row>
    <row r="32" spans="1:13" x14ac:dyDescent="0.25">
      <c r="A32" s="2" t="s">
        <v>13</v>
      </c>
      <c r="B32" s="4">
        <v>45971</v>
      </c>
      <c r="C32" s="5">
        <v>0.51554398148148151</v>
      </c>
      <c r="D32" s="9" t="s">
        <v>261</v>
      </c>
      <c r="E32" s="9" t="s">
        <v>56</v>
      </c>
      <c r="F32" s="9" t="s">
        <v>53</v>
      </c>
      <c r="G32">
        <v>3</v>
      </c>
      <c r="H32" s="9"/>
      <c r="I32" s="9" t="s">
        <v>1361</v>
      </c>
      <c r="J32" s="9" t="s">
        <v>2940</v>
      </c>
      <c r="K32" t="s">
        <v>1362</v>
      </c>
      <c r="L32" t="s">
        <v>1363</v>
      </c>
      <c r="M32" s="3" t="str">
        <f>HYPERLINK(склад2въезд131920212223[[#This Row],[RelativePath]])</f>
        <v>10 Сушилка навес\E33149364_3_20251110T122223Z.jpg</v>
      </c>
    </row>
    <row r="33" spans="1:13" x14ac:dyDescent="0.25">
      <c r="A33" s="2" t="s">
        <v>13</v>
      </c>
      <c r="B33" s="4">
        <v>45971</v>
      </c>
      <c r="C33" s="5">
        <v>0.515625</v>
      </c>
      <c r="D33" s="9" t="s">
        <v>622</v>
      </c>
      <c r="E33" s="9" t="s">
        <v>56</v>
      </c>
      <c r="F33" s="9" t="s">
        <v>1572</v>
      </c>
      <c r="H33" s="9"/>
      <c r="I33" s="9" t="s">
        <v>1364</v>
      </c>
      <c r="J33" s="9" t="s">
        <v>2940</v>
      </c>
      <c r="K33" t="s">
        <v>1365</v>
      </c>
      <c r="L33" t="s">
        <v>1366</v>
      </c>
      <c r="M33" s="3" t="str">
        <f>HYPERLINK(склад2въезд131920212223[[#This Row],[RelativePath]])</f>
        <v>10 Сушилка навес\E33149364_3_20251110T122230Z.jpg</v>
      </c>
    </row>
    <row r="34" spans="1:13" x14ac:dyDescent="0.25">
      <c r="A34" s="2" t="s">
        <v>13</v>
      </c>
      <c r="B34" s="4">
        <v>45971</v>
      </c>
      <c r="C34" s="5">
        <v>0.52188657407407413</v>
      </c>
      <c r="D34" s="9" t="s">
        <v>505</v>
      </c>
      <c r="E34" s="9" t="s">
        <v>503</v>
      </c>
      <c r="F34" s="9" t="s">
        <v>58</v>
      </c>
      <c r="H34" s="9" t="s">
        <v>1575</v>
      </c>
      <c r="I34" s="9" t="s">
        <v>1367</v>
      </c>
      <c r="J34" s="9" t="s">
        <v>2940</v>
      </c>
      <c r="K34" t="s">
        <v>1368</v>
      </c>
      <c r="L34" t="s">
        <v>1369</v>
      </c>
      <c r="M34" s="3" t="str">
        <f>HYPERLINK(склад2въезд131920212223[[#This Row],[RelativePath]])</f>
        <v>10 Сушилка навес\E33149364_3_20251110T123131Z.jpg</v>
      </c>
    </row>
    <row r="35" spans="1:13" x14ac:dyDescent="0.25">
      <c r="A35" s="2" t="s">
        <v>13</v>
      </c>
      <c r="B35" s="4">
        <v>45971</v>
      </c>
      <c r="C35" s="5">
        <v>0.52438657407407407</v>
      </c>
      <c r="D35" s="9" t="s">
        <v>505</v>
      </c>
      <c r="E35" s="9" t="s">
        <v>503</v>
      </c>
      <c r="F35" s="9" t="s">
        <v>58</v>
      </c>
      <c r="H35" s="9" t="s">
        <v>1575</v>
      </c>
      <c r="I35" s="9" t="s">
        <v>1370</v>
      </c>
      <c r="J35" s="9" t="s">
        <v>2940</v>
      </c>
      <c r="K35" t="s">
        <v>1371</v>
      </c>
      <c r="L35" t="s">
        <v>1372</v>
      </c>
      <c r="M35" s="3" t="str">
        <f>HYPERLINK(склад2въезд131920212223[[#This Row],[RelativePath]])</f>
        <v>10 Сушилка навес\E33149364_3_20251110T123507Z.jpg</v>
      </c>
    </row>
    <row r="36" spans="1:13" x14ac:dyDescent="0.25">
      <c r="A36" s="2" t="s">
        <v>13</v>
      </c>
      <c r="B36" s="4">
        <v>45971</v>
      </c>
      <c r="C36" s="5">
        <v>0.5244212962962963</v>
      </c>
      <c r="D36" s="9" t="s">
        <v>505</v>
      </c>
      <c r="E36" s="9" t="s">
        <v>503</v>
      </c>
      <c r="F36" s="9" t="s">
        <v>58</v>
      </c>
      <c r="H36" s="9" t="s">
        <v>1575</v>
      </c>
      <c r="I36" s="9" t="s">
        <v>1373</v>
      </c>
      <c r="J36" s="9" t="s">
        <v>2940</v>
      </c>
      <c r="K36" t="s">
        <v>1374</v>
      </c>
      <c r="L36" t="s">
        <v>1375</v>
      </c>
      <c r="M36" s="3" t="str">
        <f>HYPERLINK(склад2въезд131920212223[[#This Row],[RelativePath]])</f>
        <v>10 Сушилка навес\E33149364_3_20251110T123510Z.jpg</v>
      </c>
    </row>
    <row r="37" spans="1:13" x14ac:dyDescent="0.25">
      <c r="A37" s="2" t="s">
        <v>13</v>
      </c>
      <c r="B37" s="4">
        <v>45971</v>
      </c>
      <c r="C37" s="5">
        <v>0.52446759259259257</v>
      </c>
      <c r="D37" s="9" t="s">
        <v>505</v>
      </c>
      <c r="E37" s="9" t="s">
        <v>503</v>
      </c>
      <c r="F37" s="9" t="s">
        <v>58</v>
      </c>
      <c r="H37" s="9" t="s">
        <v>1575</v>
      </c>
      <c r="I37" s="9" t="s">
        <v>1376</v>
      </c>
      <c r="J37" s="9" t="s">
        <v>2940</v>
      </c>
      <c r="K37" t="s">
        <v>1377</v>
      </c>
      <c r="L37" t="s">
        <v>1378</v>
      </c>
      <c r="M37" s="3" t="str">
        <f>HYPERLINK(склад2въезд131920212223[[#This Row],[RelativePath]])</f>
        <v>10 Сушилка навес\E33149364_3_20251110T123514Z.jpg</v>
      </c>
    </row>
    <row r="38" spans="1:13" x14ac:dyDescent="0.25">
      <c r="A38" s="2" t="s">
        <v>13</v>
      </c>
      <c r="B38" s="4">
        <v>45971</v>
      </c>
      <c r="C38" s="5">
        <v>0.52990740740740738</v>
      </c>
      <c r="D38" s="9" t="s">
        <v>4</v>
      </c>
      <c r="E38" s="9" t="s">
        <v>8</v>
      </c>
      <c r="F38" s="9"/>
      <c r="H38" s="9"/>
      <c r="I38" s="9" t="s">
        <v>1379</v>
      </c>
      <c r="J38" s="9" t="s">
        <v>2940</v>
      </c>
      <c r="K38" t="s">
        <v>1380</v>
      </c>
      <c r="L38" t="s">
        <v>1381</v>
      </c>
      <c r="M38" s="3" t="str">
        <f>HYPERLINK(склад2въезд131920212223[[#This Row],[RelativePath]])</f>
        <v>10 Сушилка навес\E33149364_3_20251110T124304Z.jpg</v>
      </c>
    </row>
    <row r="39" spans="1:13" x14ac:dyDescent="0.25">
      <c r="A39" s="2" t="s">
        <v>13</v>
      </c>
      <c r="B39" s="4">
        <v>45971</v>
      </c>
      <c r="C39" s="5">
        <v>0.58702546296296299</v>
      </c>
      <c r="D39" s="9" t="s">
        <v>505</v>
      </c>
      <c r="E39" s="9" t="s">
        <v>1573</v>
      </c>
      <c r="F39" s="9" t="s">
        <v>58</v>
      </c>
      <c r="H39" s="9" t="s">
        <v>1574</v>
      </c>
      <c r="I39" s="9" t="s">
        <v>1382</v>
      </c>
      <c r="J39" s="9" t="s">
        <v>2940</v>
      </c>
      <c r="K39" t="s">
        <v>1383</v>
      </c>
      <c r="L39" t="s">
        <v>1384</v>
      </c>
      <c r="M39" s="3" t="str">
        <f>HYPERLINK(склад2въезд131920212223[[#This Row],[RelativePath]])</f>
        <v>10 Сушилка навес\E33149364_3_20251110T140519Z.jpg</v>
      </c>
    </row>
    <row r="40" spans="1:13" x14ac:dyDescent="0.25">
      <c r="A40" s="2" t="s">
        <v>13</v>
      </c>
      <c r="B40" s="4">
        <v>45971</v>
      </c>
      <c r="C40" s="5">
        <v>0.5876851851851852</v>
      </c>
      <c r="D40" s="9" t="s">
        <v>505</v>
      </c>
      <c r="E40" s="9" t="s">
        <v>1573</v>
      </c>
      <c r="F40" s="9" t="s">
        <v>58</v>
      </c>
      <c r="H40" s="9" t="s">
        <v>1574</v>
      </c>
      <c r="I40" s="9" t="s">
        <v>1385</v>
      </c>
      <c r="J40" s="9" t="s">
        <v>2940</v>
      </c>
      <c r="K40" t="s">
        <v>1386</v>
      </c>
      <c r="L40" t="s">
        <v>1387</v>
      </c>
      <c r="M40" s="3" t="str">
        <f>HYPERLINK(склад2въезд131920212223[[#This Row],[RelativePath]])</f>
        <v>10 Сушилка навес\E33149364_3_20251110T140616Z.jpg</v>
      </c>
    </row>
    <row r="41" spans="1:13" x14ac:dyDescent="0.25">
      <c r="A41" s="2" t="s">
        <v>13</v>
      </c>
      <c r="B41" s="4">
        <v>45971</v>
      </c>
      <c r="C41" s="5">
        <v>0.59212962962962967</v>
      </c>
      <c r="D41" s="9" t="s">
        <v>505</v>
      </c>
      <c r="E41" s="9" t="s">
        <v>1573</v>
      </c>
      <c r="F41" s="9" t="s">
        <v>58</v>
      </c>
      <c r="H41" s="9" t="s">
        <v>1574</v>
      </c>
      <c r="I41" s="9" t="s">
        <v>1388</v>
      </c>
      <c r="J41" s="9" t="s">
        <v>2940</v>
      </c>
      <c r="K41" t="s">
        <v>1389</v>
      </c>
      <c r="L41" t="s">
        <v>1390</v>
      </c>
      <c r="M41" s="3" t="str">
        <f>HYPERLINK(склад2въезд131920212223[[#This Row],[RelativePath]])</f>
        <v>10 Сушилка навес\E33149364_3_20251110T141240Z.jpg</v>
      </c>
    </row>
    <row r="42" spans="1:13" x14ac:dyDescent="0.25">
      <c r="A42" s="2" t="s">
        <v>13</v>
      </c>
      <c r="B42" s="4">
        <v>45971</v>
      </c>
      <c r="C42" s="5">
        <v>0.64674768518518522</v>
      </c>
      <c r="D42" s="9" t="s">
        <v>505</v>
      </c>
      <c r="E42" s="9" t="s">
        <v>503</v>
      </c>
      <c r="F42" s="9" t="s">
        <v>58</v>
      </c>
      <c r="H42" s="9" t="s">
        <v>1575</v>
      </c>
      <c r="I42" s="9" t="s">
        <v>1391</v>
      </c>
      <c r="J42" s="9" t="s">
        <v>2940</v>
      </c>
      <c r="K42" t="s">
        <v>1392</v>
      </c>
      <c r="L42" t="s">
        <v>1393</v>
      </c>
      <c r="M42" s="3" t="str">
        <f>HYPERLINK(склад2въезд131920212223[[#This Row],[RelativePath]])</f>
        <v>10 Сушилка навес\E33149364_3_20251110T153119Z.jpg</v>
      </c>
    </row>
    <row r="43" spans="1:13" x14ac:dyDescent="0.25">
      <c r="A43" s="2" t="s">
        <v>13</v>
      </c>
      <c r="B43" s="4">
        <v>45971</v>
      </c>
      <c r="C43" s="5">
        <v>0.68618055555555557</v>
      </c>
      <c r="D43" s="9" t="s">
        <v>505</v>
      </c>
      <c r="E43" s="9" t="s">
        <v>503</v>
      </c>
      <c r="F43" s="9" t="s">
        <v>58</v>
      </c>
      <c r="H43" s="9" t="s">
        <v>1575</v>
      </c>
      <c r="I43" s="9" t="s">
        <v>1395</v>
      </c>
      <c r="J43" s="9" t="s">
        <v>2940</v>
      </c>
      <c r="K43" t="s">
        <v>1396</v>
      </c>
      <c r="L43" t="s">
        <v>1397</v>
      </c>
      <c r="M43" s="3" t="str">
        <f>HYPERLINK(склад2въезд131920212223[[#This Row],[RelativePath]])</f>
        <v>10 Сушилка навес\E33149364_3_20251110T162806Z.jpg</v>
      </c>
    </row>
    <row r="44" spans="1:13" x14ac:dyDescent="0.25">
      <c r="A44" s="2" t="s">
        <v>14</v>
      </c>
      <c r="B44" s="4">
        <v>45972</v>
      </c>
      <c r="C44" s="5">
        <v>0.35731481481481481</v>
      </c>
      <c r="D44" s="9" t="s">
        <v>4</v>
      </c>
      <c r="E44" s="9" t="s">
        <v>8</v>
      </c>
      <c r="F44" s="9"/>
      <c r="H44" s="9" t="s">
        <v>5</v>
      </c>
      <c r="I44" s="9" t="s">
        <v>1398</v>
      </c>
      <c r="J44" s="9" t="s">
        <v>2940</v>
      </c>
      <c r="K44" t="s">
        <v>1399</v>
      </c>
      <c r="L44" t="s">
        <v>1400</v>
      </c>
      <c r="M44" s="3" t="str">
        <f>HYPERLINK(склад2въезд131920212223[[#This Row],[RelativePath]])</f>
        <v>10 Сушилка навес\E33149364_3_20251111T083432Z.jpg</v>
      </c>
    </row>
    <row r="45" spans="1:13" x14ac:dyDescent="0.25">
      <c r="A45" s="2" t="s">
        <v>14</v>
      </c>
      <c r="B45" s="4">
        <v>45972</v>
      </c>
      <c r="C45" s="5">
        <v>0.45163194444444443</v>
      </c>
      <c r="D45" s="9" t="s">
        <v>4</v>
      </c>
      <c r="E45" s="9" t="s">
        <v>8</v>
      </c>
      <c r="F45" s="9"/>
      <c r="H45" s="9"/>
      <c r="I45" s="9" t="s">
        <v>1401</v>
      </c>
      <c r="J45" s="9" t="s">
        <v>2940</v>
      </c>
      <c r="K45" t="s">
        <v>1402</v>
      </c>
      <c r="L45" t="s">
        <v>1403</v>
      </c>
      <c r="M45" s="3" t="str">
        <f>HYPERLINK(склад2въезд131920212223[[#This Row],[RelativePath]])</f>
        <v>10 Сушилка навес\E33149364_3_20251111T105021Z.jpg</v>
      </c>
    </row>
    <row r="46" spans="1:13" x14ac:dyDescent="0.25">
      <c r="A46" s="2" t="s">
        <v>14</v>
      </c>
      <c r="B46" s="4">
        <v>45972</v>
      </c>
      <c r="C46" s="5">
        <v>0.45445601851851852</v>
      </c>
      <c r="D46" s="9" t="s">
        <v>261</v>
      </c>
      <c r="E46" s="9" t="s">
        <v>86</v>
      </c>
      <c r="F46" s="9" t="s">
        <v>1069</v>
      </c>
      <c r="H46" s="9"/>
      <c r="I46" s="9" t="s">
        <v>1404</v>
      </c>
      <c r="J46" s="9" t="s">
        <v>2940</v>
      </c>
      <c r="K46" t="s">
        <v>1405</v>
      </c>
      <c r="L46" t="s">
        <v>1406</v>
      </c>
      <c r="M46" s="3" t="str">
        <f>HYPERLINK(склад2въезд131920212223[[#This Row],[RelativePath]])</f>
        <v>10 Сушилка навес\E33149364_3_20251111T105425Z.jpg</v>
      </c>
    </row>
    <row r="47" spans="1:13" x14ac:dyDescent="0.25">
      <c r="A47" s="2" t="s">
        <v>14</v>
      </c>
      <c r="B47" s="4">
        <v>45972</v>
      </c>
      <c r="C47" s="5">
        <v>0.45973379629629629</v>
      </c>
      <c r="D47" s="9" t="s">
        <v>261</v>
      </c>
      <c r="E47" s="9" t="s">
        <v>86</v>
      </c>
      <c r="F47" s="9" t="s">
        <v>1067</v>
      </c>
      <c r="H47" s="9"/>
      <c r="I47" s="9" t="s">
        <v>1407</v>
      </c>
      <c r="J47" s="9" t="s">
        <v>2940</v>
      </c>
      <c r="K47" t="s">
        <v>1408</v>
      </c>
      <c r="L47" t="s">
        <v>1409</v>
      </c>
      <c r="M47" s="3" t="str">
        <f>HYPERLINK(склад2въезд131920212223[[#This Row],[RelativePath]])</f>
        <v>10 Сушилка навес\E33149364_3_20251111T110201Z.jpg</v>
      </c>
    </row>
    <row r="48" spans="1:13" x14ac:dyDescent="0.25">
      <c r="A48" s="2" t="s">
        <v>14</v>
      </c>
      <c r="B48" s="4">
        <v>45972</v>
      </c>
      <c r="C48" s="5">
        <v>0.46041666666666664</v>
      </c>
      <c r="D48" s="9" t="s">
        <v>505</v>
      </c>
      <c r="E48" s="9" t="s">
        <v>86</v>
      </c>
      <c r="F48" s="9" t="s">
        <v>1576</v>
      </c>
      <c r="H48" s="9" t="s">
        <v>1575</v>
      </c>
      <c r="I48" s="9" t="s">
        <v>1410</v>
      </c>
      <c r="J48" s="9" t="s">
        <v>2940</v>
      </c>
      <c r="K48" t="s">
        <v>1411</v>
      </c>
      <c r="L48" t="s">
        <v>1412</v>
      </c>
      <c r="M48" s="3" t="str">
        <f>HYPERLINK(склад2въезд131920212223[[#This Row],[RelativePath]])</f>
        <v>10 Сушилка навес\E33149364_3_20251111T110300Z.jpg</v>
      </c>
    </row>
    <row r="49" spans="1:13" x14ac:dyDescent="0.25">
      <c r="A49" s="2" t="s">
        <v>14</v>
      </c>
      <c r="B49" s="4">
        <v>45972</v>
      </c>
      <c r="C49" s="5">
        <v>0.46240740740740743</v>
      </c>
      <c r="D49" s="9" t="s">
        <v>1578</v>
      </c>
      <c r="E49" s="9" t="s">
        <v>86</v>
      </c>
      <c r="F49" s="9" t="s">
        <v>1577</v>
      </c>
      <c r="H49" s="9"/>
      <c r="I49" s="9" t="s">
        <v>1413</v>
      </c>
      <c r="J49" s="9" t="s">
        <v>2940</v>
      </c>
      <c r="K49" t="s">
        <v>1414</v>
      </c>
      <c r="L49" t="s">
        <v>1415</v>
      </c>
      <c r="M49" s="3" t="str">
        <f>HYPERLINK(склад2въезд131920212223[[#This Row],[RelativePath]])</f>
        <v>10 Сушилка навес\E33149364_3_20251111T110552Z.jpg</v>
      </c>
    </row>
    <row r="50" spans="1:13" x14ac:dyDescent="0.25">
      <c r="A50" s="2" t="s">
        <v>14</v>
      </c>
      <c r="B50" s="4">
        <v>45972</v>
      </c>
      <c r="C50" s="5">
        <v>0.46350694444444446</v>
      </c>
      <c r="D50" s="9" t="s">
        <v>1569</v>
      </c>
      <c r="E50" s="9" t="s">
        <v>63</v>
      </c>
      <c r="F50" s="9" t="s">
        <v>51</v>
      </c>
      <c r="H50" s="9"/>
      <c r="I50" s="9" t="s">
        <v>1416</v>
      </c>
      <c r="J50" s="9" t="s">
        <v>2940</v>
      </c>
      <c r="K50" t="s">
        <v>1417</v>
      </c>
      <c r="L50" t="s">
        <v>1418</v>
      </c>
      <c r="M50" s="3" t="str">
        <f>HYPERLINK(склад2въезд131920212223[[#This Row],[RelativePath]])</f>
        <v>10 Сушилка навес\E33149364_3_20251111T110727Z.jpg</v>
      </c>
    </row>
    <row r="51" spans="1:13" x14ac:dyDescent="0.25">
      <c r="A51" s="2" t="s">
        <v>14</v>
      </c>
      <c r="B51" s="4">
        <v>45972</v>
      </c>
      <c r="C51" s="5">
        <v>0.46743055555555557</v>
      </c>
      <c r="D51" s="9" t="s">
        <v>261</v>
      </c>
      <c r="E51" s="9" t="s">
        <v>63</v>
      </c>
      <c r="F51" s="9" t="s">
        <v>58</v>
      </c>
      <c r="H51" s="9" t="s">
        <v>1583</v>
      </c>
      <c r="I51" s="9" t="s">
        <v>1419</v>
      </c>
      <c r="J51" s="9" t="s">
        <v>2940</v>
      </c>
      <c r="K51" t="s">
        <v>1420</v>
      </c>
      <c r="L51" t="s">
        <v>1421</v>
      </c>
      <c r="M51" s="3" t="str">
        <f>HYPERLINK(склад2въезд131920212223[[#This Row],[RelativePath]])</f>
        <v>10 Сушилка навес\E33149364_3_20251111T111306Z.jpg</v>
      </c>
    </row>
    <row r="52" spans="1:13" x14ac:dyDescent="0.25">
      <c r="A52" s="2" t="s">
        <v>14</v>
      </c>
      <c r="B52" s="4">
        <v>45972</v>
      </c>
      <c r="C52" s="5">
        <v>0.47805555555555557</v>
      </c>
      <c r="D52" s="9" t="s">
        <v>1962</v>
      </c>
      <c r="E52" s="9" t="s">
        <v>63</v>
      </c>
      <c r="F52" s="9" t="s">
        <v>58</v>
      </c>
      <c r="H52" s="9" t="s">
        <v>1583</v>
      </c>
      <c r="I52" s="9" t="s">
        <v>1422</v>
      </c>
      <c r="J52" s="9" t="s">
        <v>2940</v>
      </c>
      <c r="K52" t="s">
        <v>1423</v>
      </c>
      <c r="L52" t="s">
        <v>1424</v>
      </c>
      <c r="M52" s="3" t="str">
        <f>HYPERLINK(склад2въезд131920212223[[#This Row],[RelativePath]])</f>
        <v>10 Сушилка навес\E33149364_3_20251111T112824Z.jpg</v>
      </c>
    </row>
    <row r="53" spans="1:13" x14ac:dyDescent="0.25">
      <c r="A53" s="2" t="s">
        <v>14</v>
      </c>
      <c r="B53" s="4">
        <v>45972</v>
      </c>
      <c r="C53" s="5">
        <v>0.48200231481481481</v>
      </c>
      <c r="D53" s="9" t="s">
        <v>1962</v>
      </c>
      <c r="E53" s="9" t="s">
        <v>63</v>
      </c>
      <c r="F53" s="9" t="s">
        <v>58</v>
      </c>
      <c r="H53" s="9" t="s">
        <v>1583</v>
      </c>
      <c r="I53" s="9" t="s">
        <v>1425</v>
      </c>
      <c r="J53" s="9" t="s">
        <v>2940</v>
      </c>
      <c r="K53" t="s">
        <v>1426</v>
      </c>
      <c r="L53" t="s">
        <v>1427</v>
      </c>
      <c r="M53" s="3" t="str">
        <f>HYPERLINK(склад2въезд131920212223[[#This Row],[RelativePath]])</f>
        <v>10 Сушилка навес\E33149364_3_20251111T113405Z.jpg</v>
      </c>
    </row>
    <row r="54" spans="1:13" x14ac:dyDescent="0.25">
      <c r="A54" s="2" t="s">
        <v>14</v>
      </c>
      <c r="B54" s="4">
        <v>45972</v>
      </c>
      <c r="C54" s="5">
        <v>0.48243055555555553</v>
      </c>
      <c r="D54" s="9" t="s">
        <v>622</v>
      </c>
      <c r="E54" s="9" t="s">
        <v>63</v>
      </c>
      <c r="F54" s="9" t="s">
        <v>58</v>
      </c>
      <c r="H54" s="9"/>
      <c r="I54" s="9" t="s">
        <v>1428</v>
      </c>
      <c r="J54" s="9" t="s">
        <v>2940</v>
      </c>
      <c r="K54" t="s">
        <v>1429</v>
      </c>
      <c r="L54" t="s">
        <v>1430</v>
      </c>
      <c r="M54" s="3" t="str">
        <f>HYPERLINK(склад2въезд131920212223[[#This Row],[RelativePath]])</f>
        <v>10 Сушилка навес\E33149364_3_20251111T113442Z.jpg</v>
      </c>
    </row>
    <row r="55" spans="1:13" x14ac:dyDescent="0.25">
      <c r="A55" s="2" t="s">
        <v>14</v>
      </c>
      <c r="B55" s="4">
        <v>45972</v>
      </c>
      <c r="C55" s="5">
        <v>0.50381944444444449</v>
      </c>
      <c r="D55" s="9" t="s">
        <v>1569</v>
      </c>
      <c r="E55" s="9" t="s">
        <v>55</v>
      </c>
      <c r="F55" s="9" t="s">
        <v>51</v>
      </c>
      <c r="H55" s="9"/>
      <c r="I55" s="9" t="s">
        <v>1431</v>
      </c>
      <c r="J55" s="9" t="s">
        <v>2940</v>
      </c>
      <c r="K55" t="s">
        <v>1432</v>
      </c>
      <c r="L55" t="s">
        <v>1433</v>
      </c>
      <c r="M55" s="3" t="str">
        <f>HYPERLINK(склад2въезд131920212223[[#This Row],[RelativePath]])</f>
        <v>10 Сушилка навес\E33149364_3_20251111T120530Z.jpg</v>
      </c>
    </row>
    <row r="56" spans="1:13" x14ac:dyDescent="0.25">
      <c r="A56" s="2" t="s">
        <v>14</v>
      </c>
      <c r="B56" s="4">
        <v>45972</v>
      </c>
      <c r="C56" s="5">
        <v>0.50693287037037038</v>
      </c>
      <c r="D56" s="9" t="s">
        <v>261</v>
      </c>
      <c r="E56" s="9" t="s">
        <v>55</v>
      </c>
      <c r="F56" s="9" t="s">
        <v>1580</v>
      </c>
      <c r="H56" s="9" t="s">
        <v>1581</v>
      </c>
      <c r="I56" s="9" t="s">
        <v>1434</v>
      </c>
      <c r="J56" s="9" t="s">
        <v>2940</v>
      </c>
      <c r="K56" t="s">
        <v>1435</v>
      </c>
      <c r="L56" t="s">
        <v>1436</v>
      </c>
      <c r="M56" s="3" t="str">
        <f>HYPERLINK(склад2въезд131920212223[[#This Row],[RelativePath]])</f>
        <v>10 Сушилка навес\E33149364_3_20251111T120959Z.jpg</v>
      </c>
    </row>
    <row r="57" spans="1:13" x14ac:dyDescent="0.25">
      <c r="A57" s="2" t="s">
        <v>14</v>
      </c>
      <c r="B57" s="4">
        <v>45972</v>
      </c>
      <c r="C57" s="5">
        <v>0.50932870370370376</v>
      </c>
      <c r="D57" s="9" t="s">
        <v>1579</v>
      </c>
      <c r="E57" s="9" t="s">
        <v>55</v>
      </c>
      <c r="F57" s="9" t="s">
        <v>1580</v>
      </c>
      <c r="H57" s="9" t="s">
        <v>1581</v>
      </c>
      <c r="I57" s="9" t="s">
        <v>1437</v>
      </c>
      <c r="J57" s="9" t="s">
        <v>2940</v>
      </c>
      <c r="K57" t="s">
        <v>1438</v>
      </c>
      <c r="L57" t="s">
        <v>1439</v>
      </c>
      <c r="M57" s="3" t="str">
        <f>HYPERLINK(склад2въезд131920212223[[#This Row],[RelativePath]])</f>
        <v>10 Сушилка навес\E33149364_3_20251111T121326Z.jpg</v>
      </c>
    </row>
    <row r="58" spans="1:13" x14ac:dyDescent="0.25">
      <c r="A58" s="2" t="s">
        <v>14</v>
      </c>
      <c r="B58" s="4">
        <v>45972</v>
      </c>
      <c r="C58" s="5">
        <v>0.51362268518518517</v>
      </c>
      <c r="D58" s="9" t="s">
        <v>1579</v>
      </c>
      <c r="E58" s="9" t="s">
        <v>55</v>
      </c>
      <c r="F58" s="9" t="s">
        <v>1580</v>
      </c>
      <c r="H58" s="9" t="s">
        <v>1581</v>
      </c>
      <c r="I58" s="9" t="s">
        <v>1440</v>
      </c>
      <c r="J58" s="9" t="s">
        <v>2940</v>
      </c>
      <c r="K58" t="s">
        <v>1441</v>
      </c>
      <c r="L58" t="s">
        <v>1442</v>
      </c>
      <c r="M58" s="3" t="str">
        <f>HYPERLINK(склад2въезд131920212223[[#This Row],[RelativePath]])</f>
        <v>10 Сушилка навес\E33149364_3_20251111T121937Z.jpg</v>
      </c>
    </row>
    <row r="59" spans="1:13" x14ac:dyDescent="0.25">
      <c r="A59" s="2" t="s">
        <v>14</v>
      </c>
      <c r="B59" s="4">
        <v>45972</v>
      </c>
      <c r="C59" s="5">
        <v>0.51658564814814811</v>
      </c>
      <c r="D59" s="9" t="s">
        <v>1579</v>
      </c>
      <c r="E59" s="9" t="s">
        <v>55</v>
      </c>
      <c r="F59" s="9" t="s">
        <v>1582</v>
      </c>
      <c r="H59" s="9" t="s">
        <v>1583</v>
      </c>
      <c r="I59" s="9" t="s">
        <v>1443</v>
      </c>
      <c r="J59" s="9" t="s">
        <v>2940</v>
      </c>
      <c r="K59" t="s">
        <v>1444</v>
      </c>
      <c r="L59" t="s">
        <v>1445</v>
      </c>
      <c r="M59" s="3" t="str">
        <f>HYPERLINK(склад2въезд131920212223[[#This Row],[RelativePath]])</f>
        <v>10 Сушилка навес\E33149364_3_20251111T122353Z.jpg</v>
      </c>
    </row>
    <row r="60" spans="1:13" x14ac:dyDescent="0.25">
      <c r="A60" s="2" t="s">
        <v>14</v>
      </c>
      <c r="B60" s="4">
        <v>45972</v>
      </c>
      <c r="C60" s="5">
        <v>0.52825231481481483</v>
      </c>
      <c r="D60" s="9" t="s">
        <v>1579</v>
      </c>
      <c r="E60" s="9" t="s">
        <v>55</v>
      </c>
      <c r="F60" s="9" t="s">
        <v>1584</v>
      </c>
      <c r="H60" s="9"/>
      <c r="I60" s="9" t="s">
        <v>1446</v>
      </c>
      <c r="J60" s="9" t="s">
        <v>2940</v>
      </c>
      <c r="K60" t="s">
        <v>1447</v>
      </c>
      <c r="L60" t="s">
        <v>1448</v>
      </c>
      <c r="M60" s="3" t="str">
        <f>HYPERLINK(склад2въезд131920212223[[#This Row],[RelativePath]])</f>
        <v>10 Сушилка навес\E33149364_3_20251111T124041Z.jpg</v>
      </c>
    </row>
    <row r="61" spans="1:13" x14ac:dyDescent="0.25">
      <c r="A61" s="2" t="s">
        <v>14</v>
      </c>
      <c r="B61" s="4">
        <v>45972</v>
      </c>
      <c r="C61" s="5">
        <v>0.52853009259259254</v>
      </c>
      <c r="D61" s="9" t="s">
        <v>1579</v>
      </c>
      <c r="E61" s="9" t="s">
        <v>55</v>
      </c>
      <c r="F61" s="9" t="s">
        <v>1585</v>
      </c>
      <c r="H61" s="9"/>
      <c r="I61" s="9" t="s">
        <v>1449</v>
      </c>
      <c r="J61" s="9" t="s">
        <v>2940</v>
      </c>
      <c r="K61" t="s">
        <v>1450</v>
      </c>
      <c r="L61" t="s">
        <v>1451</v>
      </c>
      <c r="M61" s="3" t="str">
        <f>HYPERLINK(склад2въезд131920212223[[#This Row],[RelativePath]])</f>
        <v>10 Сушилка навес\E33149364_3_20251111T124105Z.jpg</v>
      </c>
    </row>
    <row r="62" spans="1:13" x14ac:dyDescent="0.25">
      <c r="A62" s="2" t="s">
        <v>14</v>
      </c>
      <c r="B62" s="4">
        <v>45972</v>
      </c>
      <c r="C62" s="5">
        <v>0.53197916666666667</v>
      </c>
      <c r="D62" s="9" t="s">
        <v>622</v>
      </c>
      <c r="E62" s="9" t="s">
        <v>55</v>
      </c>
      <c r="F62" s="9" t="s">
        <v>1585</v>
      </c>
      <c r="G62">
        <v>6</v>
      </c>
      <c r="H62" s="9" t="s">
        <v>1583</v>
      </c>
      <c r="I62" s="9" t="s">
        <v>1452</v>
      </c>
      <c r="J62" s="9" t="s">
        <v>2940</v>
      </c>
      <c r="K62" t="s">
        <v>1453</v>
      </c>
      <c r="L62" t="s">
        <v>1454</v>
      </c>
      <c r="M62" s="3" t="str">
        <f>HYPERLINK(склад2въезд131920212223[[#This Row],[RelativePath]])</f>
        <v>10 Сушилка навес\E33149364_3_20251111T124603Z.jpg</v>
      </c>
    </row>
    <row r="63" spans="1:13" x14ac:dyDescent="0.25">
      <c r="A63" s="2" t="s">
        <v>14</v>
      </c>
      <c r="B63" s="4">
        <v>45972</v>
      </c>
      <c r="C63" s="5">
        <v>0.54023148148148148</v>
      </c>
      <c r="D63" s="9" t="s">
        <v>4</v>
      </c>
      <c r="E63" s="9" t="s">
        <v>8</v>
      </c>
      <c r="F63" s="9"/>
      <c r="H63" s="9"/>
      <c r="I63" s="9" t="s">
        <v>1455</v>
      </c>
      <c r="J63" s="9" t="s">
        <v>2940</v>
      </c>
      <c r="K63" t="s">
        <v>1456</v>
      </c>
      <c r="L63" t="s">
        <v>1457</v>
      </c>
      <c r="M63" s="3" t="str">
        <f>HYPERLINK(склад2въезд131920212223[[#This Row],[RelativePath]])</f>
        <v>10 Сушилка навес\E33149364_3_20251111T125756Z.jpg</v>
      </c>
    </row>
    <row r="64" spans="1:13" x14ac:dyDescent="0.25">
      <c r="A64" s="2" t="s">
        <v>14</v>
      </c>
      <c r="B64" s="4">
        <v>45972</v>
      </c>
      <c r="C64" s="5">
        <v>0.60842592592592593</v>
      </c>
      <c r="D64" s="9" t="s">
        <v>159</v>
      </c>
      <c r="E64" s="9" t="s">
        <v>86</v>
      </c>
      <c r="F64" s="9" t="s">
        <v>60</v>
      </c>
      <c r="H64" s="9" t="s">
        <v>1568</v>
      </c>
      <c r="I64" s="9" t="s">
        <v>1458</v>
      </c>
      <c r="J64" s="9" t="s">
        <v>2940</v>
      </c>
      <c r="K64" t="s">
        <v>1459</v>
      </c>
      <c r="L64" t="s">
        <v>1460</v>
      </c>
      <c r="M64" s="3" t="str">
        <f>HYPERLINK(склад2въезд131920212223[[#This Row],[RelativePath]])</f>
        <v>10 Сушилка навес\E33149364_3_20251111T143608Z.jpg</v>
      </c>
    </row>
    <row r="65" spans="1:13" x14ac:dyDescent="0.25">
      <c r="A65" s="2" t="s">
        <v>14</v>
      </c>
      <c r="B65" s="4">
        <v>45972</v>
      </c>
      <c r="C65" s="5">
        <v>0.61525462962962962</v>
      </c>
      <c r="D65" s="9" t="s">
        <v>159</v>
      </c>
      <c r="E65" s="9" t="s">
        <v>86</v>
      </c>
      <c r="F65" s="9" t="s">
        <v>60</v>
      </c>
      <c r="H65" s="9" t="s">
        <v>1568</v>
      </c>
      <c r="I65" s="9" t="s">
        <v>1461</v>
      </c>
      <c r="J65" s="9" t="s">
        <v>2940</v>
      </c>
      <c r="K65" t="s">
        <v>1462</v>
      </c>
      <c r="L65" t="s">
        <v>1463</v>
      </c>
      <c r="M65" s="3" t="str">
        <f>HYPERLINK(склад2въезд131920212223[[#This Row],[RelativePath]])</f>
        <v>10 Сушилка навес\E33149364_3_20251111T144558Z.jpg</v>
      </c>
    </row>
    <row r="66" spans="1:13" x14ac:dyDescent="0.25">
      <c r="A66" s="2" t="s">
        <v>14</v>
      </c>
      <c r="B66" s="4">
        <v>45972</v>
      </c>
      <c r="C66" s="5">
        <v>0.62018518518518517</v>
      </c>
      <c r="D66" s="9" t="s">
        <v>159</v>
      </c>
      <c r="E66" s="9" t="s">
        <v>86</v>
      </c>
      <c r="F66" s="9" t="s">
        <v>60</v>
      </c>
      <c r="H66" s="9" t="s">
        <v>1568</v>
      </c>
      <c r="I66" s="9" t="s">
        <v>1464</v>
      </c>
      <c r="J66" s="9" t="s">
        <v>2940</v>
      </c>
      <c r="K66" t="s">
        <v>1465</v>
      </c>
      <c r="L66" t="s">
        <v>1466</v>
      </c>
      <c r="M66" s="3" t="str">
        <f>HYPERLINK(склад2въезд131920212223[[#This Row],[RelativePath]])</f>
        <v>10 Сушилка навес\E33149364_3_20251111T145304Z.jpg</v>
      </c>
    </row>
    <row r="67" spans="1:13" x14ac:dyDescent="0.25">
      <c r="A67" s="2" t="s">
        <v>14</v>
      </c>
      <c r="B67" s="4">
        <v>45972</v>
      </c>
      <c r="C67" s="5">
        <v>0.6260648148148148</v>
      </c>
      <c r="D67" s="9" t="s">
        <v>159</v>
      </c>
      <c r="E67" s="9" t="s">
        <v>86</v>
      </c>
      <c r="F67" s="9" t="s">
        <v>60</v>
      </c>
      <c r="H67" s="9" t="s">
        <v>1568</v>
      </c>
      <c r="I67" s="9" t="s">
        <v>1467</v>
      </c>
      <c r="J67" s="9" t="s">
        <v>2940</v>
      </c>
      <c r="K67" t="s">
        <v>1468</v>
      </c>
      <c r="L67" t="s">
        <v>1469</v>
      </c>
      <c r="M67" s="3" t="str">
        <f>HYPERLINK(склад2въезд131920212223[[#This Row],[RelativePath]])</f>
        <v>10 Сушилка навес\E33149364_3_20251111T150132Z.jpg</v>
      </c>
    </row>
    <row r="68" spans="1:13" x14ac:dyDescent="0.25">
      <c r="A68" s="2" t="s">
        <v>14</v>
      </c>
      <c r="B68" s="4">
        <v>45972</v>
      </c>
      <c r="C68" s="5">
        <v>0.66258101851851847</v>
      </c>
      <c r="D68" s="9" t="s">
        <v>159</v>
      </c>
      <c r="E68" s="9" t="s">
        <v>86</v>
      </c>
      <c r="F68" s="9" t="s">
        <v>1584</v>
      </c>
      <c r="H68" s="9" t="s">
        <v>1568</v>
      </c>
      <c r="I68" s="9" t="s">
        <v>1470</v>
      </c>
      <c r="J68" s="9" t="s">
        <v>2940</v>
      </c>
      <c r="K68" t="s">
        <v>1471</v>
      </c>
      <c r="L68" t="s">
        <v>1472</v>
      </c>
      <c r="M68" s="3" t="str">
        <f>HYPERLINK(склад2въезд131920212223[[#This Row],[RelativePath]])</f>
        <v>10 Сушилка навес\E33149364_3_20251111T155407Z.jpg</v>
      </c>
    </row>
    <row r="69" spans="1:13" x14ac:dyDescent="0.25">
      <c r="A69" s="2" t="s">
        <v>14</v>
      </c>
      <c r="B69" s="4">
        <v>45972</v>
      </c>
      <c r="C69" s="5">
        <v>0.71119212962962963</v>
      </c>
      <c r="D69" s="9" t="s">
        <v>4</v>
      </c>
      <c r="E69" s="9" t="s">
        <v>8</v>
      </c>
      <c r="F69" s="9"/>
      <c r="H69" s="9"/>
      <c r="I69" s="9" t="s">
        <v>1473</v>
      </c>
      <c r="J69" s="9" t="s">
        <v>2940</v>
      </c>
      <c r="K69" t="s">
        <v>1474</v>
      </c>
      <c r="L69" t="s">
        <v>1475</v>
      </c>
      <c r="M69" s="3" t="str">
        <f>HYPERLINK(склад2въезд131920212223[[#This Row],[RelativePath]])</f>
        <v>10 Сушилка навес\E33149364_3_20251111T170407Z.jpg</v>
      </c>
    </row>
    <row r="70" spans="1:13" x14ac:dyDescent="0.25">
      <c r="A70" s="2" t="s">
        <v>15</v>
      </c>
      <c r="B70" s="4">
        <v>45973</v>
      </c>
      <c r="C70" s="5">
        <v>0.37079861111111112</v>
      </c>
      <c r="D70" s="9" t="s">
        <v>1586</v>
      </c>
      <c r="E70" s="9"/>
      <c r="F70" s="9"/>
      <c r="H70" s="9"/>
      <c r="I70" s="9" t="s">
        <v>1476</v>
      </c>
      <c r="J70" s="9" t="s">
        <v>2940</v>
      </c>
      <c r="K70" t="s">
        <v>1477</v>
      </c>
      <c r="L70" t="s">
        <v>1478</v>
      </c>
      <c r="M70" s="3" t="str">
        <f>HYPERLINK(склад2въезд131920212223[[#This Row],[RelativePath]])</f>
        <v>10 Сушилка навес\E33149364_3_20251112T085357Z.jpg</v>
      </c>
    </row>
    <row r="71" spans="1:13" x14ac:dyDescent="0.25">
      <c r="A71" s="2" t="s">
        <v>15</v>
      </c>
      <c r="B71" s="4">
        <v>45973</v>
      </c>
      <c r="C71" s="5">
        <v>0.66834490740740737</v>
      </c>
      <c r="D71" s="9" t="s">
        <v>505</v>
      </c>
      <c r="E71" s="9" t="s">
        <v>503</v>
      </c>
      <c r="F71" s="9" t="s">
        <v>1587</v>
      </c>
      <c r="H71" s="9"/>
      <c r="I71" s="9" t="s">
        <v>1479</v>
      </c>
      <c r="J71" s="9" t="s">
        <v>2940</v>
      </c>
      <c r="K71" t="s">
        <v>1480</v>
      </c>
      <c r="L71" t="s">
        <v>1481</v>
      </c>
      <c r="M71" s="3" t="str">
        <f>HYPERLINK(склад2въезд131920212223[[#This Row],[RelativePath]])</f>
        <v>10 Сушилка навес\E33149364_3_20251112T160225Z.jpg</v>
      </c>
    </row>
    <row r="72" spans="1:13" x14ac:dyDescent="0.25">
      <c r="A72" s="2" t="s">
        <v>16</v>
      </c>
      <c r="B72" s="4">
        <v>45974</v>
      </c>
      <c r="C72" s="5">
        <v>0.37943287037037038</v>
      </c>
      <c r="D72" s="9" t="s">
        <v>1569</v>
      </c>
      <c r="E72" s="9" t="s">
        <v>70</v>
      </c>
      <c r="F72" s="9" t="s">
        <v>51</v>
      </c>
      <c r="H72" s="9"/>
      <c r="I72" s="9" t="s">
        <v>1482</v>
      </c>
      <c r="J72" s="9" t="s">
        <v>2940</v>
      </c>
      <c r="K72" t="s">
        <v>1483</v>
      </c>
      <c r="L72" t="s">
        <v>1484</v>
      </c>
      <c r="M72" s="3" t="str">
        <f>HYPERLINK(склад2въезд131920212223[[#This Row],[RelativePath]])</f>
        <v>10 Сушилка навес\E33149364_3_20251113T090623Z.jpg</v>
      </c>
    </row>
    <row r="73" spans="1:13" x14ac:dyDescent="0.25">
      <c r="A73" s="2" t="s">
        <v>16</v>
      </c>
      <c r="B73" s="4">
        <v>45974</v>
      </c>
      <c r="C73" s="5">
        <v>0.38524305555555555</v>
      </c>
      <c r="D73" s="9" t="s">
        <v>438</v>
      </c>
      <c r="E73" s="9" t="s">
        <v>70</v>
      </c>
      <c r="F73" s="9" t="s">
        <v>58</v>
      </c>
      <c r="H73" s="9" t="s">
        <v>1583</v>
      </c>
      <c r="I73" s="9" t="s">
        <v>1485</v>
      </c>
      <c r="J73" s="9" t="s">
        <v>2940</v>
      </c>
      <c r="K73" t="s">
        <v>1486</v>
      </c>
      <c r="L73" t="s">
        <v>1487</v>
      </c>
      <c r="M73" s="3" t="str">
        <f>HYPERLINK(склад2въезд131920212223[[#This Row],[RelativePath]])</f>
        <v>10 Сушилка навес\E33149364_3_20251113T091445Z.jpg</v>
      </c>
    </row>
    <row r="74" spans="1:13" x14ac:dyDescent="0.25">
      <c r="A74" s="2" t="s">
        <v>16</v>
      </c>
      <c r="B74" s="4">
        <v>45974</v>
      </c>
      <c r="C74" s="5">
        <v>0.38702546296296297</v>
      </c>
      <c r="D74" s="9" t="s">
        <v>438</v>
      </c>
      <c r="E74" s="9" t="s">
        <v>70</v>
      </c>
      <c r="F74" s="9" t="s">
        <v>58</v>
      </c>
      <c r="H74" s="9" t="s">
        <v>1583</v>
      </c>
      <c r="I74" s="9" t="s">
        <v>1488</v>
      </c>
      <c r="J74" s="9" t="s">
        <v>2940</v>
      </c>
      <c r="K74" t="s">
        <v>1489</v>
      </c>
      <c r="L74" t="s">
        <v>1490</v>
      </c>
      <c r="M74" s="3" t="str">
        <f>HYPERLINK(склад2въезд131920212223[[#This Row],[RelativePath]])</f>
        <v>10 Сушилка навес\E33149364_3_20251113T091719Z.jpg</v>
      </c>
    </row>
    <row r="75" spans="1:13" x14ac:dyDescent="0.25">
      <c r="A75" s="2" t="s">
        <v>16</v>
      </c>
      <c r="B75" s="4">
        <v>45974</v>
      </c>
      <c r="C75" s="5">
        <v>0.41590277777777779</v>
      </c>
      <c r="D75" s="9" t="s">
        <v>4</v>
      </c>
      <c r="E75" s="9" t="s">
        <v>8</v>
      </c>
      <c r="F75" s="9"/>
      <c r="H75" s="9"/>
      <c r="I75" s="9" t="s">
        <v>1491</v>
      </c>
      <c r="J75" s="9" t="s">
        <v>2940</v>
      </c>
      <c r="K75" t="s">
        <v>1492</v>
      </c>
      <c r="L75" t="s">
        <v>1493</v>
      </c>
      <c r="M75" s="3" t="str">
        <f>HYPERLINK(склад2въезд131920212223[[#This Row],[RelativePath]])</f>
        <v>10 Сушилка навес\E33149364_3_20251113T095854Z.jpg</v>
      </c>
    </row>
    <row r="76" spans="1:13" x14ac:dyDescent="0.25">
      <c r="A76" s="2" t="s">
        <v>16</v>
      </c>
      <c r="B76" s="4">
        <v>45974</v>
      </c>
      <c r="C76" s="5">
        <v>0.68503472222222217</v>
      </c>
      <c r="D76" s="9" t="s">
        <v>159</v>
      </c>
      <c r="E76" s="9" t="s">
        <v>86</v>
      </c>
      <c r="F76" s="9" t="s">
        <v>60</v>
      </c>
      <c r="H76" s="9" t="s">
        <v>1568</v>
      </c>
      <c r="I76" s="9" t="s">
        <v>1494</v>
      </c>
      <c r="J76" s="9" t="s">
        <v>2940</v>
      </c>
      <c r="K76" t="s">
        <v>1495</v>
      </c>
      <c r="L76" t="s">
        <v>1496</v>
      </c>
      <c r="M76" s="3" t="str">
        <f>HYPERLINK(склад2въезд131920212223[[#This Row],[RelativePath]])</f>
        <v>10 Сушилка навес\E33149364_3_20251113T162627Z.jpg</v>
      </c>
    </row>
    <row r="77" spans="1:13" x14ac:dyDescent="0.25">
      <c r="A77" s="2" t="s">
        <v>16</v>
      </c>
      <c r="B77" s="4">
        <v>45974</v>
      </c>
      <c r="C77" s="5">
        <v>0.74193287037037037</v>
      </c>
      <c r="D77" s="9" t="s">
        <v>4</v>
      </c>
      <c r="E77" s="9" t="s">
        <v>8</v>
      </c>
      <c r="F77" s="9"/>
      <c r="H77" s="9" t="s">
        <v>1588</v>
      </c>
      <c r="I77" s="9" t="s">
        <v>1497</v>
      </c>
      <c r="J77" s="9" t="s">
        <v>2940</v>
      </c>
      <c r="K77" t="s">
        <v>1498</v>
      </c>
      <c r="L77" t="s">
        <v>1499</v>
      </c>
      <c r="M77" s="3" t="str">
        <f>HYPERLINK(склад2въезд131920212223[[#This Row],[RelativePath]])</f>
        <v>10 Сушилка навес\E33149364_3_20251113T174823Z.jpg</v>
      </c>
    </row>
    <row r="78" spans="1:13" x14ac:dyDescent="0.25">
      <c r="A78" s="2" t="s">
        <v>17</v>
      </c>
      <c r="B78" s="4">
        <v>45975</v>
      </c>
      <c r="C78" s="5">
        <v>0.37917824074074075</v>
      </c>
      <c r="D78" s="9" t="s">
        <v>4</v>
      </c>
      <c r="E78" s="9" t="s">
        <v>8</v>
      </c>
      <c r="F78" s="9"/>
      <c r="H78" s="9" t="s">
        <v>5</v>
      </c>
      <c r="I78" s="9" t="s">
        <v>1500</v>
      </c>
      <c r="J78" s="9" t="s">
        <v>2940</v>
      </c>
      <c r="K78" t="s">
        <v>1501</v>
      </c>
      <c r="L78" t="s">
        <v>1502</v>
      </c>
      <c r="M78" s="3" t="str">
        <f>HYPERLINK(склад2въезд131920212223[[#This Row],[RelativePath]])</f>
        <v>10 Сушилка навес\E33149364_3_20251114T090601Z.jpg</v>
      </c>
    </row>
    <row r="79" spans="1:13" x14ac:dyDescent="0.25">
      <c r="A79" s="2" t="s">
        <v>17</v>
      </c>
      <c r="B79" s="4">
        <v>45975</v>
      </c>
      <c r="C79" s="5">
        <v>0.40302083333333333</v>
      </c>
      <c r="D79" s="9" t="s">
        <v>1586</v>
      </c>
      <c r="E79" s="9"/>
      <c r="F79" s="9"/>
      <c r="H79" s="9"/>
      <c r="I79" s="9" t="s">
        <v>1503</v>
      </c>
      <c r="J79" s="9" t="s">
        <v>2940</v>
      </c>
      <c r="K79" t="s">
        <v>1504</v>
      </c>
      <c r="L79" t="s">
        <v>1505</v>
      </c>
      <c r="M79" s="3" t="str">
        <f>HYPERLINK(склад2въезд131920212223[[#This Row],[RelativePath]])</f>
        <v>10 Сушилка навес\E33149364_3_20251114T094021Z.jpg</v>
      </c>
    </row>
    <row r="80" spans="1:13" x14ac:dyDescent="0.25">
      <c r="A80" s="2" t="s">
        <v>17</v>
      </c>
      <c r="B80" s="4">
        <v>45975</v>
      </c>
      <c r="C80" s="5">
        <v>0.40625</v>
      </c>
      <c r="D80" s="9" t="s">
        <v>159</v>
      </c>
      <c r="E80" s="9" t="s">
        <v>86</v>
      </c>
      <c r="F80" s="9" t="s">
        <v>200</v>
      </c>
      <c r="H80" s="9"/>
      <c r="I80" s="9" t="s">
        <v>1506</v>
      </c>
      <c r="J80" s="9" t="s">
        <v>2940</v>
      </c>
      <c r="K80" t="s">
        <v>1507</v>
      </c>
      <c r="L80" t="s">
        <v>1508</v>
      </c>
      <c r="M80" s="3" t="str">
        <f>HYPERLINK(склад2въезд131920212223[[#This Row],[RelativePath]])</f>
        <v>10 Сушилка навес\E33149364_3_20251114T094500Z.jpg</v>
      </c>
    </row>
    <row r="81" spans="1:13" x14ac:dyDescent="0.25">
      <c r="A81" s="2" t="s">
        <v>17</v>
      </c>
      <c r="B81" s="4">
        <v>45975</v>
      </c>
      <c r="C81" s="5">
        <v>0.42170138888888886</v>
      </c>
      <c r="D81" s="9" t="s">
        <v>159</v>
      </c>
      <c r="E81" s="9" t="s">
        <v>86</v>
      </c>
      <c r="F81" s="9" t="s">
        <v>200</v>
      </c>
      <c r="H81" s="9"/>
      <c r="I81" s="9" t="s">
        <v>1509</v>
      </c>
      <c r="J81" s="9" t="s">
        <v>2940</v>
      </c>
      <c r="K81" t="s">
        <v>1510</v>
      </c>
      <c r="L81" t="s">
        <v>1511</v>
      </c>
      <c r="M81" s="3" t="str">
        <f>HYPERLINK(склад2въезд131920212223[[#This Row],[RelativePath]])</f>
        <v>10 Сушилка навес\E33149364_3_20251114T100715Z.jpg</v>
      </c>
    </row>
    <row r="82" spans="1:13" x14ac:dyDescent="0.25">
      <c r="A82" s="2" t="s">
        <v>17</v>
      </c>
      <c r="B82" s="4">
        <v>45975</v>
      </c>
      <c r="C82" s="5">
        <v>0.48195601851851849</v>
      </c>
      <c r="D82" s="9" t="s">
        <v>159</v>
      </c>
      <c r="E82" s="9" t="s">
        <v>86</v>
      </c>
      <c r="F82" s="9" t="s">
        <v>200</v>
      </c>
      <c r="H82" s="9"/>
      <c r="I82" s="9" t="s">
        <v>1512</v>
      </c>
      <c r="J82" s="9" t="s">
        <v>2940</v>
      </c>
      <c r="K82" t="s">
        <v>1513</v>
      </c>
      <c r="L82" t="s">
        <v>1514</v>
      </c>
      <c r="M82" s="3" t="str">
        <f>HYPERLINK(склад2въезд131920212223[[#This Row],[RelativePath]])</f>
        <v>10 Сушилка навес\E33149364_3_20251114T113401Z.jpg</v>
      </c>
    </row>
    <row r="83" spans="1:13" x14ac:dyDescent="0.25">
      <c r="A83" s="2" t="s">
        <v>17</v>
      </c>
      <c r="B83" s="4">
        <v>45975</v>
      </c>
      <c r="C83" s="5">
        <v>0.48812499999999998</v>
      </c>
      <c r="D83" s="9" t="s">
        <v>4</v>
      </c>
      <c r="E83" s="9" t="s">
        <v>8</v>
      </c>
      <c r="F83" s="9"/>
      <c r="H83" s="9"/>
      <c r="I83" s="9" t="s">
        <v>1515</v>
      </c>
      <c r="J83" s="9" t="s">
        <v>2940</v>
      </c>
      <c r="K83" t="s">
        <v>1516</v>
      </c>
      <c r="L83" t="s">
        <v>1517</v>
      </c>
      <c r="M83" s="3" t="str">
        <f>HYPERLINK(склад2въезд131920212223[[#This Row],[RelativePath]])</f>
        <v>10 Сушилка навес\E33149364_3_20251114T114254Z.jpg</v>
      </c>
    </row>
    <row r="84" spans="1:13" x14ac:dyDescent="0.25">
      <c r="A84" s="2" t="s">
        <v>17</v>
      </c>
      <c r="B84" s="4">
        <v>45975</v>
      </c>
      <c r="C84" s="5">
        <v>0.49671296296296297</v>
      </c>
      <c r="D84" s="9" t="s">
        <v>159</v>
      </c>
      <c r="E84" s="9" t="s">
        <v>86</v>
      </c>
      <c r="F84" s="9" t="s">
        <v>60</v>
      </c>
      <c r="H84" s="9"/>
      <c r="I84" s="9" t="s">
        <v>1518</v>
      </c>
      <c r="J84" s="9" t="s">
        <v>2940</v>
      </c>
      <c r="K84" t="s">
        <v>1519</v>
      </c>
      <c r="L84" t="s">
        <v>1520</v>
      </c>
      <c r="M84" s="3" t="str">
        <f>HYPERLINK(склад2въезд131920212223[[#This Row],[RelativePath]])</f>
        <v>10 Сушилка навес\E33149364_3_20251114T115516Z.jpg</v>
      </c>
    </row>
    <row r="85" spans="1:13" x14ac:dyDescent="0.25">
      <c r="A85" s="2" t="s">
        <v>17</v>
      </c>
      <c r="B85" s="4">
        <v>45975</v>
      </c>
      <c r="C85" s="5">
        <v>0.50527777777777783</v>
      </c>
      <c r="D85" s="9" t="s">
        <v>159</v>
      </c>
      <c r="E85" s="9" t="s">
        <v>86</v>
      </c>
      <c r="F85" s="9" t="s">
        <v>200</v>
      </c>
      <c r="H85" s="9"/>
      <c r="I85" s="9" t="s">
        <v>1521</v>
      </c>
      <c r="J85" s="9" t="s">
        <v>2940</v>
      </c>
      <c r="K85" t="s">
        <v>1522</v>
      </c>
      <c r="L85" t="s">
        <v>1523</v>
      </c>
      <c r="M85" s="3" t="str">
        <f>HYPERLINK(склад2въезд131920212223[[#This Row],[RelativePath]])</f>
        <v>10 Сушилка навес\E33149364_3_20251114T120736Z.jpg</v>
      </c>
    </row>
    <row r="86" spans="1:13" x14ac:dyDescent="0.25">
      <c r="A86" s="2" t="s">
        <v>17</v>
      </c>
      <c r="B86" s="4">
        <v>45975</v>
      </c>
      <c r="C86" s="5">
        <v>0.51650462962962962</v>
      </c>
      <c r="D86" s="9" t="s">
        <v>159</v>
      </c>
      <c r="E86" s="9" t="s">
        <v>86</v>
      </c>
      <c r="F86" s="9" t="s">
        <v>200</v>
      </c>
      <c r="H86" s="9"/>
      <c r="I86" s="9" t="s">
        <v>1524</v>
      </c>
      <c r="J86" s="9" t="s">
        <v>2940</v>
      </c>
      <c r="K86" t="s">
        <v>1525</v>
      </c>
      <c r="L86" t="s">
        <v>1526</v>
      </c>
      <c r="M86" s="3" t="str">
        <f>HYPERLINK(склад2въезд131920212223[[#This Row],[RelativePath]])</f>
        <v>10 Сушилка навес\E33149364_3_20251114T122346Z.jpg</v>
      </c>
    </row>
    <row r="87" spans="1:13" x14ac:dyDescent="0.25">
      <c r="A87" s="2" t="s">
        <v>17</v>
      </c>
      <c r="B87" s="4">
        <v>45975</v>
      </c>
      <c r="C87" s="5">
        <v>0.52949074074074076</v>
      </c>
      <c r="D87" s="9" t="s">
        <v>159</v>
      </c>
      <c r="E87" s="9" t="s">
        <v>86</v>
      </c>
      <c r="F87" s="9" t="s">
        <v>200</v>
      </c>
      <c r="H87" s="9"/>
      <c r="I87" s="9" t="s">
        <v>1527</v>
      </c>
      <c r="J87" s="9" t="s">
        <v>2940</v>
      </c>
      <c r="K87" t="s">
        <v>1528</v>
      </c>
      <c r="L87" t="s">
        <v>1529</v>
      </c>
      <c r="M87" s="3" t="str">
        <f>HYPERLINK(склад2въезд131920212223[[#This Row],[RelativePath]])</f>
        <v>10 Сушилка навес\E33149364_3_20251114T124228Z.jpg</v>
      </c>
    </row>
    <row r="88" spans="1:13" x14ac:dyDescent="0.25">
      <c r="A88" s="2" t="s">
        <v>17</v>
      </c>
      <c r="B88" s="4">
        <v>45975</v>
      </c>
      <c r="C88" s="5">
        <v>0.54121527777777778</v>
      </c>
      <c r="D88" s="9" t="s">
        <v>159</v>
      </c>
      <c r="E88" s="9" t="s">
        <v>86</v>
      </c>
      <c r="F88" s="9" t="s">
        <v>87</v>
      </c>
      <c r="H88" s="9" t="s">
        <v>1589</v>
      </c>
      <c r="I88" s="9" t="s">
        <v>1530</v>
      </c>
      <c r="J88" s="9" t="s">
        <v>2940</v>
      </c>
      <c r="K88" t="s">
        <v>1531</v>
      </c>
      <c r="L88" t="s">
        <v>1532</v>
      </c>
      <c r="M88" s="3" t="str">
        <f>HYPERLINK(склад2въезд131920212223[[#This Row],[RelativePath]])</f>
        <v>10 Сушилка навес\E33149364_3_20251114T125921Z.jpg</v>
      </c>
    </row>
    <row r="89" spans="1:13" x14ac:dyDescent="0.25">
      <c r="A89" s="2" t="s">
        <v>17</v>
      </c>
      <c r="B89" s="4">
        <v>45975</v>
      </c>
      <c r="C89" s="5">
        <v>0.57848379629629632</v>
      </c>
      <c r="D89" s="9" t="s">
        <v>1586</v>
      </c>
      <c r="E89" s="9"/>
      <c r="F89" s="9"/>
      <c r="H89" s="9"/>
      <c r="I89" s="9" t="s">
        <v>1533</v>
      </c>
      <c r="J89" s="9" t="s">
        <v>2940</v>
      </c>
      <c r="K89" t="s">
        <v>1534</v>
      </c>
      <c r="L89" t="s">
        <v>1535</v>
      </c>
      <c r="M89" s="3" t="str">
        <f>HYPERLINK(склад2въезд131920212223[[#This Row],[RelativePath]])</f>
        <v>10 Сушилка навес\E33149364_3_20251114T135301Z.jpg</v>
      </c>
    </row>
    <row r="90" spans="1:13" x14ac:dyDescent="0.25">
      <c r="A90" s="2" t="s">
        <v>17</v>
      </c>
      <c r="B90" s="4">
        <v>45975</v>
      </c>
      <c r="C90" s="5">
        <v>0.71888888888888891</v>
      </c>
      <c r="D90" s="9" t="s">
        <v>4</v>
      </c>
      <c r="E90" s="9" t="s">
        <v>8</v>
      </c>
      <c r="F90" s="9"/>
      <c r="H90" s="9" t="s">
        <v>1588</v>
      </c>
      <c r="I90" s="9" t="s">
        <v>1536</v>
      </c>
      <c r="J90" s="9" t="s">
        <v>2940</v>
      </c>
      <c r="K90" t="s">
        <v>1537</v>
      </c>
      <c r="L90" t="s">
        <v>1538</v>
      </c>
      <c r="M90" s="3" t="str">
        <f>HYPERLINK(склад2въезд131920212223[[#This Row],[RelativePath]])</f>
        <v>10 Сушилка навес\E33149364_3_20251114T171512Z.jpg</v>
      </c>
    </row>
    <row r="91" spans="1:13" x14ac:dyDescent="0.25">
      <c r="A91" s="2" t="s">
        <v>18</v>
      </c>
      <c r="B91" s="4">
        <v>45976</v>
      </c>
      <c r="C91" s="5">
        <v>0.43041666666666667</v>
      </c>
      <c r="D91" s="9" t="s">
        <v>4</v>
      </c>
      <c r="E91" s="9" t="s">
        <v>8</v>
      </c>
      <c r="F91" s="9"/>
      <c r="H91" s="9" t="s">
        <v>5</v>
      </c>
      <c r="I91" s="9" t="s">
        <v>1539</v>
      </c>
      <c r="J91" s="9" t="s">
        <v>2940</v>
      </c>
      <c r="K91" t="s">
        <v>1540</v>
      </c>
      <c r="L91" t="s">
        <v>1541</v>
      </c>
      <c r="M91" s="3" t="str">
        <f>HYPERLINK(склад2въезд131920212223[[#This Row],[RelativePath]])</f>
        <v>10 Сушилка навес\E33149364_3_20251115T101948Z.jpg</v>
      </c>
    </row>
    <row r="92" spans="1:13" x14ac:dyDescent="0.25">
      <c r="A92" s="2" t="s">
        <v>18</v>
      </c>
      <c r="B92" s="4">
        <v>45976</v>
      </c>
      <c r="C92" s="5">
        <v>0.4861111111111111</v>
      </c>
      <c r="D92" s="9" t="s">
        <v>1586</v>
      </c>
      <c r="E92" s="9"/>
      <c r="F92" s="9"/>
      <c r="H92" s="9"/>
      <c r="I92" s="9" t="s">
        <v>1542</v>
      </c>
      <c r="J92" s="9" t="s">
        <v>2940</v>
      </c>
      <c r="K92" t="s">
        <v>1543</v>
      </c>
      <c r="L92" t="s">
        <v>1544</v>
      </c>
      <c r="M92" s="3" t="str">
        <f>HYPERLINK(склад2въезд131920212223[[#This Row],[RelativePath]])</f>
        <v>10 Сушилка навес\E33149364_3_20251115T114000Z.jpg</v>
      </c>
    </row>
    <row r="93" spans="1:13" x14ac:dyDescent="0.25">
      <c r="A93" s="2" t="s">
        <v>18</v>
      </c>
      <c r="B93" s="4">
        <v>45976</v>
      </c>
      <c r="C93" s="5">
        <v>0.53069444444444447</v>
      </c>
      <c r="D93" s="9" t="s">
        <v>4</v>
      </c>
      <c r="E93" s="9" t="s">
        <v>8</v>
      </c>
      <c r="F93" s="9"/>
      <c r="H93" s="9"/>
      <c r="I93" s="9" t="s">
        <v>1545</v>
      </c>
      <c r="J93" s="9" t="s">
        <v>2940</v>
      </c>
      <c r="K93" t="s">
        <v>1546</v>
      </c>
      <c r="L93" t="s">
        <v>1547</v>
      </c>
      <c r="M93" s="3" t="str">
        <f>HYPERLINK(склад2въезд131920212223[[#This Row],[RelativePath]])</f>
        <v>10 Сушилка навес\E33149364_3_20251115T124412Z.jpg</v>
      </c>
    </row>
    <row r="94" spans="1:13" x14ac:dyDescent="0.25">
      <c r="A94" s="2" t="s">
        <v>18</v>
      </c>
      <c r="B94" s="4">
        <v>45976</v>
      </c>
      <c r="C94" s="5">
        <v>0.73209490740740746</v>
      </c>
      <c r="D94" s="9" t="s">
        <v>4</v>
      </c>
      <c r="E94" s="9" t="s">
        <v>8</v>
      </c>
      <c r="F94" s="9"/>
      <c r="H94" s="9" t="s">
        <v>1588</v>
      </c>
      <c r="I94" s="9" t="s">
        <v>1548</v>
      </c>
      <c r="J94" s="9" t="s">
        <v>2940</v>
      </c>
      <c r="K94" t="s">
        <v>1549</v>
      </c>
      <c r="L94" t="s">
        <v>1550</v>
      </c>
      <c r="M94" s="3" t="str">
        <f>HYPERLINK(склад2въезд131920212223[[#This Row],[RelativePath]])</f>
        <v>10 Сушилка навес\E33149364_3_20251115T173413Z.jpg</v>
      </c>
    </row>
    <row r="95" spans="1:13" x14ac:dyDescent="0.25">
      <c r="A95" s="2" t="s">
        <v>22</v>
      </c>
      <c r="B95" s="4">
        <v>45977</v>
      </c>
      <c r="C95" s="5">
        <v>0.4001851851851852</v>
      </c>
      <c r="D95" s="9" t="s">
        <v>4</v>
      </c>
      <c r="E95" s="9" t="s">
        <v>8</v>
      </c>
      <c r="F95" s="9"/>
      <c r="H95" s="9" t="s">
        <v>5</v>
      </c>
      <c r="I95" s="9" t="s">
        <v>1551</v>
      </c>
      <c r="J95" s="9" t="s">
        <v>2940</v>
      </c>
      <c r="K95" t="s">
        <v>1552</v>
      </c>
      <c r="L95" t="s">
        <v>1553</v>
      </c>
      <c r="M95" s="3" t="str">
        <f>HYPERLINK(склад2въезд131920212223[[#This Row],[RelativePath]])</f>
        <v>10 Сушилка навес\E33149364_3_20251116T093616Z.jpg</v>
      </c>
    </row>
    <row r="96" spans="1:13" x14ac:dyDescent="0.25">
      <c r="A96" s="2" t="s">
        <v>22</v>
      </c>
      <c r="B96" s="4">
        <v>45977</v>
      </c>
      <c r="C96" s="5">
        <v>0.4334837962962963</v>
      </c>
      <c r="D96" s="9" t="s">
        <v>1586</v>
      </c>
      <c r="E96" s="9"/>
      <c r="F96" s="9"/>
      <c r="H96" s="9"/>
      <c r="I96" s="9" t="s">
        <v>1554</v>
      </c>
      <c r="J96" s="9" t="s">
        <v>2940</v>
      </c>
      <c r="K96" t="s">
        <v>1555</v>
      </c>
      <c r="L96" t="s">
        <v>1556</v>
      </c>
      <c r="M96" s="3" t="str">
        <f>HYPERLINK(склад2въезд131920212223[[#This Row],[RelativePath]])</f>
        <v>10 Сушилка навес\E33149364_3_20251116T102413Z.jpg</v>
      </c>
    </row>
    <row r="97" spans="1:13" x14ac:dyDescent="0.25">
      <c r="A97" s="2" t="s">
        <v>22</v>
      </c>
      <c r="B97" s="4">
        <v>45977</v>
      </c>
      <c r="C97" s="5">
        <v>0.46350694444444446</v>
      </c>
      <c r="D97" s="9" t="s">
        <v>4</v>
      </c>
      <c r="E97" s="9" t="s">
        <v>8</v>
      </c>
      <c r="F97" s="9"/>
      <c r="H97" s="9"/>
      <c r="I97" s="9" t="s">
        <v>1557</v>
      </c>
      <c r="J97" s="9" t="s">
        <v>2940</v>
      </c>
      <c r="K97" t="s">
        <v>1558</v>
      </c>
      <c r="L97" t="s">
        <v>1559</v>
      </c>
      <c r="M97" s="3" t="str">
        <f>HYPERLINK(склад2въезд131920212223[[#This Row],[RelativePath]])</f>
        <v>10 Сушилка навес\E33149364_3_20251116T110727Z.jpg</v>
      </c>
    </row>
    <row r="98" spans="1:13" x14ac:dyDescent="0.25">
      <c r="A98" s="2" t="s">
        <v>22</v>
      </c>
      <c r="B98" s="4">
        <v>45977</v>
      </c>
      <c r="C98" s="5">
        <v>0.71679398148148143</v>
      </c>
      <c r="D98" s="9" t="s">
        <v>4</v>
      </c>
      <c r="E98" s="9" t="s">
        <v>8</v>
      </c>
      <c r="F98" s="9"/>
      <c r="H98" s="9" t="s">
        <v>1588</v>
      </c>
      <c r="I98" s="9" t="s">
        <v>1560</v>
      </c>
      <c r="J98" s="9" t="s">
        <v>2940</v>
      </c>
      <c r="K98" t="s">
        <v>1561</v>
      </c>
      <c r="L98" t="s">
        <v>1562</v>
      </c>
      <c r="M98" s="3" t="str">
        <f>HYPERLINK(склад2въезд131920212223[[#This Row],[RelativePath]])</f>
        <v>10 Сушилка навес\E33149364_3_20251116T171211Z.jpg</v>
      </c>
    </row>
    <row r="99" spans="1:13" x14ac:dyDescent="0.25">
      <c r="A99" s="2" t="s">
        <v>22</v>
      </c>
      <c r="B99" s="4">
        <v>45977</v>
      </c>
      <c r="C99" s="5">
        <v>0.76591435185185186</v>
      </c>
      <c r="D99" s="9" t="s">
        <v>1586</v>
      </c>
      <c r="E99" s="9"/>
      <c r="F99" s="9"/>
      <c r="H99" s="9"/>
      <c r="I99" s="9" t="s">
        <v>1563</v>
      </c>
      <c r="J99" s="9" t="s">
        <v>2940</v>
      </c>
      <c r="K99" t="s">
        <v>1564</v>
      </c>
      <c r="L99" t="s">
        <v>1565</v>
      </c>
      <c r="M99" s="3" t="str">
        <f>HYPERLINK(склад2въезд131920212223[[#This Row],[RelativePath]])</f>
        <v>10 Сушилка навес\E33149364_3_20251116T182255Z.jpg</v>
      </c>
    </row>
    <row r="100" spans="1:13" x14ac:dyDescent="0.25">
      <c r="A100" s="2" t="s">
        <v>13</v>
      </c>
      <c r="B100" s="4">
        <v>45978</v>
      </c>
      <c r="C100" s="5">
        <v>0.36686342592592591</v>
      </c>
      <c r="D100" s="9" t="s">
        <v>505</v>
      </c>
      <c r="E100" s="9" t="s">
        <v>503</v>
      </c>
      <c r="F100" s="9" t="s">
        <v>58</v>
      </c>
      <c r="H100" s="9" t="s">
        <v>2903</v>
      </c>
      <c r="I100" s="9" t="s">
        <v>2586</v>
      </c>
      <c r="J100" s="9" t="s">
        <v>2940</v>
      </c>
      <c r="K100" t="s">
        <v>2587</v>
      </c>
      <c r="L100" t="s">
        <v>2588</v>
      </c>
      <c r="M100" s="3" t="str">
        <f>HYPERLINK(склад2въезд131920212223[[#This Row],[RelativePath]])</f>
        <v>10 Сушилка навес\E33149364_3_20251117T084817Z.jpg</v>
      </c>
    </row>
    <row r="101" spans="1:13" x14ac:dyDescent="0.25">
      <c r="A101" s="2" t="s">
        <v>13</v>
      </c>
      <c r="B101" s="4">
        <v>45978</v>
      </c>
      <c r="C101" s="5">
        <v>0.37413194444444442</v>
      </c>
      <c r="D101" s="9" t="s">
        <v>505</v>
      </c>
      <c r="E101" s="9" t="s">
        <v>503</v>
      </c>
      <c r="F101" s="9" t="s">
        <v>58</v>
      </c>
      <c r="H101" s="9" t="s">
        <v>2903</v>
      </c>
      <c r="I101" s="9" t="s">
        <v>2589</v>
      </c>
      <c r="J101" s="9" t="s">
        <v>2940</v>
      </c>
      <c r="K101" t="s">
        <v>2590</v>
      </c>
      <c r="L101" t="s">
        <v>2591</v>
      </c>
      <c r="M101" s="3" t="str">
        <f>HYPERLINK(склад2въезд131920212223[[#This Row],[RelativePath]])</f>
        <v>10 Сушилка навес\E33149364_3_20251117T085845Z.jpg</v>
      </c>
    </row>
    <row r="102" spans="1:13" x14ac:dyDescent="0.25">
      <c r="A102" s="2" t="s">
        <v>13</v>
      </c>
      <c r="B102" s="4">
        <v>45978</v>
      </c>
      <c r="C102" s="5">
        <v>0.64935185185185185</v>
      </c>
      <c r="D102" s="9" t="s">
        <v>505</v>
      </c>
      <c r="E102" s="9" t="s">
        <v>503</v>
      </c>
      <c r="F102" s="9" t="s">
        <v>58</v>
      </c>
      <c r="H102" s="9" t="s">
        <v>1583</v>
      </c>
      <c r="I102" s="9" t="s">
        <v>2592</v>
      </c>
      <c r="J102" s="9" t="s">
        <v>2940</v>
      </c>
      <c r="K102" t="s">
        <v>2593</v>
      </c>
      <c r="L102" t="s">
        <v>2594</v>
      </c>
      <c r="M102" s="3" t="str">
        <f>HYPERLINK(склад2въезд131920212223[[#This Row],[RelativePath]])</f>
        <v>10 Сушилка навес\E33149364_3_20251117T153504Z.jpg</v>
      </c>
    </row>
    <row r="103" spans="1:13" x14ac:dyDescent="0.25">
      <c r="A103" s="2" t="s">
        <v>13</v>
      </c>
      <c r="B103" s="4">
        <v>45978</v>
      </c>
      <c r="C103" s="5">
        <v>0.6614930555555556</v>
      </c>
      <c r="D103" s="9" t="s">
        <v>505</v>
      </c>
      <c r="E103" s="9" t="s">
        <v>503</v>
      </c>
      <c r="F103" s="9" t="s">
        <v>58</v>
      </c>
      <c r="H103" s="9" t="s">
        <v>1583</v>
      </c>
      <c r="I103" s="9" t="s">
        <v>2595</v>
      </c>
      <c r="J103" s="9" t="s">
        <v>2940</v>
      </c>
      <c r="K103" t="s">
        <v>2596</v>
      </c>
      <c r="L103" t="s">
        <v>2597</v>
      </c>
      <c r="M103" s="3" t="str">
        <f>HYPERLINK(склад2въезд131920212223[[#This Row],[RelativePath]])</f>
        <v>10 Сушилка навес\E33149364_3_20251117T155233Z.jpg</v>
      </c>
    </row>
    <row r="104" spans="1:13" x14ac:dyDescent="0.25">
      <c r="A104" s="2" t="s">
        <v>13</v>
      </c>
      <c r="B104" s="4">
        <v>45978</v>
      </c>
      <c r="C104" s="5">
        <v>0.68320601851851848</v>
      </c>
      <c r="D104" s="9" t="s">
        <v>505</v>
      </c>
      <c r="E104" s="9" t="s">
        <v>503</v>
      </c>
      <c r="F104" s="9" t="s">
        <v>58</v>
      </c>
      <c r="H104" s="9" t="s">
        <v>1574</v>
      </c>
      <c r="I104" s="9" t="s">
        <v>2598</v>
      </c>
      <c r="J104" s="9" t="s">
        <v>2940</v>
      </c>
      <c r="K104" t="s">
        <v>2599</v>
      </c>
      <c r="L104" t="s">
        <v>2600</v>
      </c>
      <c r="M104" s="3" t="str">
        <f>HYPERLINK(склад2въезд131920212223[[#This Row],[RelativePath]])</f>
        <v>10 Сушилка навес\E33149364_3_20251117T162349Z.jpg</v>
      </c>
    </row>
    <row r="105" spans="1:13" x14ac:dyDescent="0.25">
      <c r="A105" s="2" t="s">
        <v>13</v>
      </c>
      <c r="B105" s="4">
        <v>45978</v>
      </c>
      <c r="C105" s="5">
        <v>0.68431712962962965</v>
      </c>
      <c r="D105" s="9" t="s">
        <v>505</v>
      </c>
      <c r="E105" s="9" t="s">
        <v>503</v>
      </c>
      <c r="F105" s="9" t="s">
        <v>58</v>
      </c>
      <c r="H105" s="9" t="s">
        <v>1574</v>
      </c>
      <c r="I105" s="9" t="s">
        <v>2601</v>
      </c>
      <c r="J105" s="9" t="s">
        <v>2940</v>
      </c>
      <c r="K105" t="s">
        <v>2602</v>
      </c>
      <c r="L105" t="s">
        <v>2603</v>
      </c>
      <c r="M105" s="3" t="str">
        <f>HYPERLINK(склад2въезд131920212223[[#This Row],[RelativePath]])</f>
        <v>10 Сушилка навес\E33149364_3_20251117T162525Z.jpg</v>
      </c>
    </row>
    <row r="106" spans="1:13" x14ac:dyDescent="0.25">
      <c r="A106" s="2" t="s">
        <v>13</v>
      </c>
      <c r="B106" s="4">
        <v>45978</v>
      </c>
      <c r="C106" s="5">
        <v>0.7083680555555556</v>
      </c>
      <c r="D106" s="9" t="s">
        <v>505</v>
      </c>
      <c r="E106" s="9" t="s">
        <v>503</v>
      </c>
      <c r="F106" s="9" t="s">
        <v>58</v>
      </c>
      <c r="H106" s="9" t="s">
        <v>2904</v>
      </c>
      <c r="I106" s="9" t="s">
        <v>2604</v>
      </c>
      <c r="J106" s="9" t="s">
        <v>2940</v>
      </c>
      <c r="K106" t="s">
        <v>2605</v>
      </c>
      <c r="L106" t="s">
        <v>2606</v>
      </c>
      <c r="M106" s="3" t="str">
        <f>HYPERLINK(склад2въезд131920212223[[#This Row],[RelativePath]])</f>
        <v>10 Сушилка навес\E33149364_3_20251117T170003Z.jpg</v>
      </c>
    </row>
    <row r="107" spans="1:13" x14ac:dyDescent="0.25">
      <c r="A107" s="2" t="s">
        <v>14</v>
      </c>
      <c r="B107" s="4">
        <v>45979</v>
      </c>
      <c r="C107" s="5">
        <v>0.36096064814814816</v>
      </c>
      <c r="D107" s="9" t="s">
        <v>4</v>
      </c>
      <c r="E107" s="9" t="s">
        <v>8</v>
      </c>
      <c r="F107" s="9"/>
      <c r="H107" s="9"/>
      <c r="I107" s="9" t="s">
        <v>2607</v>
      </c>
      <c r="J107" s="9" t="s">
        <v>2940</v>
      </c>
      <c r="K107" t="s">
        <v>2608</v>
      </c>
      <c r="L107" t="s">
        <v>2609</v>
      </c>
      <c r="M107" s="3" t="str">
        <f>HYPERLINK(склад2въезд131920212223[[#This Row],[RelativePath]])</f>
        <v>10 Сушилка навес\E33149364_3_20251118T083947Z.jpg</v>
      </c>
    </row>
    <row r="108" spans="1:13" x14ac:dyDescent="0.25">
      <c r="A108" s="2" t="s">
        <v>14</v>
      </c>
      <c r="B108" s="4">
        <v>45979</v>
      </c>
      <c r="C108" s="5">
        <v>0.38047453703703704</v>
      </c>
      <c r="D108" s="9" t="s">
        <v>1569</v>
      </c>
      <c r="E108" s="9" t="s">
        <v>70</v>
      </c>
      <c r="F108" s="9" t="s">
        <v>51</v>
      </c>
      <c r="H108" s="9"/>
      <c r="I108" s="9" t="s">
        <v>2610</v>
      </c>
      <c r="J108" s="9" t="s">
        <v>2940</v>
      </c>
      <c r="K108" t="s">
        <v>2611</v>
      </c>
      <c r="L108" t="s">
        <v>2612</v>
      </c>
      <c r="M108" s="3" t="str">
        <f>HYPERLINK(склад2въезд131920212223[[#This Row],[RelativePath]])</f>
        <v>10 Сушилка навес\E33149364_3_20251118T090753Z.jpg</v>
      </c>
    </row>
    <row r="109" spans="1:13" x14ac:dyDescent="0.25">
      <c r="A109" s="2" t="s">
        <v>14</v>
      </c>
      <c r="B109" s="4">
        <v>45979</v>
      </c>
      <c r="C109" s="5">
        <v>0.38093749999999998</v>
      </c>
      <c r="D109" s="9" t="s">
        <v>261</v>
      </c>
      <c r="E109" s="9" t="s">
        <v>70</v>
      </c>
      <c r="F109" s="9" t="s">
        <v>58</v>
      </c>
      <c r="H109" s="9" t="s">
        <v>2911</v>
      </c>
      <c r="I109" s="9" t="s">
        <v>2613</v>
      </c>
      <c r="J109" s="9" t="s">
        <v>2940</v>
      </c>
      <c r="K109" t="s">
        <v>2614</v>
      </c>
      <c r="L109" t="s">
        <v>2615</v>
      </c>
      <c r="M109" s="3" t="str">
        <f>HYPERLINK(склад2въезд131920212223[[#This Row],[RelativePath]])</f>
        <v>10 Сушилка навес\E33149364_3_20251118T090833Z.jpg</v>
      </c>
    </row>
    <row r="110" spans="1:13" x14ac:dyDescent="0.25">
      <c r="A110" s="2" t="s">
        <v>14</v>
      </c>
      <c r="B110" s="4">
        <v>45979</v>
      </c>
      <c r="C110" s="5">
        <v>0.38103009259259257</v>
      </c>
      <c r="D110" s="9" t="s">
        <v>1962</v>
      </c>
      <c r="E110" s="9" t="s">
        <v>70</v>
      </c>
      <c r="F110" s="9" t="s">
        <v>58</v>
      </c>
      <c r="H110" s="9" t="s">
        <v>2911</v>
      </c>
      <c r="I110" s="9" t="s">
        <v>2616</v>
      </c>
      <c r="J110" s="9" t="s">
        <v>2940</v>
      </c>
      <c r="K110" t="s">
        <v>2617</v>
      </c>
      <c r="L110" t="s">
        <v>2618</v>
      </c>
      <c r="M110" s="3" t="str">
        <f>HYPERLINK(склад2въезд131920212223[[#This Row],[RelativePath]])</f>
        <v>10 Сушилка навес\E33149364_3_20251118T090841Z.jpg</v>
      </c>
    </row>
    <row r="111" spans="1:13" x14ac:dyDescent="0.25">
      <c r="A111" s="2" t="s">
        <v>14</v>
      </c>
      <c r="B111" s="4">
        <v>45979</v>
      </c>
      <c r="C111" s="5">
        <v>0.38112268518518516</v>
      </c>
      <c r="D111" s="9" t="s">
        <v>1962</v>
      </c>
      <c r="E111" s="9" t="s">
        <v>70</v>
      </c>
      <c r="F111" s="9" t="s">
        <v>58</v>
      </c>
      <c r="H111" s="9" t="s">
        <v>2911</v>
      </c>
      <c r="I111" s="9" t="s">
        <v>2619</v>
      </c>
      <c r="J111" s="9" t="s">
        <v>2940</v>
      </c>
      <c r="K111" t="s">
        <v>2620</v>
      </c>
      <c r="L111" t="s">
        <v>2621</v>
      </c>
      <c r="M111" s="3" t="str">
        <f>HYPERLINK(склад2въезд131920212223[[#This Row],[RelativePath]])</f>
        <v>10 Сушилка навес\E33149364_3_20251118T090849Z.jpg</v>
      </c>
    </row>
    <row r="112" spans="1:13" x14ac:dyDescent="0.25">
      <c r="A112" s="2" t="s">
        <v>14</v>
      </c>
      <c r="B112" s="4">
        <v>45979</v>
      </c>
      <c r="C112" s="5">
        <v>0.38149305555555557</v>
      </c>
      <c r="D112" s="9" t="s">
        <v>1962</v>
      </c>
      <c r="E112" s="9" t="s">
        <v>70</v>
      </c>
      <c r="F112" s="9" t="s">
        <v>58</v>
      </c>
      <c r="H112" s="9" t="s">
        <v>2911</v>
      </c>
      <c r="I112" s="9" t="s">
        <v>2622</v>
      </c>
      <c r="J112" s="9" t="s">
        <v>2940</v>
      </c>
      <c r="K112" t="s">
        <v>2623</v>
      </c>
      <c r="L112" t="s">
        <v>2624</v>
      </c>
      <c r="M112" s="3" t="str">
        <f>HYPERLINK(склад2въезд131920212223[[#This Row],[RelativePath]])</f>
        <v>10 Сушилка навес\E33149364_3_20251118T090921Z.jpg</v>
      </c>
    </row>
    <row r="113" spans="1:13" x14ac:dyDescent="0.25">
      <c r="A113" s="2" t="s">
        <v>14</v>
      </c>
      <c r="B113" s="4">
        <v>45979</v>
      </c>
      <c r="C113" s="5">
        <v>0.38665509259259262</v>
      </c>
      <c r="D113" s="9" t="s">
        <v>1962</v>
      </c>
      <c r="E113" s="9" t="s">
        <v>70</v>
      </c>
      <c r="F113" s="9" t="s">
        <v>58</v>
      </c>
      <c r="H113" s="9" t="s">
        <v>2911</v>
      </c>
      <c r="I113" s="9" t="s">
        <v>2625</v>
      </c>
      <c r="J113" s="9" t="s">
        <v>2940</v>
      </c>
      <c r="K113" t="s">
        <v>2626</v>
      </c>
      <c r="L113" t="s">
        <v>2627</v>
      </c>
      <c r="M113" s="3" t="str">
        <f>HYPERLINK(склад2въезд131920212223[[#This Row],[RelativePath]])</f>
        <v>10 Сушилка навес\E33149364_3_20251118T091647Z.jpg</v>
      </c>
    </row>
    <row r="114" spans="1:13" x14ac:dyDescent="0.25">
      <c r="A114" s="2" t="s">
        <v>14</v>
      </c>
      <c r="B114" s="4">
        <v>45979</v>
      </c>
      <c r="C114" s="5">
        <v>0.38765046296296296</v>
      </c>
      <c r="D114" s="9" t="s">
        <v>1962</v>
      </c>
      <c r="E114" s="9" t="s">
        <v>70</v>
      </c>
      <c r="F114" s="9" t="s">
        <v>2905</v>
      </c>
      <c r="H114" s="9" t="s">
        <v>2911</v>
      </c>
      <c r="I114" s="9" t="s">
        <v>2628</v>
      </c>
      <c r="J114" s="9" t="s">
        <v>2940</v>
      </c>
      <c r="K114" t="s">
        <v>2629</v>
      </c>
      <c r="L114" t="s">
        <v>2630</v>
      </c>
      <c r="M114" s="3" t="str">
        <f>HYPERLINK(склад2въезд131920212223[[#This Row],[RelativePath]])</f>
        <v>10 Сушилка навес\E33149364_3_20251118T091813Z.jpg</v>
      </c>
    </row>
    <row r="115" spans="1:13" x14ac:dyDescent="0.25">
      <c r="A115" s="2" t="s">
        <v>14</v>
      </c>
      <c r="B115" s="4">
        <v>45979</v>
      </c>
      <c r="C115" s="5">
        <v>0.3881134259259259</v>
      </c>
      <c r="D115" s="9" t="s">
        <v>1962</v>
      </c>
      <c r="E115" s="9" t="s">
        <v>70</v>
      </c>
      <c r="F115" s="9" t="s">
        <v>2906</v>
      </c>
      <c r="H115" s="9" t="s">
        <v>2911</v>
      </c>
      <c r="I115" s="9" t="s">
        <v>2631</v>
      </c>
      <c r="J115" s="9" t="s">
        <v>2940</v>
      </c>
      <c r="K115" t="s">
        <v>2632</v>
      </c>
      <c r="L115" t="s">
        <v>2633</v>
      </c>
      <c r="M115" s="3" t="str">
        <f>HYPERLINK(склад2въезд131920212223[[#This Row],[RelativePath]])</f>
        <v>10 Сушилка навес\E33149364_3_20251118T091853Z.jpg</v>
      </c>
    </row>
    <row r="116" spans="1:13" x14ac:dyDescent="0.25">
      <c r="A116" s="2" t="s">
        <v>14</v>
      </c>
      <c r="B116" s="4">
        <v>45979</v>
      </c>
      <c r="C116" s="5">
        <v>0.38895833333333335</v>
      </c>
      <c r="D116" s="9" t="s">
        <v>1962</v>
      </c>
      <c r="E116" s="9" t="s">
        <v>70</v>
      </c>
      <c r="F116" s="9" t="s">
        <v>2907</v>
      </c>
      <c r="H116" s="9" t="s">
        <v>2911</v>
      </c>
      <c r="I116" s="9" t="s">
        <v>2634</v>
      </c>
      <c r="J116" s="9" t="s">
        <v>2940</v>
      </c>
      <c r="K116" t="s">
        <v>2635</v>
      </c>
      <c r="L116" t="s">
        <v>2636</v>
      </c>
      <c r="M116" s="3" t="str">
        <f>HYPERLINK(склад2въезд131920212223[[#This Row],[RelativePath]])</f>
        <v>10 Сушилка навес\E33149364_3_20251118T092006Z.jpg</v>
      </c>
    </row>
    <row r="117" spans="1:13" x14ac:dyDescent="0.25">
      <c r="A117" s="2" t="s">
        <v>14</v>
      </c>
      <c r="B117" s="4">
        <v>45979</v>
      </c>
      <c r="C117" s="5">
        <v>0.38930555555555557</v>
      </c>
      <c r="D117" s="9" t="s">
        <v>2908</v>
      </c>
      <c r="E117" s="9" t="s">
        <v>70</v>
      </c>
      <c r="F117" s="9"/>
      <c r="H117" s="9"/>
      <c r="I117" s="9" t="s">
        <v>2637</v>
      </c>
      <c r="J117" s="9" t="s">
        <v>2940</v>
      </c>
      <c r="K117" t="s">
        <v>2638</v>
      </c>
      <c r="L117" t="s">
        <v>2639</v>
      </c>
      <c r="M117" s="3" t="str">
        <f>HYPERLINK(склад2въезд131920212223[[#This Row],[RelativePath]])</f>
        <v>10 Сушилка навес\E33149364_3_20251118T092036Z.jpg</v>
      </c>
    </row>
    <row r="118" spans="1:13" x14ac:dyDescent="0.25">
      <c r="A118" s="2" t="s">
        <v>14</v>
      </c>
      <c r="B118" s="4">
        <v>45979</v>
      </c>
      <c r="C118" s="5">
        <v>0.40931712962962963</v>
      </c>
      <c r="D118" s="9" t="s">
        <v>505</v>
      </c>
      <c r="E118" s="9" t="s">
        <v>1570</v>
      </c>
      <c r="F118" s="9" t="s">
        <v>58</v>
      </c>
      <c r="H118" s="9" t="s">
        <v>2909</v>
      </c>
      <c r="I118" s="9" t="s">
        <v>2640</v>
      </c>
      <c r="J118" s="9" t="s">
        <v>2940</v>
      </c>
      <c r="K118" t="s">
        <v>2641</v>
      </c>
      <c r="L118" t="s">
        <v>2642</v>
      </c>
      <c r="M118" s="3" t="str">
        <f>HYPERLINK(склад2въезд131920212223[[#This Row],[RelativePath]])</f>
        <v>10 Сушилка навес\E33149364_3_20251118T094925Z.jpg</v>
      </c>
    </row>
    <row r="119" spans="1:13" x14ac:dyDescent="0.25">
      <c r="A119" s="2" t="s">
        <v>14</v>
      </c>
      <c r="B119" s="4">
        <v>45979</v>
      </c>
      <c r="C119" s="5">
        <v>0.40945601851851854</v>
      </c>
      <c r="D119" s="9" t="s">
        <v>505</v>
      </c>
      <c r="E119" s="9" t="s">
        <v>1570</v>
      </c>
      <c r="F119" s="9" t="s">
        <v>58</v>
      </c>
      <c r="H119" s="9" t="s">
        <v>2909</v>
      </c>
      <c r="I119" s="9" t="s">
        <v>2643</v>
      </c>
      <c r="J119" s="9" t="s">
        <v>2940</v>
      </c>
      <c r="K119" t="s">
        <v>2644</v>
      </c>
      <c r="L119" t="s">
        <v>2645</v>
      </c>
      <c r="M119" s="3" t="str">
        <f>HYPERLINK(склад2въезд131920212223[[#This Row],[RelativePath]])</f>
        <v>10 Сушилка навес\E33149364_3_20251118T094937Z.jpg</v>
      </c>
    </row>
    <row r="120" spans="1:13" x14ac:dyDescent="0.25">
      <c r="A120" s="2" t="s">
        <v>14</v>
      </c>
      <c r="B120" s="4">
        <v>45979</v>
      </c>
      <c r="C120" s="5">
        <v>0.43212962962962964</v>
      </c>
      <c r="D120" s="9" t="s">
        <v>159</v>
      </c>
      <c r="E120" s="9" t="s">
        <v>2875</v>
      </c>
      <c r="F120" s="9"/>
      <c r="H120" s="9"/>
      <c r="I120" s="9" t="s">
        <v>2646</v>
      </c>
      <c r="J120" s="9" t="s">
        <v>2940</v>
      </c>
      <c r="K120" t="s">
        <v>2647</v>
      </c>
      <c r="L120" t="s">
        <v>2648</v>
      </c>
      <c r="M120" s="3" t="str">
        <f>HYPERLINK(склад2въезд131920212223[[#This Row],[RelativePath]])</f>
        <v>10 Сушилка навес\E33149364_3_20251118T102216Z.jpg</v>
      </c>
    </row>
    <row r="121" spans="1:13" x14ac:dyDescent="0.25">
      <c r="A121" s="2" t="s">
        <v>14</v>
      </c>
      <c r="B121" s="4">
        <v>45979</v>
      </c>
      <c r="C121" s="5">
        <v>0.43251157407407409</v>
      </c>
      <c r="D121" s="9" t="s">
        <v>1569</v>
      </c>
      <c r="E121" s="9" t="s">
        <v>2875</v>
      </c>
      <c r="F121" s="9"/>
      <c r="H121" s="9" t="s">
        <v>2910</v>
      </c>
      <c r="I121" s="9" t="s">
        <v>2649</v>
      </c>
      <c r="J121" s="9" t="s">
        <v>2940</v>
      </c>
      <c r="K121" t="s">
        <v>2650</v>
      </c>
      <c r="L121" t="s">
        <v>2651</v>
      </c>
      <c r="M121" s="3" t="str">
        <f>HYPERLINK(склад2въезд131920212223[[#This Row],[RelativePath]])</f>
        <v>10 Сушилка навес\E33149364_3_20251118T102249Z.jpg</v>
      </c>
    </row>
    <row r="122" spans="1:13" x14ac:dyDescent="0.25">
      <c r="A122" s="2" t="s">
        <v>14</v>
      </c>
      <c r="B122" s="4">
        <v>45979</v>
      </c>
      <c r="C122" s="5">
        <v>0.43287037037037035</v>
      </c>
      <c r="D122" s="9" t="s">
        <v>261</v>
      </c>
      <c r="E122" s="9" t="s">
        <v>2875</v>
      </c>
      <c r="F122" s="9" t="s">
        <v>58</v>
      </c>
      <c r="H122" s="9" t="s">
        <v>2912</v>
      </c>
      <c r="I122" s="9" t="s">
        <v>2652</v>
      </c>
      <c r="J122" s="9" t="s">
        <v>2940</v>
      </c>
      <c r="K122" t="s">
        <v>2653</v>
      </c>
      <c r="L122" t="s">
        <v>2489</v>
      </c>
      <c r="M122" s="3" t="str">
        <f>HYPERLINK(склад2въезд131920212223[[#This Row],[RelativePath]])</f>
        <v>10 Сушилка навес\E33149364_3_20251118T102320Z.jpg</v>
      </c>
    </row>
    <row r="123" spans="1:13" x14ac:dyDescent="0.25">
      <c r="A123" s="2" t="s">
        <v>14</v>
      </c>
      <c r="B123" s="4">
        <v>45979</v>
      </c>
      <c r="C123" s="5">
        <v>0.43355324074074075</v>
      </c>
      <c r="D123" s="9" t="s">
        <v>1962</v>
      </c>
      <c r="E123" s="9" t="s">
        <v>2875</v>
      </c>
      <c r="F123" s="9" t="s">
        <v>58</v>
      </c>
      <c r="H123" s="9" t="s">
        <v>2912</v>
      </c>
      <c r="I123" s="9" t="s">
        <v>2654</v>
      </c>
      <c r="J123" s="9" t="s">
        <v>2940</v>
      </c>
      <c r="K123" t="s">
        <v>2655</v>
      </c>
      <c r="L123" t="s">
        <v>2501</v>
      </c>
      <c r="M123" s="3" t="str">
        <f>HYPERLINK(склад2въезд131920212223[[#This Row],[RelativePath]])</f>
        <v>10 Сушилка навес\E33149364_3_20251118T102419Z.jpg</v>
      </c>
    </row>
    <row r="124" spans="1:13" x14ac:dyDescent="0.25">
      <c r="A124" s="2" t="s">
        <v>14</v>
      </c>
      <c r="B124" s="4">
        <v>45979</v>
      </c>
      <c r="C124" s="5">
        <v>0.43384259259259261</v>
      </c>
      <c r="D124" s="9" t="s">
        <v>1962</v>
      </c>
      <c r="E124" s="9" t="s">
        <v>2875</v>
      </c>
      <c r="F124" s="9" t="s">
        <v>58</v>
      </c>
      <c r="H124" s="9" t="s">
        <v>2912</v>
      </c>
      <c r="I124" s="9" t="s">
        <v>2656</v>
      </c>
      <c r="J124" s="9" t="s">
        <v>2940</v>
      </c>
      <c r="K124" t="s">
        <v>2657</v>
      </c>
      <c r="L124" t="s">
        <v>2658</v>
      </c>
      <c r="M124" s="3" t="str">
        <f>HYPERLINK(склад2въезд131920212223[[#This Row],[RelativePath]])</f>
        <v>10 Сушилка навес\E33149364_3_20251118T102444Z.jpg</v>
      </c>
    </row>
    <row r="125" spans="1:13" x14ac:dyDescent="0.25">
      <c r="A125" s="2" t="s">
        <v>14</v>
      </c>
      <c r="B125" s="4">
        <v>45979</v>
      </c>
      <c r="C125" s="5">
        <v>0.44254629629629627</v>
      </c>
      <c r="D125" s="9" t="s">
        <v>505</v>
      </c>
      <c r="E125" s="9" t="s">
        <v>1570</v>
      </c>
      <c r="F125" s="9" t="s">
        <v>58</v>
      </c>
      <c r="H125" s="9" t="s">
        <v>2913</v>
      </c>
      <c r="I125" s="9" t="s">
        <v>2659</v>
      </c>
      <c r="J125" s="9" t="s">
        <v>2940</v>
      </c>
      <c r="K125" t="s">
        <v>2660</v>
      </c>
      <c r="L125" t="s">
        <v>2661</v>
      </c>
      <c r="M125" s="3" t="str">
        <f>HYPERLINK(склад2въезд131920212223[[#This Row],[RelativePath]])</f>
        <v>10 Сушилка навес\E33149364_3_20251118T103716Z.jpg</v>
      </c>
    </row>
    <row r="126" spans="1:13" x14ac:dyDescent="0.25">
      <c r="A126" s="2" t="s">
        <v>14</v>
      </c>
      <c r="B126" s="4">
        <v>45979</v>
      </c>
      <c r="C126" s="5">
        <v>0.44297453703703704</v>
      </c>
      <c r="D126" s="9" t="s">
        <v>505</v>
      </c>
      <c r="E126" s="9" t="s">
        <v>1570</v>
      </c>
      <c r="F126" s="9" t="s">
        <v>58</v>
      </c>
      <c r="H126" s="9" t="s">
        <v>2913</v>
      </c>
      <c r="I126" s="9" t="s">
        <v>2662</v>
      </c>
      <c r="J126" s="9" t="s">
        <v>2940</v>
      </c>
      <c r="K126" t="s">
        <v>2663</v>
      </c>
      <c r="L126" t="s">
        <v>2664</v>
      </c>
      <c r="M126" s="3" t="str">
        <f>HYPERLINK(склад2въезд131920212223[[#This Row],[RelativePath]])</f>
        <v>10 Сушилка навес\E33149364_3_20251118T103753Z.jpg</v>
      </c>
    </row>
    <row r="127" spans="1:13" x14ac:dyDescent="0.25">
      <c r="A127" s="2" t="s">
        <v>14</v>
      </c>
      <c r="B127" s="4">
        <v>45979</v>
      </c>
      <c r="C127" s="5">
        <v>0.5584837962962963</v>
      </c>
      <c r="D127" s="9" t="s">
        <v>505</v>
      </c>
      <c r="E127" s="9" t="s">
        <v>1570</v>
      </c>
      <c r="F127" s="9" t="s">
        <v>58</v>
      </c>
      <c r="H127" s="9" t="s">
        <v>2913</v>
      </c>
      <c r="I127" s="9" t="s">
        <v>2665</v>
      </c>
      <c r="J127" s="9" t="s">
        <v>2940</v>
      </c>
      <c r="K127" t="s">
        <v>2666</v>
      </c>
      <c r="L127" t="s">
        <v>2667</v>
      </c>
      <c r="M127" s="3" t="str">
        <f>HYPERLINK(склад2въезд131920212223[[#This Row],[RelativePath]])</f>
        <v>10 Сушилка навес\E33149364_3_20251118T132413Z.jpg</v>
      </c>
    </row>
    <row r="128" spans="1:13" x14ac:dyDescent="0.25">
      <c r="A128" s="2" t="s">
        <v>14</v>
      </c>
      <c r="B128" s="4">
        <v>45979</v>
      </c>
      <c r="C128" s="5">
        <v>0.66226851851851853</v>
      </c>
      <c r="D128" s="9" t="s">
        <v>505</v>
      </c>
      <c r="E128" s="9" t="s">
        <v>1570</v>
      </c>
      <c r="F128" s="9" t="s">
        <v>58</v>
      </c>
      <c r="H128" s="9" t="s">
        <v>2909</v>
      </c>
      <c r="I128" s="9" t="s">
        <v>2668</v>
      </c>
      <c r="J128" s="9" t="s">
        <v>2940</v>
      </c>
      <c r="K128" t="s">
        <v>2669</v>
      </c>
      <c r="L128" t="s">
        <v>2670</v>
      </c>
      <c r="M128" s="3" t="str">
        <f>HYPERLINK(склад2въезд131920212223[[#This Row],[RelativePath]])</f>
        <v>10 Сушилка навес\E33149364_3_20251118T155340Z.jpg</v>
      </c>
    </row>
    <row r="129" spans="1:13" x14ac:dyDescent="0.25">
      <c r="A129" s="2" t="s">
        <v>14</v>
      </c>
      <c r="B129" s="4">
        <v>45979</v>
      </c>
      <c r="C129" s="5">
        <v>0.66097222222222218</v>
      </c>
      <c r="D129" s="9" t="s">
        <v>505</v>
      </c>
      <c r="E129" s="9" t="s">
        <v>1570</v>
      </c>
      <c r="F129" s="9" t="s">
        <v>58</v>
      </c>
      <c r="H129" s="9" t="s">
        <v>2909</v>
      </c>
      <c r="I129" s="9" t="s">
        <v>2914</v>
      </c>
      <c r="J129" s="9" t="s">
        <v>2940</v>
      </c>
      <c r="K129" t="s">
        <v>2915</v>
      </c>
      <c r="L129" t="s">
        <v>2916</v>
      </c>
      <c r="M129" s="3" t="str">
        <f>HYPERLINK(склад2въезд131920212223[[#This Row],[RelativePath]])</f>
        <v>10 Сушилка навес\E33149364_3_20251118T155148Z.jpg</v>
      </c>
    </row>
    <row r="130" spans="1:13" x14ac:dyDescent="0.25">
      <c r="A130" s="2" t="s">
        <v>15</v>
      </c>
      <c r="B130" s="4">
        <v>45980</v>
      </c>
      <c r="C130" s="5">
        <v>0.38109953703703703</v>
      </c>
      <c r="D130" s="9" t="s">
        <v>4</v>
      </c>
      <c r="E130" s="9" t="s">
        <v>8</v>
      </c>
      <c r="F130" s="9"/>
      <c r="H130" s="9"/>
      <c r="I130" s="9" t="s">
        <v>2671</v>
      </c>
      <c r="J130" s="9" t="s">
        <v>2940</v>
      </c>
      <c r="K130" t="s">
        <v>2672</v>
      </c>
      <c r="L130" t="s">
        <v>2673</v>
      </c>
      <c r="M130" s="3" t="str">
        <f>HYPERLINK(склад2въезд131920212223[[#This Row],[RelativePath]])</f>
        <v>10 Сушилка навес\E33149364_3_20251119T090847Z.jpg</v>
      </c>
    </row>
    <row r="131" spans="1:13" x14ac:dyDescent="0.25">
      <c r="A131" s="2" t="s">
        <v>15</v>
      </c>
      <c r="B131" s="4">
        <v>45980</v>
      </c>
      <c r="C131" s="5">
        <v>0.38858796296296294</v>
      </c>
      <c r="D131" s="9" t="s">
        <v>505</v>
      </c>
      <c r="E131" s="9" t="s">
        <v>1570</v>
      </c>
      <c r="F131" s="9" t="s">
        <v>2917</v>
      </c>
      <c r="H131" s="9" t="s">
        <v>2909</v>
      </c>
      <c r="I131" s="9" t="s">
        <v>2674</v>
      </c>
      <c r="J131" s="9" t="s">
        <v>2940</v>
      </c>
      <c r="K131" t="s">
        <v>2675</v>
      </c>
      <c r="L131" t="s">
        <v>2676</v>
      </c>
      <c r="M131" s="3" t="str">
        <f>HYPERLINK(склад2въезд131920212223[[#This Row],[RelativePath]])</f>
        <v>10 Сушилка навес\E33149364_3_20251119T091934Z.jpg</v>
      </c>
    </row>
    <row r="132" spans="1:13" x14ac:dyDescent="0.25">
      <c r="A132" s="2" t="s">
        <v>15</v>
      </c>
      <c r="B132" s="4">
        <v>45980</v>
      </c>
      <c r="C132" s="5">
        <v>0.3886574074074074</v>
      </c>
      <c r="D132" s="9" t="s">
        <v>505</v>
      </c>
      <c r="E132" s="9" t="s">
        <v>1570</v>
      </c>
      <c r="F132" s="9" t="s">
        <v>2917</v>
      </c>
      <c r="H132" s="9" t="s">
        <v>2909</v>
      </c>
      <c r="I132" s="9" t="s">
        <v>2677</v>
      </c>
      <c r="J132" s="9" t="s">
        <v>2940</v>
      </c>
      <c r="K132" t="s">
        <v>2678</v>
      </c>
      <c r="L132" t="s">
        <v>2679</v>
      </c>
      <c r="M132" s="3" t="str">
        <f>HYPERLINK(склад2въезд131920212223[[#This Row],[RelativePath]])</f>
        <v>10 Сушилка навес\E33149364_3_20251119T091940Z.jpg</v>
      </c>
    </row>
    <row r="133" spans="1:13" x14ac:dyDescent="0.25">
      <c r="A133" s="2" t="s">
        <v>15</v>
      </c>
      <c r="B133" s="4">
        <v>45980</v>
      </c>
      <c r="C133" s="5">
        <v>0.38883101851851853</v>
      </c>
      <c r="D133" s="9" t="s">
        <v>505</v>
      </c>
      <c r="E133" s="9" t="s">
        <v>1570</v>
      </c>
      <c r="F133" s="9" t="s">
        <v>2917</v>
      </c>
      <c r="H133" s="9" t="s">
        <v>2909</v>
      </c>
      <c r="I133" s="9" t="s">
        <v>2680</v>
      </c>
      <c r="J133" s="9" t="s">
        <v>2940</v>
      </c>
      <c r="K133" t="s">
        <v>2681</v>
      </c>
      <c r="L133" t="s">
        <v>2682</v>
      </c>
      <c r="M133" s="3" t="str">
        <f>HYPERLINK(склад2въезд131920212223[[#This Row],[RelativePath]])</f>
        <v>10 Сушилка навес\E33149364_3_20251119T091955Z.jpg</v>
      </c>
    </row>
    <row r="134" spans="1:13" x14ac:dyDescent="0.25">
      <c r="A134" s="2" t="s">
        <v>15</v>
      </c>
      <c r="B134" s="4">
        <v>45980</v>
      </c>
      <c r="C134" s="5">
        <v>0.46056712962962965</v>
      </c>
      <c r="D134" s="9" t="s">
        <v>1569</v>
      </c>
      <c r="E134" s="9" t="s">
        <v>70</v>
      </c>
      <c r="F134" s="9" t="s">
        <v>51</v>
      </c>
      <c r="H134" s="9"/>
      <c r="I134" s="9" t="s">
        <v>2683</v>
      </c>
      <c r="J134" s="9" t="s">
        <v>2940</v>
      </c>
      <c r="K134" t="s">
        <v>2684</v>
      </c>
      <c r="L134" t="s">
        <v>2685</v>
      </c>
      <c r="M134" s="3" t="str">
        <f>HYPERLINK(склад2въезд131920212223[[#This Row],[RelativePath]])</f>
        <v>10 Сушилка навес\E33149364_3_20251119T110313Z.jpg</v>
      </c>
    </row>
    <row r="135" spans="1:13" x14ac:dyDescent="0.25">
      <c r="A135" s="2" t="s">
        <v>15</v>
      </c>
      <c r="B135" s="4">
        <v>45980</v>
      </c>
      <c r="C135" s="5">
        <v>0.46177083333333335</v>
      </c>
      <c r="D135" s="9" t="s">
        <v>261</v>
      </c>
      <c r="E135" s="9" t="s">
        <v>70</v>
      </c>
      <c r="F135" s="9" t="s">
        <v>58</v>
      </c>
      <c r="H135" s="9" t="s">
        <v>2911</v>
      </c>
      <c r="I135" s="9" t="s">
        <v>2686</v>
      </c>
      <c r="J135" s="9" t="s">
        <v>2940</v>
      </c>
      <c r="K135" t="s">
        <v>2687</v>
      </c>
      <c r="L135" t="s">
        <v>2688</v>
      </c>
      <c r="M135" s="3" t="str">
        <f>HYPERLINK(склад2въезд131920212223[[#This Row],[RelativePath]])</f>
        <v>10 Сушилка навес\E33149364_3_20251119T110457Z.jpg</v>
      </c>
    </row>
    <row r="136" spans="1:13" x14ac:dyDescent="0.25">
      <c r="A136" s="2" t="s">
        <v>15</v>
      </c>
      <c r="B136" s="4">
        <v>45980</v>
      </c>
      <c r="C136" s="5">
        <v>0.46206018518518521</v>
      </c>
      <c r="D136" s="9" t="s">
        <v>1962</v>
      </c>
      <c r="E136" s="9" t="s">
        <v>70</v>
      </c>
      <c r="F136" s="9" t="s">
        <v>58</v>
      </c>
      <c r="H136" s="9" t="s">
        <v>2911</v>
      </c>
      <c r="I136" s="9" t="s">
        <v>2689</v>
      </c>
      <c r="J136" s="9" t="s">
        <v>2940</v>
      </c>
      <c r="K136" t="s">
        <v>2690</v>
      </c>
      <c r="L136" t="s">
        <v>2691</v>
      </c>
      <c r="M136" s="3" t="str">
        <f>HYPERLINK(склад2въезд131920212223[[#This Row],[RelativePath]])</f>
        <v>10 Сушилка навес\E33149364_3_20251119T110522Z.jpg</v>
      </c>
    </row>
    <row r="137" spans="1:13" x14ac:dyDescent="0.25">
      <c r="A137" s="2" t="s">
        <v>15</v>
      </c>
      <c r="B137" s="4">
        <v>45980</v>
      </c>
      <c r="C137" s="5">
        <v>0.46342592592592591</v>
      </c>
      <c r="D137" s="9" t="s">
        <v>1962</v>
      </c>
      <c r="E137" s="9" t="s">
        <v>70</v>
      </c>
      <c r="F137" s="9" t="s">
        <v>58</v>
      </c>
      <c r="H137" s="9" t="s">
        <v>2911</v>
      </c>
      <c r="I137" s="9" t="s">
        <v>2692</v>
      </c>
      <c r="J137" s="9" t="s">
        <v>2940</v>
      </c>
      <c r="K137" t="s">
        <v>2693</v>
      </c>
      <c r="L137" t="s">
        <v>2694</v>
      </c>
      <c r="M137" s="3" t="str">
        <f>HYPERLINK(склад2въезд131920212223[[#This Row],[RelativePath]])</f>
        <v>10 Сушилка навес\E33149364_3_20251119T110720Z.jpg</v>
      </c>
    </row>
    <row r="138" spans="1:13" x14ac:dyDescent="0.25">
      <c r="A138" s="2" t="s">
        <v>15</v>
      </c>
      <c r="B138" s="4">
        <v>45980</v>
      </c>
      <c r="C138" s="5">
        <v>0.46491898148148147</v>
      </c>
      <c r="D138" s="9" t="s">
        <v>1962</v>
      </c>
      <c r="E138" s="9" t="s">
        <v>70</v>
      </c>
      <c r="F138" s="9" t="s">
        <v>58</v>
      </c>
      <c r="H138" s="9" t="s">
        <v>2911</v>
      </c>
      <c r="I138" s="9" t="s">
        <v>2695</v>
      </c>
      <c r="J138" s="9" t="s">
        <v>2940</v>
      </c>
      <c r="K138" t="s">
        <v>2696</v>
      </c>
      <c r="L138" t="s">
        <v>2697</v>
      </c>
      <c r="M138" s="3" t="str">
        <f>HYPERLINK(склад2въезд131920212223[[#This Row],[RelativePath]])</f>
        <v>10 Сушилка навес\E33149364_3_20251119T110929Z.jpg</v>
      </c>
    </row>
    <row r="139" spans="1:13" x14ac:dyDescent="0.25">
      <c r="A139" s="2" t="s">
        <v>15</v>
      </c>
      <c r="B139" s="4">
        <v>45980</v>
      </c>
      <c r="C139" s="5">
        <v>0.46659722222222222</v>
      </c>
      <c r="D139" s="9" t="s">
        <v>1962</v>
      </c>
      <c r="E139" s="9" t="s">
        <v>70</v>
      </c>
      <c r="F139" s="9" t="s">
        <v>58</v>
      </c>
      <c r="H139" s="9" t="s">
        <v>2911</v>
      </c>
      <c r="I139" s="9" t="s">
        <v>2698</v>
      </c>
      <c r="J139" s="9" t="s">
        <v>2940</v>
      </c>
      <c r="K139" t="s">
        <v>2699</v>
      </c>
      <c r="L139" t="s">
        <v>2700</v>
      </c>
      <c r="M139" s="3" t="str">
        <f>HYPERLINK(склад2въезд131920212223[[#This Row],[RelativePath]])</f>
        <v>10 Сушилка навес\E33149364_3_20251119T111154Z.jpg</v>
      </c>
    </row>
    <row r="140" spans="1:13" x14ac:dyDescent="0.25">
      <c r="A140" s="2" t="s">
        <v>15</v>
      </c>
      <c r="B140" s="4">
        <v>45980</v>
      </c>
      <c r="C140" s="5">
        <v>0.46673611111111113</v>
      </c>
      <c r="D140" s="9" t="s">
        <v>1962</v>
      </c>
      <c r="E140" s="9" t="s">
        <v>70</v>
      </c>
      <c r="F140" s="9" t="s">
        <v>58</v>
      </c>
      <c r="H140" s="9" t="s">
        <v>2911</v>
      </c>
      <c r="I140" s="9" t="s">
        <v>2701</v>
      </c>
      <c r="J140" s="9" t="s">
        <v>2940</v>
      </c>
      <c r="K140" t="s">
        <v>2702</v>
      </c>
      <c r="L140" t="s">
        <v>2703</v>
      </c>
      <c r="M140" s="3" t="str">
        <f>HYPERLINK(склад2въезд131920212223[[#This Row],[RelativePath]])</f>
        <v>10 Сушилка навес\E33149364_3_20251119T111206Z.jpg</v>
      </c>
    </row>
    <row r="141" spans="1:13" x14ac:dyDescent="0.25">
      <c r="A141" s="2" t="s">
        <v>15</v>
      </c>
      <c r="B141" s="4">
        <v>45980</v>
      </c>
      <c r="C141" s="5">
        <v>0.46688657407407408</v>
      </c>
      <c r="D141" s="9" t="s">
        <v>1962</v>
      </c>
      <c r="E141" s="9" t="s">
        <v>70</v>
      </c>
      <c r="F141" s="9" t="s">
        <v>58</v>
      </c>
      <c r="H141" s="9" t="s">
        <v>2911</v>
      </c>
      <c r="I141" s="9" t="s">
        <v>2704</v>
      </c>
      <c r="J141" s="9" t="s">
        <v>2940</v>
      </c>
      <c r="K141" t="s">
        <v>2705</v>
      </c>
      <c r="L141" t="s">
        <v>2706</v>
      </c>
      <c r="M141" s="3" t="str">
        <f>HYPERLINK(склад2въезд131920212223[[#This Row],[RelativePath]])</f>
        <v>10 Сушилка навес\E33149364_3_20251119T111219Z.jpg</v>
      </c>
    </row>
    <row r="142" spans="1:13" x14ac:dyDescent="0.25">
      <c r="A142" s="2" t="s">
        <v>15</v>
      </c>
      <c r="B142" s="4">
        <v>45980</v>
      </c>
      <c r="C142" s="5">
        <v>0.46755787037037039</v>
      </c>
      <c r="D142" s="9" t="s">
        <v>1962</v>
      </c>
      <c r="E142" s="9" t="s">
        <v>70</v>
      </c>
      <c r="F142" s="9" t="s">
        <v>58</v>
      </c>
      <c r="H142" s="9" t="s">
        <v>2911</v>
      </c>
      <c r="I142" s="9" t="s">
        <v>2707</v>
      </c>
      <c r="J142" s="9" t="s">
        <v>2940</v>
      </c>
      <c r="K142" t="s">
        <v>2708</v>
      </c>
      <c r="L142" t="s">
        <v>2709</v>
      </c>
      <c r="M142" s="3" t="str">
        <f>HYPERLINK(склад2въезд131920212223[[#This Row],[RelativePath]])</f>
        <v>10 Сушилка навес\E33149364_3_20251119T111317Z.jpg</v>
      </c>
    </row>
    <row r="143" spans="1:13" x14ac:dyDescent="0.25">
      <c r="A143" s="2" t="s">
        <v>15</v>
      </c>
      <c r="B143" s="4">
        <v>45980</v>
      </c>
      <c r="C143" s="5">
        <v>0.46975694444444444</v>
      </c>
      <c r="D143" s="9" t="s">
        <v>1962</v>
      </c>
      <c r="E143" s="9" t="s">
        <v>70</v>
      </c>
      <c r="F143" s="9" t="s">
        <v>58</v>
      </c>
      <c r="H143" s="9" t="s">
        <v>2911</v>
      </c>
      <c r="I143" s="9" t="s">
        <v>2710</v>
      </c>
      <c r="J143" s="9" t="s">
        <v>2940</v>
      </c>
      <c r="K143" t="s">
        <v>2711</v>
      </c>
      <c r="L143" t="s">
        <v>2712</v>
      </c>
      <c r="M143" s="3" t="str">
        <f>HYPERLINK(склад2въезд131920212223[[#This Row],[RelativePath]])</f>
        <v>10 Сушилка навес\E33149364_3_20251119T111627Z.jpg</v>
      </c>
    </row>
    <row r="144" spans="1:13" x14ac:dyDescent="0.25">
      <c r="A144" s="2" t="s">
        <v>15</v>
      </c>
      <c r="B144" s="4">
        <v>45980</v>
      </c>
      <c r="C144" s="5">
        <v>0.47151620370370373</v>
      </c>
      <c r="D144" s="9" t="s">
        <v>1962</v>
      </c>
      <c r="E144" s="9" t="s">
        <v>70</v>
      </c>
      <c r="F144" s="9" t="s">
        <v>58</v>
      </c>
      <c r="H144" s="9" t="s">
        <v>2911</v>
      </c>
      <c r="I144" s="9" t="s">
        <v>2713</v>
      </c>
      <c r="J144" s="9" t="s">
        <v>2940</v>
      </c>
      <c r="K144" t="s">
        <v>2714</v>
      </c>
      <c r="L144" t="s">
        <v>2715</v>
      </c>
      <c r="M144" s="3" t="str">
        <f>HYPERLINK(склад2въезд131920212223[[#This Row],[RelativePath]])</f>
        <v>10 Сушилка навес\E33149364_3_20251119T111859Z.jpg</v>
      </c>
    </row>
    <row r="145" spans="1:13" x14ac:dyDescent="0.25">
      <c r="A145" s="2" t="s">
        <v>15</v>
      </c>
      <c r="B145" s="4">
        <v>45980</v>
      </c>
      <c r="C145" s="5">
        <v>0.47385416666666669</v>
      </c>
      <c r="D145" s="9" t="s">
        <v>1962</v>
      </c>
      <c r="E145" s="9" t="s">
        <v>70</v>
      </c>
      <c r="F145" s="9" t="s">
        <v>58</v>
      </c>
      <c r="H145" s="9" t="s">
        <v>2918</v>
      </c>
      <c r="I145" s="9" t="s">
        <v>2716</v>
      </c>
      <c r="J145" s="9" t="s">
        <v>2940</v>
      </c>
      <c r="K145" t="s">
        <v>2717</v>
      </c>
      <c r="L145" t="s">
        <v>2718</v>
      </c>
      <c r="M145" s="3" t="str">
        <f>HYPERLINK(склад2въезд131920212223[[#This Row],[RelativePath]])</f>
        <v>10 Сушилка навес\E33149364_3_20251119T112221Z.jpg</v>
      </c>
    </row>
    <row r="146" spans="1:13" x14ac:dyDescent="0.25">
      <c r="A146" s="2" t="s">
        <v>15</v>
      </c>
      <c r="B146" s="4">
        <v>45980</v>
      </c>
      <c r="C146" s="5">
        <v>0.47458333333333336</v>
      </c>
      <c r="D146" s="9" t="s">
        <v>1962</v>
      </c>
      <c r="E146" s="9" t="s">
        <v>70</v>
      </c>
      <c r="F146" s="9" t="s">
        <v>2917</v>
      </c>
      <c r="H146" s="9" t="s">
        <v>2911</v>
      </c>
      <c r="I146" s="9" t="s">
        <v>2719</v>
      </c>
      <c r="J146" s="9" t="s">
        <v>2940</v>
      </c>
      <c r="K146" t="s">
        <v>2720</v>
      </c>
      <c r="L146" t="s">
        <v>2721</v>
      </c>
      <c r="M146" s="3" t="str">
        <f>HYPERLINK(склад2въезд131920212223[[#This Row],[RelativePath]])</f>
        <v>10 Сушилка навес\E33149364_3_20251119T112324Z.jpg</v>
      </c>
    </row>
    <row r="147" spans="1:13" x14ac:dyDescent="0.25">
      <c r="A147" s="2" t="s">
        <v>15</v>
      </c>
      <c r="B147" s="4">
        <v>45980</v>
      </c>
      <c r="C147" s="5">
        <v>0.47570601851851851</v>
      </c>
      <c r="D147" s="9" t="s">
        <v>1962</v>
      </c>
      <c r="E147" s="9" t="s">
        <v>70</v>
      </c>
      <c r="F147" s="9" t="s">
        <v>58</v>
      </c>
      <c r="H147" s="9" t="s">
        <v>2918</v>
      </c>
      <c r="I147" s="9" t="s">
        <v>2722</v>
      </c>
      <c r="J147" s="9" t="s">
        <v>2940</v>
      </c>
      <c r="K147" t="s">
        <v>2723</v>
      </c>
      <c r="L147" t="s">
        <v>2724</v>
      </c>
      <c r="M147" s="3" t="str">
        <f>HYPERLINK(склад2въезд131920212223[[#This Row],[RelativePath]])</f>
        <v>10 Сушилка навес\E33149364_3_20251119T112501Z.jpg</v>
      </c>
    </row>
    <row r="148" spans="1:13" x14ac:dyDescent="0.25">
      <c r="A148" s="2" t="s">
        <v>15</v>
      </c>
      <c r="B148" s="4">
        <v>45980</v>
      </c>
      <c r="C148" s="5">
        <v>0.47585648148148146</v>
      </c>
      <c r="D148" s="9" t="s">
        <v>1962</v>
      </c>
      <c r="E148" s="9" t="s">
        <v>70</v>
      </c>
      <c r="F148" s="9" t="s">
        <v>58</v>
      </c>
      <c r="H148" s="9" t="s">
        <v>2918</v>
      </c>
      <c r="I148" s="9" t="s">
        <v>2725</v>
      </c>
      <c r="J148" s="9" t="s">
        <v>2940</v>
      </c>
      <c r="K148" t="s">
        <v>2726</v>
      </c>
      <c r="L148" t="s">
        <v>2727</v>
      </c>
      <c r="M148" s="3" t="str">
        <f>HYPERLINK(склад2въезд131920212223[[#This Row],[RelativePath]])</f>
        <v>10 Сушилка навес\E33149364_3_20251119T112514Z.jpg</v>
      </c>
    </row>
    <row r="149" spans="1:13" x14ac:dyDescent="0.25">
      <c r="A149" s="2" t="s">
        <v>15</v>
      </c>
      <c r="B149" s="4">
        <v>45980</v>
      </c>
      <c r="C149" s="5">
        <v>0.47793981481481479</v>
      </c>
      <c r="D149" s="9" t="s">
        <v>1962</v>
      </c>
      <c r="E149" s="9" t="s">
        <v>70</v>
      </c>
      <c r="F149" s="9" t="s">
        <v>58</v>
      </c>
      <c r="H149" s="9" t="s">
        <v>2918</v>
      </c>
      <c r="I149" s="9" t="s">
        <v>2728</v>
      </c>
      <c r="J149" s="9" t="s">
        <v>2940</v>
      </c>
      <c r="K149" t="s">
        <v>2729</v>
      </c>
      <c r="L149" t="s">
        <v>2730</v>
      </c>
      <c r="M149" s="3" t="str">
        <f>HYPERLINK(склад2въезд131920212223[[#This Row],[RelativePath]])</f>
        <v>10 Сушилка навес\E33149364_3_20251119T112814Z.jpg</v>
      </c>
    </row>
    <row r="150" spans="1:13" x14ac:dyDescent="0.25">
      <c r="A150" s="2" t="s">
        <v>15</v>
      </c>
      <c r="B150" s="4">
        <v>45980</v>
      </c>
      <c r="C150" s="5">
        <v>0.47864583333333333</v>
      </c>
      <c r="D150" s="9" t="s">
        <v>1962</v>
      </c>
      <c r="E150" s="9" t="s">
        <v>70</v>
      </c>
      <c r="F150" s="9" t="s">
        <v>58</v>
      </c>
      <c r="H150" s="9" t="s">
        <v>2912</v>
      </c>
      <c r="I150" s="9" t="s">
        <v>2731</v>
      </c>
      <c r="J150" s="9" t="s">
        <v>2940</v>
      </c>
      <c r="K150" t="s">
        <v>2732</v>
      </c>
      <c r="L150" t="s">
        <v>2733</v>
      </c>
      <c r="M150" s="3" t="str">
        <f>HYPERLINK(склад2въезд131920212223[[#This Row],[RelativePath]])</f>
        <v>10 Сушилка навес\E33149364_3_20251119T112915Z.jpg</v>
      </c>
    </row>
    <row r="151" spans="1:13" x14ac:dyDescent="0.25">
      <c r="A151" s="2" t="s">
        <v>15</v>
      </c>
      <c r="B151" s="4">
        <v>45980</v>
      </c>
      <c r="C151" s="5">
        <v>0.47888888888888886</v>
      </c>
      <c r="D151" s="9" t="s">
        <v>1962</v>
      </c>
      <c r="E151" s="9" t="s">
        <v>70</v>
      </c>
      <c r="F151" s="9" t="s">
        <v>2917</v>
      </c>
      <c r="H151" s="9" t="s">
        <v>2912</v>
      </c>
      <c r="I151" s="9" t="s">
        <v>2734</v>
      </c>
      <c r="J151" s="9" t="s">
        <v>2940</v>
      </c>
      <c r="K151" t="s">
        <v>2735</v>
      </c>
      <c r="L151" t="s">
        <v>2736</v>
      </c>
      <c r="M151" s="3" t="str">
        <f>HYPERLINK(склад2въезд131920212223[[#This Row],[RelativePath]])</f>
        <v>10 Сушилка навес\E33149364_3_20251119T112936Z.jpg</v>
      </c>
    </row>
    <row r="152" spans="1:13" x14ac:dyDescent="0.25">
      <c r="A152" s="2" t="s">
        <v>15</v>
      </c>
      <c r="B152" s="4">
        <v>45980</v>
      </c>
      <c r="C152" s="5">
        <v>0.4790625</v>
      </c>
      <c r="D152" s="9" t="s">
        <v>1962</v>
      </c>
      <c r="E152" s="9" t="s">
        <v>70</v>
      </c>
      <c r="F152" s="9" t="s">
        <v>2917</v>
      </c>
      <c r="H152" s="9" t="s">
        <v>2912</v>
      </c>
      <c r="I152" s="9" t="s">
        <v>2737</v>
      </c>
      <c r="J152" s="9" t="s">
        <v>2940</v>
      </c>
      <c r="K152" t="s">
        <v>2738</v>
      </c>
      <c r="L152" t="s">
        <v>2739</v>
      </c>
      <c r="M152" s="3" t="str">
        <f>HYPERLINK(склад2въезд131920212223[[#This Row],[RelativePath]])</f>
        <v>10 Сушилка навес\E33149364_3_20251119T112951Z.jpg</v>
      </c>
    </row>
    <row r="153" spans="1:13" x14ac:dyDescent="0.25">
      <c r="A153" s="2" t="s">
        <v>15</v>
      </c>
      <c r="B153" s="4">
        <v>45980</v>
      </c>
      <c r="C153" s="5">
        <v>0.47940972222222222</v>
      </c>
      <c r="D153" s="9" t="s">
        <v>1962</v>
      </c>
      <c r="E153" s="9" t="s">
        <v>70</v>
      </c>
      <c r="F153" s="9" t="s">
        <v>2917</v>
      </c>
      <c r="H153" s="9" t="s">
        <v>2912</v>
      </c>
      <c r="I153" s="9" t="s">
        <v>2740</v>
      </c>
      <c r="J153" s="9" t="s">
        <v>2940</v>
      </c>
      <c r="K153" t="s">
        <v>2741</v>
      </c>
      <c r="L153" t="s">
        <v>2742</v>
      </c>
      <c r="M153" s="3" t="str">
        <f>HYPERLINK(склад2въезд131920212223[[#This Row],[RelativePath]])</f>
        <v>10 Сушилка навес\E33149364_3_20251119T113021Z.jpg</v>
      </c>
    </row>
    <row r="154" spans="1:13" x14ac:dyDescent="0.25">
      <c r="A154" s="2" t="s">
        <v>15</v>
      </c>
      <c r="B154" s="4">
        <v>45980</v>
      </c>
      <c r="C154" s="5">
        <v>0.47950231481481481</v>
      </c>
      <c r="D154" s="9" t="s">
        <v>1962</v>
      </c>
      <c r="E154" s="9" t="s">
        <v>70</v>
      </c>
      <c r="F154" s="9" t="s">
        <v>2917</v>
      </c>
      <c r="H154" s="9" t="s">
        <v>2912</v>
      </c>
      <c r="I154" s="9" t="s">
        <v>2743</v>
      </c>
      <c r="J154" s="9" t="s">
        <v>2940</v>
      </c>
      <c r="K154" t="s">
        <v>2744</v>
      </c>
      <c r="L154" t="s">
        <v>2745</v>
      </c>
      <c r="M154" s="3" t="str">
        <f>HYPERLINK(склад2въезд131920212223[[#This Row],[RelativePath]])</f>
        <v>10 Сушилка навес\E33149364_3_20251119T113029Z.jpg</v>
      </c>
    </row>
    <row r="155" spans="1:13" x14ac:dyDescent="0.25">
      <c r="A155" s="2" t="s">
        <v>15</v>
      </c>
      <c r="B155" s="4">
        <v>45980</v>
      </c>
      <c r="C155" s="5">
        <v>0.47957175925925927</v>
      </c>
      <c r="D155" s="9" t="s">
        <v>1962</v>
      </c>
      <c r="E155" s="9" t="s">
        <v>70</v>
      </c>
      <c r="F155" s="9" t="s">
        <v>2917</v>
      </c>
      <c r="H155" s="9" t="s">
        <v>2912</v>
      </c>
      <c r="I155" s="9" t="s">
        <v>2746</v>
      </c>
      <c r="J155" s="9" t="s">
        <v>2940</v>
      </c>
      <c r="K155" t="s">
        <v>2747</v>
      </c>
      <c r="L155" t="s">
        <v>2748</v>
      </c>
      <c r="M155" s="3" t="str">
        <f>HYPERLINK(склад2въезд131920212223[[#This Row],[RelativePath]])</f>
        <v>10 Сушилка навес\E33149364_3_20251119T113035Z.jpg</v>
      </c>
    </row>
    <row r="156" spans="1:13" x14ac:dyDescent="0.25">
      <c r="A156" s="2" t="s">
        <v>15</v>
      </c>
      <c r="B156" s="4">
        <v>45980</v>
      </c>
      <c r="C156" s="5">
        <v>0.4798263888888889</v>
      </c>
      <c r="D156" s="9" t="s">
        <v>2908</v>
      </c>
      <c r="E156" s="9" t="s">
        <v>70</v>
      </c>
      <c r="F156" s="9"/>
      <c r="H156" s="9"/>
      <c r="I156" s="9" t="s">
        <v>2749</v>
      </c>
      <c r="J156" s="9" t="s">
        <v>2940</v>
      </c>
      <c r="K156" t="s">
        <v>2750</v>
      </c>
      <c r="L156" t="s">
        <v>2751</v>
      </c>
      <c r="M156" s="3" t="str">
        <f>HYPERLINK(склад2въезд131920212223[[#This Row],[RelativePath]])</f>
        <v>10 Сушилка навес\E33149364_3_20251119T113057Z.jpg</v>
      </c>
    </row>
    <row r="157" spans="1:13" x14ac:dyDescent="0.25">
      <c r="A157" s="2" t="s">
        <v>15</v>
      </c>
      <c r="B157" s="4">
        <v>45980</v>
      </c>
      <c r="C157" s="5">
        <v>0.54266203703703708</v>
      </c>
      <c r="D157" s="9" t="s">
        <v>505</v>
      </c>
      <c r="E157" s="9" t="s">
        <v>1570</v>
      </c>
      <c r="F157" s="9" t="s">
        <v>58</v>
      </c>
      <c r="H157" s="9" t="s">
        <v>1574</v>
      </c>
      <c r="I157" s="9" t="s">
        <v>2752</v>
      </c>
      <c r="J157" s="9" t="s">
        <v>2940</v>
      </c>
      <c r="K157" t="s">
        <v>2753</v>
      </c>
      <c r="L157" t="s">
        <v>2754</v>
      </c>
      <c r="M157" s="3" t="str">
        <f>HYPERLINK(склад2въезд131920212223[[#This Row],[RelativePath]])</f>
        <v>10 Сушилка навес\E33149364_3_20251119T130126Z.jpg</v>
      </c>
    </row>
    <row r="158" spans="1:13" x14ac:dyDescent="0.25">
      <c r="A158" s="2" t="s">
        <v>15</v>
      </c>
      <c r="B158" s="4">
        <v>45980</v>
      </c>
      <c r="C158" s="5">
        <v>0.54275462962962961</v>
      </c>
      <c r="D158" s="9" t="s">
        <v>505</v>
      </c>
      <c r="E158" s="9" t="s">
        <v>1570</v>
      </c>
      <c r="F158" s="9" t="s">
        <v>58</v>
      </c>
      <c r="H158" s="9" t="s">
        <v>1574</v>
      </c>
      <c r="I158" s="9" t="s">
        <v>2755</v>
      </c>
      <c r="J158" s="9" t="s">
        <v>2940</v>
      </c>
      <c r="K158" t="s">
        <v>2756</v>
      </c>
      <c r="L158" t="s">
        <v>2757</v>
      </c>
      <c r="M158" s="3" t="str">
        <f>HYPERLINK(склад2въезд131920212223[[#This Row],[RelativePath]])</f>
        <v>10 Сушилка навес\E33149364_3_20251119T130134Z.jpg</v>
      </c>
    </row>
    <row r="159" spans="1:13" x14ac:dyDescent="0.25">
      <c r="A159" s="2" t="s">
        <v>15</v>
      </c>
      <c r="B159" s="4">
        <v>45980</v>
      </c>
      <c r="C159" s="5">
        <v>0.54365740740740742</v>
      </c>
      <c r="D159" s="9" t="s">
        <v>505</v>
      </c>
      <c r="E159" s="9" t="s">
        <v>1570</v>
      </c>
      <c r="F159" s="9" t="s">
        <v>58</v>
      </c>
      <c r="H159" s="9" t="s">
        <v>1574</v>
      </c>
      <c r="I159" s="9" t="s">
        <v>2758</v>
      </c>
      <c r="J159" s="9" t="s">
        <v>2940</v>
      </c>
      <c r="K159" t="s">
        <v>2759</v>
      </c>
      <c r="L159" t="s">
        <v>2760</v>
      </c>
      <c r="M159" s="3" t="str">
        <f>HYPERLINK(склад2въезд131920212223[[#This Row],[RelativePath]])</f>
        <v>10 Сушилка навес\E33149364_3_20251119T130252Z.jpg</v>
      </c>
    </row>
    <row r="160" spans="1:13" x14ac:dyDescent="0.25">
      <c r="A160" s="2" t="s">
        <v>15</v>
      </c>
      <c r="B160" s="4">
        <v>45980</v>
      </c>
      <c r="C160" s="5">
        <v>0.6224884259259259</v>
      </c>
      <c r="D160" s="9" t="s">
        <v>4</v>
      </c>
      <c r="E160" s="9" t="s">
        <v>8</v>
      </c>
      <c r="F160" s="9"/>
      <c r="H160" s="9"/>
      <c r="I160" s="9" t="s">
        <v>2761</v>
      </c>
      <c r="J160" s="9" t="s">
        <v>2940</v>
      </c>
      <c r="K160" t="s">
        <v>2762</v>
      </c>
      <c r="L160" t="s">
        <v>2763</v>
      </c>
      <c r="M160" s="3" t="str">
        <f>HYPERLINK(склад2въезд131920212223[[#This Row],[RelativePath]])</f>
        <v>10 Сушилка навес\E33149364_3_20251119T145623Z.jpg</v>
      </c>
    </row>
    <row r="161" spans="1:13" x14ac:dyDescent="0.25">
      <c r="A161" s="2" t="s">
        <v>15</v>
      </c>
      <c r="B161" s="4">
        <v>45980</v>
      </c>
      <c r="C161" s="5">
        <v>0.73146990740740736</v>
      </c>
      <c r="D161" s="9" t="s">
        <v>505</v>
      </c>
      <c r="E161" s="9" t="s">
        <v>1570</v>
      </c>
      <c r="F161" s="9" t="s">
        <v>2899</v>
      </c>
      <c r="H161" s="9" t="s">
        <v>2904</v>
      </c>
      <c r="I161" s="9" t="s">
        <v>2764</v>
      </c>
      <c r="J161" s="9" t="s">
        <v>2940</v>
      </c>
      <c r="K161" t="s">
        <v>2765</v>
      </c>
      <c r="L161" t="s">
        <v>2766</v>
      </c>
      <c r="M161" s="3" t="str">
        <f>HYPERLINK(склад2въезд131920212223[[#This Row],[RelativePath]])</f>
        <v>10 Сушилка навес\E33149364_3_20251119T173319Z.jpg</v>
      </c>
    </row>
    <row r="162" spans="1:13" x14ac:dyDescent="0.25">
      <c r="A162" s="2" t="s">
        <v>15</v>
      </c>
      <c r="B162" s="4">
        <v>45980</v>
      </c>
      <c r="C162" s="5">
        <v>0.73157407407407404</v>
      </c>
      <c r="D162" s="9" t="s">
        <v>505</v>
      </c>
      <c r="E162" s="9" t="s">
        <v>1570</v>
      </c>
      <c r="F162" s="9" t="s">
        <v>2899</v>
      </c>
      <c r="H162" s="9" t="s">
        <v>2904</v>
      </c>
      <c r="I162" s="9" t="s">
        <v>2767</v>
      </c>
      <c r="J162" s="9" t="s">
        <v>2940</v>
      </c>
      <c r="K162" t="s">
        <v>2768</v>
      </c>
      <c r="L162" t="s">
        <v>2769</v>
      </c>
      <c r="M162" s="3" t="str">
        <f>HYPERLINK(склад2въезд131920212223[[#This Row],[RelativePath]])</f>
        <v>10 Сушилка навес\E33149364_3_20251119T173328Z.jpg</v>
      </c>
    </row>
    <row r="163" spans="1:13" x14ac:dyDescent="0.25">
      <c r="A163" s="2" t="s">
        <v>15</v>
      </c>
      <c r="B163" s="4">
        <v>45980</v>
      </c>
      <c r="C163" s="5">
        <v>0.73162037037037042</v>
      </c>
      <c r="D163" s="9" t="s">
        <v>505</v>
      </c>
      <c r="E163" s="9" t="s">
        <v>503</v>
      </c>
      <c r="F163" s="9" t="s">
        <v>58</v>
      </c>
      <c r="H163" s="9" t="s">
        <v>2913</v>
      </c>
      <c r="I163" s="9" t="s">
        <v>2770</v>
      </c>
      <c r="J163" s="9" t="s">
        <v>2940</v>
      </c>
      <c r="K163" t="s">
        <v>2771</v>
      </c>
      <c r="L163" t="s">
        <v>2772</v>
      </c>
      <c r="M163" s="3" t="str">
        <f>HYPERLINK(склад2въезд131920212223[[#This Row],[RelativePath]])</f>
        <v>10 Сушилка навес\E33149364_3_20251119T173332Z.jpg</v>
      </c>
    </row>
    <row r="164" spans="1:13" x14ac:dyDescent="0.25">
      <c r="A164" s="2" t="s">
        <v>16</v>
      </c>
      <c r="B164" s="4">
        <v>45981</v>
      </c>
      <c r="C164" s="5">
        <v>0.48575231481481479</v>
      </c>
      <c r="D164" s="9" t="s">
        <v>505</v>
      </c>
      <c r="E164" s="9" t="s">
        <v>503</v>
      </c>
      <c r="F164" s="9" t="s">
        <v>58</v>
      </c>
      <c r="H164" s="9" t="s">
        <v>2913</v>
      </c>
      <c r="I164" s="9" t="s">
        <v>2773</v>
      </c>
      <c r="J164" s="9" t="s">
        <v>2940</v>
      </c>
      <c r="K164" t="s">
        <v>2774</v>
      </c>
      <c r="L164" t="s">
        <v>2775</v>
      </c>
      <c r="M164" s="3" t="str">
        <f>HYPERLINK(склад2въезд131920212223[[#This Row],[RelativePath]])</f>
        <v>10 Сушилка навес\E33149364_3_20251120T113929Z.jpg</v>
      </c>
    </row>
    <row r="165" spans="1:13" x14ac:dyDescent="0.25">
      <c r="A165" s="2" t="s">
        <v>16</v>
      </c>
      <c r="B165" s="4">
        <v>45981</v>
      </c>
      <c r="C165" s="5">
        <v>0.48576388888888888</v>
      </c>
      <c r="D165" s="9" t="s">
        <v>505</v>
      </c>
      <c r="E165" s="9" t="s">
        <v>503</v>
      </c>
      <c r="F165" s="9" t="s">
        <v>58</v>
      </c>
      <c r="H165" s="9" t="s">
        <v>2913</v>
      </c>
      <c r="I165" s="9" t="s">
        <v>2776</v>
      </c>
      <c r="J165" s="9" t="s">
        <v>2940</v>
      </c>
      <c r="K165" t="s">
        <v>2777</v>
      </c>
      <c r="L165" t="s">
        <v>2778</v>
      </c>
      <c r="M165" s="3" t="str">
        <f>HYPERLINK(склад2въезд131920212223[[#This Row],[RelativePath]])</f>
        <v>10 Сушилка навес\E33149364_3_20251120T113930Z.jpg</v>
      </c>
    </row>
    <row r="166" spans="1:13" x14ac:dyDescent="0.25">
      <c r="A166" s="2" t="s">
        <v>16</v>
      </c>
      <c r="B166" s="4">
        <v>45981</v>
      </c>
      <c r="C166" s="5">
        <v>0.50848379629629625</v>
      </c>
      <c r="D166" s="9" t="s">
        <v>505</v>
      </c>
      <c r="E166" s="9" t="s">
        <v>503</v>
      </c>
      <c r="F166" s="9" t="s">
        <v>2919</v>
      </c>
      <c r="H166" s="9" t="s">
        <v>2913</v>
      </c>
      <c r="I166" s="9" t="s">
        <v>2779</v>
      </c>
      <c r="J166" s="9" t="s">
        <v>2940</v>
      </c>
      <c r="K166" t="s">
        <v>2780</v>
      </c>
      <c r="L166" t="s">
        <v>2781</v>
      </c>
      <c r="M166" s="3" t="str">
        <f>HYPERLINK(склад2въезд131920212223[[#This Row],[RelativePath]])</f>
        <v>10 Сушилка навес\E33149364_3_20251120T121213Z.jpg</v>
      </c>
    </row>
    <row r="167" spans="1:13" x14ac:dyDescent="0.25">
      <c r="A167" s="2" t="s">
        <v>16</v>
      </c>
      <c r="B167" s="4">
        <v>45981</v>
      </c>
      <c r="C167" s="5">
        <v>0.60218749999999999</v>
      </c>
      <c r="D167" s="9" t="s">
        <v>505</v>
      </c>
      <c r="E167" s="9" t="s">
        <v>1570</v>
      </c>
      <c r="F167" s="9" t="s">
        <v>58</v>
      </c>
      <c r="H167" s="9" t="s">
        <v>2904</v>
      </c>
      <c r="I167" s="9" t="s">
        <v>2782</v>
      </c>
      <c r="J167" s="9" t="s">
        <v>2940</v>
      </c>
      <c r="K167" t="s">
        <v>2783</v>
      </c>
      <c r="L167" t="s">
        <v>2784</v>
      </c>
      <c r="M167" s="3" t="str">
        <f>HYPERLINK(склад2въезд131920212223[[#This Row],[RelativePath]])</f>
        <v>10 Сушилка навес\E33149364_3_20251120T142709Z.jpg</v>
      </c>
    </row>
    <row r="168" spans="1:13" x14ac:dyDescent="0.25">
      <c r="A168" s="2" t="s">
        <v>16</v>
      </c>
      <c r="B168" s="4">
        <v>45981</v>
      </c>
      <c r="C168" s="5">
        <v>0.60229166666666667</v>
      </c>
      <c r="D168" s="9" t="s">
        <v>505</v>
      </c>
      <c r="E168" s="9" t="s">
        <v>1570</v>
      </c>
      <c r="F168" s="9" t="s">
        <v>58</v>
      </c>
      <c r="H168" s="9" t="s">
        <v>2904</v>
      </c>
      <c r="I168" s="9" t="s">
        <v>2785</v>
      </c>
      <c r="J168" s="9" t="s">
        <v>2940</v>
      </c>
      <c r="K168" t="s">
        <v>2786</v>
      </c>
      <c r="L168" t="s">
        <v>2787</v>
      </c>
      <c r="M168" s="3" t="str">
        <f>HYPERLINK(склад2въезд131920212223[[#This Row],[RelativePath]])</f>
        <v>10 Сушилка навес\E33149364_3_20251120T142718Z.jpg</v>
      </c>
    </row>
    <row r="169" spans="1:13" x14ac:dyDescent="0.25">
      <c r="A169" s="2" t="s">
        <v>16</v>
      </c>
      <c r="B169" s="4">
        <v>45981</v>
      </c>
      <c r="C169" s="5">
        <v>0.61241898148148144</v>
      </c>
      <c r="D169" s="9" t="s">
        <v>2920</v>
      </c>
      <c r="E169" s="9"/>
      <c r="F169" s="9"/>
      <c r="H169" s="9"/>
      <c r="I169" s="9" t="s">
        <v>2788</v>
      </c>
      <c r="J169" s="9" t="s">
        <v>2940</v>
      </c>
      <c r="K169" t="s">
        <v>2789</v>
      </c>
      <c r="L169" t="s">
        <v>2790</v>
      </c>
      <c r="M169" s="3" t="str">
        <f>HYPERLINK(склад2въезд131920212223[[#This Row],[RelativePath]])</f>
        <v>10 Сушилка навес\E33149364_3_20251120T144153Z.jpg</v>
      </c>
    </row>
    <row r="170" spans="1:13" x14ac:dyDescent="0.25">
      <c r="A170" s="2" t="s">
        <v>16</v>
      </c>
      <c r="B170" s="4">
        <v>45981</v>
      </c>
      <c r="C170" s="5">
        <v>0.62277777777777776</v>
      </c>
      <c r="D170" s="9" t="s">
        <v>2920</v>
      </c>
      <c r="E170" s="9"/>
      <c r="F170" s="9"/>
      <c r="H170" s="9"/>
      <c r="I170" s="9" t="s">
        <v>2791</v>
      </c>
      <c r="J170" s="9" t="s">
        <v>2940</v>
      </c>
      <c r="K170" t="s">
        <v>2792</v>
      </c>
      <c r="L170" t="s">
        <v>2793</v>
      </c>
      <c r="M170" s="3" t="str">
        <f>HYPERLINK(склад2въезд131920212223[[#This Row],[RelativePath]])</f>
        <v>10 Сушилка навес\E33149364_3_20251120T145648Z.jpg</v>
      </c>
    </row>
    <row r="171" spans="1:13" x14ac:dyDescent="0.25">
      <c r="A171" s="2" t="s">
        <v>16</v>
      </c>
      <c r="B171" s="4">
        <v>45981</v>
      </c>
      <c r="C171" s="5">
        <v>0.64945601851851853</v>
      </c>
      <c r="D171" s="9" t="s">
        <v>4</v>
      </c>
      <c r="E171" s="9" t="s">
        <v>8</v>
      </c>
      <c r="F171" s="9"/>
      <c r="H171" s="11" t="s">
        <v>2922</v>
      </c>
      <c r="I171" s="9" t="s">
        <v>2794</v>
      </c>
      <c r="J171" s="9" t="s">
        <v>2940</v>
      </c>
      <c r="K171" t="s">
        <v>2795</v>
      </c>
      <c r="L171" t="s">
        <v>2796</v>
      </c>
      <c r="M171" s="3" t="str">
        <f>HYPERLINK(склад2въезд131920212223[[#This Row],[RelativePath]])</f>
        <v>10 Сушилка навес\E33149364_3_20251120T153513Z.jpg</v>
      </c>
    </row>
    <row r="172" spans="1:13" x14ac:dyDescent="0.25">
      <c r="A172" s="2" t="s">
        <v>17</v>
      </c>
      <c r="B172" s="4">
        <v>45982</v>
      </c>
      <c r="C172" s="5">
        <v>0.37239583333333331</v>
      </c>
      <c r="D172" s="9" t="s">
        <v>505</v>
      </c>
      <c r="E172" s="9" t="s">
        <v>503</v>
      </c>
      <c r="F172" s="9" t="s">
        <v>58</v>
      </c>
      <c r="H172" s="9" t="s">
        <v>2909</v>
      </c>
      <c r="I172" s="9" t="s">
        <v>2797</v>
      </c>
      <c r="J172" s="9" t="s">
        <v>2940</v>
      </c>
      <c r="K172" t="s">
        <v>2798</v>
      </c>
      <c r="L172" t="s">
        <v>2799</v>
      </c>
      <c r="M172" s="3" t="str">
        <f>HYPERLINK(склад2въезд131920212223[[#This Row],[RelativePath]])</f>
        <v>10 Сушилка навес\E33149364_3_20251121T085615Z.jpg</v>
      </c>
    </row>
    <row r="173" spans="1:13" x14ac:dyDescent="0.25">
      <c r="A173" s="2" t="s">
        <v>17</v>
      </c>
      <c r="B173" s="4">
        <v>45982</v>
      </c>
      <c r="C173" s="5">
        <v>0.37672453703703701</v>
      </c>
      <c r="D173" s="9" t="s">
        <v>505</v>
      </c>
      <c r="E173" s="9" t="s">
        <v>503</v>
      </c>
      <c r="F173" s="9" t="s">
        <v>58</v>
      </c>
      <c r="H173" s="9" t="s">
        <v>2909</v>
      </c>
      <c r="I173" s="9" t="s">
        <v>2800</v>
      </c>
      <c r="J173" s="9" t="s">
        <v>2940</v>
      </c>
      <c r="K173" t="s">
        <v>2801</v>
      </c>
      <c r="L173" t="s">
        <v>2802</v>
      </c>
      <c r="M173" s="3" t="str">
        <f>HYPERLINK(склад2въезд131920212223[[#This Row],[RelativePath]])</f>
        <v>10 Сушилка навес\E33149364_3_20251121T090229Z.jpg</v>
      </c>
    </row>
    <row r="174" spans="1:13" x14ac:dyDescent="0.25">
      <c r="A174" s="2" t="s">
        <v>17</v>
      </c>
      <c r="B174" s="4">
        <v>45982</v>
      </c>
      <c r="C174" s="5">
        <v>0.38548611111111108</v>
      </c>
      <c r="D174" s="9" t="s">
        <v>505</v>
      </c>
      <c r="E174" s="9" t="s">
        <v>503</v>
      </c>
      <c r="F174" s="9" t="s">
        <v>58</v>
      </c>
      <c r="H174" s="9" t="s">
        <v>2909</v>
      </c>
      <c r="I174" s="9" t="s">
        <v>2803</v>
      </c>
      <c r="J174" s="9" t="s">
        <v>2940</v>
      </c>
      <c r="K174" t="s">
        <v>2804</v>
      </c>
      <c r="L174" t="s">
        <v>2805</v>
      </c>
      <c r="M174" s="3" t="str">
        <f>HYPERLINK(склад2въезд131920212223[[#This Row],[RelativePath]])</f>
        <v>10 Сушилка навес\E33149364_3_20251121T091506Z.jpg</v>
      </c>
    </row>
    <row r="175" spans="1:13" x14ac:dyDescent="0.25">
      <c r="A175" s="2" t="s">
        <v>17</v>
      </c>
      <c r="B175" s="4">
        <v>45982</v>
      </c>
      <c r="C175" s="5">
        <v>0.41283564814814816</v>
      </c>
      <c r="D175" s="9" t="s">
        <v>4</v>
      </c>
      <c r="E175" s="9" t="s">
        <v>8</v>
      </c>
      <c r="F175" s="9"/>
      <c r="H175" s="9" t="s">
        <v>2891</v>
      </c>
      <c r="I175" s="9" t="s">
        <v>2806</v>
      </c>
      <c r="J175" s="9" t="s">
        <v>2940</v>
      </c>
      <c r="K175" t="s">
        <v>2807</v>
      </c>
      <c r="L175" t="s">
        <v>2808</v>
      </c>
      <c r="M175" s="3" t="str">
        <f>HYPERLINK(склад2въезд131920212223[[#This Row],[RelativePath]])</f>
        <v>10 Сушилка навес\E33149364_3_20251121T095429Z.jpg</v>
      </c>
    </row>
    <row r="176" spans="1:13" x14ac:dyDescent="0.25">
      <c r="A176" s="2" t="s">
        <v>17</v>
      </c>
      <c r="B176" s="4">
        <v>45982</v>
      </c>
      <c r="C176" s="5">
        <v>0.43372685185185184</v>
      </c>
      <c r="D176" s="9" t="s">
        <v>4</v>
      </c>
      <c r="E176" s="9" t="s">
        <v>8</v>
      </c>
      <c r="F176" s="9"/>
      <c r="H176" s="11" t="s">
        <v>2922</v>
      </c>
      <c r="I176" s="9" t="s">
        <v>2809</v>
      </c>
      <c r="J176" s="9" t="s">
        <v>2940</v>
      </c>
      <c r="K176" t="s">
        <v>2810</v>
      </c>
      <c r="L176" t="s">
        <v>2811</v>
      </c>
      <c r="M176" s="3" t="str">
        <f>HYPERLINK(склад2въезд131920212223[[#This Row],[RelativePath]])</f>
        <v>10 Сушилка навес\E33149364_3_20251121T102434Z.jpg</v>
      </c>
    </row>
    <row r="177" spans="1:13" x14ac:dyDescent="0.25">
      <c r="A177" s="2" t="s">
        <v>17</v>
      </c>
      <c r="B177" s="4">
        <v>45982</v>
      </c>
      <c r="C177" s="5">
        <v>0.43914351851851852</v>
      </c>
      <c r="D177" s="9" t="s">
        <v>505</v>
      </c>
      <c r="E177" s="9" t="s">
        <v>1570</v>
      </c>
      <c r="F177" s="9" t="s">
        <v>58</v>
      </c>
      <c r="H177" s="9" t="s">
        <v>2913</v>
      </c>
      <c r="I177" s="9" t="s">
        <v>2812</v>
      </c>
      <c r="J177" s="9" t="s">
        <v>2940</v>
      </c>
      <c r="K177" t="s">
        <v>2813</v>
      </c>
      <c r="L177" t="s">
        <v>2814</v>
      </c>
      <c r="M177" s="3" t="str">
        <f>HYPERLINK(склад2въезд131920212223[[#This Row],[RelativePath]])</f>
        <v>10 Сушилка навес\E33149364_3_20251121T103222Z.jpg</v>
      </c>
    </row>
    <row r="178" spans="1:13" x14ac:dyDescent="0.25">
      <c r="A178" s="2" t="s">
        <v>17</v>
      </c>
      <c r="B178" s="4">
        <v>45982</v>
      </c>
      <c r="C178" s="5">
        <v>0.4392361111111111</v>
      </c>
      <c r="D178" s="9" t="s">
        <v>2921</v>
      </c>
      <c r="E178" s="9" t="s">
        <v>1570</v>
      </c>
      <c r="F178" s="9" t="s">
        <v>58</v>
      </c>
      <c r="H178" s="9" t="s">
        <v>2913</v>
      </c>
      <c r="I178" s="9" t="s">
        <v>2815</v>
      </c>
      <c r="J178" s="9" t="s">
        <v>2940</v>
      </c>
      <c r="K178" t="s">
        <v>2816</v>
      </c>
      <c r="L178" t="s">
        <v>2817</v>
      </c>
      <c r="M178" s="3" t="str">
        <f>HYPERLINK(склад2въезд131920212223[[#This Row],[RelativePath]])</f>
        <v>10 Сушилка навес\E33149364_3_20251121T103230Z.jpg</v>
      </c>
    </row>
    <row r="179" spans="1:13" x14ac:dyDescent="0.25">
      <c r="A179" s="2" t="s">
        <v>17</v>
      </c>
      <c r="B179" s="4">
        <v>45982</v>
      </c>
      <c r="C179" s="5">
        <v>0.61430555555555555</v>
      </c>
      <c r="D179" s="9" t="s">
        <v>505</v>
      </c>
      <c r="E179" s="9" t="s">
        <v>1570</v>
      </c>
      <c r="F179" s="9" t="s">
        <v>58</v>
      </c>
      <c r="H179" s="9" t="s">
        <v>2909</v>
      </c>
      <c r="I179" s="9" t="s">
        <v>2818</v>
      </c>
      <c r="J179" s="9" t="s">
        <v>2940</v>
      </c>
      <c r="K179" t="s">
        <v>2819</v>
      </c>
      <c r="L179" t="s">
        <v>2820</v>
      </c>
      <c r="M179" s="3" t="str">
        <f>HYPERLINK(склад2въезд131920212223[[#This Row],[RelativePath]])</f>
        <v>10 Сушилка навес\E33149364_3_20251121T144436Z.jpg</v>
      </c>
    </row>
    <row r="180" spans="1:13" x14ac:dyDescent="0.25">
      <c r="A180" s="2" t="s">
        <v>17</v>
      </c>
      <c r="B180" s="4">
        <v>45982</v>
      </c>
      <c r="C180" s="5">
        <v>0.61451388888888892</v>
      </c>
      <c r="D180" s="9" t="s">
        <v>2921</v>
      </c>
      <c r="E180" s="9" t="s">
        <v>1570</v>
      </c>
      <c r="F180" s="9" t="s">
        <v>58</v>
      </c>
      <c r="H180" s="9" t="s">
        <v>2909</v>
      </c>
      <c r="I180" s="9" t="s">
        <v>2821</v>
      </c>
      <c r="J180" s="9" t="s">
        <v>2940</v>
      </c>
      <c r="K180" t="s">
        <v>2822</v>
      </c>
      <c r="L180" t="s">
        <v>2823</v>
      </c>
      <c r="M180" s="3" t="str">
        <f>HYPERLINK(склад2въезд131920212223[[#This Row],[RelativePath]])</f>
        <v>10 Сушилка навес\E33149364_3_20251121T144454Z.jpg</v>
      </c>
    </row>
    <row r="181" spans="1:13" x14ac:dyDescent="0.25">
      <c r="A181" s="2" t="s">
        <v>17</v>
      </c>
      <c r="B181" s="4">
        <v>45982</v>
      </c>
      <c r="C181" s="5">
        <v>0.61476851851851855</v>
      </c>
      <c r="D181" s="9" t="s">
        <v>2921</v>
      </c>
      <c r="E181" s="9" t="s">
        <v>1570</v>
      </c>
      <c r="F181" s="9" t="s">
        <v>58</v>
      </c>
      <c r="H181" s="9" t="s">
        <v>2909</v>
      </c>
      <c r="I181" s="9" t="s">
        <v>2824</v>
      </c>
      <c r="J181" s="9" t="s">
        <v>2940</v>
      </c>
      <c r="K181" t="s">
        <v>2825</v>
      </c>
      <c r="L181" t="s">
        <v>2826</v>
      </c>
      <c r="M181" s="3" t="str">
        <f>HYPERLINK(склад2въезд131920212223[[#This Row],[RelativePath]])</f>
        <v>10 Сушилка навес\E33149364_3_20251121T144516Z.jpg</v>
      </c>
    </row>
    <row r="182" spans="1:13" x14ac:dyDescent="0.25">
      <c r="A182" s="2" t="s">
        <v>17</v>
      </c>
      <c r="B182" s="4">
        <v>45982</v>
      </c>
      <c r="C182" s="5">
        <v>0.61885416666666671</v>
      </c>
      <c r="D182" s="9" t="s">
        <v>2921</v>
      </c>
      <c r="E182" s="9" t="s">
        <v>1570</v>
      </c>
      <c r="F182" s="9" t="s">
        <v>58</v>
      </c>
      <c r="H182" s="9" t="s">
        <v>2909</v>
      </c>
      <c r="I182" s="9" t="s">
        <v>2827</v>
      </c>
      <c r="J182" s="9" t="s">
        <v>2940</v>
      </c>
      <c r="K182" t="s">
        <v>2828</v>
      </c>
      <c r="L182" t="s">
        <v>2829</v>
      </c>
      <c r="M182" s="3" t="str">
        <f>HYPERLINK(склад2въезд131920212223[[#This Row],[RelativePath]])</f>
        <v>10 Сушилка навес\E33149364_3_20251121T145109Z.jpg</v>
      </c>
    </row>
    <row r="183" spans="1:13" x14ac:dyDescent="0.25">
      <c r="A183" s="2" t="s">
        <v>17</v>
      </c>
      <c r="B183" s="4">
        <v>45982</v>
      </c>
      <c r="C183" s="5">
        <v>0.67307870370370371</v>
      </c>
      <c r="D183" s="9" t="s">
        <v>505</v>
      </c>
      <c r="E183" s="9" t="s">
        <v>1570</v>
      </c>
      <c r="F183" s="9" t="s">
        <v>58</v>
      </c>
      <c r="H183" s="9" t="s">
        <v>1574</v>
      </c>
      <c r="I183" s="9" t="s">
        <v>2830</v>
      </c>
      <c r="J183" s="9" t="s">
        <v>2940</v>
      </c>
      <c r="K183" t="s">
        <v>2831</v>
      </c>
      <c r="L183" t="s">
        <v>2832</v>
      </c>
      <c r="M183" s="3" t="str">
        <f>HYPERLINK(склад2въезд131920212223[[#This Row],[RelativePath]])</f>
        <v>10 Сушилка навес\E33149364_3_20251121T160914Z.jpg</v>
      </c>
    </row>
    <row r="184" spans="1:13" x14ac:dyDescent="0.25">
      <c r="A184" s="2" t="s">
        <v>17</v>
      </c>
      <c r="B184" s="4">
        <v>45982</v>
      </c>
      <c r="C184" s="5">
        <v>0.67358796296296297</v>
      </c>
      <c r="D184" s="9" t="s">
        <v>505</v>
      </c>
      <c r="E184" s="9" t="s">
        <v>1570</v>
      </c>
      <c r="F184" s="9" t="s">
        <v>58</v>
      </c>
      <c r="H184" s="9" t="s">
        <v>1574</v>
      </c>
      <c r="I184" s="9" t="s">
        <v>2833</v>
      </c>
      <c r="J184" s="9" t="s">
        <v>2940</v>
      </c>
      <c r="K184" t="s">
        <v>2834</v>
      </c>
      <c r="L184" t="s">
        <v>2835</v>
      </c>
      <c r="M184" s="3" t="str">
        <f>HYPERLINK(склад2въезд131920212223[[#This Row],[RelativePath]])</f>
        <v>10 Сушилка навес\E33149364_3_20251121T160958Z.jpg</v>
      </c>
    </row>
    <row r="185" spans="1:13" x14ac:dyDescent="0.25">
      <c r="A185" s="2" t="s">
        <v>17</v>
      </c>
      <c r="B185" s="4">
        <v>45982</v>
      </c>
      <c r="C185" s="5">
        <v>0.6746064814814815</v>
      </c>
      <c r="D185" s="9" t="s">
        <v>4</v>
      </c>
      <c r="E185" s="9" t="s">
        <v>8</v>
      </c>
      <c r="F185" s="9"/>
      <c r="H185" s="9"/>
      <c r="I185" s="9" t="s">
        <v>2836</v>
      </c>
      <c r="J185" s="9" t="s">
        <v>2940</v>
      </c>
      <c r="K185" t="s">
        <v>2837</v>
      </c>
      <c r="L185" t="s">
        <v>2838</v>
      </c>
      <c r="M185" s="3" t="str">
        <f>HYPERLINK(склад2въезд131920212223[[#This Row],[RelativePath]])</f>
        <v>10 Сушилка навес\E33149364_3_20251121T161126Z.jpg</v>
      </c>
    </row>
    <row r="186" spans="1:13" x14ac:dyDescent="0.25">
      <c r="A186" s="2" t="s">
        <v>18</v>
      </c>
      <c r="B186" s="4">
        <v>45983</v>
      </c>
      <c r="C186" s="5">
        <v>0.42274305555555558</v>
      </c>
      <c r="D186" s="9" t="s">
        <v>4</v>
      </c>
      <c r="E186" s="9" t="s">
        <v>8</v>
      </c>
      <c r="F186" s="9"/>
      <c r="H186" s="9"/>
      <c r="I186" s="9" t="s">
        <v>2839</v>
      </c>
      <c r="J186" s="9" t="s">
        <v>2940</v>
      </c>
      <c r="K186" t="s">
        <v>2840</v>
      </c>
      <c r="L186" t="s">
        <v>2841</v>
      </c>
      <c r="M186" s="3" t="str">
        <f>HYPERLINK(склад2въезд131920212223[[#This Row],[RelativePath]])</f>
        <v>10 Сушилка навес\E33149364_3_20251122T100845Z.jpg</v>
      </c>
    </row>
    <row r="187" spans="1:13" x14ac:dyDescent="0.25">
      <c r="A187" s="2" t="s">
        <v>18</v>
      </c>
      <c r="B187" s="4">
        <v>45983</v>
      </c>
      <c r="C187" s="5">
        <v>0.72896990740740741</v>
      </c>
      <c r="D187" s="9" t="s">
        <v>1967</v>
      </c>
      <c r="E187" s="9"/>
      <c r="F187" s="9"/>
      <c r="H187" s="9"/>
      <c r="I187" s="9" t="s">
        <v>2842</v>
      </c>
      <c r="J187" s="9" t="s">
        <v>2940</v>
      </c>
      <c r="K187" t="s">
        <v>2843</v>
      </c>
      <c r="L187" t="s">
        <v>2844</v>
      </c>
      <c r="M187" s="3" t="str">
        <f>HYPERLINK(склад2въезд131920212223[[#This Row],[RelativePath]])</f>
        <v>10 Сушилка навес\E33149364_3_20251122T172943Z.jpg</v>
      </c>
    </row>
    <row r="188" spans="1:13" x14ac:dyDescent="0.25">
      <c r="A188" s="2" t="s">
        <v>22</v>
      </c>
      <c r="B188" s="4">
        <v>45984</v>
      </c>
      <c r="C188" s="5">
        <v>0.4478240740740741</v>
      </c>
      <c r="D188" s="9" t="s">
        <v>4</v>
      </c>
      <c r="E188" s="9" t="s">
        <v>8</v>
      </c>
      <c r="F188" s="9"/>
      <c r="H188" s="9"/>
      <c r="I188" s="9" t="s">
        <v>2845</v>
      </c>
      <c r="J188" s="9" t="s">
        <v>2940</v>
      </c>
      <c r="K188" t="s">
        <v>2846</v>
      </c>
      <c r="L188" t="s">
        <v>2847</v>
      </c>
      <c r="M188" s="3" t="str">
        <f>HYPERLINK(склад2въезд131920212223[[#This Row],[RelativePath]])</f>
        <v>10 Сушилка навес\E33149364_3_20251123T104452Z.jpg</v>
      </c>
    </row>
    <row r="189" spans="1:13" x14ac:dyDescent="0.25">
      <c r="A189" s="2" t="s">
        <v>22</v>
      </c>
      <c r="B189" s="4">
        <v>45984</v>
      </c>
      <c r="C189" s="5">
        <v>0.66658564814814814</v>
      </c>
      <c r="D189" s="9" t="s">
        <v>1967</v>
      </c>
      <c r="E189" s="9"/>
      <c r="F189" s="9"/>
      <c r="H189" s="9"/>
      <c r="I189" s="9" t="s">
        <v>2848</v>
      </c>
      <c r="J189" s="9" t="s">
        <v>2940</v>
      </c>
      <c r="K189" t="s">
        <v>2849</v>
      </c>
      <c r="L189" t="s">
        <v>2850</v>
      </c>
      <c r="M189" s="3" t="str">
        <f>HYPERLINK(склад2въезд131920212223[[#This Row],[RelativePath]])</f>
        <v>10 Сушилка навес\E33149364_3_20251123T155953Z.jpg</v>
      </c>
    </row>
    <row r="190" spans="1:13" x14ac:dyDescent="0.25">
      <c r="A190" s="2" t="s">
        <v>13</v>
      </c>
      <c r="B190" s="4">
        <v>45985</v>
      </c>
      <c r="C190" s="5">
        <v>0.40252314814814816</v>
      </c>
      <c r="D190" s="9" t="s">
        <v>4164</v>
      </c>
      <c r="E190" s="9" t="s">
        <v>86</v>
      </c>
      <c r="F190" s="9" t="s">
        <v>200</v>
      </c>
      <c r="H190" s="9" t="s">
        <v>4165</v>
      </c>
      <c r="I190" s="9" t="s">
        <v>3809</v>
      </c>
      <c r="J190" s="9" t="s">
        <v>2940</v>
      </c>
      <c r="K190" t="s">
        <v>3810</v>
      </c>
      <c r="L190" t="s">
        <v>3811</v>
      </c>
      <c r="M190" s="3" t="str">
        <f>HYPERLINK(склад2въезд131920212223[[#This Row],[RelativePath]])</f>
        <v>10 Сушилка навес\E33149364_3_20251124T093938Z.jpg</v>
      </c>
    </row>
    <row r="191" spans="1:13" x14ac:dyDescent="0.25">
      <c r="A191" s="2" t="s">
        <v>13</v>
      </c>
      <c r="B191" s="4">
        <v>45985</v>
      </c>
      <c r="C191" s="5">
        <v>0.43296296296296294</v>
      </c>
      <c r="D191" s="9" t="s">
        <v>4166</v>
      </c>
      <c r="E191" s="9" t="s">
        <v>86</v>
      </c>
      <c r="F191" s="9"/>
      <c r="H191" s="9"/>
      <c r="I191" s="9" t="s">
        <v>3812</v>
      </c>
      <c r="J191" s="9" t="s">
        <v>2940</v>
      </c>
      <c r="K191" t="s">
        <v>3813</v>
      </c>
      <c r="L191" t="s">
        <v>3814</v>
      </c>
      <c r="M191" s="3" t="str">
        <f>HYPERLINK(склад2въезд131920212223[[#This Row],[RelativePath]])</f>
        <v>10 Сушилка навес\E33149364_3_20251124T102328Z.jpg</v>
      </c>
    </row>
    <row r="192" spans="1:13" x14ac:dyDescent="0.25">
      <c r="A192" s="2" t="s">
        <v>13</v>
      </c>
      <c r="B192" s="4">
        <v>45985</v>
      </c>
      <c r="C192" s="5">
        <v>0.7056365740740741</v>
      </c>
      <c r="D192" s="9" t="s">
        <v>4164</v>
      </c>
      <c r="E192" s="9" t="s">
        <v>86</v>
      </c>
      <c r="F192" s="9" t="s">
        <v>200</v>
      </c>
      <c r="H192" s="9" t="s">
        <v>1568</v>
      </c>
      <c r="I192" s="9" t="s">
        <v>3815</v>
      </c>
      <c r="J192" s="9" t="s">
        <v>2940</v>
      </c>
      <c r="K192" t="s">
        <v>3816</v>
      </c>
      <c r="L192" t="s">
        <v>3817</v>
      </c>
      <c r="M192" s="3" t="str">
        <f>HYPERLINK(склад2въезд131920212223[[#This Row],[RelativePath]])</f>
        <v>10 Сушилка навес\E33149364_3_20251124T165607Z.jpg</v>
      </c>
    </row>
    <row r="193" spans="1:13" x14ac:dyDescent="0.25">
      <c r="A193" s="2" t="s">
        <v>13</v>
      </c>
      <c r="B193" s="4">
        <v>45985</v>
      </c>
      <c r="C193" s="5">
        <v>0.73903935185185188</v>
      </c>
      <c r="D193" s="9" t="s">
        <v>1569</v>
      </c>
      <c r="E193" s="9" t="s">
        <v>70</v>
      </c>
      <c r="F193" s="9" t="s">
        <v>1572</v>
      </c>
      <c r="H193" s="9"/>
      <c r="I193" s="9" t="s">
        <v>3818</v>
      </c>
      <c r="J193" s="9" t="s">
        <v>2940</v>
      </c>
      <c r="K193" t="s">
        <v>3819</v>
      </c>
      <c r="L193" t="s">
        <v>3820</v>
      </c>
      <c r="M193" s="3" t="str">
        <f>HYPERLINK(склад2въезд131920212223[[#This Row],[RelativePath]])</f>
        <v>10 Сушилка навес\E33149364_3_20251124T174413Z.jpg</v>
      </c>
    </row>
    <row r="194" spans="1:13" x14ac:dyDescent="0.25">
      <c r="A194" s="2" t="s">
        <v>13</v>
      </c>
      <c r="B194" s="4">
        <v>45985</v>
      </c>
      <c r="C194" s="5">
        <v>0.74380787037037033</v>
      </c>
      <c r="D194" s="9" t="s">
        <v>4167</v>
      </c>
      <c r="E194" s="9" t="s">
        <v>70</v>
      </c>
      <c r="F194" s="9" t="s">
        <v>58</v>
      </c>
      <c r="H194" s="9"/>
      <c r="I194" s="9" t="s">
        <v>3821</v>
      </c>
      <c r="J194" s="9" t="s">
        <v>2940</v>
      </c>
      <c r="K194" t="s">
        <v>3822</v>
      </c>
      <c r="L194" t="s">
        <v>3823</v>
      </c>
      <c r="M194" s="3" t="str">
        <f>HYPERLINK(склад2въезд131920212223[[#This Row],[RelativePath]])</f>
        <v>10 Сушилка навес\E33149364_3_20251124T175105Z.jpg</v>
      </c>
    </row>
    <row r="195" spans="1:13" x14ac:dyDescent="0.25">
      <c r="A195" s="2" t="s">
        <v>13</v>
      </c>
      <c r="B195" s="4">
        <v>45985</v>
      </c>
      <c r="C195" s="5">
        <v>0.75608796296296299</v>
      </c>
      <c r="D195" s="9" t="s">
        <v>622</v>
      </c>
      <c r="E195" s="9" t="s">
        <v>70</v>
      </c>
      <c r="F195" s="9"/>
      <c r="H195" s="9"/>
      <c r="I195" s="9" t="s">
        <v>3824</v>
      </c>
      <c r="J195" s="9" t="s">
        <v>2940</v>
      </c>
      <c r="K195" t="s">
        <v>3825</v>
      </c>
      <c r="L195" t="s">
        <v>3826</v>
      </c>
      <c r="M195" s="3" t="str">
        <f>HYPERLINK(склад2въезд131920212223[[#This Row],[RelativePath]])</f>
        <v>10 Сушилка навес\E33149364_3_20251124T180846Z.jpg</v>
      </c>
    </row>
    <row r="196" spans="1:13" x14ac:dyDescent="0.25">
      <c r="A196" s="2" t="s">
        <v>14</v>
      </c>
      <c r="B196" s="4">
        <v>45986</v>
      </c>
      <c r="C196" s="5">
        <v>0.37829861111111113</v>
      </c>
      <c r="D196" s="9" t="s">
        <v>4</v>
      </c>
      <c r="E196" s="9" t="s">
        <v>8</v>
      </c>
      <c r="F196" s="9"/>
      <c r="H196" s="9"/>
      <c r="I196" s="9" t="s">
        <v>3827</v>
      </c>
      <c r="J196" s="9" t="s">
        <v>2940</v>
      </c>
      <c r="K196" t="s">
        <v>3828</v>
      </c>
      <c r="L196" t="s">
        <v>3829</v>
      </c>
      <c r="M196" s="3" t="str">
        <f>HYPERLINK(склад2въезд131920212223[[#This Row],[RelativePath]])</f>
        <v>10 Сушилка навес\E33149364_3_20251125T090445Z.jpg</v>
      </c>
    </row>
    <row r="197" spans="1:13" x14ac:dyDescent="0.25">
      <c r="A197" s="2" t="s">
        <v>14</v>
      </c>
      <c r="B197" s="4">
        <v>45986</v>
      </c>
      <c r="C197" s="5">
        <v>0.38685185185185184</v>
      </c>
      <c r="D197" s="9" t="s">
        <v>4168</v>
      </c>
      <c r="E197" s="9" t="s">
        <v>4169</v>
      </c>
      <c r="F197" s="9" t="s">
        <v>58</v>
      </c>
      <c r="H197" s="9" t="s">
        <v>4170</v>
      </c>
      <c r="I197" s="9" t="s">
        <v>3830</v>
      </c>
      <c r="J197" s="9" t="s">
        <v>2940</v>
      </c>
      <c r="K197" t="s">
        <v>3831</v>
      </c>
      <c r="L197" t="s">
        <v>3832</v>
      </c>
      <c r="M197" s="3" t="str">
        <f>HYPERLINK(склад2въезд131920212223[[#This Row],[RelativePath]])</f>
        <v>10 Сушилка навес\E33149364_3_20251125T091704Z.jpg</v>
      </c>
    </row>
    <row r="198" spans="1:13" x14ac:dyDescent="0.25">
      <c r="A198" s="2" t="s">
        <v>14</v>
      </c>
      <c r="B198" s="4">
        <v>45986</v>
      </c>
      <c r="C198" s="5">
        <v>0.38791666666666669</v>
      </c>
      <c r="D198" s="9" t="s">
        <v>4</v>
      </c>
      <c r="E198" s="9" t="s">
        <v>8</v>
      </c>
      <c r="F198" s="9"/>
      <c r="H198" s="9"/>
      <c r="I198" s="9" t="s">
        <v>3833</v>
      </c>
      <c r="J198" s="9" t="s">
        <v>2940</v>
      </c>
      <c r="K198" t="s">
        <v>3834</v>
      </c>
      <c r="L198" t="s">
        <v>3835</v>
      </c>
      <c r="M198" s="3" t="str">
        <f>HYPERLINK(склад2въезд131920212223[[#This Row],[RelativePath]])</f>
        <v>10 Сушилка навес\E33149364_3_20251125T091836Z.jpg</v>
      </c>
    </row>
    <row r="199" spans="1:13" x14ac:dyDescent="0.25">
      <c r="A199" s="2" t="s">
        <v>14</v>
      </c>
      <c r="B199" s="4">
        <v>45986</v>
      </c>
      <c r="C199" s="5">
        <v>0.39575231481481482</v>
      </c>
      <c r="D199" s="9" t="s">
        <v>4</v>
      </c>
      <c r="E199" s="9" t="s">
        <v>8</v>
      </c>
      <c r="F199" s="9"/>
      <c r="H199" s="9" t="s">
        <v>2891</v>
      </c>
      <c r="I199" s="9" t="s">
        <v>3836</v>
      </c>
      <c r="J199" s="9" t="s">
        <v>2940</v>
      </c>
      <c r="K199" t="s">
        <v>3837</v>
      </c>
      <c r="L199" t="s">
        <v>3838</v>
      </c>
      <c r="M199" s="3" t="str">
        <f>HYPERLINK(склад2въезд131920212223[[#This Row],[RelativePath]])</f>
        <v>10 Сушилка навес\E33149364_3_20251125T092953Z.jpg</v>
      </c>
    </row>
    <row r="200" spans="1:13" x14ac:dyDescent="0.25">
      <c r="A200" s="2" t="s">
        <v>14</v>
      </c>
      <c r="B200" s="4">
        <v>45986</v>
      </c>
      <c r="C200" s="5">
        <v>0.40773148148148147</v>
      </c>
      <c r="D200" s="9" t="s">
        <v>4</v>
      </c>
      <c r="E200" s="9" t="s">
        <v>8</v>
      </c>
      <c r="F200" s="9"/>
      <c r="H200" s="9" t="s">
        <v>2891</v>
      </c>
      <c r="I200" s="9" t="s">
        <v>3839</v>
      </c>
      <c r="J200" s="9" t="s">
        <v>2940</v>
      </c>
      <c r="K200" t="s">
        <v>3840</v>
      </c>
      <c r="L200" t="s">
        <v>3841</v>
      </c>
      <c r="M200" s="3" t="str">
        <f>HYPERLINK(склад2въезд131920212223[[#This Row],[RelativePath]])</f>
        <v>10 Сушилка навес\E33149364_3_20251125T094708Z.jpg</v>
      </c>
    </row>
    <row r="201" spans="1:13" x14ac:dyDescent="0.25">
      <c r="A201" s="2" t="s">
        <v>14</v>
      </c>
      <c r="B201" s="4">
        <v>45986</v>
      </c>
      <c r="C201" s="5">
        <v>0.52005787037037032</v>
      </c>
      <c r="D201" s="9" t="s">
        <v>4164</v>
      </c>
      <c r="E201" s="9" t="s">
        <v>86</v>
      </c>
      <c r="F201" s="9" t="s">
        <v>500</v>
      </c>
      <c r="H201" s="9" t="s">
        <v>1568</v>
      </c>
      <c r="I201" s="9" t="s">
        <v>3842</v>
      </c>
      <c r="J201" s="9" t="s">
        <v>2940</v>
      </c>
      <c r="K201" t="s">
        <v>3843</v>
      </c>
      <c r="L201" t="s">
        <v>3844</v>
      </c>
      <c r="M201" s="3" t="str">
        <f>HYPERLINK(склад2въезд131920212223[[#This Row],[RelativePath]])</f>
        <v>10 Сушилка навес\E33149364_3_20251125T122853Z.jpg</v>
      </c>
    </row>
    <row r="202" spans="1:13" x14ac:dyDescent="0.25">
      <c r="A202" s="2" t="s">
        <v>14</v>
      </c>
      <c r="B202" s="4">
        <v>45986</v>
      </c>
      <c r="C202" s="5">
        <v>0.60111111111111115</v>
      </c>
      <c r="D202" s="9" t="s">
        <v>1569</v>
      </c>
      <c r="E202" s="9" t="s">
        <v>70</v>
      </c>
      <c r="F202" s="9" t="s">
        <v>1572</v>
      </c>
      <c r="H202" s="9"/>
      <c r="I202" s="9" t="s">
        <v>3845</v>
      </c>
      <c r="J202" s="9" t="s">
        <v>2940</v>
      </c>
      <c r="K202" t="s">
        <v>3846</v>
      </c>
      <c r="L202" t="s">
        <v>3847</v>
      </c>
      <c r="M202" s="3" t="str">
        <f>HYPERLINK(склад2въезд131920212223[[#This Row],[RelativePath]])</f>
        <v>10 Сушилка навес\E33149364_3_20251125T142536Z.jpg</v>
      </c>
    </row>
    <row r="203" spans="1:13" x14ac:dyDescent="0.25">
      <c r="A203" s="2" t="s">
        <v>14</v>
      </c>
      <c r="B203" s="4">
        <v>45986</v>
      </c>
      <c r="C203" s="5">
        <v>0.60226851851851848</v>
      </c>
      <c r="D203" s="9" t="s">
        <v>4</v>
      </c>
      <c r="E203" s="9" t="s">
        <v>70</v>
      </c>
      <c r="F203" s="9"/>
      <c r="H203" s="9" t="s">
        <v>4171</v>
      </c>
      <c r="I203" s="9" t="s">
        <v>3848</v>
      </c>
      <c r="J203" s="9" t="s">
        <v>2940</v>
      </c>
      <c r="K203" t="s">
        <v>3849</v>
      </c>
      <c r="L203" t="s">
        <v>3850</v>
      </c>
      <c r="M203" s="3" t="str">
        <f>HYPERLINK(склад2въезд131920212223[[#This Row],[RelativePath]])</f>
        <v>10 Сушилка навес\E33149364_3_20251125T142716Z.jpg</v>
      </c>
    </row>
    <row r="204" spans="1:13" x14ac:dyDescent="0.25">
      <c r="A204" s="2" t="s">
        <v>14</v>
      </c>
      <c r="B204" s="4">
        <v>45986</v>
      </c>
      <c r="C204" s="5">
        <v>0.60425925925925927</v>
      </c>
      <c r="D204" s="9" t="s">
        <v>505</v>
      </c>
      <c r="E204" s="9" t="s">
        <v>1570</v>
      </c>
      <c r="F204" s="9" t="s">
        <v>58</v>
      </c>
      <c r="H204" s="9" t="s">
        <v>1568</v>
      </c>
      <c r="I204" s="9" t="s">
        <v>3851</v>
      </c>
      <c r="J204" s="9" t="s">
        <v>2940</v>
      </c>
      <c r="K204" t="s">
        <v>3852</v>
      </c>
      <c r="L204" t="s">
        <v>3853</v>
      </c>
      <c r="M204" s="3" t="str">
        <f>HYPERLINK(склад2въезд131920212223[[#This Row],[RelativePath]])</f>
        <v>10 Сушилка навес\E33149364_3_20251125T143008Z.jpg</v>
      </c>
    </row>
    <row r="205" spans="1:13" x14ac:dyDescent="0.25">
      <c r="A205" s="2" t="s">
        <v>14</v>
      </c>
      <c r="B205" s="4">
        <v>45986</v>
      </c>
      <c r="C205" s="5">
        <v>0.60737268518518517</v>
      </c>
      <c r="D205" s="9" t="s">
        <v>505</v>
      </c>
      <c r="E205" s="9" t="s">
        <v>1570</v>
      </c>
      <c r="F205" s="9" t="s">
        <v>58</v>
      </c>
      <c r="H205" s="9" t="s">
        <v>1568</v>
      </c>
      <c r="I205" s="9" t="s">
        <v>3854</v>
      </c>
      <c r="J205" s="9" t="s">
        <v>2940</v>
      </c>
      <c r="K205" t="s">
        <v>3855</v>
      </c>
      <c r="L205" t="s">
        <v>3856</v>
      </c>
      <c r="M205" s="3" t="str">
        <f>HYPERLINK(склад2въезд131920212223[[#This Row],[RelativePath]])</f>
        <v>10 Сушилка навес\E33149364_3_20251125T143437Z.jpg</v>
      </c>
    </row>
    <row r="206" spans="1:13" x14ac:dyDescent="0.25">
      <c r="A206" s="2" t="s">
        <v>14</v>
      </c>
      <c r="B206" s="4">
        <v>45986</v>
      </c>
      <c r="C206" s="5">
        <v>0.61523148148148143</v>
      </c>
      <c r="D206" s="9" t="s">
        <v>262</v>
      </c>
      <c r="E206" s="9" t="s">
        <v>70</v>
      </c>
      <c r="F206" s="9" t="s">
        <v>4172</v>
      </c>
      <c r="H206" s="9" t="s">
        <v>1574</v>
      </c>
      <c r="I206" s="9" t="s">
        <v>3857</v>
      </c>
      <c r="J206" s="9" t="s">
        <v>2940</v>
      </c>
      <c r="K206" t="s">
        <v>3858</v>
      </c>
      <c r="L206" t="s">
        <v>3859</v>
      </c>
      <c r="M206" s="3" t="str">
        <f>HYPERLINK(склад2въезд131920212223[[#This Row],[RelativePath]])</f>
        <v>10 Сушилка навес\E33149364_3_20251125T144556Z.jpg</v>
      </c>
    </row>
    <row r="207" spans="1:13" x14ac:dyDescent="0.25">
      <c r="A207" s="2" t="s">
        <v>14</v>
      </c>
      <c r="B207" s="4">
        <v>45986</v>
      </c>
      <c r="C207" s="5">
        <v>0.61534722222222227</v>
      </c>
      <c r="D207" s="9" t="s">
        <v>262</v>
      </c>
      <c r="E207" s="9" t="s">
        <v>70</v>
      </c>
      <c r="F207" s="9" t="s">
        <v>4172</v>
      </c>
      <c r="H207" s="9" t="s">
        <v>2891</v>
      </c>
      <c r="I207" s="9" t="s">
        <v>3860</v>
      </c>
      <c r="J207" s="9" t="s">
        <v>2940</v>
      </c>
      <c r="K207" t="s">
        <v>3861</v>
      </c>
      <c r="L207" t="s">
        <v>3862</v>
      </c>
      <c r="M207" s="3" t="str">
        <f>HYPERLINK(склад2въезд131920212223[[#This Row],[RelativePath]])</f>
        <v>10 Сушилка навес\E33149364_3_20251125T144606Z.jpg</v>
      </c>
    </row>
    <row r="208" spans="1:13" x14ac:dyDescent="0.25">
      <c r="A208" s="2" t="s">
        <v>14</v>
      </c>
      <c r="B208" s="4">
        <v>45986</v>
      </c>
      <c r="C208" s="5">
        <v>0.61624999999999996</v>
      </c>
      <c r="D208" s="9" t="s">
        <v>262</v>
      </c>
      <c r="E208" s="9" t="s">
        <v>70</v>
      </c>
      <c r="F208" s="9" t="s">
        <v>4172</v>
      </c>
      <c r="H208" s="9" t="s">
        <v>1574</v>
      </c>
      <c r="I208" s="9" t="s">
        <v>3863</v>
      </c>
      <c r="J208" s="9" t="s">
        <v>2940</v>
      </c>
      <c r="K208" t="s">
        <v>3864</v>
      </c>
      <c r="L208" t="s">
        <v>3865</v>
      </c>
      <c r="M208" s="3" t="str">
        <f>HYPERLINK(склад2въезд131920212223[[#This Row],[RelativePath]])</f>
        <v>10 Сушилка навес\E33149364_3_20251125T144724Z.jpg</v>
      </c>
    </row>
    <row r="209" spans="1:13" x14ac:dyDescent="0.25">
      <c r="A209" s="2" t="s">
        <v>14</v>
      </c>
      <c r="B209" s="4">
        <v>45986</v>
      </c>
      <c r="C209" s="5">
        <v>0.61667824074074074</v>
      </c>
      <c r="D209" s="9" t="s">
        <v>262</v>
      </c>
      <c r="E209" s="9" t="s">
        <v>70</v>
      </c>
      <c r="F209" s="9" t="s">
        <v>4172</v>
      </c>
      <c r="H209" s="9" t="s">
        <v>2909</v>
      </c>
      <c r="I209" s="9" t="s">
        <v>3866</v>
      </c>
      <c r="J209" s="9" t="s">
        <v>2940</v>
      </c>
      <c r="K209" t="s">
        <v>3867</v>
      </c>
      <c r="L209" t="s">
        <v>3868</v>
      </c>
      <c r="M209" s="3" t="str">
        <f>HYPERLINK(склад2въезд131920212223[[#This Row],[RelativePath]])</f>
        <v>10 Сушилка навес\E33149364_3_20251125T144801Z.jpg</v>
      </c>
    </row>
    <row r="210" spans="1:13" x14ac:dyDescent="0.25">
      <c r="A210" s="2" t="s">
        <v>14</v>
      </c>
      <c r="B210" s="4">
        <v>45986</v>
      </c>
      <c r="C210" s="5">
        <v>0.62826388888888884</v>
      </c>
      <c r="D210" s="9" t="s">
        <v>261</v>
      </c>
      <c r="E210" s="9" t="s">
        <v>70</v>
      </c>
      <c r="F210" s="9" t="s">
        <v>58</v>
      </c>
      <c r="H210" s="9" t="s">
        <v>1583</v>
      </c>
      <c r="I210" s="9" t="s">
        <v>3869</v>
      </c>
      <c r="J210" s="9" t="s">
        <v>2940</v>
      </c>
      <c r="K210" t="s">
        <v>3870</v>
      </c>
      <c r="L210" t="s">
        <v>3871</v>
      </c>
      <c r="M210" s="3" t="str">
        <f>HYPERLINK(склад2въезд131920212223[[#This Row],[RelativePath]])</f>
        <v>10 Сушилка навес\E33149364_3_20251125T150442Z.jpg</v>
      </c>
    </row>
    <row r="211" spans="1:13" x14ac:dyDescent="0.25">
      <c r="A211" s="2" t="s">
        <v>14</v>
      </c>
      <c r="B211" s="4">
        <v>45986</v>
      </c>
      <c r="C211" s="5">
        <v>0.62843749999999998</v>
      </c>
      <c r="D211" s="9" t="s">
        <v>261</v>
      </c>
      <c r="E211" s="9" t="s">
        <v>70</v>
      </c>
      <c r="F211" s="9" t="s">
        <v>58</v>
      </c>
      <c r="H211" s="9" t="s">
        <v>2891</v>
      </c>
      <c r="I211" s="9" t="s">
        <v>3872</v>
      </c>
      <c r="J211" s="9" t="s">
        <v>2940</v>
      </c>
      <c r="K211" t="s">
        <v>3873</v>
      </c>
      <c r="L211" t="s">
        <v>3874</v>
      </c>
      <c r="M211" s="3" t="str">
        <f>HYPERLINK(склад2въезд131920212223[[#This Row],[RelativePath]])</f>
        <v>10 Сушилка навес\E33149364_3_20251125T150457Z.jpg</v>
      </c>
    </row>
    <row r="212" spans="1:13" x14ac:dyDescent="0.25">
      <c r="A212" s="2" t="s">
        <v>14</v>
      </c>
      <c r="B212" s="4">
        <v>45986</v>
      </c>
      <c r="C212" s="5">
        <v>0.62910879629629635</v>
      </c>
      <c r="D212" s="9" t="s">
        <v>261</v>
      </c>
      <c r="E212" s="9" t="s">
        <v>70</v>
      </c>
      <c r="F212" s="9" t="s">
        <v>58</v>
      </c>
      <c r="H212" s="9" t="s">
        <v>2891</v>
      </c>
      <c r="I212" s="9" t="s">
        <v>3875</v>
      </c>
      <c r="J212" s="9" t="s">
        <v>2940</v>
      </c>
      <c r="K212" t="s">
        <v>3876</v>
      </c>
      <c r="L212" t="s">
        <v>3877</v>
      </c>
      <c r="M212" s="3" t="str">
        <f>HYPERLINK(склад2въезд131920212223[[#This Row],[RelativePath]])</f>
        <v>10 Сушилка навес\E33149364_3_20251125T150555Z.jpg</v>
      </c>
    </row>
    <row r="213" spans="1:13" x14ac:dyDescent="0.25">
      <c r="A213" s="2" t="s">
        <v>14</v>
      </c>
      <c r="B213" s="4">
        <v>45986</v>
      </c>
      <c r="C213" s="5">
        <v>0.62981481481481483</v>
      </c>
      <c r="D213" s="9" t="s">
        <v>261</v>
      </c>
      <c r="E213" s="9" t="s">
        <v>70</v>
      </c>
      <c r="F213" s="9" t="s">
        <v>58</v>
      </c>
      <c r="H213" s="9" t="s">
        <v>2891</v>
      </c>
      <c r="I213" s="9" t="s">
        <v>3878</v>
      </c>
      <c r="J213" s="9" t="s">
        <v>2940</v>
      </c>
      <c r="K213" t="s">
        <v>3879</v>
      </c>
      <c r="L213" t="s">
        <v>3880</v>
      </c>
      <c r="M213" s="3" t="str">
        <f>HYPERLINK(склад2въезд131920212223[[#This Row],[RelativePath]])</f>
        <v>10 Сушилка навес\E33149364_3_20251125T150656Z.jpg</v>
      </c>
    </row>
    <row r="214" spans="1:13" x14ac:dyDescent="0.25">
      <c r="A214" s="2" t="s">
        <v>14</v>
      </c>
      <c r="B214" s="4">
        <v>45986</v>
      </c>
      <c r="C214" s="5">
        <v>0.62989583333333332</v>
      </c>
      <c r="D214" s="9" t="s">
        <v>261</v>
      </c>
      <c r="E214" s="9" t="s">
        <v>70</v>
      </c>
      <c r="F214" s="9" t="s">
        <v>58</v>
      </c>
      <c r="H214" s="9" t="s">
        <v>2891</v>
      </c>
      <c r="I214" s="9" t="s">
        <v>3881</v>
      </c>
      <c r="J214" s="9" t="s">
        <v>2940</v>
      </c>
      <c r="K214" t="s">
        <v>3882</v>
      </c>
      <c r="L214" t="s">
        <v>3883</v>
      </c>
      <c r="M214" s="3" t="str">
        <f>HYPERLINK(склад2въезд131920212223[[#This Row],[RelativePath]])</f>
        <v>10 Сушилка навес\E33149364_3_20251125T150703Z.jpg</v>
      </c>
    </row>
    <row r="215" spans="1:13" x14ac:dyDescent="0.25">
      <c r="A215" s="2" t="s">
        <v>14</v>
      </c>
      <c r="B215" s="4">
        <v>45986</v>
      </c>
      <c r="C215" s="5">
        <v>0.6300810185185185</v>
      </c>
      <c r="D215" s="9" t="s">
        <v>261</v>
      </c>
      <c r="E215" s="9" t="s">
        <v>70</v>
      </c>
      <c r="F215" s="9" t="s">
        <v>58</v>
      </c>
      <c r="H215" s="9" t="s">
        <v>2891</v>
      </c>
      <c r="I215" s="9" t="s">
        <v>3884</v>
      </c>
      <c r="J215" s="9" t="s">
        <v>2940</v>
      </c>
      <c r="K215" t="s">
        <v>3885</v>
      </c>
      <c r="L215" t="s">
        <v>3886</v>
      </c>
      <c r="M215" s="3" t="str">
        <f>HYPERLINK(склад2въезд131920212223[[#This Row],[RelativePath]])</f>
        <v>10 Сушилка навес\E33149364_3_20251125T150719Z.jpg</v>
      </c>
    </row>
    <row r="216" spans="1:13" x14ac:dyDescent="0.25">
      <c r="A216" s="2" t="s">
        <v>14</v>
      </c>
      <c r="B216" s="4">
        <v>45986</v>
      </c>
      <c r="C216" s="5">
        <v>0.63023148148148145</v>
      </c>
      <c r="D216" s="9" t="s">
        <v>261</v>
      </c>
      <c r="E216" s="9" t="s">
        <v>70</v>
      </c>
      <c r="F216" s="9" t="s">
        <v>58</v>
      </c>
      <c r="H216" s="9" t="s">
        <v>2891</v>
      </c>
      <c r="I216" s="9" t="s">
        <v>3887</v>
      </c>
      <c r="J216" s="9" t="s">
        <v>2940</v>
      </c>
      <c r="K216" t="s">
        <v>3888</v>
      </c>
      <c r="L216" t="s">
        <v>3889</v>
      </c>
      <c r="M216" s="3" t="str">
        <f>HYPERLINK(склад2въезд131920212223[[#This Row],[RelativePath]])</f>
        <v>10 Сушилка навес\E33149364_3_20251125T150732Z.jpg</v>
      </c>
    </row>
    <row r="217" spans="1:13" x14ac:dyDescent="0.25">
      <c r="A217" s="2" t="s">
        <v>14</v>
      </c>
      <c r="B217" s="4">
        <v>45986</v>
      </c>
      <c r="C217" s="5">
        <v>0.6305439814814815</v>
      </c>
      <c r="D217" s="9" t="s">
        <v>261</v>
      </c>
      <c r="E217" s="9" t="s">
        <v>70</v>
      </c>
      <c r="F217" s="9" t="s">
        <v>58</v>
      </c>
      <c r="H217" s="9" t="s">
        <v>2891</v>
      </c>
      <c r="I217" s="9" t="s">
        <v>3890</v>
      </c>
      <c r="J217" s="9" t="s">
        <v>2940</v>
      </c>
      <c r="K217" t="s">
        <v>3891</v>
      </c>
      <c r="L217" t="s">
        <v>3892</v>
      </c>
      <c r="M217" s="3" t="str">
        <f>HYPERLINK(склад2въезд131920212223[[#This Row],[RelativePath]])</f>
        <v>10 Сушилка навес\E33149364_3_20251125T150759Z.jpg</v>
      </c>
    </row>
    <row r="218" spans="1:13" x14ac:dyDescent="0.25">
      <c r="A218" s="2" t="s">
        <v>14</v>
      </c>
      <c r="B218" s="4">
        <v>45986</v>
      </c>
      <c r="C218" s="5">
        <v>0.63126157407407413</v>
      </c>
      <c r="D218" s="9" t="s">
        <v>4173</v>
      </c>
      <c r="E218" s="9" t="s">
        <v>70</v>
      </c>
      <c r="F218" s="9" t="s">
        <v>58</v>
      </c>
      <c r="H218" s="9"/>
      <c r="I218" s="9" t="s">
        <v>3893</v>
      </c>
      <c r="J218" s="9" t="s">
        <v>2940</v>
      </c>
      <c r="K218" t="s">
        <v>3894</v>
      </c>
      <c r="L218" t="s">
        <v>3895</v>
      </c>
      <c r="M218" s="3" t="str">
        <f>HYPERLINK(склад2въезд131920212223[[#This Row],[RelativePath]])</f>
        <v>10 Сушилка навес\E33149364_3_20251125T150901Z.jpg</v>
      </c>
    </row>
    <row r="219" spans="1:13" x14ac:dyDescent="0.25">
      <c r="A219" s="2" t="s">
        <v>14</v>
      </c>
      <c r="B219" s="4">
        <v>45986</v>
      </c>
      <c r="C219" s="5">
        <v>0.6318287037037037</v>
      </c>
      <c r="D219" s="9" t="s">
        <v>261</v>
      </c>
      <c r="E219" s="9" t="s">
        <v>70</v>
      </c>
      <c r="F219" s="9" t="s">
        <v>4174</v>
      </c>
      <c r="H219" s="9" t="s">
        <v>1581</v>
      </c>
      <c r="I219" s="9" t="s">
        <v>3896</v>
      </c>
      <c r="J219" s="9" t="s">
        <v>2940</v>
      </c>
      <c r="K219" t="s">
        <v>3897</v>
      </c>
      <c r="L219" t="s">
        <v>3898</v>
      </c>
      <c r="M219" s="3" t="str">
        <f>HYPERLINK(склад2въезд131920212223[[#This Row],[RelativePath]])</f>
        <v>10 Сушилка навес\E33149364_3_20251125T150950Z.jpg</v>
      </c>
    </row>
    <row r="220" spans="1:13" x14ac:dyDescent="0.25">
      <c r="A220" s="2" t="s">
        <v>14</v>
      </c>
      <c r="B220" s="4">
        <v>45986</v>
      </c>
      <c r="C220" s="5">
        <v>0.6341782407407407</v>
      </c>
      <c r="D220" s="9" t="s">
        <v>4176</v>
      </c>
      <c r="E220" s="9" t="s">
        <v>70</v>
      </c>
      <c r="F220" s="9" t="s">
        <v>4174</v>
      </c>
      <c r="H220" s="9"/>
      <c r="I220" s="9" t="s">
        <v>3899</v>
      </c>
      <c r="J220" s="9" t="s">
        <v>2940</v>
      </c>
      <c r="K220" t="s">
        <v>3900</v>
      </c>
      <c r="L220" t="s">
        <v>3901</v>
      </c>
      <c r="M220" s="3" t="str">
        <f>HYPERLINK(склад2въезд131920212223[[#This Row],[RelativePath]])</f>
        <v>10 Сушилка навес\E33149364_3_20251125T151313Z.jpg</v>
      </c>
    </row>
    <row r="221" spans="1:13" x14ac:dyDescent="0.25">
      <c r="A221" s="2" t="s">
        <v>15</v>
      </c>
      <c r="B221" s="4">
        <v>45987</v>
      </c>
      <c r="C221" s="5">
        <v>0.43567129629629631</v>
      </c>
      <c r="D221" s="9" t="s">
        <v>1569</v>
      </c>
      <c r="E221" s="9" t="s">
        <v>4133</v>
      </c>
      <c r="F221" s="9"/>
      <c r="H221" s="9"/>
      <c r="I221" s="9" t="s">
        <v>3903</v>
      </c>
      <c r="J221" s="9" t="s">
        <v>2940</v>
      </c>
      <c r="K221" t="s">
        <v>3904</v>
      </c>
      <c r="L221" t="s">
        <v>3905</v>
      </c>
      <c r="M221" s="3" t="str">
        <f>HYPERLINK(склад2въезд131920212223[[#This Row],[RelativePath]])</f>
        <v>10 Сушилка навес\E33149364_3_20251126T102722Z.jpg</v>
      </c>
    </row>
    <row r="222" spans="1:13" x14ac:dyDescent="0.25">
      <c r="A222" s="2" t="s">
        <v>15</v>
      </c>
      <c r="B222" s="4">
        <v>45987</v>
      </c>
      <c r="C222" s="5">
        <v>0.44207175925925923</v>
      </c>
      <c r="D222" s="9" t="s">
        <v>261</v>
      </c>
      <c r="E222" s="9" t="s">
        <v>4133</v>
      </c>
      <c r="F222" s="9" t="s">
        <v>58</v>
      </c>
      <c r="H222" s="9" t="s">
        <v>1583</v>
      </c>
      <c r="I222" s="9" t="s">
        <v>3906</v>
      </c>
      <c r="J222" s="9" t="s">
        <v>2940</v>
      </c>
      <c r="K222" t="s">
        <v>3907</v>
      </c>
      <c r="L222" t="s">
        <v>3908</v>
      </c>
      <c r="M222" s="3" t="str">
        <f>HYPERLINK(склад2въезд131920212223[[#This Row],[RelativePath]])</f>
        <v>10 Сушилка навес\E33149364_3_20251126T103635Z.jpg</v>
      </c>
    </row>
    <row r="223" spans="1:13" x14ac:dyDescent="0.25">
      <c r="A223" s="2" t="s">
        <v>15</v>
      </c>
      <c r="B223" s="4">
        <v>45987</v>
      </c>
      <c r="C223" s="5">
        <v>0.44216435185185188</v>
      </c>
      <c r="D223" s="9" t="s">
        <v>261</v>
      </c>
      <c r="E223" s="9" t="s">
        <v>4133</v>
      </c>
      <c r="F223" s="9" t="s">
        <v>58</v>
      </c>
      <c r="H223" s="9" t="s">
        <v>2891</v>
      </c>
      <c r="I223" s="9" t="s">
        <v>3909</v>
      </c>
      <c r="J223" s="9" t="s">
        <v>2940</v>
      </c>
      <c r="K223" t="s">
        <v>3910</v>
      </c>
      <c r="L223" t="s">
        <v>3911</v>
      </c>
      <c r="M223" s="3" t="str">
        <f>HYPERLINK(склад2въезд131920212223[[#This Row],[RelativePath]])</f>
        <v>10 Сушилка навес\E33149364_3_20251126T103643Z.jpg</v>
      </c>
    </row>
    <row r="224" spans="1:13" x14ac:dyDescent="0.25">
      <c r="A224" s="2" t="s">
        <v>15</v>
      </c>
      <c r="B224" s="4">
        <v>45987</v>
      </c>
      <c r="C224" s="5">
        <v>0.44226851851851851</v>
      </c>
      <c r="D224" s="9" t="s">
        <v>261</v>
      </c>
      <c r="E224" s="9" t="s">
        <v>4133</v>
      </c>
      <c r="F224" s="9" t="s">
        <v>58</v>
      </c>
      <c r="H224" s="9" t="s">
        <v>2891</v>
      </c>
      <c r="I224" s="9" t="s">
        <v>3912</v>
      </c>
      <c r="J224" s="9" t="s">
        <v>2940</v>
      </c>
      <c r="K224" t="s">
        <v>3913</v>
      </c>
      <c r="L224" t="s">
        <v>3914</v>
      </c>
      <c r="M224" s="3" t="str">
        <f>HYPERLINK(склад2въезд131920212223[[#This Row],[RelativePath]])</f>
        <v>10 Сушилка навес\E33149364_3_20251126T103652Z.jpg</v>
      </c>
    </row>
    <row r="225" spans="1:13" x14ac:dyDescent="0.25">
      <c r="A225" s="2" t="s">
        <v>15</v>
      </c>
      <c r="B225" s="4">
        <v>45987</v>
      </c>
      <c r="C225" s="5">
        <v>0.44241898148148145</v>
      </c>
      <c r="D225" s="9" t="s">
        <v>261</v>
      </c>
      <c r="E225" s="9" t="s">
        <v>4133</v>
      </c>
      <c r="F225" s="9" t="s">
        <v>58</v>
      </c>
      <c r="H225" s="9" t="s">
        <v>2891</v>
      </c>
      <c r="I225" s="9" t="s">
        <v>3915</v>
      </c>
      <c r="J225" s="9" t="s">
        <v>2940</v>
      </c>
      <c r="K225" t="s">
        <v>3916</v>
      </c>
      <c r="L225" t="s">
        <v>3917</v>
      </c>
      <c r="M225" s="3" t="str">
        <f>HYPERLINK(склад2въезд131920212223[[#This Row],[RelativePath]])</f>
        <v>10 Сушилка навес\E33149364_3_20251126T103705Z.jpg</v>
      </c>
    </row>
    <row r="226" spans="1:13" x14ac:dyDescent="0.25">
      <c r="A226" s="2" t="s">
        <v>15</v>
      </c>
      <c r="B226" s="4">
        <v>45987</v>
      </c>
      <c r="C226" s="5">
        <v>0.44255787037037037</v>
      </c>
      <c r="D226" s="9" t="s">
        <v>261</v>
      </c>
      <c r="E226" s="9" t="s">
        <v>4133</v>
      </c>
      <c r="F226" s="9" t="s">
        <v>58</v>
      </c>
      <c r="H226" s="9" t="s">
        <v>2891</v>
      </c>
      <c r="I226" s="9" t="s">
        <v>3918</v>
      </c>
      <c r="J226" s="9" t="s">
        <v>2940</v>
      </c>
      <c r="K226" t="s">
        <v>3919</v>
      </c>
      <c r="L226" t="s">
        <v>3920</v>
      </c>
      <c r="M226" s="3" t="str">
        <f>HYPERLINK(склад2въезд131920212223[[#This Row],[RelativePath]])</f>
        <v>10 Сушилка навес\E33149364_3_20251126T103717Z.jpg</v>
      </c>
    </row>
    <row r="227" spans="1:13" x14ac:dyDescent="0.25">
      <c r="A227" s="2" t="s">
        <v>15</v>
      </c>
      <c r="B227" s="4">
        <v>45987</v>
      </c>
      <c r="C227" s="5">
        <v>0.44269675925925928</v>
      </c>
      <c r="D227" s="9" t="s">
        <v>261</v>
      </c>
      <c r="E227" s="9" t="s">
        <v>4133</v>
      </c>
      <c r="F227" s="9" t="s">
        <v>58</v>
      </c>
      <c r="H227" s="9" t="s">
        <v>2891</v>
      </c>
      <c r="I227" s="9" t="s">
        <v>3921</v>
      </c>
      <c r="J227" s="9" t="s">
        <v>2940</v>
      </c>
      <c r="K227" t="s">
        <v>3922</v>
      </c>
      <c r="L227" t="s">
        <v>3923</v>
      </c>
      <c r="M227" s="3" t="str">
        <f>HYPERLINK(склад2въезд131920212223[[#This Row],[RelativePath]])</f>
        <v>10 Сушилка навес\E33149364_3_20251126T103729Z.jpg</v>
      </c>
    </row>
    <row r="228" spans="1:13" x14ac:dyDescent="0.25">
      <c r="A228" s="2" t="s">
        <v>15</v>
      </c>
      <c r="B228" s="4">
        <v>45987</v>
      </c>
      <c r="C228" s="5">
        <v>0.44284722222222223</v>
      </c>
      <c r="D228" s="9" t="s">
        <v>261</v>
      </c>
      <c r="E228" s="9" t="s">
        <v>4133</v>
      </c>
      <c r="F228" s="9" t="s">
        <v>58</v>
      </c>
      <c r="H228" s="9" t="s">
        <v>2891</v>
      </c>
      <c r="I228" s="9" t="s">
        <v>3924</v>
      </c>
      <c r="J228" s="9" t="s">
        <v>2940</v>
      </c>
      <c r="K228" t="s">
        <v>3925</v>
      </c>
      <c r="L228" t="s">
        <v>3926</v>
      </c>
      <c r="M228" s="3" t="str">
        <f>HYPERLINK(склад2въезд131920212223[[#This Row],[RelativePath]])</f>
        <v>10 Сушилка навес\E33149364_3_20251126T103742Z.jpg</v>
      </c>
    </row>
    <row r="229" spans="1:13" x14ac:dyDescent="0.25">
      <c r="A229" s="2" t="s">
        <v>15</v>
      </c>
      <c r="B229" s="4">
        <v>45987</v>
      </c>
      <c r="C229" s="5">
        <v>0.44359953703703703</v>
      </c>
      <c r="D229" s="9" t="s">
        <v>1976</v>
      </c>
      <c r="E229" s="9" t="s">
        <v>4133</v>
      </c>
      <c r="F229" s="9"/>
      <c r="H229" s="9" t="s">
        <v>4177</v>
      </c>
      <c r="I229" s="9" t="s">
        <v>3927</v>
      </c>
      <c r="J229" s="9" t="s">
        <v>2940</v>
      </c>
      <c r="K229" t="s">
        <v>3928</v>
      </c>
      <c r="L229" t="s">
        <v>3929</v>
      </c>
      <c r="M229" s="3" t="str">
        <f>HYPERLINK(склад2въезд131920212223[[#This Row],[RelativePath]])</f>
        <v>10 Сушилка навес\E33149364_3_20251126T103847Z.jpg</v>
      </c>
    </row>
    <row r="230" spans="1:13" x14ac:dyDescent="0.25">
      <c r="A230" s="2" t="s">
        <v>15</v>
      </c>
      <c r="B230" s="4">
        <v>45987</v>
      </c>
      <c r="C230" s="5">
        <v>0.44372685185185184</v>
      </c>
      <c r="D230" s="9" t="s">
        <v>261</v>
      </c>
      <c r="E230" s="9" t="s">
        <v>4133</v>
      </c>
      <c r="F230" s="9" t="s">
        <v>58</v>
      </c>
      <c r="H230" s="9"/>
      <c r="I230" s="9" t="s">
        <v>3930</v>
      </c>
      <c r="J230" s="9" t="s">
        <v>2940</v>
      </c>
      <c r="K230" t="s">
        <v>3931</v>
      </c>
      <c r="L230" t="s">
        <v>3932</v>
      </c>
      <c r="M230" s="3" t="str">
        <f>HYPERLINK(склад2въезд131920212223[[#This Row],[RelativePath]])</f>
        <v>10 Сушилка навес\E33149364_3_20251126T103858Z.jpg</v>
      </c>
    </row>
    <row r="231" spans="1:13" x14ac:dyDescent="0.25">
      <c r="A231" s="2" t="s">
        <v>15</v>
      </c>
      <c r="B231" s="4">
        <v>45987</v>
      </c>
      <c r="C231" s="5">
        <v>0.44473379629629628</v>
      </c>
      <c r="D231" s="9" t="s">
        <v>261</v>
      </c>
      <c r="E231" s="9" t="s">
        <v>4133</v>
      </c>
      <c r="F231" s="9" t="s">
        <v>58</v>
      </c>
      <c r="H231" s="9" t="s">
        <v>2891</v>
      </c>
      <c r="I231" s="9" t="s">
        <v>3933</v>
      </c>
      <c r="J231" s="9" t="s">
        <v>2940</v>
      </c>
      <c r="K231" t="s">
        <v>3934</v>
      </c>
      <c r="L231" t="s">
        <v>3935</v>
      </c>
      <c r="M231" s="3" t="str">
        <f>HYPERLINK(склад2въезд131920212223[[#This Row],[RelativePath]])</f>
        <v>10 Сушилка навес\E33149364_3_20251126T104025Z.jpg</v>
      </c>
    </row>
    <row r="232" spans="1:13" x14ac:dyDescent="0.25">
      <c r="A232" s="2" t="s">
        <v>15</v>
      </c>
      <c r="B232" s="4">
        <v>45987</v>
      </c>
      <c r="C232" s="5">
        <v>0.44495370370370368</v>
      </c>
      <c r="D232" s="9" t="s">
        <v>261</v>
      </c>
      <c r="E232" s="9" t="s">
        <v>4133</v>
      </c>
      <c r="F232" s="9" t="s">
        <v>58</v>
      </c>
      <c r="H232" s="9" t="s">
        <v>2891</v>
      </c>
      <c r="I232" s="9" t="s">
        <v>3936</v>
      </c>
      <c r="J232" s="9" t="s">
        <v>2940</v>
      </c>
      <c r="K232" t="s">
        <v>3937</v>
      </c>
      <c r="L232" t="s">
        <v>3938</v>
      </c>
      <c r="M232" s="3" t="str">
        <f>HYPERLINK(склад2въезд131920212223[[#This Row],[RelativePath]])</f>
        <v>10 Сушилка навес\E33149364_3_20251126T104044Z.jpg</v>
      </c>
    </row>
    <row r="233" spans="1:13" x14ac:dyDescent="0.25">
      <c r="A233" s="2" t="s">
        <v>15</v>
      </c>
      <c r="B233" s="4">
        <v>45987</v>
      </c>
      <c r="C233" s="5">
        <v>0.44578703703703704</v>
      </c>
      <c r="D233" s="9" t="s">
        <v>4173</v>
      </c>
      <c r="E233" s="9" t="s">
        <v>4133</v>
      </c>
      <c r="F233" s="9" t="s">
        <v>58</v>
      </c>
      <c r="H233" s="9"/>
      <c r="I233" s="9" t="s">
        <v>3939</v>
      </c>
      <c r="J233" s="9" t="s">
        <v>2940</v>
      </c>
      <c r="K233" t="s">
        <v>3940</v>
      </c>
      <c r="L233" t="s">
        <v>3941</v>
      </c>
      <c r="M233" s="3" t="str">
        <f>HYPERLINK(склад2въезд131920212223[[#This Row],[RelativePath]])</f>
        <v>10 Сушилка навес\E33149364_3_20251126T104156Z.jpg</v>
      </c>
    </row>
    <row r="234" spans="1:13" x14ac:dyDescent="0.25">
      <c r="A234" s="2" t="s">
        <v>15</v>
      </c>
      <c r="B234" s="4">
        <v>45987</v>
      </c>
      <c r="C234" s="5">
        <v>0.44631944444444444</v>
      </c>
      <c r="D234" s="9" t="s">
        <v>1976</v>
      </c>
      <c r="E234" s="9" t="s">
        <v>4133</v>
      </c>
      <c r="F234" s="9"/>
      <c r="H234" s="9" t="s">
        <v>4178</v>
      </c>
      <c r="I234" s="9" t="s">
        <v>3942</v>
      </c>
      <c r="J234" s="9" t="s">
        <v>2940</v>
      </c>
      <c r="K234" t="s">
        <v>3943</v>
      </c>
      <c r="L234" t="s">
        <v>3944</v>
      </c>
      <c r="M234" s="3" t="str">
        <f>HYPERLINK(склад2въезд131920212223[[#This Row],[RelativePath]])</f>
        <v>10 Сушилка навес\E33149364_3_20251126T104242Z.jpg</v>
      </c>
    </row>
    <row r="235" spans="1:13" x14ac:dyDescent="0.25">
      <c r="A235" s="2" t="s">
        <v>15</v>
      </c>
      <c r="B235" s="4">
        <v>45987</v>
      </c>
      <c r="C235" s="5">
        <v>0.4475925925925926</v>
      </c>
      <c r="D235" s="9" t="s">
        <v>261</v>
      </c>
      <c r="E235" s="9" t="s">
        <v>4133</v>
      </c>
      <c r="F235" s="9" t="s">
        <v>58</v>
      </c>
      <c r="H235" s="9"/>
      <c r="I235" s="9" t="s">
        <v>3945</v>
      </c>
      <c r="J235" s="9" t="s">
        <v>2940</v>
      </c>
      <c r="K235" t="s">
        <v>3946</v>
      </c>
      <c r="L235" t="s">
        <v>3947</v>
      </c>
      <c r="M235" s="3" t="str">
        <f>HYPERLINK(склад2въезд131920212223[[#This Row],[RelativePath]])</f>
        <v>10 Сушилка навес\E33149364_3_20251126T104432Z.jpg</v>
      </c>
    </row>
    <row r="236" spans="1:13" x14ac:dyDescent="0.25">
      <c r="A236" s="2" t="s">
        <v>15</v>
      </c>
      <c r="B236" s="4">
        <v>45987</v>
      </c>
      <c r="C236" s="5">
        <v>0.44767361111111109</v>
      </c>
      <c r="D236" s="9" t="s">
        <v>261</v>
      </c>
      <c r="E236" s="9" t="s">
        <v>4133</v>
      </c>
      <c r="F236" s="9" t="s">
        <v>58</v>
      </c>
      <c r="H236" s="9" t="s">
        <v>2891</v>
      </c>
      <c r="I236" s="9" t="s">
        <v>3948</v>
      </c>
      <c r="J236" s="9" t="s">
        <v>2940</v>
      </c>
      <c r="K236" t="s">
        <v>3949</v>
      </c>
      <c r="L236" t="s">
        <v>3950</v>
      </c>
      <c r="M236" s="3" t="str">
        <f>HYPERLINK(склад2въезд131920212223[[#This Row],[RelativePath]])</f>
        <v>10 Сушилка навес\E33149364_3_20251126T104439Z.jpg</v>
      </c>
    </row>
    <row r="237" spans="1:13" x14ac:dyDescent="0.25">
      <c r="A237" s="2" t="s">
        <v>15</v>
      </c>
      <c r="B237" s="4">
        <v>45987</v>
      </c>
      <c r="C237" s="5">
        <v>0.4478125</v>
      </c>
      <c r="D237" s="9" t="s">
        <v>261</v>
      </c>
      <c r="E237" s="9" t="s">
        <v>4133</v>
      </c>
      <c r="F237" s="9" t="s">
        <v>58</v>
      </c>
      <c r="H237" s="9" t="s">
        <v>2891</v>
      </c>
      <c r="I237" s="9" t="s">
        <v>3951</v>
      </c>
      <c r="J237" s="9" t="s">
        <v>2940</v>
      </c>
      <c r="K237" t="s">
        <v>3952</v>
      </c>
      <c r="L237" t="s">
        <v>3953</v>
      </c>
      <c r="M237" s="3" t="str">
        <f>HYPERLINK(склад2въезд131920212223[[#This Row],[RelativePath]])</f>
        <v>10 Сушилка навес\E33149364_3_20251126T104451Z.jpg</v>
      </c>
    </row>
    <row r="238" spans="1:13" x14ac:dyDescent="0.25">
      <c r="A238" s="2" t="s">
        <v>15</v>
      </c>
      <c r="B238" s="4">
        <v>45987</v>
      </c>
      <c r="C238" s="5">
        <v>0.45056712962962964</v>
      </c>
      <c r="D238" s="9" t="s">
        <v>261</v>
      </c>
      <c r="E238" s="9" t="s">
        <v>4133</v>
      </c>
      <c r="F238" s="9" t="s">
        <v>58</v>
      </c>
      <c r="H238" s="9" t="s">
        <v>2891</v>
      </c>
      <c r="I238" s="9" t="s">
        <v>3954</v>
      </c>
      <c r="J238" s="9" t="s">
        <v>2940</v>
      </c>
      <c r="K238" t="s">
        <v>3955</v>
      </c>
      <c r="L238" t="s">
        <v>3956</v>
      </c>
      <c r="M238" s="3" t="str">
        <f>HYPERLINK(склад2въезд131920212223[[#This Row],[RelativePath]])</f>
        <v>10 Сушилка навес\E33149364_3_20251126T104849Z.jpg</v>
      </c>
    </row>
    <row r="239" spans="1:13" x14ac:dyDescent="0.25">
      <c r="A239" s="2" t="s">
        <v>15</v>
      </c>
      <c r="B239" s="4">
        <v>45987</v>
      </c>
      <c r="C239" s="5">
        <v>0.45187500000000003</v>
      </c>
      <c r="D239" s="9" t="s">
        <v>4176</v>
      </c>
      <c r="E239" s="9" t="s">
        <v>4133</v>
      </c>
      <c r="F239" s="9" t="s">
        <v>58</v>
      </c>
      <c r="H239" s="9"/>
      <c r="I239" s="9" t="s">
        <v>3957</v>
      </c>
      <c r="J239" s="9" t="s">
        <v>2940</v>
      </c>
      <c r="K239" t="s">
        <v>3958</v>
      </c>
      <c r="L239" t="s">
        <v>3959</v>
      </c>
      <c r="M239" s="3" t="str">
        <f>HYPERLINK(склад2въезд131920212223[[#This Row],[RelativePath]])</f>
        <v>10 Сушилка навес\E33149364_3_20251126T105042Z.jpg</v>
      </c>
    </row>
    <row r="240" spans="1:13" x14ac:dyDescent="0.25">
      <c r="A240" s="2" t="s">
        <v>15</v>
      </c>
      <c r="B240" s="4">
        <v>45987</v>
      </c>
      <c r="C240" s="5">
        <v>0.69988425925925923</v>
      </c>
      <c r="D240" s="9" t="s">
        <v>4</v>
      </c>
      <c r="E240" s="9" t="s">
        <v>86</v>
      </c>
      <c r="F240" s="9" t="s">
        <v>4179</v>
      </c>
      <c r="H240" s="9" t="s">
        <v>4180</v>
      </c>
      <c r="I240" s="9" t="s">
        <v>3960</v>
      </c>
      <c r="J240" s="9" t="s">
        <v>2940</v>
      </c>
      <c r="K240" t="s">
        <v>3961</v>
      </c>
      <c r="L240" t="s">
        <v>3962</v>
      </c>
      <c r="M240" s="3" t="str">
        <f>HYPERLINK(склад2въезд131920212223[[#This Row],[RelativePath]])</f>
        <v>10 Сушилка навес\E33149364_3_20251126T164750Z.jpg</v>
      </c>
    </row>
    <row r="241" spans="1:13" x14ac:dyDescent="0.25">
      <c r="A241" s="2" t="s">
        <v>17</v>
      </c>
      <c r="B241" s="4">
        <v>45989</v>
      </c>
      <c r="C241" s="5">
        <v>0.36949074074074073</v>
      </c>
      <c r="D241" s="9" t="s">
        <v>261</v>
      </c>
      <c r="E241" s="9" t="s">
        <v>86</v>
      </c>
      <c r="F241" s="9" t="s">
        <v>4181</v>
      </c>
      <c r="H241" s="9"/>
      <c r="I241" s="9" t="s">
        <v>3963</v>
      </c>
      <c r="J241" s="9" t="s">
        <v>2940</v>
      </c>
      <c r="K241" t="s">
        <v>3964</v>
      </c>
      <c r="L241" t="s">
        <v>3965</v>
      </c>
      <c r="M241" s="3" t="str">
        <f>HYPERLINK(склад2въезд131920212223[[#This Row],[RelativePath]])</f>
        <v>10 Сушилка навес\E33149364_3_20251128T085204Z.jpg</v>
      </c>
    </row>
    <row r="242" spans="1:13" x14ac:dyDescent="0.25">
      <c r="A242" s="2" t="s">
        <v>17</v>
      </c>
      <c r="B242" s="4">
        <v>45989</v>
      </c>
      <c r="C242" s="5">
        <v>0.37059027777777775</v>
      </c>
      <c r="D242" s="9" t="s">
        <v>4182</v>
      </c>
      <c r="E242" s="9" t="s">
        <v>86</v>
      </c>
      <c r="F242" s="9" t="s">
        <v>4181</v>
      </c>
      <c r="H242" s="9" t="s">
        <v>4177</v>
      </c>
      <c r="I242" s="9" t="s">
        <v>3966</v>
      </c>
      <c r="J242" s="9" t="s">
        <v>2940</v>
      </c>
      <c r="K242" t="s">
        <v>3967</v>
      </c>
      <c r="L242" t="s">
        <v>3968</v>
      </c>
      <c r="M242" s="3" t="str">
        <f>HYPERLINK(склад2въезд131920212223[[#This Row],[RelativePath]])</f>
        <v>10 Сушилка навес\E33149364_3_20251128T085339Z.jpg</v>
      </c>
    </row>
    <row r="243" spans="1:13" x14ac:dyDescent="0.25">
      <c r="A243" s="2" t="s">
        <v>17</v>
      </c>
      <c r="B243" s="4">
        <v>45989</v>
      </c>
      <c r="C243" s="5">
        <v>0.37737268518518519</v>
      </c>
      <c r="D243" s="9" t="s">
        <v>3028</v>
      </c>
      <c r="E243" s="9" t="s">
        <v>86</v>
      </c>
      <c r="F243" s="9" t="s">
        <v>58</v>
      </c>
      <c r="H243" s="9" t="s">
        <v>1583</v>
      </c>
      <c r="I243" s="9" t="s">
        <v>3969</v>
      </c>
      <c r="J243" s="9" t="s">
        <v>2940</v>
      </c>
      <c r="K243" t="s">
        <v>3970</v>
      </c>
      <c r="L243" t="s">
        <v>3971</v>
      </c>
      <c r="M243" s="3" t="str">
        <f>HYPERLINK(склад2въезд131920212223[[#This Row],[RelativePath]])</f>
        <v>10 Сушилка навес\E33149364_3_20251128T090325Z.jpg</v>
      </c>
    </row>
    <row r="244" spans="1:13" x14ac:dyDescent="0.25">
      <c r="A244" s="2" t="s">
        <v>17</v>
      </c>
      <c r="B244" s="4">
        <v>45989</v>
      </c>
      <c r="C244" s="5">
        <v>0.37761574074074072</v>
      </c>
      <c r="D244" s="9" t="s">
        <v>1066</v>
      </c>
      <c r="E244" s="9" t="s">
        <v>86</v>
      </c>
      <c r="F244" s="9" t="s">
        <v>58</v>
      </c>
      <c r="H244" s="9" t="s">
        <v>2909</v>
      </c>
      <c r="I244" s="9" t="s">
        <v>3972</v>
      </c>
      <c r="J244" s="9" t="s">
        <v>2940</v>
      </c>
      <c r="K244" t="s">
        <v>3973</v>
      </c>
      <c r="L244" t="s">
        <v>3974</v>
      </c>
      <c r="M244" s="3" t="str">
        <f>HYPERLINK(склад2въезд131920212223[[#This Row],[RelativePath]])</f>
        <v>10 Сушилка навес\E33149364_3_20251128T090346Z.jpg</v>
      </c>
    </row>
    <row r="245" spans="1:13" x14ac:dyDescent="0.25">
      <c r="A245" s="2" t="s">
        <v>17</v>
      </c>
      <c r="B245" s="4">
        <v>45989</v>
      </c>
      <c r="C245" s="5">
        <v>0.47635416666666669</v>
      </c>
      <c r="D245" s="9" t="s">
        <v>505</v>
      </c>
      <c r="E245" s="9" t="s">
        <v>1570</v>
      </c>
      <c r="F245" s="9" t="s">
        <v>58</v>
      </c>
      <c r="H245" s="9" t="s">
        <v>2913</v>
      </c>
      <c r="I245" s="9" t="s">
        <v>3975</v>
      </c>
      <c r="J245" s="9" t="s">
        <v>2940</v>
      </c>
      <c r="K245" t="s">
        <v>3976</v>
      </c>
      <c r="L245" t="s">
        <v>3977</v>
      </c>
      <c r="M245" s="3" t="str">
        <f>HYPERLINK(склад2въезд131920212223[[#This Row],[RelativePath]])</f>
        <v>10 Сушилка навес\E33149364_3_20251128T112557Z.jpg</v>
      </c>
    </row>
    <row r="246" spans="1:13" x14ac:dyDescent="0.25">
      <c r="A246" s="2" t="s">
        <v>17</v>
      </c>
      <c r="B246" s="4">
        <v>45989</v>
      </c>
      <c r="C246" s="5">
        <v>0.47646990740740741</v>
      </c>
      <c r="D246" s="9" t="s">
        <v>505</v>
      </c>
      <c r="E246" s="9" t="s">
        <v>1570</v>
      </c>
      <c r="F246" s="9" t="s">
        <v>58</v>
      </c>
      <c r="H246" s="9" t="s">
        <v>2913</v>
      </c>
      <c r="I246" s="9" t="s">
        <v>3978</v>
      </c>
      <c r="J246" s="9" t="s">
        <v>2940</v>
      </c>
      <c r="K246" t="s">
        <v>3979</v>
      </c>
      <c r="L246" t="s">
        <v>3980</v>
      </c>
      <c r="M246" s="3" t="str">
        <f>HYPERLINK(склад2въезд131920212223[[#This Row],[RelativePath]])</f>
        <v>10 Сушилка навес\E33149364_3_20251128T112607Z.jpg</v>
      </c>
    </row>
    <row r="247" spans="1:13" x14ac:dyDescent="0.25">
      <c r="A247" s="2" t="s">
        <v>17</v>
      </c>
      <c r="B247" s="4">
        <v>45989</v>
      </c>
      <c r="C247" s="5">
        <v>0.58856481481481482</v>
      </c>
      <c r="D247" s="9" t="s">
        <v>505</v>
      </c>
      <c r="E247" s="9" t="s">
        <v>1570</v>
      </c>
      <c r="F247" s="9" t="s">
        <v>58</v>
      </c>
      <c r="H247" s="9" t="s">
        <v>2913</v>
      </c>
      <c r="I247" s="9" t="s">
        <v>3981</v>
      </c>
      <c r="J247" s="9" t="s">
        <v>2940</v>
      </c>
      <c r="K247" t="s">
        <v>3982</v>
      </c>
      <c r="L247" t="s">
        <v>3983</v>
      </c>
      <c r="M247" s="3" t="str">
        <f>HYPERLINK(склад2въезд131920212223[[#This Row],[RelativePath]])</f>
        <v>10 Сушилка навес\E33149364_3_20251128T140732Z.jpg</v>
      </c>
    </row>
    <row r="248" spans="1:13" x14ac:dyDescent="0.25">
      <c r="A248" s="2" t="s">
        <v>17</v>
      </c>
      <c r="B248" s="4">
        <v>45989</v>
      </c>
      <c r="C248" s="5">
        <v>0.58865740740740746</v>
      </c>
      <c r="D248" s="9" t="s">
        <v>505</v>
      </c>
      <c r="E248" s="9" t="s">
        <v>1570</v>
      </c>
      <c r="F248" s="9" t="s">
        <v>58</v>
      </c>
      <c r="H248" s="9" t="s">
        <v>2913</v>
      </c>
      <c r="I248" s="9" t="s">
        <v>3984</v>
      </c>
      <c r="J248" s="9" t="s">
        <v>2940</v>
      </c>
      <c r="K248" t="s">
        <v>3985</v>
      </c>
      <c r="L248" t="s">
        <v>3986</v>
      </c>
      <c r="M248" s="3" t="str">
        <f>HYPERLINK(склад2въезд131920212223[[#This Row],[RelativePath]])</f>
        <v>10 Сушилка навес\E33149364_3_20251128T140740Z.jpg</v>
      </c>
    </row>
    <row r="249" spans="1:13" x14ac:dyDescent="0.25">
      <c r="A249" s="2" t="s">
        <v>17</v>
      </c>
      <c r="B249" s="4">
        <v>45989</v>
      </c>
      <c r="C249" s="5">
        <v>0.59635416666666663</v>
      </c>
      <c r="D249" s="9" t="s">
        <v>505</v>
      </c>
      <c r="E249" s="9" t="s">
        <v>1570</v>
      </c>
      <c r="F249" s="9" t="s">
        <v>58</v>
      </c>
      <c r="H249" s="9" t="s">
        <v>2913</v>
      </c>
      <c r="I249" s="9" t="s">
        <v>3987</v>
      </c>
      <c r="J249" s="9" t="s">
        <v>2940</v>
      </c>
      <c r="K249" t="s">
        <v>3988</v>
      </c>
      <c r="L249" t="s">
        <v>3989</v>
      </c>
      <c r="M249" s="3" t="str">
        <f>HYPERLINK(склад2въезд131920212223[[#This Row],[RelativePath]])</f>
        <v>10 Сушилка навес\E33149364_3_20251128T141845Z.jpg</v>
      </c>
    </row>
    <row r="250" spans="1:13" x14ac:dyDescent="0.25">
      <c r="A250" s="2" t="s">
        <v>17</v>
      </c>
      <c r="B250" s="4">
        <v>45989</v>
      </c>
      <c r="C250" s="5">
        <v>0.5995949074074074</v>
      </c>
      <c r="D250" s="9" t="s">
        <v>505</v>
      </c>
      <c r="E250" s="9" t="s">
        <v>1570</v>
      </c>
      <c r="F250" s="9" t="s">
        <v>58</v>
      </c>
      <c r="H250" s="9" t="s">
        <v>2913</v>
      </c>
      <c r="I250" s="9" t="s">
        <v>3990</v>
      </c>
      <c r="J250" s="9" t="s">
        <v>2940</v>
      </c>
      <c r="K250" t="s">
        <v>3991</v>
      </c>
      <c r="L250" t="s">
        <v>3992</v>
      </c>
      <c r="M250" s="3" t="str">
        <f>HYPERLINK(склад2въезд131920212223[[#This Row],[RelativePath]])</f>
        <v>10 Сушилка навес\E33149364_3_20251128T142325Z.jpg</v>
      </c>
    </row>
    <row r="251" spans="1:13" x14ac:dyDescent="0.25">
      <c r="A251" s="2" t="s">
        <v>17</v>
      </c>
      <c r="B251" s="4">
        <v>45989</v>
      </c>
      <c r="C251" s="5">
        <v>0.63675925925925925</v>
      </c>
      <c r="D251" s="9" t="s">
        <v>505</v>
      </c>
      <c r="E251" s="9" t="s">
        <v>1570</v>
      </c>
      <c r="F251" s="9" t="s">
        <v>58</v>
      </c>
      <c r="H251" s="9" t="s">
        <v>2913</v>
      </c>
      <c r="I251" s="9" t="s">
        <v>3993</v>
      </c>
      <c r="J251" s="9" t="s">
        <v>2940</v>
      </c>
      <c r="K251" t="s">
        <v>3994</v>
      </c>
      <c r="L251" t="s">
        <v>3995</v>
      </c>
      <c r="M251" s="3" t="str">
        <f>HYPERLINK(склад2въезд131920212223[[#This Row],[RelativePath]])</f>
        <v>10 Сушилка навес\E33149364_3_20251128T151656Z.jpg</v>
      </c>
    </row>
    <row r="252" spans="1:13" x14ac:dyDescent="0.25">
      <c r="A252" s="2" t="s">
        <v>17</v>
      </c>
      <c r="B252" s="4">
        <v>45989</v>
      </c>
      <c r="C252" s="5">
        <v>0.63684027777777774</v>
      </c>
      <c r="D252" s="9" t="s">
        <v>505</v>
      </c>
      <c r="E252" s="9" t="s">
        <v>1570</v>
      </c>
      <c r="F252" s="9" t="s">
        <v>58</v>
      </c>
      <c r="H252" s="9" t="s">
        <v>2913</v>
      </c>
      <c r="I252" s="9" t="s">
        <v>3996</v>
      </c>
      <c r="J252" s="9" t="s">
        <v>2940</v>
      </c>
      <c r="K252" t="s">
        <v>3997</v>
      </c>
      <c r="L252" t="s">
        <v>3998</v>
      </c>
      <c r="M252" s="3" t="str">
        <f>HYPERLINK(склад2въезд131920212223[[#This Row],[RelativePath]])</f>
        <v>10 Сушилка навес\E33149364_3_20251128T151703Z.jpg</v>
      </c>
    </row>
    <row r="253" spans="1:13" x14ac:dyDescent="0.25">
      <c r="A253" s="2" t="s">
        <v>17</v>
      </c>
      <c r="B253" s="4">
        <v>45989</v>
      </c>
      <c r="C253" s="5">
        <v>0.63993055555555556</v>
      </c>
      <c r="D253" s="9" t="s">
        <v>505</v>
      </c>
      <c r="E253" s="9" t="s">
        <v>1570</v>
      </c>
      <c r="F253" s="9" t="s">
        <v>58</v>
      </c>
      <c r="H253" s="9" t="s">
        <v>2913</v>
      </c>
      <c r="I253" s="9" t="s">
        <v>3999</v>
      </c>
      <c r="J253" s="9" t="s">
        <v>2940</v>
      </c>
      <c r="K253" t="s">
        <v>4000</v>
      </c>
      <c r="L253" t="s">
        <v>4001</v>
      </c>
      <c r="M253" s="3" t="str">
        <f>HYPERLINK(склад2въезд131920212223[[#This Row],[RelativePath]])</f>
        <v>10 Сушилка навес\E33149364_3_20251128T152130Z.jpg</v>
      </c>
    </row>
    <row r="254" spans="1:13" x14ac:dyDescent="0.25">
      <c r="A254" s="2" t="s">
        <v>17</v>
      </c>
      <c r="B254" s="4">
        <v>45989</v>
      </c>
      <c r="C254" s="5">
        <v>0.64309027777777783</v>
      </c>
      <c r="D254" s="9" t="s">
        <v>505</v>
      </c>
      <c r="E254" s="9" t="s">
        <v>1570</v>
      </c>
      <c r="F254" s="9" t="s">
        <v>58</v>
      </c>
      <c r="H254" s="9" t="s">
        <v>2913</v>
      </c>
      <c r="I254" s="9" t="s">
        <v>4002</v>
      </c>
      <c r="J254" s="9" t="s">
        <v>2940</v>
      </c>
      <c r="K254" t="s">
        <v>4003</v>
      </c>
      <c r="L254" t="s">
        <v>4004</v>
      </c>
      <c r="M254" s="3" t="str">
        <f>HYPERLINK(склад2въезд131920212223[[#This Row],[RelativePath]])</f>
        <v>10 Сушилка навес\E33149364_3_20251128T152603Z.jpg</v>
      </c>
    </row>
    <row r="255" spans="1:13" x14ac:dyDescent="0.25">
      <c r="A255" s="2" t="s">
        <v>17</v>
      </c>
      <c r="B255" s="4">
        <v>45989</v>
      </c>
      <c r="C255" s="5">
        <v>0.69055555555555559</v>
      </c>
      <c r="D255" s="9" t="s">
        <v>505</v>
      </c>
      <c r="E255" s="9" t="s">
        <v>1570</v>
      </c>
      <c r="F255" s="9" t="s">
        <v>58</v>
      </c>
      <c r="H255" s="9" t="s">
        <v>2913</v>
      </c>
      <c r="I255" s="9" t="s">
        <v>4005</v>
      </c>
      <c r="J255" s="9" t="s">
        <v>2940</v>
      </c>
      <c r="K255" t="s">
        <v>4006</v>
      </c>
      <c r="L255" t="s">
        <v>4007</v>
      </c>
      <c r="M255" s="3" t="str">
        <f>HYPERLINK(склад2въезд131920212223[[#This Row],[RelativePath]])</f>
        <v>10 Сушилка навес\E33149364_3_20251128T163424Z.jpg</v>
      </c>
    </row>
    <row r="256" spans="1:13" x14ac:dyDescent="0.25">
      <c r="A256" s="2" t="s">
        <v>18</v>
      </c>
      <c r="B256" s="4">
        <v>45990</v>
      </c>
      <c r="C256" s="5">
        <v>0.64872685185185186</v>
      </c>
      <c r="D256" s="9" t="s">
        <v>505</v>
      </c>
      <c r="E256" s="9" t="s">
        <v>1570</v>
      </c>
      <c r="F256" s="9" t="s">
        <v>1071</v>
      </c>
      <c r="H256" s="9" t="s">
        <v>1583</v>
      </c>
      <c r="I256" s="9" t="s">
        <v>4008</v>
      </c>
      <c r="J256" s="9" t="s">
        <v>2940</v>
      </c>
      <c r="K256" t="s">
        <v>4009</v>
      </c>
      <c r="L256" t="s">
        <v>4010</v>
      </c>
      <c r="M256" s="3" t="str">
        <f>HYPERLINK(склад2въезд131920212223[[#This Row],[RelativePath]])</f>
        <v>10 Сушилка навес\E33149364_3_20251129T153410Z.jpg</v>
      </c>
    </row>
    <row r="257" spans="1:13" x14ac:dyDescent="0.25">
      <c r="A257" s="2" t="s">
        <v>22</v>
      </c>
      <c r="B257" s="4">
        <v>45991</v>
      </c>
      <c r="C257" s="5">
        <v>0.47109953703703705</v>
      </c>
      <c r="D257" s="9" t="s">
        <v>1967</v>
      </c>
      <c r="E257" s="9"/>
      <c r="F257" s="9"/>
      <c r="H257" s="9"/>
      <c r="I257" s="9" t="s">
        <v>4225</v>
      </c>
      <c r="J257" s="9" t="s">
        <v>2940</v>
      </c>
      <c r="K257" t="s">
        <v>4226</v>
      </c>
      <c r="L257" t="s">
        <v>4227</v>
      </c>
      <c r="M257" s="3" t="str">
        <f>HYPERLINK(склад2въезд131920212223[[#This Row],[RelativePath]])</f>
        <v>10 Сушилка навес\E33149364_3_20251130T111823Z.jpg</v>
      </c>
    </row>
    <row r="258" spans="1:13" x14ac:dyDescent="0.25">
      <c r="A258" s="2" t="s">
        <v>13</v>
      </c>
      <c r="B258" s="4">
        <v>45992</v>
      </c>
      <c r="C258" s="5">
        <v>0.62716435185185182</v>
      </c>
      <c r="D258" s="9" t="s">
        <v>505</v>
      </c>
      <c r="E258" s="9" t="s">
        <v>1570</v>
      </c>
      <c r="F258" s="9" t="s">
        <v>1071</v>
      </c>
      <c r="H258" s="9" t="s">
        <v>1583</v>
      </c>
      <c r="I258" s="9" t="s">
        <v>4765</v>
      </c>
      <c r="J258" s="9" t="s">
        <v>2940</v>
      </c>
      <c r="K258" t="s">
        <v>4766</v>
      </c>
      <c r="L258" t="s">
        <v>4767</v>
      </c>
      <c r="M258" s="3" t="str">
        <f>HYPERLINK(склад2въезд131920212223[[#This Row],[RelativePath]])</f>
        <v>10 Сушилка навес\E33149364_3_20251201T150307Z.jpg</v>
      </c>
    </row>
    <row r="259" spans="1:13" x14ac:dyDescent="0.25">
      <c r="A259" s="2" t="s">
        <v>13</v>
      </c>
      <c r="B259" s="4">
        <v>45992</v>
      </c>
      <c r="C259" s="5">
        <v>0.64009259259259255</v>
      </c>
      <c r="D259" s="9" t="s">
        <v>4</v>
      </c>
      <c r="E259" s="9" t="s">
        <v>8</v>
      </c>
      <c r="F259" s="9"/>
      <c r="H259" s="9"/>
      <c r="I259" s="9" t="s">
        <v>4768</v>
      </c>
      <c r="J259" s="9" t="s">
        <v>2940</v>
      </c>
      <c r="K259" t="s">
        <v>4769</v>
      </c>
      <c r="L259" t="s">
        <v>4770</v>
      </c>
      <c r="M259" s="3" t="str">
        <f>HYPERLINK(склад2въезд131920212223[[#This Row],[RelativePath]])</f>
        <v>10 Сушилка навес\E33149364_3_20251201T152144Z.jpg</v>
      </c>
    </row>
    <row r="260" spans="1:13" x14ac:dyDescent="0.25">
      <c r="A260" s="2" t="s">
        <v>14</v>
      </c>
      <c r="B260" s="4">
        <v>45993</v>
      </c>
      <c r="C260" s="5">
        <v>0.40104166666666669</v>
      </c>
      <c r="D260" s="9" t="s">
        <v>505</v>
      </c>
      <c r="E260" s="9" t="s">
        <v>503</v>
      </c>
      <c r="F260" s="9" t="s">
        <v>58</v>
      </c>
      <c r="H260" s="9" t="s">
        <v>4177</v>
      </c>
      <c r="I260" s="9" t="s">
        <v>4771</v>
      </c>
      <c r="J260" s="9" t="s">
        <v>2940</v>
      </c>
      <c r="K260" t="s">
        <v>4772</v>
      </c>
      <c r="L260" t="s">
        <v>4773</v>
      </c>
      <c r="M260" s="3" t="str">
        <f>HYPERLINK(склад2въезд131920212223[[#This Row],[RelativePath]])</f>
        <v>10 Сушилка навес\E33149364_3_20251202T093730Z.jpg</v>
      </c>
    </row>
    <row r="261" spans="1:13" x14ac:dyDescent="0.25">
      <c r="A261" s="2" t="s">
        <v>14</v>
      </c>
      <c r="B261" s="4">
        <v>45993</v>
      </c>
      <c r="C261" s="5">
        <v>0.44371527777777775</v>
      </c>
      <c r="D261" s="9" t="s">
        <v>4</v>
      </c>
      <c r="E261" s="9" t="s">
        <v>8</v>
      </c>
      <c r="F261" s="9"/>
      <c r="H261" s="9"/>
      <c r="I261" s="9" t="s">
        <v>4774</v>
      </c>
      <c r="J261" s="9" t="s">
        <v>2940</v>
      </c>
      <c r="K261" t="s">
        <v>4775</v>
      </c>
      <c r="L261" t="s">
        <v>4776</v>
      </c>
      <c r="M261" s="3" t="str">
        <f>HYPERLINK(склад2въезд131920212223[[#This Row],[RelativePath]])</f>
        <v>10 Сушилка навес\E33149364_3_20251202T103857Z.jpg</v>
      </c>
    </row>
    <row r="262" spans="1:13" x14ac:dyDescent="0.25">
      <c r="A262" s="2" t="s">
        <v>14</v>
      </c>
      <c r="B262" s="4">
        <v>45993</v>
      </c>
      <c r="C262" s="5">
        <v>0.63126157407407413</v>
      </c>
      <c r="D262" s="9" t="s">
        <v>505</v>
      </c>
      <c r="E262" s="9" t="s">
        <v>503</v>
      </c>
      <c r="F262" s="9" t="s">
        <v>58</v>
      </c>
      <c r="H262" s="9" t="s">
        <v>4177</v>
      </c>
      <c r="I262" s="9" t="s">
        <v>4777</v>
      </c>
      <c r="J262" s="9" t="s">
        <v>2940</v>
      </c>
      <c r="K262" t="s">
        <v>4778</v>
      </c>
      <c r="L262" t="s">
        <v>4779</v>
      </c>
      <c r="M262" s="3" t="str">
        <f>HYPERLINK(склад2въезд131920212223[[#This Row],[RelativePath]])</f>
        <v>10 Сушилка навес\E33149364_3_20251202T150901Z.jpg</v>
      </c>
    </row>
    <row r="263" spans="1:13" x14ac:dyDescent="0.25">
      <c r="A263" s="2" t="s">
        <v>14</v>
      </c>
      <c r="B263" s="4">
        <v>45993</v>
      </c>
      <c r="C263" s="5">
        <v>0.6556481481481482</v>
      </c>
      <c r="D263" s="9" t="s">
        <v>261</v>
      </c>
      <c r="E263" s="9" t="s">
        <v>86</v>
      </c>
      <c r="F263" s="9" t="s">
        <v>4181</v>
      </c>
      <c r="H263" s="9"/>
      <c r="I263" s="9" t="s">
        <v>4780</v>
      </c>
      <c r="J263" s="9" t="s">
        <v>2940</v>
      </c>
      <c r="K263" t="s">
        <v>4781</v>
      </c>
      <c r="L263" t="s">
        <v>4782</v>
      </c>
      <c r="M263" s="3" t="str">
        <f>HYPERLINK(склад2въезд131920212223[[#This Row],[RelativePath]])</f>
        <v>10 Сушилка навес\E33149364_3_20251202T154408Z.jpg</v>
      </c>
    </row>
    <row r="264" spans="1:13" x14ac:dyDescent="0.25">
      <c r="A264" s="2" t="s">
        <v>14</v>
      </c>
      <c r="B264" s="4">
        <v>45993</v>
      </c>
      <c r="C264" s="5">
        <v>0.6594444444444445</v>
      </c>
      <c r="D264" s="9" t="s">
        <v>261</v>
      </c>
      <c r="E264" s="9" t="s">
        <v>86</v>
      </c>
      <c r="F264" s="9" t="s">
        <v>4181</v>
      </c>
      <c r="H264" s="9" t="s">
        <v>2891</v>
      </c>
      <c r="I264" s="9" t="s">
        <v>4783</v>
      </c>
      <c r="J264" s="9" t="s">
        <v>2940</v>
      </c>
      <c r="K264" t="s">
        <v>4784</v>
      </c>
      <c r="L264" t="s">
        <v>4785</v>
      </c>
      <c r="M264" s="3" t="str">
        <f>HYPERLINK(склад2въезд131920212223[[#This Row],[RelativePath]])</f>
        <v>10 Сушилка навес\E33149364_3_20251202T154936Z.jpg</v>
      </c>
    </row>
    <row r="265" spans="1:13" x14ac:dyDescent="0.25">
      <c r="A265" s="2" t="s">
        <v>15</v>
      </c>
      <c r="B265" s="4">
        <v>45994</v>
      </c>
      <c r="C265" s="5">
        <v>0.38624999999999998</v>
      </c>
      <c r="D265" s="9" t="s">
        <v>261</v>
      </c>
      <c r="E265" s="9" t="s">
        <v>86</v>
      </c>
      <c r="F265" s="9" t="s">
        <v>4181</v>
      </c>
      <c r="H265" s="9"/>
      <c r="I265" s="9" t="s">
        <v>4786</v>
      </c>
      <c r="J265" s="9" t="s">
        <v>2940</v>
      </c>
      <c r="K265" t="s">
        <v>4787</v>
      </c>
      <c r="L265" t="s">
        <v>4788</v>
      </c>
      <c r="M265" s="3" t="str">
        <f>HYPERLINK(склад2въезд131920212223[[#This Row],[RelativePath]])</f>
        <v>10 Сушилка навес\E33149364_3_20251203T091612Z.jpg</v>
      </c>
    </row>
    <row r="266" spans="1:13" x14ac:dyDescent="0.25">
      <c r="A266" s="2" t="s">
        <v>15</v>
      </c>
      <c r="B266" s="4">
        <v>45994</v>
      </c>
      <c r="C266" s="5">
        <v>0.38949074074074075</v>
      </c>
      <c r="D266" s="9" t="s">
        <v>4182</v>
      </c>
      <c r="E266" s="9" t="s">
        <v>86</v>
      </c>
      <c r="F266" s="9" t="s">
        <v>4181</v>
      </c>
      <c r="H266" s="9" t="s">
        <v>4177</v>
      </c>
      <c r="I266" s="9" t="s">
        <v>4789</v>
      </c>
      <c r="J266" s="9" t="s">
        <v>2940</v>
      </c>
      <c r="K266" t="s">
        <v>4790</v>
      </c>
      <c r="L266" t="s">
        <v>4791</v>
      </c>
      <c r="M266" s="3" t="str">
        <f>HYPERLINK(склад2въезд131920212223[[#This Row],[RelativePath]])</f>
        <v>10 Сушилка навес\E33149364_3_20251203T092052Z.jpg</v>
      </c>
    </row>
    <row r="267" spans="1:13" x14ac:dyDescent="0.25">
      <c r="A267" s="2" t="s">
        <v>15</v>
      </c>
      <c r="B267" s="4">
        <v>45994</v>
      </c>
      <c r="C267" s="5">
        <v>0.40879629629629627</v>
      </c>
      <c r="D267" s="9" t="s">
        <v>505</v>
      </c>
      <c r="E267" s="9" t="s">
        <v>503</v>
      </c>
      <c r="F267" s="9" t="s">
        <v>58</v>
      </c>
      <c r="H267" s="9" t="s">
        <v>4177</v>
      </c>
      <c r="I267" s="9" t="s">
        <v>4792</v>
      </c>
      <c r="J267" s="9" t="s">
        <v>2940</v>
      </c>
      <c r="K267" t="s">
        <v>4793</v>
      </c>
      <c r="L267" t="s">
        <v>4794</v>
      </c>
      <c r="M267" s="3" t="str">
        <f>HYPERLINK(склад2въезд131920212223[[#This Row],[RelativePath]])</f>
        <v>10 Сушилка навес\E33149364_3_20251203T094840Z.jpg</v>
      </c>
    </row>
    <row r="268" spans="1:13" x14ac:dyDescent="0.25">
      <c r="A268" s="2" t="s">
        <v>15</v>
      </c>
      <c r="B268" s="4">
        <v>45994</v>
      </c>
      <c r="C268" s="5">
        <v>0.67202546296296295</v>
      </c>
      <c r="D268" s="9" t="s">
        <v>505</v>
      </c>
      <c r="E268" s="9" t="s">
        <v>503</v>
      </c>
      <c r="F268" s="9" t="s">
        <v>58</v>
      </c>
      <c r="H268" s="9" t="s">
        <v>4177</v>
      </c>
      <c r="I268" s="9" t="s">
        <v>4795</v>
      </c>
      <c r="J268" s="9" t="s">
        <v>2940</v>
      </c>
      <c r="K268" t="s">
        <v>4796</v>
      </c>
      <c r="L268" t="s">
        <v>4797</v>
      </c>
      <c r="M268" s="3" t="str">
        <f>HYPERLINK(склад2въезд131920212223[[#This Row],[RelativePath]])</f>
        <v>10 Сушилка навес\E33149364_3_20251203T160743Z.jpg</v>
      </c>
    </row>
    <row r="269" spans="1:13" x14ac:dyDescent="0.25">
      <c r="A269" s="2" t="s">
        <v>16</v>
      </c>
      <c r="B269" s="4">
        <v>45995</v>
      </c>
      <c r="C269" s="5">
        <v>0.4805902777777778</v>
      </c>
      <c r="D269" s="9" t="s">
        <v>505</v>
      </c>
      <c r="E269" s="9" t="s">
        <v>503</v>
      </c>
      <c r="F269" s="9" t="s">
        <v>58</v>
      </c>
      <c r="H269" s="9" t="s">
        <v>4177</v>
      </c>
      <c r="I269" s="9" t="s">
        <v>4798</v>
      </c>
      <c r="J269" s="9" t="s">
        <v>2940</v>
      </c>
      <c r="K269" t="s">
        <v>4799</v>
      </c>
      <c r="L269" t="s">
        <v>4800</v>
      </c>
      <c r="M269" s="3" t="str">
        <f>HYPERLINK(склад2въезд131920212223[[#This Row],[RelativePath]])</f>
        <v>10 Сушилка навес\E33149364_3_20251204T113203Z.jpg</v>
      </c>
    </row>
    <row r="270" spans="1:13" x14ac:dyDescent="0.25">
      <c r="A270" s="2" t="s">
        <v>16</v>
      </c>
      <c r="B270" s="4">
        <v>45995</v>
      </c>
      <c r="C270" s="5">
        <v>0.67572916666666671</v>
      </c>
      <c r="D270" s="9" t="s">
        <v>261</v>
      </c>
      <c r="E270" s="9" t="s">
        <v>86</v>
      </c>
      <c r="F270" s="9" t="s">
        <v>4181</v>
      </c>
      <c r="H270" s="9"/>
      <c r="I270" s="9" t="s">
        <v>4801</v>
      </c>
      <c r="J270" s="9" t="s">
        <v>2940</v>
      </c>
      <c r="K270" t="s">
        <v>4802</v>
      </c>
      <c r="L270" t="s">
        <v>4803</v>
      </c>
      <c r="M270" s="3" t="str">
        <f>HYPERLINK(склад2въезд131920212223[[#This Row],[RelativePath]])</f>
        <v>10 Сушилка навес\E33149364_3_20251204T161303Z.jpg</v>
      </c>
    </row>
    <row r="271" spans="1:13" x14ac:dyDescent="0.25">
      <c r="A271" s="2" t="s">
        <v>16</v>
      </c>
      <c r="B271" s="4">
        <v>45995</v>
      </c>
      <c r="C271" s="5">
        <v>0.67605324074074069</v>
      </c>
      <c r="D271" s="9" t="s">
        <v>4182</v>
      </c>
      <c r="E271" s="9" t="s">
        <v>86</v>
      </c>
      <c r="F271" s="9" t="s">
        <v>4181</v>
      </c>
      <c r="H271" s="9" t="s">
        <v>4177</v>
      </c>
      <c r="I271" s="9" t="s">
        <v>4804</v>
      </c>
      <c r="J271" s="9" t="s">
        <v>2940</v>
      </c>
      <c r="K271" t="s">
        <v>4805</v>
      </c>
      <c r="L271" t="s">
        <v>4806</v>
      </c>
      <c r="M271" s="3" t="str">
        <f>HYPERLINK(склад2въезд131920212223[[#This Row],[RelativePath]])</f>
        <v>10 Сушилка навес\E33149364_3_20251204T161331Z.jpg</v>
      </c>
    </row>
    <row r="272" spans="1:13" x14ac:dyDescent="0.25">
      <c r="A272" s="2" t="s">
        <v>16</v>
      </c>
      <c r="B272" s="4">
        <v>45995</v>
      </c>
      <c r="C272" s="5">
        <v>0.68111111111111111</v>
      </c>
      <c r="D272" s="9" t="s">
        <v>505</v>
      </c>
      <c r="E272" s="9" t="s">
        <v>503</v>
      </c>
      <c r="F272" s="9" t="s">
        <v>58</v>
      </c>
      <c r="H272" s="9" t="s">
        <v>4177</v>
      </c>
      <c r="I272" s="9" t="s">
        <v>4807</v>
      </c>
      <c r="J272" s="9" t="s">
        <v>2940</v>
      </c>
      <c r="K272" t="s">
        <v>4808</v>
      </c>
      <c r="L272" t="s">
        <v>4809</v>
      </c>
      <c r="M272" s="3" t="str">
        <f>HYPERLINK(склад2въезд131920212223[[#This Row],[RelativePath]])</f>
        <v>10 Сушилка навес\E33149364_3_20251204T162048Z.jpg</v>
      </c>
    </row>
    <row r="273" spans="1:13" x14ac:dyDescent="0.25">
      <c r="A273" s="2" t="s">
        <v>17</v>
      </c>
      <c r="B273" s="4">
        <v>45996</v>
      </c>
      <c r="C273" s="5">
        <v>0.3862962962962963</v>
      </c>
      <c r="D273" s="9" t="s">
        <v>505</v>
      </c>
      <c r="E273" s="9" t="s">
        <v>503</v>
      </c>
      <c r="F273" s="9" t="s">
        <v>58</v>
      </c>
      <c r="H273" s="9" t="s">
        <v>4177</v>
      </c>
      <c r="I273" s="9" t="s">
        <v>4810</v>
      </c>
      <c r="J273" s="9" t="s">
        <v>2940</v>
      </c>
      <c r="K273" t="s">
        <v>4811</v>
      </c>
      <c r="L273" t="s">
        <v>4812</v>
      </c>
      <c r="M273" s="3" t="str">
        <f>HYPERLINK(склад2въезд131920212223[[#This Row],[RelativePath]])</f>
        <v>10 Сушилка навес\E33149364_3_20251205T091616Z.jpg</v>
      </c>
    </row>
    <row r="274" spans="1:13" x14ac:dyDescent="0.25">
      <c r="A274" s="2" t="s">
        <v>17</v>
      </c>
      <c r="B274" s="4">
        <v>45996</v>
      </c>
      <c r="C274" s="5">
        <v>0.39599537037037036</v>
      </c>
      <c r="D274" s="9" t="s">
        <v>261</v>
      </c>
      <c r="E274" s="9" t="s">
        <v>86</v>
      </c>
      <c r="F274" s="9" t="s">
        <v>4181</v>
      </c>
      <c r="H274" s="9"/>
      <c r="I274" s="9" t="s">
        <v>4813</v>
      </c>
      <c r="J274" s="9" t="s">
        <v>2940</v>
      </c>
      <c r="K274" t="s">
        <v>4814</v>
      </c>
      <c r="L274" t="s">
        <v>4815</v>
      </c>
      <c r="M274" s="3" t="str">
        <f>HYPERLINK(склад2въезд131920212223[[#This Row],[RelativePath]])</f>
        <v>10 Сушилка навес\E33149364_3_20251205T093014Z.jpg</v>
      </c>
    </row>
    <row r="275" spans="1:13" x14ac:dyDescent="0.25">
      <c r="A275" s="2" t="s">
        <v>17</v>
      </c>
      <c r="B275" s="4">
        <v>45996</v>
      </c>
      <c r="C275" s="5">
        <v>0.39608796296296295</v>
      </c>
      <c r="D275" s="9" t="s">
        <v>4182</v>
      </c>
      <c r="E275" s="9" t="s">
        <v>86</v>
      </c>
      <c r="F275" s="9" t="s">
        <v>4181</v>
      </c>
      <c r="H275" s="9" t="s">
        <v>4177</v>
      </c>
      <c r="I275" s="9" t="s">
        <v>4816</v>
      </c>
      <c r="J275" s="9" t="s">
        <v>2940</v>
      </c>
      <c r="K275" t="s">
        <v>4817</v>
      </c>
      <c r="L275" t="s">
        <v>4818</v>
      </c>
      <c r="M275" s="3" t="str">
        <f>HYPERLINK(склад2въезд131920212223[[#This Row],[RelativePath]])</f>
        <v>10 Сушилка навес\E33149364_3_20251205T093022Z.jpg</v>
      </c>
    </row>
    <row r="276" spans="1:13" x14ac:dyDescent="0.25">
      <c r="A276" s="2" t="s">
        <v>17</v>
      </c>
      <c r="B276" s="4">
        <v>45996</v>
      </c>
      <c r="C276" s="5">
        <v>0.40619212962962964</v>
      </c>
      <c r="D276" s="9" t="s">
        <v>505</v>
      </c>
      <c r="E276" s="9" t="s">
        <v>503</v>
      </c>
      <c r="F276" s="9" t="s">
        <v>1071</v>
      </c>
      <c r="H276" s="9" t="s">
        <v>4177</v>
      </c>
      <c r="I276" s="9" t="s">
        <v>4819</v>
      </c>
      <c r="J276" s="9" t="s">
        <v>2940</v>
      </c>
      <c r="K276" t="s">
        <v>4820</v>
      </c>
      <c r="L276" t="s">
        <v>4821</v>
      </c>
      <c r="M276" s="3" t="str">
        <f>HYPERLINK(склад2въезд131920212223[[#This Row],[RelativePath]])</f>
        <v>10 Сушилка навес\E33149364_3_20251205T094455Z.jpg</v>
      </c>
    </row>
    <row r="277" spans="1:13" x14ac:dyDescent="0.25">
      <c r="A277" s="2" t="s">
        <v>17</v>
      </c>
      <c r="B277" s="4">
        <v>45996</v>
      </c>
      <c r="C277" s="5">
        <v>0.47696759259259258</v>
      </c>
      <c r="D277" s="9" t="s">
        <v>505</v>
      </c>
      <c r="E277" s="9" t="s">
        <v>503</v>
      </c>
      <c r="F277" s="9" t="s">
        <v>58</v>
      </c>
      <c r="H277" s="9" t="s">
        <v>4177</v>
      </c>
      <c r="I277" s="9" t="s">
        <v>4822</v>
      </c>
      <c r="J277" s="9" t="s">
        <v>2940</v>
      </c>
      <c r="K277" t="s">
        <v>4823</v>
      </c>
      <c r="L277" t="s">
        <v>4824</v>
      </c>
      <c r="M277" s="3" t="str">
        <f>HYPERLINK(склад2въезд131920212223[[#This Row],[RelativePath]])</f>
        <v>10 Сушилка навес\E33149364_3_20251205T112650Z.jpg</v>
      </c>
    </row>
    <row r="278" spans="1:13" x14ac:dyDescent="0.25">
      <c r="A278" s="2" t="s">
        <v>17</v>
      </c>
      <c r="B278" s="4">
        <v>45996</v>
      </c>
      <c r="C278" s="5">
        <v>0.62177083333333338</v>
      </c>
      <c r="D278" s="9" t="s">
        <v>4168</v>
      </c>
      <c r="E278" s="9" t="s">
        <v>503</v>
      </c>
      <c r="F278" s="9" t="s">
        <v>4174</v>
      </c>
      <c r="H278" s="9" t="s">
        <v>2912</v>
      </c>
      <c r="I278" s="9" t="s">
        <v>4825</v>
      </c>
      <c r="J278" s="9" t="s">
        <v>2940</v>
      </c>
      <c r="K278" t="s">
        <v>4826</v>
      </c>
      <c r="L278" t="s">
        <v>4827</v>
      </c>
      <c r="M278" s="3" t="str">
        <f>HYPERLINK(склад2въезд131920212223[[#This Row],[RelativePath]])</f>
        <v>10 Сушилка навес\E33149364_3_20251205T145521Z.jpg</v>
      </c>
    </row>
    <row r="279" spans="1:13" x14ac:dyDescent="0.25">
      <c r="A279" s="2" t="s">
        <v>17</v>
      </c>
      <c r="B279" s="4">
        <v>45996</v>
      </c>
      <c r="C279" s="5">
        <v>0.68119212962962961</v>
      </c>
      <c r="D279" s="9" t="s">
        <v>4</v>
      </c>
      <c r="E279" s="9" t="s">
        <v>8</v>
      </c>
      <c r="F279" s="9"/>
      <c r="H279" s="9"/>
      <c r="I279" s="9" t="s">
        <v>4828</v>
      </c>
      <c r="J279" s="9" t="s">
        <v>2940</v>
      </c>
      <c r="K279" t="s">
        <v>4829</v>
      </c>
      <c r="L279" t="s">
        <v>4830</v>
      </c>
      <c r="M279" s="3" t="str">
        <f>HYPERLINK(склад2въезд131920212223[[#This Row],[RelativePath]])</f>
        <v>10 Сушилка навес\E33149364_3_20251205T162055Z.jpg</v>
      </c>
    </row>
    <row r="280" spans="1:13" x14ac:dyDescent="0.25">
      <c r="A280" s="2" t="s">
        <v>18</v>
      </c>
      <c r="B280" s="4">
        <v>45997</v>
      </c>
      <c r="C280" s="5">
        <v>0.67979166666666668</v>
      </c>
      <c r="D280" s="9" t="s">
        <v>1967</v>
      </c>
      <c r="E280" s="9" t="s">
        <v>8</v>
      </c>
      <c r="F280" s="9"/>
      <c r="H280" s="9"/>
      <c r="I280" s="9" t="s">
        <v>4831</v>
      </c>
      <c r="J280" s="9" t="s">
        <v>2940</v>
      </c>
      <c r="K280" t="s">
        <v>4832</v>
      </c>
      <c r="L280" t="s">
        <v>4833</v>
      </c>
      <c r="M280" s="3" t="str">
        <f>HYPERLINK(склад2въезд131920212223[[#This Row],[RelativePath]])</f>
        <v>10 Сушилка навес\E33149364_3_20251206T161854Z.jpg</v>
      </c>
    </row>
    <row r="281" spans="1:13" x14ac:dyDescent="0.25">
      <c r="A281" s="2" t="s">
        <v>22</v>
      </c>
      <c r="B281" s="4">
        <v>45998</v>
      </c>
      <c r="C281" s="5">
        <v>0.5006828703703704</v>
      </c>
      <c r="D281" s="9" t="s">
        <v>4</v>
      </c>
      <c r="E281" s="9" t="s">
        <v>8</v>
      </c>
      <c r="F281" s="9"/>
      <c r="H281" s="9"/>
      <c r="I281" s="9" t="s">
        <v>5114</v>
      </c>
      <c r="J281" s="9" t="s">
        <v>2940</v>
      </c>
      <c r="K281" t="s">
        <v>5115</v>
      </c>
      <c r="L281" t="s">
        <v>5116</v>
      </c>
      <c r="M281" s="3" t="str">
        <f>HYPERLINK(склад2въезд131920212223[[#This Row],[RelativePath]])</f>
        <v>10 Сушилка навес\E33149364_3_20251207T120059Z.jpg</v>
      </c>
    </row>
    <row r="282" spans="1:13" x14ac:dyDescent="0.25">
      <c r="A282" s="2" t="s">
        <v>22</v>
      </c>
      <c r="B282" s="4">
        <v>45998</v>
      </c>
      <c r="C282" s="5">
        <v>0.59520833333333334</v>
      </c>
      <c r="D282" s="9" t="s">
        <v>1569</v>
      </c>
      <c r="E282" s="9" t="s">
        <v>5196</v>
      </c>
      <c r="F282" s="9" t="s">
        <v>51</v>
      </c>
      <c r="H282" s="9"/>
      <c r="I282" s="9" t="s">
        <v>5117</v>
      </c>
      <c r="J282" s="9" t="s">
        <v>2940</v>
      </c>
      <c r="K282" t="s">
        <v>5118</v>
      </c>
      <c r="L282" t="s">
        <v>5119</v>
      </c>
      <c r="M282" s="3" t="str">
        <f>HYPERLINK(склад2въезд131920212223[[#This Row],[RelativePath]])</f>
        <v>10 Сушилка навес\E33149364_3_20251207T141706Z.jpg</v>
      </c>
    </row>
    <row r="283" spans="1:13" x14ac:dyDescent="0.25">
      <c r="A283" s="2" t="s">
        <v>22</v>
      </c>
      <c r="B283" s="4">
        <v>45998</v>
      </c>
      <c r="C283" s="5">
        <v>0.60039351851851852</v>
      </c>
      <c r="D283" s="9" t="s">
        <v>261</v>
      </c>
      <c r="E283" s="9" t="s">
        <v>5196</v>
      </c>
      <c r="F283" s="9" t="s">
        <v>4174</v>
      </c>
      <c r="H283" s="9"/>
      <c r="I283" s="9" t="s">
        <v>5120</v>
      </c>
      <c r="J283" s="9" t="s">
        <v>2940</v>
      </c>
      <c r="K283" t="s">
        <v>5121</v>
      </c>
      <c r="L283" t="s">
        <v>5122</v>
      </c>
      <c r="M283" s="3" t="str">
        <f>HYPERLINK(склад2въезд131920212223[[#This Row],[RelativePath]])</f>
        <v>10 Сушилка навес\E33149364_3_20251207T142434Z.jpg</v>
      </c>
    </row>
    <row r="284" spans="1:13" x14ac:dyDescent="0.25">
      <c r="A284" s="2" t="s">
        <v>22</v>
      </c>
      <c r="B284" s="4">
        <v>45998</v>
      </c>
      <c r="C284" s="5">
        <v>0.60648148148148151</v>
      </c>
      <c r="D284" s="9" t="s">
        <v>261</v>
      </c>
      <c r="E284" s="9" t="s">
        <v>5196</v>
      </c>
      <c r="F284" s="9" t="s">
        <v>4174</v>
      </c>
      <c r="H284" s="9" t="s">
        <v>2891</v>
      </c>
      <c r="I284" s="9" t="s">
        <v>5123</v>
      </c>
      <c r="J284" s="9" t="s">
        <v>2940</v>
      </c>
      <c r="K284" t="s">
        <v>5124</v>
      </c>
      <c r="L284" t="s">
        <v>5125</v>
      </c>
      <c r="M284" s="3" t="str">
        <f>HYPERLINK(склад2въезд131920212223[[#This Row],[RelativePath]])</f>
        <v>10 Сушилка навес\E33149364_3_20251207T143320Z.jpg</v>
      </c>
    </row>
    <row r="285" spans="1:13" x14ac:dyDescent="0.25">
      <c r="A285" s="2" t="s">
        <v>22</v>
      </c>
      <c r="B285" s="4">
        <v>45998</v>
      </c>
      <c r="C285" s="5">
        <v>0.61306712962962961</v>
      </c>
      <c r="D285" s="9" t="s">
        <v>4173</v>
      </c>
      <c r="E285" s="9" t="s">
        <v>5196</v>
      </c>
      <c r="F285" s="9" t="s">
        <v>4174</v>
      </c>
      <c r="H285" s="9"/>
      <c r="I285" s="9" t="s">
        <v>5126</v>
      </c>
      <c r="J285" s="9" t="s">
        <v>2940</v>
      </c>
      <c r="K285" t="s">
        <v>5127</v>
      </c>
      <c r="L285" t="s">
        <v>5128</v>
      </c>
      <c r="M285" s="3" t="str">
        <f>HYPERLINK(склад2въезд131920212223[[#This Row],[RelativePath]])</f>
        <v>10 Сушилка навес\E33149364_3_20251207T144249Z.jpg</v>
      </c>
    </row>
    <row r="286" spans="1:13" x14ac:dyDescent="0.25">
      <c r="A286" s="2" t="s">
        <v>13</v>
      </c>
      <c r="B286" s="4">
        <v>45999</v>
      </c>
      <c r="C286" s="5">
        <v>0.38292824074074072</v>
      </c>
      <c r="D286" s="9" t="s">
        <v>261</v>
      </c>
      <c r="E286" s="9" t="s">
        <v>86</v>
      </c>
      <c r="F286" s="9" t="s">
        <v>4181</v>
      </c>
      <c r="H286" s="9"/>
      <c r="I286" s="9" t="s">
        <v>5316</v>
      </c>
      <c r="J286" s="9" t="s">
        <v>2940</v>
      </c>
      <c r="K286" t="s">
        <v>5317</v>
      </c>
      <c r="L286" t="s">
        <v>5318</v>
      </c>
      <c r="M286" s="3" t="str">
        <f>HYPERLINK(склад2въезд131920212223[[#This Row],[RelativePath]])</f>
        <v>10 Сушилка навес\E33149364_3_20251208T091125Z.jpg</v>
      </c>
    </row>
    <row r="287" spans="1:13" x14ac:dyDescent="0.25">
      <c r="A287" s="2" t="s">
        <v>13</v>
      </c>
      <c r="B287" s="4">
        <v>45999</v>
      </c>
      <c r="C287" s="5">
        <v>0.38321759259259258</v>
      </c>
      <c r="D287" s="9" t="s">
        <v>4182</v>
      </c>
      <c r="E287" s="9" t="s">
        <v>86</v>
      </c>
      <c r="F287" s="9" t="s">
        <v>4181</v>
      </c>
      <c r="H287" s="9"/>
      <c r="I287" s="9" t="s">
        <v>5319</v>
      </c>
      <c r="J287" s="9" t="s">
        <v>2940</v>
      </c>
      <c r="K287" t="s">
        <v>5320</v>
      </c>
      <c r="L287" t="s">
        <v>5321</v>
      </c>
      <c r="M287" s="3" t="str">
        <f>HYPERLINK(склад2въезд131920212223[[#This Row],[RelativePath]])</f>
        <v>10 Сушилка навес\E33149364_3_20251208T091150Z.jpg</v>
      </c>
    </row>
    <row r="288" spans="1:13" x14ac:dyDescent="0.25">
      <c r="A288" s="2" t="s">
        <v>13</v>
      </c>
      <c r="B288" s="4">
        <v>45999</v>
      </c>
      <c r="C288" s="5">
        <v>0.38679398148148147</v>
      </c>
      <c r="D288" s="9" t="s">
        <v>505</v>
      </c>
      <c r="E288" s="9" t="s">
        <v>503</v>
      </c>
      <c r="F288" s="9" t="s">
        <v>1071</v>
      </c>
      <c r="H288" s="9" t="s">
        <v>1583</v>
      </c>
      <c r="I288" s="9" t="s">
        <v>5322</v>
      </c>
      <c r="J288" s="9" t="s">
        <v>2940</v>
      </c>
      <c r="K288" t="s">
        <v>5323</v>
      </c>
      <c r="L288" t="s">
        <v>5324</v>
      </c>
      <c r="M288" s="3" t="str">
        <f>HYPERLINK(склад2въезд131920212223[[#This Row],[RelativePath]])</f>
        <v>10 Сушилка навес\E33149364_3_20251208T091659Z.jpg</v>
      </c>
    </row>
    <row r="289" spans="1:13" x14ac:dyDescent="0.25">
      <c r="A289" s="2" t="s">
        <v>13</v>
      </c>
      <c r="B289" s="4">
        <v>45999</v>
      </c>
      <c r="C289" s="5">
        <v>0.39261574074074074</v>
      </c>
      <c r="D289" s="9" t="s">
        <v>4</v>
      </c>
      <c r="E289" s="9" t="s">
        <v>8</v>
      </c>
      <c r="F289" s="9"/>
      <c r="H289" s="9"/>
      <c r="I289" s="9" t="s">
        <v>5325</v>
      </c>
      <c r="J289" s="9" t="s">
        <v>2940</v>
      </c>
      <c r="K289" t="s">
        <v>5326</v>
      </c>
      <c r="L289" t="s">
        <v>5201</v>
      </c>
      <c r="M289" s="3" t="str">
        <f>HYPERLINK(склад2въезд131920212223[[#This Row],[RelativePath]])</f>
        <v>10 Сушилка навес\E33149364_3_20251208T092522Z.jpg</v>
      </c>
    </row>
    <row r="290" spans="1:13" x14ac:dyDescent="0.25">
      <c r="A290" s="2" t="s">
        <v>13</v>
      </c>
      <c r="B290" s="4">
        <v>45999</v>
      </c>
      <c r="C290" s="5">
        <v>0.39297453703703705</v>
      </c>
      <c r="D290" s="9" t="s">
        <v>505</v>
      </c>
      <c r="E290" s="9" t="s">
        <v>503</v>
      </c>
      <c r="F290" s="9" t="s">
        <v>58</v>
      </c>
      <c r="H290" s="9" t="s">
        <v>4177</v>
      </c>
      <c r="I290" s="9" t="s">
        <v>5327</v>
      </c>
      <c r="J290" s="9" t="s">
        <v>2940</v>
      </c>
      <c r="K290" t="s">
        <v>5328</v>
      </c>
      <c r="L290" t="s">
        <v>5329</v>
      </c>
      <c r="M290" s="3" t="str">
        <f>HYPERLINK(склад2въезд131920212223[[#This Row],[RelativePath]])</f>
        <v>10 Сушилка навес\E33149364_3_20251208T092553Z.jpg</v>
      </c>
    </row>
    <row r="291" spans="1:13" x14ac:dyDescent="0.25">
      <c r="A291" s="2" t="s">
        <v>13</v>
      </c>
      <c r="B291" s="4">
        <v>45999</v>
      </c>
      <c r="C291" s="5">
        <v>0.39328703703703705</v>
      </c>
      <c r="D291" s="9" t="s">
        <v>505</v>
      </c>
      <c r="E291" s="9" t="s">
        <v>503</v>
      </c>
      <c r="F291" s="9" t="s">
        <v>58</v>
      </c>
      <c r="H291" s="9" t="s">
        <v>4177</v>
      </c>
      <c r="I291" s="9" t="s">
        <v>5330</v>
      </c>
      <c r="J291" s="9" t="s">
        <v>2940</v>
      </c>
      <c r="K291" t="s">
        <v>5331</v>
      </c>
      <c r="L291" t="s">
        <v>5332</v>
      </c>
      <c r="M291" s="3" t="str">
        <f>HYPERLINK(склад2въезд131920212223[[#This Row],[RelativePath]])</f>
        <v>10 Сушилка навес\E33149364_3_20251208T092620Z.jpg</v>
      </c>
    </row>
    <row r="292" spans="1:13" x14ac:dyDescent="0.25">
      <c r="A292" s="2" t="s">
        <v>13</v>
      </c>
      <c r="B292" s="4">
        <v>45999</v>
      </c>
      <c r="C292" s="5">
        <v>0.39341435185185186</v>
      </c>
      <c r="D292" s="9" t="s">
        <v>505</v>
      </c>
      <c r="E292" s="9" t="s">
        <v>503</v>
      </c>
      <c r="F292" s="9" t="s">
        <v>58</v>
      </c>
      <c r="H292" s="9" t="s">
        <v>4177</v>
      </c>
      <c r="I292" s="9" t="s">
        <v>5333</v>
      </c>
      <c r="J292" s="9" t="s">
        <v>2940</v>
      </c>
      <c r="K292" t="s">
        <v>5334</v>
      </c>
      <c r="L292" t="s">
        <v>5335</v>
      </c>
      <c r="M292" s="3" t="str">
        <f>HYPERLINK(склад2въезд131920212223[[#This Row],[RelativePath]])</f>
        <v>10 Сушилка навес\E33149364_3_20251208T092631Z.jpg</v>
      </c>
    </row>
    <row r="293" spans="1:13" x14ac:dyDescent="0.25">
      <c r="A293" s="2" t="s">
        <v>13</v>
      </c>
      <c r="B293" s="4">
        <v>45999</v>
      </c>
      <c r="C293" s="5">
        <v>0.39350694444444445</v>
      </c>
      <c r="D293" s="9" t="s">
        <v>505</v>
      </c>
      <c r="E293" s="9" t="s">
        <v>503</v>
      </c>
      <c r="F293" s="9" t="s">
        <v>58</v>
      </c>
      <c r="H293" s="9" t="s">
        <v>4177</v>
      </c>
      <c r="I293" s="9" t="s">
        <v>5336</v>
      </c>
      <c r="J293" s="9" t="s">
        <v>2940</v>
      </c>
      <c r="K293" t="s">
        <v>5337</v>
      </c>
      <c r="L293" t="s">
        <v>5338</v>
      </c>
      <c r="M293" s="3" t="str">
        <f>HYPERLINK(склад2въезд131920212223[[#This Row],[RelativePath]])</f>
        <v>10 Сушилка навес\E33149364_3_20251208T092639Z.jpg</v>
      </c>
    </row>
    <row r="294" spans="1:13" x14ac:dyDescent="0.25">
      <c r="A294" s="2" t="s">
        <v>13</v>
      </c>
      <c r="B294" s="4">
        <v>45999</v>
      </c>
      <c r="C294" s="5">
        <v>0.39398148148148149</v>
      </c>
      <c r="D294" s="9" t="s">
        <v>505</v>
      </c>
      <c r="E294" s="9" t="s">
        <v>503</v>
      </c>
      <c r="F294" s="9" t="s">
        <v>58</v>
      </c>
      <c r="H294" s="9" t="s">
        <v>4177</v>
      </c>
      <c r="I294" s="9" t="s">
        <v>5339</v>
      </c>
      <c r="J294" s="9" t="s">
        <v>2940</v>
      </c>
      <c r="K294" t="s">
        <v>5340</v>
      </c>
      <c r="L294" t="s">
        <v>5341</v>
      </c>
      <c r="M294" s="3" t="str">
        <f>HYPERLINK(склад2въезд131920212223[[#This Row],[RelativePath]])</f>
        <v>10 Сушилка навес\E33149364_3_20251208T092720Z.jpg</v>
      </c>
    </row>
    <row r="295" spans="1:13" x14ac:dyDescent="0.25">
      <c r="A295" s="2" t="s">
        <v>13</v>
      </c>
      <c r="B295" s="4">
        <v>45999</v>
      </c>
      <c r="C295" s="5">
        <v>0.4160300925925926</v>
      </c>
      <c r="D295" s="9" t="s">
        <v>4164</v>
      </c>
      <c r="E295" s="9" t="s">
        <v>86</v>
      </c>
      <c r="F295" s="9" t="s">
        <v>58</v>
      </c>
      <c r="H295" s="9"/>
      <c r="I295" s="9" t="s">
        <v>5342</v>
      </c>
      <c r="J295" s="9" t="s">
        <v>2940</v>
      </c>
      <c r="K295" t="s">
        <v>5343</v>
      </c>
      <c r="L295" t="s">
        <v>5344</v>
      </c>
      <c r="M295" s="3" t="str">
        <f>HYPERLINK(склад2въезд131920212223[[#This Row],[RelativePath]])</f>
        <v>10 Сушилка навес\E33149364_3_20251208T095905Z.jpg</v>
      </c>
    </row>
    <row r="296" spans="1:13" x14ac:dyDescent="0.25">
      <c r="A296" s="2" t="s">
        <v>13</v>
      </c>
      <c r="B296" s="4">
        <v>45999</v>
      </c>
      <c r="C296" s="5">
        <v>0.41706018518518517</v>
      </c>
      <c r="D296" s="9" t="s">
        <v>4164</v>
      </c>
      <c r="E296" s="9" t="s">
        <v>86</v>
      </c>
      <c r="F296" s="9" t="s">
        <v>58</v>
      </c>
      <c r="H296" s="9" t="s">
        <v>2909</v>
      </c>
      <c r="I296" s="9" t="s">
        <v>5345</v>
      </c>
      <c r="J296" s="9" t="s">
        <v>2940</v>
      </c>
      <c r="K296" t="s">
        <v>5346</v>
      </c>
      <c r="L296" t="s">
        <v>5347</v>
      </c>
      <c r="M296" s="3" t="str">
        <f>HYPERLINK(склад2въезд131920212223[[#This Row],[RelativePath]])</f>
        <v>10 Сушилка навес\E33149364_3_20251208T100034Z.jpg</v>
      </c>
    </row>
    <row r="297" spans="1:13" x14ac:dyDescent="0.25">
      <c r="A297" s="2" t="s">
        <v>13</v>
      </c>
      <c r="B297" s="4">
        <v>45999</v>
      </c>
      <c r="C297" s="5">
        <v>0.41962962962962963</v>
      </c>
      <c r="D297" s="9" t="s">
        <v>4164</v>
      </c>
      <c r="E297" s="9" t="s">
        <v>86</v>
      </c>
      <c r="F297" s="9" t="s">
        <v>58</v>
      </c>
      <c r="H297" s="9"/>
      <c r="I297" s="9" t="s">
        <v>5348</v>
      </c>
      <c r="J297" s="9" t="s">
        <v>2940</v>
      </c>
      <c r="K297" t="s">
        <v>5349</v>
      </c>
      <c r="L297" t="s">
        <v>5350</v>
      </c>
      <c r="M297" s="3" t="str">
        <f>HYPERLINK(склад2въезд131920212223[[#This Row],[RelativePath]])</f>
        <v>10 Сушилка навес\E33149364_3_20251208T100416Z.jpg</v>
      </c>
    </row>
    <row r="298" spans="1:13" x14ac:dyDescent="0.25">
      <c r="A298" s="2" t="s">
        <v>13</v>
      </c>
      <c r="B298" s="4">
        <v>45999</v>
      </c>
      <c r="C298" s="5">
        <v>0.41980324074074077</v>
      </c>
      <c r="D298" s="9" t="s">
        <v>4164</v>
      </c>
      <c r="E298" s="9" t="s">
        <v>86</v>
      </c>
      <c r="F298" s="9" t="s">
        <v>58</v>
      </c>
      <c r="H298" s="9" t="s">
        <v>2909</v>
      </c>
      <c r="I298" s="9" t="s">
        <v>5351</v>
      </c>
      <c r="J298" s="9" t="s">
        <v>2940</v>
      </c>
      <c r="K298" t="s">
        <v>5352</v>
      </c>
      <c r="L298" t="s">
        <v>5353</v>
      </c>
      <c r="M298" s="3" t="str">
        <f>HYPERLINK(склад2въезд131920212223[[#This Row],[RelativePath]])</f>
        <v>10 Сушилка навес\E33149364_3_20251208T100431Z.jpg</v>
      </c>
    </row>
    <row r="299" spans="1:13" x14ac:dyDescent="0.25">
      <c r="A299" s="2" t="s">
        <v>13</v>
      </c>
      <c r="B299" s="4">
        <v>45999</v>
      </c>
      <c r="C299" s="5">
        <v>0.42469907407407409</v>
      </c>
      <c r="D299" s="9" t="s">
        <v>4164</v>
      </c>
      <c r="E299" s="9" t="s">
        <v>86</v>
      </c>
      <c r="F299" s="9" t="s">
        <v>58</v>
      </c>
      <c r="H299" s="9"/>
      <c r="I299" s="9" t="s">
        <v>5354</v>
      </c>
      <c r="J299" s="9" t="s">
        <v>2940</v>
      </c>
      <c r="K299" t="s">
        <v>5355</v>
      </c>
      <c r="L299" t="s">
        <v>5356</v>
      </c>
      <c r="M299" s="3" t="str">
        <f>HYPERLINK(склад2въезд131920212223[[#This Row],[RelativePath]])</f>
        <v>10 Сушилка навес\E33149364_3_20251208T101134Z.jpg</v>
      </c>
    </row>
    <row r="300" spans="1:13" x14ac:dyDescent="0.25">
      <c r="A300" s="2" t="s">
        <v>13</v>
      </c>
      <c r="B300" s="4">
        <v>45999</v>
      </c>
      <c r="C300" s="5">
        <v>0.42531249999999998</v>
      </c>
      <c r="D300" s="9" t="s">
        <v>4164</v>
      </c>
      <c r="E300" s="9" t="s">
        <v>86</v>
      </c>
      <c r="F300" s="9" t="s">
        <v>58</v>
      </c>
      <c r="H300" s="9" t="s">
        <v>2891</v>
      </c>
      <c r="I300" s="9" t="s">
        <v>5357</v>
      </c>
      <c r="J300" s="9" t="s">
        <v>2940</v>
      </c>
      <c r="K300" t="s">
        <v>5358</v>
      </c>
      <c r="L300" t="s">
        <v>5359</v>
      </c>
      <c r="M300" s="3" t="str">
        <f>HYPERLINK(склад2въезд131920212223[[#This Row],[RelativePath]])</f>
        <v>10 Сушилка навес\E33149364_3_20251208T101227Z.jpg</v>
      </c>
    </row>
    <row r="301" spans="1:13" x14ac:dyDescent="0.25">
      <c r="A301" s="2" t="s">
        <v>13</v>
      </c>
      <c r="B301" s="4">
        <v>45999</v>
      </c>
      <c r="C301" s="5">
        <v>0.42561342592592594</v>
      </c>
      <c r="D301" s="9" t="s">
        <v>4164</v>
      </c>
      <c r="E301" s="9" t="s">
        <v>86</v>
      </c>
      <c r="F301" s="9" t="s">
        <v>58</v>
      </c>
      <c r="H301" s="9" t="s">
        <v>4177</v>
      </c>
      <c r="I301" s="9" t="s">
        <v>5360</v>
      </c>
      <c r="J301" s="9" t="s">
        <v>2940</v>
      </c>
      <c r="K301" t="s">
        <v>5361</v>
      </c>
      <c r="L301" t="s">
        <v>5362</v>
      </c>
      <c r="M301" s="3" t="str">
        <f>HYPERLINK(склад2въезд131920212223[[#This Row],[RelativePath]])</f>
        <v>10 Сушилка навес\E33149364_3_20251208T101253Z.jpg</v>
      </c>
    </row>
    <row r="302" spans="1:13" x14ac:dyDescent="0.25">
      <c r="A302" s="2" t="s">
        <v>13</v>
      </c>
      <c r="B302" s="4">
        <v>45999</v>
      </c>
      <c r="C302" s="5">
        <v>0.4620023148148148</v>
      </c>
      <c r="D302" s="9" t="s">
        <v>4164</v>
      </c>
      <c r="E302" s="9" t="s">
        <v>86</v>
      </c>
      <c r="F302" s="9" t="s">
        <v>58</v>
      </c>
      <c r="H302" s="9"/>
      <c r="I302" s="9" t="s">
        <v>5363</v>
      </c>
      <c r="J302" s="9" t="s">
        <v>2940</v>
      </c>
      <c r="K302" t="s">
        <v>5364</v>
      </c>
      <c r="L302" t="s">
        <v>5365</v>
      </c>
      <c r="M302" s="3" t="str">
        <f>HYPERLINK(склад2въезд131920212223[[#This Row],[RelativePath]])</f>
        <v>10 Сушилка навес\E33149364_3_20251208T110517Z.jpg</v>
      </c>
    </row>
    <row r="303" spans="1:13" x14ac:dyDescent="0.25">
      <c r="A303" s="2" t="s">
        <v>13</v>
      </c>
      <c r="B303" s="4">
        <v>45999</v>
      </c>
      <c r="C303" s="5">
        <v>0.46225694444444443</v>
      </c>
      <c r="D303" s="9" t="s">
        <v>4164</v>
      </c>
      <c r="E303" s="9" t="s">
        <v>86</v>
      </c>
      <c r="F303" s="9" t="s">
        <v>58</v>
      </c>
      <c r="H303" s="9" t="s">
        <v>2909</v>
      </c>
      <c r="I303" s="9" t="s">
        <v>5366</v>
      </c>
      <c r="J303" s="9" t="s">
        <v>2940</v>
      </c>
      <c r="K303" t="s">
        <v>5367</v>
      </c>
      <c r="L303" t="s">
        <v>5368</v>
      </c>
      <c r="M303" s="3" t="str">
        <f>HYPERLINK(склад2въезд131920212223[[#This Row],[RelativePath]])</f>
        <v>10 Сушилка навес\E33149364_3_20251208T110539Z.jpg</v>
      </c>
    </row>
    <row r="304" spans="1:13" x14ac:dyDescent="0.25">
      <c r="A304" s="2" t="s">
        <v>13</v>
      </c>
      <c r="B304" s="4">
        <v>45999</v>
      </c>
      <c r="C304" s="5">
        <v>0.46872685185185187</v>
      </c>
      <c r="D304" s="9" t="s">
        <v>505</v>
      </c>
      <c r="E304" s="9" t="s">
        <v>503</v>
      </c>
      <c r="F304" s="9" t="s">
        <v>58</v>
      </c>
      <c r="H304" s="9" t="s">
        <v>4177</v>
      </c>
      <c r="I304" s="9" t="s">
        <v>5369</v>
      </c>
      <c r="J304" s="9" t="s">
        <v>2940</v>
      </c>
      <c r="K304" t="s">
        <v>5370</v>
      </c>
      <c r="L304" t="s">
        <v>5371</v>
      </c>
      <c r="M304" s="3" t="str">
        <f>HYPERLINK(склад2въезд131920212223[[#This Row],[RelativePath]])</f>
        <v>10 Сушилка навес\E33149364_3_20251208T111458Z.jpg</v>
      </c>
    </row>
    <row r="305" spans="1:13" x14ac:dyDescent="0.25">
      <c r="A305" s="2" t="s">
        <v>13</v>
      </c>
      <c r="B305" s="4">
        <v>45999</v>
      </c>
      <c r="C305" s="5">
        <v>0.6012615740740741</v>
      </c>
      <c r="D305" s="9" t="s">
        <v>505</v>
      </c>
      <c r="E305" s="9" t="s">
        <v>503</v>
      </c>
      <c r="F305" s="9" t="s">
        <v>58</v>
      </c>
      <c r="H305" s="9" t="s">
        <v>4177</v>
      </c>
      <c r="I305" s="9" t="s">
        <v>5372</v>
      </c>
      <c r="J305" s="9" t="s">
        <v>2940</v>
      </c>
      <c r="K305" t="s">
        <v>5373</v>
      </c>
      <c r="L305" t="s">
        <v>5374</v>
      </c>
      <c r="M305" s="3" t="str">
        <f>HYPERLINK(склад2въезд131920212223[[#This Row],[RelativePath]])</f>
        <v>10 Сушилка навес\E33149364_3_20251208T142549Z.jpg</v>
      </c>
    </row>
    <row r="306" spans="1:13" x14ac:dyDescent="0.25">
      <c r="A306" s="2" t="s">
        <v>13</v>
      </c>
      <c r="B306" s="4">
        <v>45999</v>
      </c>
      <c r="C306" s="5">
        <v>0.63436342592592587</v>
      </c>
      <c r="D306" s="9" t="s">
        <v>4164</v>
      </c>
      <c r="E306" s="9" t="s">
        <v>86</v>
      </c>
      <c r="F306" s="9" t="s">
        <v>200</v>
      </c>
      <c r="H306" s="9" t="s">
        <v>1568</v>
      </c>
      <c r="I306" s="9" t="s">
        <v>5375</v>
      </c>
      <c r="J306" s="9" t="s">
        <v>2940</v>
      </c>
      <c r="K306" t="s">
        <v>5376</v>
      </c>
      <c r="L306" t="s">
        <v>5377</v>
      </c>
      <c r="M306" s="3" t="str">
        <f>HYPERLINK(склад2въезд131920212223[[#This Row],[RelativePath]])</f>
        <v>10 Сушилка навес\E33149364_3_20251208T151329Z.jpg</v>
      </c>
    </row>
    <row r="307" spans="1:13" x14ac:dyDescent="0.25">
      <c r="A307" s="2" t="s">
        <v>13</v>
      </c>
      <c r="B307" s="4">
        <v>45999</v>
      </c>
      <c r="C307" s="5">
        <v>0.64134259259259263</v>
      </c>
      <c r="D307" s="9" t="s">
        <v>4164</v>
      </c>
      <c r="E307" s="9" t="s">
        <v>86</v>
      </c>
      <c r="F307" s="9" t="s">
        <v>200</v>
      </c>
      <c r="H307" s="9" t="s">
        <v>1568</v>
      </c>
      <c r="I307" s="9" t="s">
        <v>5378</v>
      </c>
      <c r="J307" s="9" t="s">
        <v>2940</v>
      </c>
      <c r="K307" t="s">
        <v>5379</v>
      </c>
      <c r="L307" t="s">
        <v>5380</v>
      </c>
      <c r="M307" s="3" t="str">
        <f>HYPERLINK(склад2въезд131920212223[[#This Row],[RelativePath]])</f>
        <v>10 Сушилка навес\E33149364_3_20251208T152332Z.jpg</v>
      </c>
    </row>
    <row r="308" spans="1:13" x14ac:dyDescent="0.25">
      <c r="A308" s="2" t="s">
        <v>13</v>
      </c>
      <c r="B308" s="4">
        <v>45999</v>
      </c>
      <c r="C308" s="5">
        <v>0.7248148148148148</v>
      </c>
      <c r="D308" s="9" t="s">
        <v>4</v>
      </c>
      <c r="E308" s="9" t="s">
        <v>8</v>
      </c>
      <c r="F308" s="9"/>
      <c r="H308" s="9"/>
      <c r="I308" s="9" t="s">
        <v>5381</v>
      </c>
      <c r="J308" s="9" t="s">
        <v>2940</v>
      </c>
      <c r="K308" t="s">
        <v>5382</v>
      </c>
      <c r="L308" t="s">
        <v>5383</v>
      </c>
      <c r="M308" s="3" t="str">
        <f>HYPERLINK(склад2въезд131920212223[[#This Row],[RelativePath]])</f>
        <v>10 Сушилка навес\E33149364_3_20251208T172344Z.jpg</v>
      </c>
    </row>
    <row r="309" spans="1:13" x14ac:dyDescent="0.25">
      <c r="A309" s="2" t="s">
        <v>14</v>
      </c>
      <c r="B309" s="4">
        <v>46000</v>
      </c>
      <c r="C309" s="5">
        <v>0.37462962962962965</v>
      </c>
      <c r="D309" s="9" t="s">
        <v>4</v>
      </c>
      <c r="E309" s="9" t="s">
        <v>8</v>
      </c>
      <c r="F309" s="9"/>
      <c r="H309" s="9"/>
      <c r="I309" s="9" t="s">
        <v>5671</v>
      </c>
      <c r="J309" s="9" t="s">
        <v>2940</v>
      </c>
      <c r="K309" t="s">
        <v>5672</v>
      </c>
      <c r="L309" t="s">
        <v>5673</v>
      </c>
      <c r="M309" s="3" t="str">
        <f>HYPERLINK(склад2въезд131920212223[[#This Row],[RelativePath]])</f>
        <v>10 Сушилка навес\E33149364_3_20251209T085928Z.jpg</v>
      </c>
    </row>
    <row r="310" spans="1:13" x14ac:dyDescent="0.25">
      <c r="A310" s="2" t="s">
        <v>14</v>
      </c>
      <c r="B310" s="4">
        <v>46000</v>
      </c>
      <c r="C310" s="5">
        <v>0.4216550925925926</v>
      </c>
      <c r="D310" s="9" t="s">
        <v>4164</v>
      </c>
      <c r="E310" s="9" t="s">
        <v>86</v>
      </c>
      <c r="F310" s="9" t="s">
        <v>7083</v>
      </c>
      <c r="H310" s="9"/>
      <c r="I310" s="9" t="s">
        <v>5674</v>
      </c>
      <c r="J310" s="9" t="s">
        <v>2940</v>
      </c>
      <c r="K310" t="s">
        <v>5675</v>
      </c>
      <c r="L310" t="s">
        <v>5676</v>
      </c>
      <c r="M310" s="3" t="str">
        <f>HYPERLINK(склад2въезд131920212223[[#This Row],[RelativePath]])</f>
        <v>10 Сушилка навес\E33149364_3_20251209T100711Z.jpg</v>
      </c>
    </row>
    <row r="311" spans="1:13" x14ac:dyDescent="0.25">
      <c r="A311" s="2" t="s">
        <v>14</v>
      </c>
      <c r="B311" s="4">
        <v>46000</v>
      </c>
      <c r="C311" s="5">
        <v>0.48509259259259258</v>
      </c>
      <c r="D311" s="9" t="s">
        <v>505</v>
      </c>
      <c r="E311" s="9" t="s">
        <v>503</v>
      </c>
      <c r="F311" s="9" t="s">
        <v>58</v>
      </c>
      <c r="H311" s="9" t="s">
        <v>4177</v>
      </c>
      <c r="I311" s="9" t="s">
        <v>5677</v>
      </c>
      <c r="J311" s="9" t="s">
        <v>2940</v>
      </c>
      <c r="K311" t="s">
        <v>5678</v>
      </c>
      <c r="L311" t="s">
        <v>5679</v>
      </c>
      <c r="M311" s="3" t="str">
        <f>HYPERLINK(склад2въезд131920212223[[#This Row],[RelativePath]])</f>
        <v>10 Сушилка навес\E33149364_3_20251209T113832Z.jpg</v>
      </c>
    </row>
    <row r="312" spans="1:13" x14ac:dyDescent="0.25">
      <c r="A312" s="2" t="s">
        <v>14</v>
      </c>
      <c r="B312" s="4">
        <v>46000</v>
      </c>
      <c r="C312" s="5">
        <v>0.62200231481481483</v>
      </c>
      <c r="D312" s="9" t="s">
        <v>158</v>
      </c>
      <c r="E312" s="9" t="s">
        <v>86</v>
      </c>
      <c r="F312" s="9" t="s">
        <v>500</v>
      </c>
      <c r="G312">
        <v>1</v>
      </c>
      <c r="H312" s="9" t="s">
        <v>1568</v>
      </c>
      <c r="I312" s="9" t="s">
        <v>5680</v>
      </c>
      <c r="J312" s="9" t="s">
        <v>2940</v>
      </c>
      <c r="K312" t="s">
        <v>5681</v>
      </c>
      <c r="L312" t="s">
        <v>5682</v>
      </c>
      <c r="M312" s="3" t="str">
        <f>HYPERLINK(склад2въезд131920212223[[#This Row],[RelativePath]])</f>
        <v>10 Сушилка навес\E33149364_3_20251209T145541Z.jpg</v>
      </c>
    </row>
    <row r="313" spans="1:13" x14ac:dyDescent="0.25">
      <c r="A313" s="2" t="s">
        <v>14</v>
      </c>
      <c r="B313" s="4">
        <v>46000</v>
      </c>
      <c r="C313" s="5">
        <v>0.62737268518518519</v>
      </c>
      <c r="D313" s="9" t="s">
        <v>158</v>
      </c>
      <c r="E313" s="9" t="s">
        <v>86</v>
      </c>
      <c r="F313" s="9" t="s">
        <v>500</v>
      </c>
      <c r="G313">
        <v>1</v>
      </c>
      <c r="H313" s="9" t="s">
        <v>1568</v>
      </c>
      <c r="I313" s="9" t="s">
        <v>5683</v>
      </c>
      <c r="J313" s="9" t="s">
        <v>2940</v>
      </c>
      <c r="K313" t="s">
        <v>5684</v>
      </c>
      <c r="L313" t="s">
        <v>5685</v>
      </c>
      <c r="M313" s="3" t="str">
        <f>HYPERLINK(склад2въезд131920212223[[#This Row],[RelativePath]])</f>
        <v>10 Сушилка навес\E33149364_3_20251209T150325Z.jpg</v>
      </c>
    </row>
    <row r="314" spans="1:13" x14ac:dyDescent="0.25">
      <c r="A314" s="2" t="s">
        <v>14</v>
      </c>
      <c r="B314" s="4">
        <v>46000</v>
      </c>
      <c r="C314" s="5">
        <v>0.63340277777777776</v>
      </c>
      <c r="D314" s="9" t="s">
        <v>158</v>
      </c>
      <c r="E314" s="9" t="s">
        <v>86</v>
      </c>
      <c r="F314" s="9" t="s">
        <v>500</v>
      </c>
      <c r="G314">
        <v>1</v>
      </c>
      <c r="H314" s="9" t="s">
        <v>1568</v>
      </c>
      <c r="I314" s="9" t="s">
        <v>5686</v>
      </c>
      <c r="J314" s="9" t="s">
        <v>2940</v>
      </c>
      <c r="K314" t="s">
        <v>5687</v>
      </c>
      <c r="L314" t="s">
        <v>5688</v>
      </c>
      <c r="M314" s="3" t="str">
        <f>HYPERLINK(склад2въезд131920212223[[#This Row],[RelativePath]])</f>
        <v>10 Сушилка навес\E33149364_3_20251209T151206Z.jpg</v>
      </c>
    </row>
    <row r="315" spans="1:13" x14ac:dyDescent="0.25">
      <c r="A315" s="2" t="s">
        <v>15</v>
      </c>
      <c r="B315" s="4">
        <v>46001</v>
      </c>
      <c r="C315" s="5">
        <v>0.3651388888888889</v>
      </c>
      <c r="D315" s="9" t="s">
        <v>505</v>
      </c>
      <c r="E315" s="9" t="s">
        <v>503</v>
      </c>
      <c r="F315" s="9" t="s">
        <v>2899</v>
      </c>
      <c r="H315" s="9" t="s">
        <v>1583</v>
      </c>
      <c r="I315" s="9" t="s">
        <v>5689</v>
      </c>
      <c r="J315" s="9" t="s">
        <v>2940</v>
      </c>
      <c r="K315" t="s">
        <v>5690</v>
      </c>
      <c r="L315" t="s">
        <v>5691</v>
      </c>
      <c r="M315" s="3" t="str">
        <f>HYPERLINK(склад2въезд131920212223[[#This Row],[RelativePath]])</f>
        <v>10 Сушилка навес\E33149364_3_20251210T084548Z.jpg</v>
      </c>
    </row>
    <row r="316" spans="1:13" x14ac:dyDescent="0.25">
      <c r="A316" s="2" t="s">
        <v>15</v>
      </c>
      <c r="B316" s="4">
        <v>46001</v>
      </c>
      <c r="C316" s="5">
        <v>0.37614583333333335</v>
      </c>
      <c r="D316" s="9" t="s">
        <v>4164</v>
      </c>
      <c r="E316" s="9" t="s">
        <v>86</v>
      </c>
      <c r="F316" s="9" t="s">
        <v>6104</v>
      </c>
      <c r="H316" s="9"/>
      <c r="I316" s="9" t="s">
        <v>5692</v>
      </c>
      <c r="J316" s="9" t="s">
        <v>2940</v>
      </c>
      <c r="K316" t="s">
        <v>5693</v>
      </c>
      <c r="L316" t="s">
        <v>5694</v>
      </c>
      <c r="M316" s="3" t="str">
        <f>HYPERLINK(склад2въезд131920212223[[#This Row],[RelativePath]])</f>
        <v>10 Сушилка навес\E33149364_3_20251210T090139Z.jpg</v>
      </c>
    </row>
    <row r="317" spans="1:13" x14ac:dyDescent="0.25">
      <c r="A317" s="2" t="s">
        <v>15</v>
      </c>
      <c r="B317" s="4">
        <v>46001</v>
      </c>
      <c r="C317" s="5">
        <v>0.37626157407407407</v>
      </c>
      <c r="D317" s="9" t="s">
        <v>4164</v>
      </c>
      <c r="E317" s="9" t="s">
        <v>86</v>
      </c>
      <c r="F317" s="9" t="s">
        <v>6104</v>
      </c>
      <c r="H317" s="9" t="s">
        <v>2891</v>
      </c>
      <c r="I317" s="9" t="s">
        <v>5695</v>
      </c>
      <c r="J317" s="9" t="s">
        <v>2940</v>
      </c>
      <c r="K317" t="s">
        <v>5696</v>
      </c>
      <c r="L317" t="s">
        <v>5697</v>
      </c>
      <c r="M317" s="3" t="str">
        <f>HYPERLINK(склад2въезд131920212223[[#This Row],[RelativePath]])</f>
        <v>10 Сушилка навес\E33149364_3_20251210T090149Z.jpg</v>
      </c>
    </row>
    <row r="318" spans="1:13" x14ac:dyDescent="0.25">
      <c r="A318" s="2" t="s">
        <v>15</v>
      </c>
      <c r="B318" s="4">
        <v>46001</v>
      </c>
      <c r="C318" s="5">
        <v>0.38162037037037039</v>
      </c>
      <c r="D318" s="9" t="s">
        <v>505</v>
      </c>
      <c r="E318" s="9" t="s">
        <v>503</v>
      </c>
      <c r="F318" s="9" t="s">
        <v>2899</v>
      </c>
      <c r="H318" s="9" t="s">
        <v>1583</v>
      </c>
      <c r="I318" s="9" t="s">
        <v>5698</v>
      </c>
      <c r="J318" s="9" t="s">
        <v>2940</v>
      </c>
      <c r="K318" t="s">
        <v>5699</v>
      </c>
      <c r="L318" t="s">
        <v>5700</v>
      </c>
      <c r="M318" s="3" t="str">
        <f>HYPERLINK(склад2въезд131920212223[[#This Row],[RelativePath]])</f>
        <v>10 Сушилка навес\E33149364_3_20251210T090932Z.jpg</v>
      </c>
    </row>
    <row r="319" spans="1:13" x14ac:dyDescent="0.25">
      <c r="A319" s="2" t="s">
        <v>15</v>
      </c>
      <c r="B319" s="4">
        <v>46001</v>
      </c>
      <c r="C319" s="5">
        <v>0.38256944444444446</v>
      </c>
      <c r="D319" s="9" t="s">
        <v>4164</v>
      </c>
      <c r="E319" s="9" t="s">
        <v>86</v>
      </c>
      <c r="F319" s="9" t="s">
        <v>6104</v>
      </c>
      <c r="H319" s="9"/>
      <c r="I319" s="9" t="s">
        <v>5701</v>
      </c>
      <c r="J319" s="9" t="s">
        <v>2940</v>
      </c>
      <c r="K319" t="s">
        <v>5702</v>
      </c>
      <c r="L319" t="s">
        <v>5703</v>
      </c>
      <c r="M319" s="3" t="str">
        <f>HYPERLINK(склад2въезд131920212223[[#This Row],[RelativePath]])</f>
        <v>10 Сушилка навес\E33149364_3_20251210T091054Z.jpg</v>
      </c>
    </row>
    <row r="320" spans="1:13" x14ac:dyDescent="0.25">
      <c r="A320" s="2" t="s">
        <v>15</v>
      </c>
      <c r="B320" s="4">
        <v>46001</v>
      </c>
      <c r="C320" s="5">
        <v>0.4064814814814815</v>
      </c>
      <c r="D320" s="9" t="s">
        <v>261</v>
      </c>
      <c r="E320" s="9" t="s">
        <v>86</v>
      </c>
      <c r="F320" s="9" t="s">
        <v>7083</v>
      </c>
      <c r="H320" s="9"/>
      <c r="I320" s="9" t="s">
        <v>5704</v>
      </c>
      <c r="J320" s="9" t="s">
        <v>2940</v>
      </c>
      <c r="K320" t="s">
        <v>5705</v>
      </c>
      <c r="L320" t="s">
        <v>5706</v>
      </c>
      <c r="M320" s="3" t="str">
        <f>HYPERLINK(склад2въезд131920212223[[#This Row],[RelativePath]])</f>
        <v>10 Сушилка навес\E33149364_3_20251210T094520Z.jpg</v>
      </c>
    </row>
    <row r="321" spans="1:13" x14ac:dyDescent="0.25">
      <c r="A321" s="2" t="s">
        <v>15</v>
      </c>
      <c r="B321" s="4">
        <v>46001</v>
      </c>
      <c r="C321" s="5">
        <v>0.49738425925925928</v>
      </c>
      <c r="D321" s="9" t="s">
        <v>622</v>
      </c>
      <c r="E321" s="9" t="s">
        <v>86</v>
      </c>
      <c r="F321" s="9" t="s">
        <v>7083</v>
      </c>
      <c r="H321" s="9"/>
      <c r="I321" s="9" t="s">
        <v>5707</v>
      </c>
      <c r="J321" s="9" t="s">
        <v>2940</v>
      </c>
      <c r="K321" t="s">
        <v>5708</v>
      </c>
      <c r="L321" t="s">
        <v>5709</v>
      </c>
      <c r="M321" s="3" t="str">
        <f>HYPERLINK(склад2въезд131920212223[[#This Row],[RelativePath]])</f>
        <v>10 Сушилка навес\E33149364_3_20251210T115614Z.jpg</v>
      </c>
    </row>
    <row r="322" spans="1:13" x14ac:dyDescent="0.25">
      <c r="A322" s="2" t="s">
        <v>15</v>
      </c>
      <c r="B322" s="4">
        <v>46001</v>
      </c>
      <c r="C322" s="5">
        <v>0.4974884259259259</v>
      </c>
      <c r="D322" s="9" t="s">
        <v>505</v>
      </c>
      <c r="E322" s="9" t="s">
        <v>503</v>
      </c>
      <c r="F322" s="9" t="s">
        <v>58</v>
      </c>
      <c r="H322" s="9" t="s">
        <v>4177</v>
      </c>
      <c r="I322" s="9" t="s">
        <v>5710</v>
      </c>
      <c r="J322" s="9" t="s">
        <v>2940</v>
      </c>
      <c r="K322" t="s">
        <v>5711</v>
      </c>
      <c r="L322" t="s">
        <v>5712</v>
      </c>
      <c r="M322" s="3" t="str">
        <f>HYPERLINK(склад2въезд131920212223[[#This Row],[RelativePath]])</f>
        <v>10 Сушилка навес\E33149364_3_20251210T115623Z.jpg</v>
      </c>
    </row>
    <row r="323" spans="1:13" x14ac:dyDescent="0.25">
      <c r="A323" s="2" t="s">
        <v>15</v>
      </c>
      <c r="B323" s="4">
        <v>46001</v>
      </c>
      <c r="C323" s="5">
        <v>0.50359953703703708</v>
      </c>
      <c r="D323" s="9" t="s">
        <v>158</v>
      </c>
      <c r="E323" s="9" t="s">
        <v>86</v>
      </c>
      <c r="F323" s="9" t="s">
        <v>500</v>
      </c>
      <c r="G323">
        <v>1</v>
      </c>
      <c r="H323" s="9" t="s">
        <v>1568</v>
      </c>
      <c r="I323" s="9" t="s">
        <v>5713</v>
      </c>
      <c r="J323" s="9" t="s">
        <v>2940</v>
      </c>
      <c r="K323" t="s">
        <v>5714</v>
      </c>
      <c r="L323" t="s">
        <v>5715</v>
      </c>
      <c r="M323" s="3" t="str">
        <f>HYPERLINK(склад2въезд131920212223[[#This Row],[RelativePath]])</f>
        <v>10 Сушилка навес\E33149364_3_20251210T120511Z.jpg</v>
      </c>
    </row>
    <row r="324" spans="1:13" x14ac:dyDescent="0.25">
      <c r="A324" s="2" t="s">
        <v>15</v>
      </c>
      <c r="B324" s="4">
        <v>46001</v>
      </c>
      <c r="C324" s="5">
        <v>0.50922453703703707</v>
      </c>
      <c r="D324" s="9" t="s">
        <v>158</v>
      </c>
      <c r="E324" s="9" t="s">
        <v>86</v>
      </c>
      <c r="F324" s="9" t="s">
        <v>500</v>
      </c>
      <c r="G324">
        <v>1</v>
      </c>
      <c r="H324" s="9" t="s">
        <v>1568</v>
      </c>
      <c r="I324" s="9" t="s">
        <v>5716</v>
      </c>
      <c r="J324" s="9" t="s">
        <v>2940</v>
      </c>
      <c r="K324" t="s">
        <v>5717</v>
      </c>
      <c r="L324" t="s">
        <v>5718</v>
      </c>
      <c r="M324" s="3" t="str">
        <f>HYPERLINK(склад2въезд131920212223[[#This Row],[RelativePath]])</f>
        <v>10 Сушилка навес\E33149364_3_20251210T121317Z.jpg</v>
      </c>
    </row>
    <row r="325" spans="1:13" x14ac:dyDescent="0.25">
      <c r="A325" s="2" t="s">
        <v>16</v>
      </c>
      <c r="B325" s="4">
        <v>46002</v>
      </c>
      <c r="C325" s="5">
        <v>0.38542824074074072</v>
      </c>
      <c r="D325" s="9" t="s">
        <v>4</v>
      </c>
      <c r="E325" s="9" t="s">
        <v>8</v>
      </c>
      <c r="F325" s="9"/>
      <c r="H325" s="9"/>
      <c r="I325" s="9" t="s">
        <v>5719</v>
      </c>
      <c r="J325" s="9" t="s">
        <v>2940</v>
      </c>
      <c r="K325" t="s">
        <v>5720</v>
      </c>
      <c r="L325" t="s">
        <v>5721</v>
      </c>
      <c r="M325" s="3" t="str">
        <f>HYPERLINK(склад2въезд131920212223[[#This Row],[RelativePath]])</f>
        <v>10 Сушилка навес\E33149364_3_20251211T091501Z.jpg</v>
      </c>
    </row>
    <row r="326" spans="1:13" x14ac:dyDescent="0.25">
      <c r="A326" s="2" t="s">
        <v>16</v>
      </c>
      <c r="B326" s="4">
        <v>46002</v>
      </c>
      <c r="C326" s="5">
        <v>0.55590277777777775</v>
      </c>
      <c r="D326" s="9" t="s">
        <v>4</v>
      </c>
      <c r="E326" s="9" t="s">
        <v>8</v>
      </c>
      <c r="F326" s="9"/>
      <c r="H326" s="9"/>
      <c r="I326" s="9" t="s">
        <v>5722</v>
      </c>
      <c r="J326" s="9" t="s">
        <v>2940</v>
      </c>
      <c r="K326" t="s">
        <v>5723</v>
      </c>
      <c r="L326" t="s">
        <v>5724</v>
      </c>
      <c r="M326" s="3" t="str">
        <f>HYPERLINK(склад2въезд131920212223[[#This Row],[RelativePath]])</f>
        <v>10 Сушилка навес\E33149364_3_20251211T132030Z.jpg</v>
      </c>
    </row>
    <row r="327" spans="1:13" x14ac:dyDescent="0.25">
      <c r="A327" s="2" t="s">
        <v>16</v>
      </c>
      <c r="B327" s="4">
        <v>46002</v>
      </c>
      <c r="C327" s="5">
        <v>0.70651620370370372</v>
      </c>
      <c r="D327" s="9" t="s">
        <v>4</v>
      </c>
      <c r="E327" s="9" t="s">
        <v>8</v>
      </c>
      <c r="F327" s="9"/>
      <c r="H327" s="9"/>
      <c r="I327" s="9" t="s">
        <v>5725</v>
      </c>
      <c r="J327" s="9" t="s">
        <v>2940</v>
      </c>
      <c r="K327" t="s">
        <v>5726</v>
      </c>
      <c r="L327" t="s">
        <v>5727</v>
      </c>
      <c r="M327" s="3" t="str">
        <f>HYPERLINK(склад2въезд131920212223[[#This Row],[RelativePath]])</f>
        <v>10 Сушилка навес\E33149364_3_20251211T165723Z.jpg</v>
      </c>
    </row>
    <row r="328" spans="1:13" x14ac:dyDescent="0.25">
      <c r="A328" s="2" t="s">
        <v>17</v>
      </c>
      <c r="B328" s="4">
        <v>46003</v>
      </c>
      <c r="C328" s="5">
        <v>0.37761574074074072</v>
      </c>
      <c r="D328" s="9" t="s">
        <v>4</v>
      </c>
      <c r="E328" s="9" t="s">
        <v>8</v>
      </c>
      <c r="F328" s="9"/>
      <c r="H328" s="9"/>
      <c r="I328" s="9" t="s">
        <v>5803</v>
      </c>
      <c r="J328" s="9" t="s">
        <v>2940</v>
      </c>
      <c r="K328" t="s">
        <v>5804</v>
      </c>
      <c r="L328" t="s">
        <v>5805</v>
      </c>
      <c r="M328" s="3" t="str">
        <f>HYPERLINK(склад2въезд131920212223[[#This Row],[RelativePath]])</f>
        <v>10 Сушилка навес\E33149364_3_20251212T090346Z.jpg</v>
      </c>
    </row>
    <row r="329" spans="1:13" x14ac:dyDescent="0.25">
      <c r="A329" s="2" t="s">
        <v>17</v>
      </c>
      <c r="B329" s="4">
        <v>46003</v>
      </c>
      <c r="C329" s="5">
        <v>0.42268518518518516</v>
      </c>
      <c r="D329" s="9" t="s">
        <v>4</v>
      </c>
      <c r="E329" s="9" t="s">
        <v>86</v>
      </c>
      <c r="F329" s="9" t="s">
        <v>4181</v>
      </c>
      <c r="H329" s="9" t="s">
        <v>1583</v>
      </c>
      <c r="I329" s="9" t="s">
        <v>5806</v>
      </c>
      <c r="J329" s="9" t="s">
        <v>2940</v>
      </c>
      <c r="K329" t="s">
        <v>5807</v>
      </c>
      <c r="L329" t="s">
        <v>5808</v>
      </c>
      <c r="M329" s="3" t="str">
        <f>HYPERLINK(склад2въезд131920212223[[#This Row],[RelativePath]])</f>
        <v>10 Сушилка навес\E33149364_3_20251212T100840Z.jpg</v>
      </c>
    </row>
    <row r="330" spans="1:13" x14ac:dyDescent="0.25">
      <c r="A330" s="2" t="s">
        <v>17</v>
      </c>
      <c r="B330" s="4">
        <v>46003</v>
      </c>
      <c r="C330" s="5">
        <v>0.44277777777777777</v>
      </c>
      <c r="D330" s="9" t="s">
        <v>4164</v>
      </c>
      <c r="E330" s="9" t="s">
        <v>86</v>
      </c>
      <c r="F330" s="9" t="s">
        <v>6093</v>
      </c>
      <c r="H330" s="9"/>
      <c r="I330" s="9" t="s">
        <v>5809</v>
      </c>
      <c r="J330" s="9" t="s">
        <v>2940</v>
      </c>
      <c r="K330" t="s">
        <v>5810</v>
      </c>
      <c r="L330" t="s">
        <v>5811</v>
      </c>
      <c r="M330" s="3" t="str">
        <f>HYPERLINK(склад2въезд131920212223[[#This Row],[RelativePath]])</f>
        <v>10 Сушилка навес\E33149364_3_20251212T103736Z.jpg</v>
      </c>
    </row>
    <row r="331" spans="1:13" x14ac:dyDescent="0.25">
      <c r="A331" s="2" t="s">
        <v>17</v>
      </c>
      <c r="B331" s="4">
        <v>46003</v>
      </c>
      <c r="C331" s="5">
        <v>0.44572916666666668</v>
      </c>
      <c r="D331" s="9" t="s">
        <v>4162</v>
      </c>
      <c r="E331" s="9" t="s">
        <v>86</v>
      </c>
      <c r="F331" s="9" t="s">
        <v>58</v>
      </c>
      <c r="H331" s="9" t="s">
        <v>1583</v>
      </c>
      <c r="I331" s="9" t="s">
        <v>5812</v>
      </c>
      <c r="J331" s="9" t="s">
        <v>2940</v>
      </c>
      <c r="K331" t="s">
        <v>5813</v>
      </c>
      <c r="L331" t="s">
        <v>5814</v>
      </c>
      <c r="M331" s="3" t="str">
        <f>HYPERLINK(склад2въезд131920212223[[#This Row],[RelativePath]])</f>
        <v>10 Сушилка навес\E33149364_3_20251212T104151Z.jpg</v>
      </c>
    </row>
    <row r="332" spans="1:13" x14ac:dyDescent="0.25">
      <c r="A332" s="2" t="s">
        <v>17</v>
      </c>
      <c r="B332" s="4">
        <v>46003</v>
      </c>
      <c r="C332" s="5">
        <v>0.44583333333333336</v>
      </c>
      <c r="D332" s="9" t="s">
        <v>4162</v>
      </c>
      <c r="E332" s="9" t="s">
        <v>86</v>
      </c>
      <c r="F332" s="9" t="s">
        <v>58</v>
      </c>
      <c r="H332" s="9" t="s">
        <v>2891</v>
      </c>
      <c r="I332" s="9" t="s">
        <v>5815</v>
      </c>
      <c r="J332" s="9" t="s">
        <v>2940</v>
      </c>
      <c r="K332" t="s">
        <v>5816</v>
      </c>
      <c r="L332" t="s">
        <v>5817</v>
      </c>
      <c r="M332" s="3" t="str">
        <f>HYPERLINK(склад2въезд131920212223[[#This Row],[RelativePath]])</f>
        <v>10 Сушилка навес\E33149364_3_20251212T104200Z.jpg</v>
      </c>
    </row>
    <row r="333" spans="1:13" x14ac:dyDescent="0.25">
      <c r="A333" s="2" t="s">
        <v>17</v>
      </c>
      <c r="B333" s="4">
        <v>46003</v>
      </c>
      <c r="C333" s="5">
        <v>0.44943287037037039</v>
      </c>
      <c r="D333" s="9" t="s">
        <v>505</v>
      </c>
      <c r="E333" s="9" t="s">
        <v>503</v>
      </c>
      <c r="F333" s="9" t="s">
        <v>1071</v>
      </c>
      <c r="H333" s="9" t="s">
        <v>1583</v>
      </c>
      <c r="I333" s="9" t="s">
        <v>5818</v>
      </c>
      <c r="J333" s="9" t="s">
        <v>2940</v>
      </c>
      <c r="K333" t="s">
        <v>5819</v>
      </c>
      <c r="L333" t="s">
        <v>5820</v>
      </c>
      <c r="M333" s="3" t="str">
        <f>HYPERLINK(склад2въезд131920212223[[#This Row],[RelativePath]])</f>
        <v>10 Сушилка навес\E33149364_3_20251212T104711Z.jpg</v>
      </c>
    </row>
    <row r="334" spans="1:13" x14ac:dyDescent="0.25">
      <c r="A334" s="2" t="s">
        <v>17</v>
      </c>
      <c r="B334" s="4">
        <v>46003</v>
      </c>
      <c r="C334" s="5">
        <v>0.45038194444444446</v>
      </c>
      <c r="D334" s="9" t="s">
        <v>505</v>
      </c>
      <c r="E334" s="9" t="s">
        <v>503</v>
      </c>
      <c r="F334" s="9" t="s">
        <v>1071</v>
      </c>
      <c r="H334" s="9" t="s">
        <v>1583</v>
      </c>
      <c r="I334" s="9" t="s">
        <v>5821</v>
      </c>
      <c r="J334" s="9" t="s">
        <v>2940</v>
      </c>
      <c r="K334" t="s">
        <v>5822</v>
      </c>
      <c r="L334" t="s">
        <v>5823</v>
      </c>
      <c r="M334" s="3" t="str">
        <f>HYPERLINK(склад2въезд131920212223[[#This Row],[RelativePath]])</f>
        <v>10 Сушилка навес\E33149364_3_20251212T104833Z.jpg</v>
      </c>
    </row>
    <row r="335" spans="1:13" x14ac:dyDescent="0.25">
      <c r="A335" s="2" t="s">
        <v>17</v>
      </c>
      <c r="B335" s="4">
        <v>46003</v>
      </c>
      <c r="C335" s="5">
        <v>0.45893518518518517</v>
      </c>
      <c r="D335" s="9" t="s">
        <v>4164</v>
      </c>
      <c r="E335" s="9" t="s">
        <v>86</v>
      </c>
      <c r="F335" s="9" t="s">
        <v>200</v>
      </c>
      <c r="H335" s="9"/>
      <c r="I335" s="9" t="s">
        <v>5824</v>
      </c>
      <c r="J335" s="9" t="s">
        <v>2940</v>
      </c>
      <c r="K335" t="s">
        <v>5825</v>
      </c>
      <c r="L335" t="s">
        <v>5826</v>
      </c>
      <c r="M335" s="3" t="str">
        <f>HYPERLINK(склад2въезд131920212223[[#This Row],[RelativePath]])</f>
        <v>10 Сушилка навес\E33149364_3_20251212T110052Z.jpg</v>
      </c>
    </row>
    <row r="336" spans="1:13" x14ac:dyDescent="0.25">
      <c r="A336" s="2" t="s">
        <v>17</v>
      </c>
      <c r="B336" s="4">
        <v>46003</v>
      </c>
      <c r="C336" s="5">
        <v>0.47061342592592592</v>
      </c>
      <c r="D336" s="9" t="s">
        <v>4164</v>
      </c>
      <c r="E336" s="9" t="s">
        <v>86</v>
      </c>
      <c r="F336" s="9" t="s">
        <v>200</v>
      </c>
      <c r="H336" s="9"/>
      <c r="I336" s="9" t="s">
        <v>5827</v>
      </c>
      <c r="J336" s="9" t="s">
        <v>2940</v>
      </c>
      <c r="K336" t="s">
        <v>5828</v>
      </c>
      <c r="L336" t="s">
        <v>5829</v>
      </c>
      <c r="M336" s="3" t="str">
        <f>HYPERLINK(склад2въезд131920212223[[#This Row],[RelativePath]])</f>
        <v>10 Сушилка навес\E33149364_3_20251212T111741Z.jpg</v>
      </c>
    </row>
    <row r="337" spans="1:13" x14ac:dyDescent="0.25">
      <c r="A337" s="2" t="s">
        <v>17</v>
      </c>
      <c r="B337" s="4">
        <v>46003</v>
      </c>
      <c r="C337" s="5">
        <v>0.4770949074074074</v>
      </c>
      <c r="D337" s="9" t="s">
        <v>4164</v>
      </c>
      <c r="E337" s="9" t="s">
        <v>86</v>
      </c>
      <c r="F337" s="9" t="s">
        <v>200</v>
      </c>
      <c r="H337" s="9"/>
      <c r="I337" s="9" t="s">
        <v>5830</v>
      </c>
      <c r="J337" s="9" t="s">
        <v>2940</v>
      </c>
      <c r="K337" t="s">
        <v>5831</v>
      </c>
      <c r="L337" t="s">
        <v>5832</v>
      </c>
      <c r="M337" s="3" t="str">
        <f>HYPERLINK(склад2въезд131920212223[[#This Row],[RelativePath]])</f>
        <v>10 Сушилка навес\E33149364_3_20251212T112701Z.jpg</v>
      </c>
    </row>
    <row r="338" spans="1:13" x14ac:dyDescent="0.25">
      <c r="A338" s="2" t="s">
        <v>17</v>
      </c>
      <c r="B338" s="4">
        <v>46003</v>
      </c>
      <c r="C338" s="5">
        <v>0.48163194444444446</v>
      </c>
      <c r="D338" s="9" t="s">
        <v>4164</v>
      </c>
      <c r="E338" s="9" t="s">
        <v>86</v>
      </c>
      <c r="F338" s="9" t="s">
        <v>200</v>
      </c>
      <c r="H338" s="9"/>
      <c r="I338" s="9" t="s">
        <v>5833</v>
      </c>
      <c r="J338" s="9" t="s">
        <v>2940</v>
      </c>
      <c r="K338" t="s">
        <v>5834</v>
      </c>
      <c r="L338" t="s">
        <v>5835</v>
      </c>
      <c r="M338" s="3" t="str">
        <f>HYPERLINK(склад2въезд131920212223[[#This Row],[RelativePath]])</f>
        <v>10 Сушилка навес\E33149364_3_20251212T113333Z.jpg</v>
      </c>
    </row>
    <row r="339" spans="1:13" x14ac:dyDescent="0.25">
      <c r="A339" s="2" t="s">
        <v>17</v>
      </c>
      <c r="B339" s="4">
        <v>46003</v>
      </c>
      <c r="C339" s="5">
        <v>0.48888888888888887</v>
      </c>
      <c r="D339" s="9" t="s">
        <v>4164</v>
      </c>
      <c r="E339" s="9" t="s">
        <v>86</v>
      </c>
      <c r="F339" s="9" t="s">
        <v>200</v>
      </c>
      <c r="H339" s="9"/>
      <c r="I339" s="9" t="s">
        <v>5836</v>
      </c>
      <c r="J339" s="9" t="s">
        <v>2940</v>
      </c>
      <c r="K339" t="s">
        <v>5837</v>
      </c>
      <c r="L339" t="s">
        <v>5838</v>
      </c>
      <c r="M339" s="3" t="str">
        <f>HYPERLINK(склад2въезд131920212223[[#This Row],[RelativePath]])</f>
        <v>10 Сушилка навес\E33149364_3_20251212T114400Z.jpg</v>
      </c>
    </row>
    <row r="340" spans="1:13" x14ac:dyDescent="0.25">
      <c r="A340" s="2" t="s">
        <v>17</v>
      </c>
      <c r="B340" s="4">
        <v>46003</v>
      </c>
      <c r="C340" s="5">
        <v>0.50528935185185186</v>
      </c>
      <c r="D340" s="9" t="s">
        <v>4164</v>
      </c>
      <c r="E340" s="9" t="s">
        <v>86</v>
      </c>
      <c r="F340" s="9" t="s">
        <v>200</v>
      </c>
      <c r="H340" s="9"/>
      <c r="I340" s="9" t="s">
        <v>5839</v>
      </c>
      <c r="J340" s="9" t="s">
        <v>2940</v>
      </c>
      <c r="K340" t="s">
        <v>5840</v>
      </c>
      <c r="L340" t="s">
        <v>5841</v>
      </c>
      <c r="M340" s="3" t="str">
        <f>HYPERLINK(склад2въезд131920212223[[#This Row],[RelativePath]])</f>
        <v>10 Сушилка навес\E33149364_3_20251212T120737Z.jpg</v>
      </c>
    </row>
    <row r="341" spans="1:13" x14ac:dyDescent="0.25">
      <c r="A341" s="2" t="s">
        <v>17</v>
      </c>
      <c r="B341" s="4">
        <v>46003</v>
      </c>
      <c r="C341" s="5">
        <v>0.51416666666666666</v>
      </c>
      <c r="D341" s="9" t="s">
        <v>4164</v>
      </c>
      <c r="E341" s="9" t="s">
        <v>86</v>
      </c>
      <c r="F341" s="9" t="s">
        <v>200</v>
      </c>
      <c r="H341" s="9"/>
      <c r="I341" s="9" t="s">
        <v>5842</v>
      </c>
      <c r="J341" s="9" t="s">
        <v>2940</v>
      </c>
      <c r="K341" t="s">
        <v>5843</v>
      </c>
      <c r="L341" t="s">
        <v>5844</v>
      </c>
      <c r="M341" s="3" t="str">
        <f>HYPERLINK(склад2въезд131920212223[[#This Row],[RelativePath]])</f>
        <v>10 Сушилка навес\E33149364_3_20251212T122024Z.jpg</v>
      </c>
    </row>
    <row r="342" spans="1:13" x14ac:dyDescent="0.25">
      <c r="A342" s="2" t="s">
        <v>17</v>
      </c>
      <c r="B342" s="4">
        <v>46003</v>
      </c>
      <c r="C342" s="5">
        <v>0.6803703703703704</v>
      </c>
      <c r="D342" s="9" t="s">
        <v>4</v>
      </c>
      <c r="E342" s="9" t="s">
        <v>8</v>
      </c>
      <c r="F342" s="9"/>
      <c r="H342" s="9"/>
      <c r="I342" s="9" t="s">
        <v>5845</v>
      </c>
      <c r="J342" s="9" t="s">
        <v>2940</v>
      </c>
      <c r="K342" t="s">
        <v>5846</v>
      </c>
      <c r="L342" t="s">
        <v>5847</v>
      </c>
      <c r="M342" s="3" t="str">
        <f>HYPERLINK(склад2въезд131920212223[[#This Row],[RelativePath]])</f>
        <v>10 Сушилка навес\E33149364_3_20251212T161944Z.jpg</v>
      </c>
    </row>
    <row r="343" spans="1:13" x14ac:dyDescent="0.25">
      <c r="A343" s="2" t="s">
        <v>18</v>
      </c>
      <c r="B343" s="4">
        <v>46004</v>
      </c>
      <c r="C343" s="5">
        <v>0.38762731481481483</v>
      </c>
      <c r="D343" s="9" t="s">
        <v>4</v>
      </c>
      <c r="E343" s="9" t="s">
        <v>6088</v>
      </c>
      <c r="F343" s="9"/>
      <c r="H343" s="9"/>
      <c r="I343" s="9" t="s">
        <v>6016</v>
      </c>
      <c r="J343" s="9" t="s">
        <v>2940</v>
      </c>
      <c r="K343" t="s">
        <v>6017</v>
      </c>
      <c r="L343" t="s">
        <v>6018</v>
      </c>
      <c r="M343" s="3" t="str">
        <f>HYPERLINK(склад2въезд131920212223[[#This Row],[RelativePath]])</f>
        <v>10 Сушилка навес\E33149364_3_20251213T091811Z.jpg</v>
      </c>
    </row>
    <row r="344" spans="1:13" x14ac:dyDescent="0.25">
      <c r="A344" s="2" t="s">
        <v>18</v>
      </c>
      <c r="B344" s="4">
        <v>46004</v>
      </c>
      <c r="C344" s="5">
        <v>0.41502314814814817</v>
      </c>
      <c r="D344" s="9" t="s">
        <v>4</v>
      </c>
      <c r="E344" s="9" t="s">
        <v>8</v>
      </c>
      <c r="F344" s="9"/>
      <c r="H344" s="9"/>
      <c r="I344" s="9" t="s">
        <v>6019</v>
      </c>
      <c r="J344" s="9" t="s">
        <v>2940</v>
      </c>
      <c r="K344" t="s">
        <v>6020</v>
      </c>
      <c r="L344" t="s">
        <v>6021</v>
      </c>
      <c r="M344" s="3" t="str">
        <f>HYPERLINK(склад2въезд131920212223[[#This Row],[RelativePath]])</f>
        <v>10 Сушилка навес\E33149364_3_20251213T095738Z.jpg</v>
      </c>
    </row>
    <row r="345" spans="1:13" x14ac:dyDescent="0.25">
      <c r="A345" s="2" t="s">
        <v>18</v>
      </c>
      <c r="B345" s="4">
        <v>46004</v>
      </c>
      <c r="C345" s="5">
        <v>0.55000000000000004</v>
      </c>
      <c r="D345" s="9" t="s">
        <v>4</v>
      </c>
      <c r="E345" s="9" t="s">
        <v>6088</v>
      </c>
      <c r="F345" s="9"/>
      <c r="H345" s="9"/>
      <c r="I345" s="9" t="s">
        <v>6022</v>
      </c>
      <c r="J345" s="9" t="s">
        <v>2940</v>
      </c>
      <c r="K345" t="s">
        <v>6023</v>
      </c>
      <c r="L345" t="s">
        <v>6024</v>
      </c>
      <c r="M345" s="3" t="str">
        <f>HYPERLINK(склад2въезд131920212223[[#This Row],[RelativePath]])</f>
        <v>10 Сушилка навес\E33149364_3_20251213T131200Z.jpg</v>
      </c>
    </row>
    <row r="346" spans="1:13" x14ac:dyDescent="0.25">
      <c r="A346" s="2" t="s">
        <v>18</v>
      </c>
      <c r="B346" s="4">
        <v>46004</v>
      </c>
      <c r="C346" s="5">
        <v>0.7160185185185185</v>
      </c>
      <c r="D346" s="9" t="s">
        <v>4</v>
      </c>
      <c r="E346" s="9" t="s">
        <v>8</v>
      </c>
      <c r="F346" s="9"/>
      <c r="H346" s="9"/>
      <c r="I346" s="9" t="s">
        <v>6025</v>
      </c>
      <c r="J346" s="9" t="s">
        <v>2940</v>
      </c>
      <c r="K346" t="s">
        <v>6026</v>
      </c>
      <c r="L346" t="s">
        <v>6027</v>
      </c>
      <c r="M346" s="3" t="str">
        <f>HYPERLINK(склад2въезд131920212223[[#This Row],[RelativePath]])</f>
        <v>10 Сушилка навес\E33149364_3_20251213T171104Z.jpg</v>
      </c>
    </row>
    <row r="347" spans="1:13" x14ac:dyDescent="0.25">
      <c r="A347" s="2" t="s">
        <v>22</v>
      </c>
      <c r="B347" s="4">
        <v>46005</v>
      </c>
      <c r="C347" s="5">
        <v>0.70399305555555558</v>
      </c>
      <c r="D347" s="9" t="s">
        <v>1967</v>
      </c>
      <c r="E347" s="9" t="s">
        <v>8</v>
      </c>
      <c r="F347" s="9"/>
      <c r="H347" s="9"/>
      <c r="I347" s="9" t="s">
        <v>6169</v>
      </c>
      <c r="J347" s="9" t="s">
        <v>2940</v>
      </c>
      <c r="K347" t="s">
        <v>6170</v>
      </c>
      <c r="L347" t="s">
        <v>6171</v>
      </c>
      <c r="M347" s="3" t="str">
        <f>HYPERLINK(склад2въезд131920212223[[#This Row],[RelativePath]])</f>
        <v>10 Сушилка навес\E33149364_3_20251214T165345Z.jpg</v>
      </c>
    </row>
    <row r="348" spans="1:13" x14ac:dyDescent="0.25">
      <c r="A348" s="2" t="s">
        <v>13</v>
      </c>
      <c r="B348" s="4">
        <v>46006</v>
      </c>
      <c r="C348" s="5">
        <v>0.40877314814814814</v>
      </c>
      <c r="D348" s="9" t="s">
        <v>4164</v>
      </c>
      <c r="E348" s="9" t="s">
        <v>86</v>
      </c>
      <c r="F348" s="9" t="s">
        <v>4181</v>
      </c>
      <c r="H348" s="9" t="s">
        <v>6443</v>
      </c>
      <c r="I348" s="9" t="s">
        <v>6310</v>
      </c>
      <c r="J348" s="9" t="s">
        <v>2940</v>
      </c>
      <c r="K348" t="s">
        <v>6312</v>
      </c>
      <c r="L348" t="s">
        <v>6313</v>
      </c>
      <c r="M348" s="3" t="str">
        <f>HYPERLINK(склад2въезд131920212223[[#This Row],[RelativePath]])</f>
        <v>10 Сушилка навес\E33149364_3_20251215T094838Z.jpg</v>
      </c>
    </row>
    <row r="349" spans="1:13" x14ac:dyDescent="0.25">
      <c r="A349" s="2" t="s">
        <v>13</v>
      </c>
      <c r="B349" s="4">
        <v>46006</v>
      </c>
      <c r="C349" s="5">
        <v>0.42177083333333332</v>
      </c>
      <c r="D349" s="9" t="s">
        <v>4164</v>
      </c>
      <c r="E349" s="9" t="s">
        <v>86</v>
      </c>
      <c r="F349" s="9" t="s">
        <v>6444</v>
      </c>
      <c r="H349" s="9"/>
      <c r="I349" s="9" t="s">
        <v>6314</v>
      </c>
      <c r="J349" s="9" t="s">
        <v>2940</v>
      </c>
      <c r="K349" t="s">
        <v>6315</v>
      </c>
      <c r="L349" t="s">
        <v>6316</v>
      </c>
      <c r="M349" s="3" t="str">
        <f>HYPERLINK(склад2въезд131920212223[[#This Row],[RelativePath]])</f>
        <v>10 Сушилка навес\E33149364_3_20251215T100721Z.jpg</v>
      </c>
    </row>
    <row r="350" spans="1:13" x14ac:dyDescent="0.25">
      <c r="A350" s="2" t="s">
        <v>13</v>
      </c>
      <c r="B350" s="4">
        <v>46006</v>
      </c>
      <c r="C350" s="5">
        <v>0.42878472222222225</v>
      </c>
      <c r="D350" s="9" t="s">
        <v>4164</v>
      </c>
      <c r="E350" s="9" t="s">
        <v>86</v>
      </c>
      <c r="F350" s="9" t="s">
        <v>6444</v>
      </c>
      <c r="H350" s="9"/>
      <c r="I350" s="9" t="s">
        <v>6317</v>
      </c>
      <c r="J350" s="9" t="s">
        <v>2940</v>
      </c>
      <c r="K350" t="s">
        <v>6318</v>
      </c>
      <c r="L350" t="s">
        <v>6319</v>
      </c>
      <c r="M350" s="3" t="str">
        <f>HYPERLINK(склад2въезд131920212223[[#This Row],[RelativePath]])</f>
        <v>10 Сушилка навес\E33149364_3_20251215T101727Z.jpg</v>
      </c>
    </row>
    <row r="351" spans="1:13" x14ac:dyDescent="0.25">
      <c r="A351" s="2" t="s">
        <v>13</v>
      </c>
      <c r="B351" s="4">
        <v>46006</v>
      </c>
      <c r="C351" s="5">
        <v>0.4636689814814815</v>
      </c>
      <c r="D351" s="9" t="s">
        <v>1569</v>
      </c>
      <c r="E351" s="9" t="s">
        <v>6248</v>
      </c>
      <c r="F351" s="9"/>
      <c r="H351" s="9"/>
      <c r="I351" s="9" t="s">
        <v>6320</v>
      </c>
      <c r="J351" s="9" t="s">
        <v>2940</v>
      </c>
      <c r="K351" t="s">
        <v>6321</v>
      </c>
      <c r="L351" t="s">
        <v>6322</v>
      </c>
      <c r="M351" s="3" t="str">
        <f>HYPERLINK(склад2въезд131920212223[[#This Row],[RelativePath]])</f>
        <v>10 Сушилка навес\E33149364_3_20251215T110741Z.jpg</v>
      </c>
    </row>
    <row r="352" spans="1:13" x14ac:dyDescent="0.25">
      <c r="A352" s="2" t="s">
        <v>13</v>
      </c>
      <c r="B352" s="4">
        <v>46006</v>
      </c>
      <c r="C352" s="5">
        <v>0.46620370370370373</v>
      </c>
      <c r="D352" s="9" t="s">
        <v>261</v>
      </c>
      <c r="E352" s="9" t="s">
        <v>6248</v>
      </c>
      <c r="F352" s="9" t="s">
        <v>58</v>
      </c>
      <c r="H352" s="9" t="s">
        <v>1583</v>
      </c>
      <c r="I352" s="9" t="s">
        <v>6323</v>
      </c>
      <c r="J352" s="9" t="s">
        <v>2940</v>
      </c>
      <c r="K352" t="s">
        <v>6324</v>
      </c>
      <c r="L352" t="s">
        <v>6325</v>
      </c>
      <c r="M352" s="3" t="str">
        <f>HYPERLINK(склад2въезд131920212223[[#This Row],[RelativePath]])</f>
        <v>10 Сушилка навес\E33149364_3_20251215T111120Z.jpg</v>
      </c>
    </row>
    <row r="353" spans="1:13" x14ac:dyDescent="0.25">
      <c r="A353" s="2" t="s">
        <v>13</v>
      </c>
      <c r="B353" s="4">
        <v>46006</v>
      </c>
      <c r="C353" s="5">
        <v>0.46644675925925927</v>
      </c>
      <c r="D353" s="9" t="s">
        <v>261</v>
      </c>
      <c r="E353" s="9" t="s">
        <v>6248</v>
      </c>
      <c r="F353" s="9" t="s">
        <v>58</v>
      </c>
      <c r="H353" s="9" t="s">
        <v>2891</v>
      </c>
      <c r="I353" s="9" t="s">
        <v>6326</v>
      </c>
      <c r="J353" s="9" t="s">
        <v>2940</v>
      </c>
      <c r="K353" t="s">
        <v>6327</v>
      </c>
      <c r="L353" t="s">
        <v>6328</v>
      </c>
      <c r="M353" s="3" t="str">
        <f>HYPERLINK(склад2въезд131920212223[[#This Row],[RelativePath]])</f>
        <v>10 Сушилка навес\E33149364_3_20251215T111141Z.jpg</v>
      </c>
    </row>
    <row r="354" spans="1:13" x14ac:dyDescent="0.25">
      <c r="A354" s="2" t="s">
        <v>13</v>
      </c>
      <c r="B354" s="4">
        <v>46006</v>
      </c>
      <c r="C354" s="5">
        <v>0.46650462962962963</v>
      </c>
      <c r="D354" s="9" t="s">
        <v>261</v>
      </c>
      <c r="E354" s="9" t="s">
        <v>6248</v>
      </c>
      <c r="F354" s="9" t="s">
        <v>58</v>
      </c>
      <c r="H354" s="9" t="s">
        <v>2891</v>
      </c>
      <c r="I354" s="9" t="s">
        <v>6329</v>
      </c>
      <c r="J354" s="9" t="s">
        <v>2940</v>
      </c>
      <c r="K354" t="s">
        <v>6330</v>
      </c>
      <c r="L354" t="s">
        <v>6331</v>
      </c>
      <c r="M354" s="3" t="str">
        <f>HYPERLINK(склад2въезд131920212223[[#This Row],[RelativePath]])</f>
        <v>10 Сушилка навес\E33149364_3_20251215T111146Z.jpg</v>
      </c>
    </row>
    <row r="355" spans="1:13" x14ac:dyDescent="0.25">
      <c r="A355" s="2" t="s">
        <v>13</v>
      </c>
      <c r="B355" s="4">
        <v>46006</v>
      </c>
      <c r="C355" s="5">
        <v>0.46740740740740738</v>
      </c>
      <c r="D355" s="9" t="s">
        <v>261</v>
      </c>
      <c r="E355" s="9" t="s">
        <v>6248</v>
      </c>
      <c r="F355" s="9" t="s">
        <v>58</v>
      </c>
      <c r="H355" s="9" t="s">
        <v>2891</v>
      </c>
      <c r="I355" s="9" t="s">
        <v>6332</v>
      </c>
      <c r="J355" s="9" t="s">
        <v>2940</v>
      </c>
      <c r="K355" t="s">
        <v>6333</v>
      </c>
      <c r="L355" t="s">
        <v>6334</v>
      </c>
      <c r="M355" s="3" t="str">
        <f>HYPERLINK(склад2въезд131920212223[[#This Row],[RelativePath]])</f>
        <v>10 Сушилка навес\E33149364_3_20251215T111304Z.jpg</v>
      </c>
    </row>
    <row r="356" spans="1:13" x14ac:dyDescent="0.25">
      <c r="A356" s="2" t="s">
        <v>13</v>
      </c>
      <c r="B356" s="4">
        <v>46006</v>
      </c>
      <c r="C356" s="5">
        <v>0.46766203703703701</v>
      </c>
      <c r="D356" s="9" t="s">
        <v>261</v>
      </c>
      <c r="E356" s="9" t="s">
        <v>6248</v>
      </c>
      <c r="F356" s="9" t="s">
        <v>58</v>
      </c>
      <c r="H356" s="9" t="s">
        <v>2891</v>
      </c>
      <c r="I356" s="9" t="s">
        <v>6335</v>
      </c>
      <c r="J356" s="9" t="s">
        <v>2940</v>
      </c>
      <c r="K356" t="s">
        <v>6336</v>
      </c>
      <c r="L356" t="s">
        <v>6337</v>
      </c>
      <c r="M356" s="3" t="str">
        <f>HYPERLINK(склад2въезд131920212223[[#This Row],[RelativePath]])</f>
        <v>10 Сушилка навес\E33149364_3_20251215T111326Z.jpg</v>
      </c>
    </row>
    <row r="357" spans="1:13" x14ac:dyDescent="0.25">
      <c r="A357" s="2" t="s">
        <v>13</v>
      </c>
      <c r="B357" s="4">
        <v>46006</v>
      </c>
      <c r="C357" s="5">
        <v>0.46770833333333334</v>
      </c>
      <c r="D357" s="9" t="s">
        <v>261</v>
      </c>
      <c r="E357" s="9" t="s">
        <v>6248</v>
      </c>
      <c r="F357" s="9" t="s">
        <v>58</v>
      </c>
      <c r="H357" s="9" t="s">
        <v>2891</v>
      </c>
      <c r="I357" s="9" t="s">
        <v>6338</v>
      </c>
      <c r="J357" s="9" t="s">
        <v>2940</v>
      </c>
      <c r="K357" t="s">
        <v>6339</v>
      </c>
      <c r="L357" t="s">
        <v>6340</v>
      </c>
      <c r="M357" s="3" t="str">
        <f>HYPERLINK(склад2въезд131920212223[[#This Row],[RelativePath]])</f>
        <v>10 Сушилка навес\E33149364_3_20251215T111330Z.jpg</v>
      </c>
    </row>
    <row r="358" spans="1:13" x14ac:dyDescent="0.25">
      <c r="A358" s="2" t="s">
        <v>13</v>
      </c>
      <c r="B358" s="4">
        <v>46006</v>
      </c>
      <c r="C358" s="5">
        <v>0.46807870370370369</v>
      </c>
      <c r="D358" s="9" t="s">
        <v>261</v>
      </c>
      <c r="E358" s="9" t="s">
        <v>6248</v>
      </c>
      <c r="F358" s="9" t="s">
        <v>58</v>
      </c>
      <c r="H358" s="9" t="s">
        <v>2891</v>
      </c>
      <c r="I358" s="9" t="s">
        <v>6341</v>
      </c>
      <c r="J358" s="9" t="s">
        <v>2940</v>
      </c>
      <c r="K358" t="s">
        <v>6342</v>
      </c>
      <c r="L358" t="s">
        <v>6343</v>
      </c>
      <c r="M358" s="3" t="str">
        <f>HYPERLINK(склад2въезд131920212223[[#This Row],[RelativePath]])</f>
        <v>10 Сушилка навес\E33149364_3_20251215T111402Z.jpg</v>
      </c>
    </row>
    <row r="359" spans="1:13" x14ac:dyDescent="0.25">
      <c r="A359" s="2" t="s">
        <v>13</v>
      </c>
      <c r="B359" s="4">
        <v>46006</v>
      </c>
      <c r="C359" s="5">
        <v>0.46834490740740742</v>
      </c>
      <c r="D359" s="9" t="s">
        <v>261</v>
      </c>
      <c r="E359" s="9" t="s">
        <v>6248</v>
      </c>
      <c r="F359" s="9" t="s">
        <v>58</v>
      </c>
      <c r="H359" s="9" t="s">
        <v>2891</v>
      </c>
      <c r="I359" s="9" t="s">
        <v>6344</v>
      </c>
      <c r="J359" s="9" t="s">
        <v>2940</v>
      </c>
      <c r="K359" t="s">
        <v>6345</v>
      </c>
      <c r="L359" t="s">
        <v>6346</v>
      </c>
      <c r="M359" s="3" t="str">
        <f>HYPERLINK(склад2въезд131920212223[[#This Row],[RelativePath]])</f>
        <v>10 Сушилка навес\E33149364_3_20251215T111425Z.jpg</v>
      </c>
    </row>
    <row r="360" spans="1:13" x14ac:dyDescent="0.25">
      <c r="A360" s="2" t="s">
        <v>13</v>
      </c>
      <c r="B360" s="4">
        <v>46006</v>
      </c>
      <c r="C360" s="5">
        <v>0.4692013888888889</v>
      </c>
      <c r="D360" s="9" t="s">
        <v>261</v>
      </c>
      <c r="E360" s="9" t="s">
        <v>6248</v>
      </c>
      <c r="F360" s="9" t="s">
        <v>58</v>
      </c>
      <c r="H360" s="9" t="s">
        <v>2891</v>
      </c>
      <c r="I360" s="9" t="s">
        <v>6347</v>
      </c>
      <c r="J360" s="9" t="s">
        <v>2940</v>
      </c>
      <c r="K360" t="s">
        <v>6348</v>
      </c>
      <c r="L360" t="s">
        <v>6349</v>
      </c>
      <c r="M360" s="3" t="str">
        <f>HYPERLINK(склад2въезд131920212223[[#This Row],[RelativePath]])</f>
        <v>10 Сушилка навес\E33149364_3_20251215T111539Z.jpg</v>
      </c>
    </row>
    <row r="361" spans="1:13" x14ac:dyDescent="0.25">
      <c r="A361" s="2" t="s">
        <v>13</v>
      </c>
      <c r="B361" s="4">
        <v>46006</v>
      </c>
      <c r="C361" s="5">
        <v>0.46927083333333336</v>
      </c>
      <c r="D361" s="9" t="s">
        <v>261</v>
      </c>
      <c r="E361" s="9" t="s">
        <v>6248</v>
      </c>
      <c r="F361" s="9" t="s">
        <v>58</v>
      </c>
      <c r="H361" s="9" t="s">
        <v>2891</v>
      </c>
      <c r="I361" s="9" t="s">
        <v>6350</v>
      </c>
      <c r="J361" s="9" t="s">
        <v>2940</v>
      </c>
      <c r="K361" t="s">
        <v>6351</v>
      </c>
      <c r="L361" t="s">
        <v>6352</v>
      </c>
      <c r="M361" s="3" t="str">
        <f>HYPERLINK(склад2въезд131920212223[[#This Row],[RelativePath]])</f>
        <v>10 Сушилка навес\E33149364_3_20251215T111545Z.jpg</v>
      </c>
    </row>
    <row r="362" spans="1:13" x14ac:dyDescent="0.25">
      <c r="A362" s="2" t="s">
        <v>13</v>
      </c>
      <c r="B362" s="4">
        <v>46006</v>
      </c>
      <c r="C362" s="5">
        <v>0.47002314814814816</v>
      </c>
      <c r="D362" s="9" t="s">
        <v>261</v>
      </c>
      <c r="E362" s="9" t="s">
        <v>6248</v>
      </c>
      <c r="F362" s="9" t="s">
        <v>58</v>
      </c>
      <c r="H362" s="9" t="s">
        <v>2891</v>
      </c>
      <c r="I362" s="9" t="s">
        <v>6353</v>
      </c>
      <c r="J362" s="9" t="s">
        <v>2940</v>
      </c>
      <c r="K362" t="s">
        <v>6354</v>
      </c>
      <c r="L362" t="s">
        <v>6355</v>
      </c>
      <c r="M362" s="3" t="str">
        <f>HYPERLINK(склад2въезд131920212223[[#This Row],[RelativePath]])</f>
        <v>10 Сушилка навес\E33149364_3_20251215T111650Z.jpg</v>
      </c>
    </row>
    <row r="363" spans="1:13" x14ac:dyDescent="0.25">
      <c r="A363" s="2" t="s">
        <v>13</v>
      </c>
      <c r="B363" s="4">
        <v>46006</v>
      </c>
      <c r="C363" s="5">
        <v>0.47033564814814816</v>
      </c>
      <c r="D363" s="9" t="s">
        <v>261</v>
      </c>
      <c r="E363" s="9" t="s">
        <v>6248</v>
      </c>
      <c r="F363" s="9" t="s">
        <v>58</v>
      </c>
      <c r="H363" s="9" t="s">
        <v>2891</v>
      </c>
      <c r="I363" s="9" t="s">
        <v>6356</v>
      </c>
      <c r="J363" s="9" t="s">
        <v>2940</v>
      </c>
      <c r="K363" t="s">
        <v>6357</v>
      </c>
      <c r="L363" t="s">
        <v>6358</v>
      </c>
      <c r="M363" s="3" t="str">
        <f>HYPERLINK(склад2въезд131920212223[[#This Row],[RelativePath]])</f>
        <v>10 Сушилка навес\E33149364_3_20251215T111717Z.jpg</v>
      </c>
    </row>
    <row r="364" spans="1:13" x14ac:dyDescent="0.25">
      <c r="A364" s="2" t="s">
        <v>13</v>
      </c>
      <c r="B364" s="4">
        <v>46006</v>
      </c>
      <c r="C364" s="5">
        <v>0.47047453703703701</v>
      </c>
      <c r="D364" s="9" t="s">
        <v>261</v>
      </c>
      <c r="E364" s="9" t="s">
        <v>6248</v>
      </c>
      <c r="F364" s="9" t="s">
        <v>58</v>
      </c>
      <c r="H364" s="9" t="s">
        <v>2891</v>
      </c>
      <c r="I364" s="9" t="s">
        <v>6359</v>
      </c>
      <c r="J364" s="9" t="s">
        <v>2940</v>
      </c>
      <c r="K364" t="s">
        <v>6360</v>
      </c>
      <c r="L364" t="s">
        <v>6361</v>
      </c>
      <c r="M364" s="3" t="str">
        <f>HYPERLINK(склад2въезд131920212223[[#This Row],[RelativePath]])</f>
        <v>10 Сушилка навес\E33149364_3_20251215T111729Z.jpg</v>
      </c>
    </row>
    <row r="365" spans="1:13" x14ac:dyDescent="0.25">
      <c r="A365" s="2" t="s">
        <v>13</v>
      </c>
      <c r="B365" s="4">
        <v>46006</v>
      </c>
      <c r="C365" s="5">
        <v>0.47162037037037036</v>
      </c>
      <c r="D365" s="9" t="s">
        <v>261</v>
      </c>
      <c r="E365" s="9" t="s">
        <v>6248</v>
      </c>
      <c r="F365" s="9" t="s">
        <v>58</v>
      </c>
      <c r="H365" s="9" t="s">
        <v>2891</v>
      </c>
      <c r="I365" s="9" t="s">
        <v>6362</v>
      </c>
      <c r="J365" s="9" t="s">
        <v>2940</v>
      </c>
      <c r="K365" t="s">
        <v>6363</v>
      </c>
      <c r="L365" t="s">
        <v>6364</v>
      </c>
      <c r="M365" s="3" t="str">
        <f>HYPERLINK(склад2въезд131920212223[[#This Row],[RelativePath]])</f>
        <v>10 Сушилка навес\E33149364_3_20251215T111908Z.jpg</v>
      </c>
    </row>
    <row r="366" spans="1:13" x14ac:dyDescent="0.25">
      <c r="A366" s="2" t="s">
        <v>13</v>
      </c>
      <c r="B366" s="4">
        <v>46006</v>
      </c>
      <c r="C366" s="5">
        <v>0.47537037037037039</v>
      </c>
      <c r="D366" s="9" t="s">
        <v>261</v>
      </c>
      <c r="E366" s="9" t="s">
        <v>6248</v>
      </c>
      <c r="F366" s="9" t="s">
        <v>58</v>
      </c>
      <c r="H366" s="9" t="s">
        <v>6445</v>
      </c>
      <c r="I366" s="9" t="s">
        <v>6365</v>
      </c>
      <c r="J366" s="9" t="s">
        <v>2940</v>
      </c>
      <c r="K366" t="s">
        <v>6366</v>
      </c>
      <c r="L366" t="s">
        <v>6367</v>
      </c>
      <c r="M366" s="3" t="str">
        <f>HYPERLINK(склад2въезд131920212223[[#This Row],[RelativePath]])</f>
        <v>10 Сушилка навес\E33149364_3_20251215T112432Z.jpg</v>
      </c>
    </row>
    <row r="367" spans="1:13" x14ac:dyDescent="0.25">
      <c r="A367" s="2" t="s">
        <v>13</v>
      </c>
      <c r="B367" s="4">
        <v>46006</v>
      </c>
      <c r="C367" s="5">
        <v>0.47547453703703701</v>
      </c>
      <c r="D367" s="9" t="s">
        <v>261</v>
      </c>
      <c r="E367" s="9" t="s">
        <v>6248</v>
      </c>
      <c r="F367" s="9" t="s">
        <v>58</v>
      </c>
      <c r="H367" s="9" t="s">
        <v>2891</v>
      </c>
      <c r="I367" s="9" t="s">
        <v>6368</v>
      </c>
      <c r="J367" s="9" t="s">
        <v>2940</v>
      </c>
      <c r="K367" t="s">
        <v>6369</v>
      </c>
      <c r="L367" t="s">
        <v>6370</v>
      </c>
      <c r="M367" s="3" t="str">
        <f>HYPERLINK(склад2въезд131920212223[[#This Row],[RelativePath]])</f>
        <v>10 Сушилка навес\E33149364_3_20251215T112441Z.jpg</v>
      </c>
    </row>
    <row r="368" spans="1:13" x14ac:dyDescent="0.25">
      <c r="A368" s="2" t="s">
        <v>13</v>
      </c>
      <c r="B368" s="4">
        <v>46006</v>
      </c>
      <c r="C368" s="5">
        <v>0.47672453703703704</v>
      </c>
      <c r="D368" s="9" t="s">
        <v>261</v>
      </c>
      <c r="E368" s="9" t="s">
        <v>6248</v>
      </c>
      <c r="F368" s="9" t="s">
        <v>58</v>
      </c>
      <c r="H368" s="9" t="s">
        <v>2891</v>
      </c>
      <c r="I368" s="9" t="s">
        <v>6371</v>
      </c>
      <c r="J368" s="9" t="s">
        <v>2940</v>
      </c>
      <c r="K368" t="s">
        <v>6372</v>
      </c>
      <c r="L368" t="s">
        <v>6373</v>
      </c>
      <c r="M368" s="3" t="str">
        <f>HYPERLINK(склад2въезд131920212223[[#This Row],[RelativePath]])</f>
        <v>10 Сушилка навес\E33149364_3_20251215T112629Z.jpg</v>
      </c>
    </row>
    <row r="369" spans="1:13" x14ac:dyDescent="0.25">
      <c r="A369" s="2" t="s">
        <v>13</v>
      </c>
      <c r="B369" s="4">
        <v>46006</v>
      </c>
      <c r="C369" s="5">
        <v>0.47729166666666667</v>
      </c>
      <c r="D369" s="9" t="s">
        <v>261</v>
      </c>
      <c r="E369" s="9" t="s">
        <v>6248</v>
      </c>
      <c r="F369" s="9" t="s">
        <v>58</v>
      </c>
      <c r="H369" s="9" t="s">
        <v>2891</v>
      </c>
      <c r="I369" s="9" t="s">
        <v>6374</v>
      </c>
      <c r="J369" s="9" t="s">
        <v>2940</v>
      </c>
      <c r="K369" t="s">
        <v>6375</v>
      </c>
      <c r="L369" t="s">
        <v>6376</v>
      </c>
      <c r="M369" s="3" t="str">
        <f>HYPERLINK(склад2въезд131920212223[[#This Row],[RelativePath]])</f>
        <v>10 Сушилка навес\E33149364_3_20251215T112718Z.jpg</v>
      </c>
    </row>
    <row r="370" spans="1:13" x14ac:dyDescent="0.25">
      <c r="A370" s="2" t="s">
        <v>13</v>
      </c>
      <c r="B370" s="4">
        <v>46006</v>
      </c>
      <c r="C370" s="5">
        <v>0.47780092592592593</v>
      </c>
      <c r="D370" s="9" t="s">
        <v>261</v>
      </c>
      <c r="E370" s="9" t="s">
        <v>6248</v>
      </c>
      <c r="F370" s="9" t="s">
        <v>58</v>
      </c>
      <c r="H370" s="9" t="s">
        <v>1583</v>
      </c>
      <c r="I370" s="9" t="s">
        <v>6377</v>
      </c>
      <c r="J370" s="9" t="s">
        <v>2940</v>
      </c>
      <c r="K370" t="s">
        <v>6378</v>
      </c>
      <c r="L370" t="s">
        <v>6379</v>
      </c>
      <c r="M370" s="3" t="str">
        <f>HYPERLINK(склад2въезд131920212223[[#This Row],[RelativePath]])</f>
        <v>10 Сушилка навес\E33149364_3_20251215T112802Z.jpg</v>
      </c>
    </row>
    <row r="371" spans="1:13" x14ac:dyDescent="0.25">
      <c r="A371" s="2" t="s">
        <v>13</v>
      </c>
      <c r="B371" s="4">
        <v>46006</v>
      </c>
      <c r="C371" s="5">
        <v>0.47806712962962961</v>
      </c>
      <c r="D371" s="9" t="s">
        <v>261</v>
      </c>
      <c r="E371" s="9" t="s">
        <v>6248</v>
      </c>
      <c r="F371" s="9" t="s">
        <v>58</v>
      </c>
      <c r="H371" s="9" t="s">
        <v>2891</v>
      </c>
      <c r="I371" s="9" t="s">
        <v>6380</v>
      </c>
      <c r="J371" s="9" t="s">
        <v>2940</v>
      </c>
      <c r="K371" t="s">
        <v>6381</v>
      </c>
      <c r="L371" t="s">
        <v>6382</v>
      </c>
      <c r="M371" s="3" t="str">
        <f>HYPERLINK(склад2въезд131920212223[[#This Row],[RelativePath]])</f>
        <v>10 Сушилка навес\E33149364_3_20251215T112825Z.jpg</v>
      </c>
    </row>
    <row r="372" spans="1:13" x14ac:dyDescent="0.25">
      <c r="A372" s="2" t="s">
        <v>13</v>
      </c>
      <c r="B372" s="4">
        <v>46006</v>
      </c>
      <c r="C372" s="5">
        <v>0.4783101851851852</v>
      </c>
      <c r="D372" s="9" t="s">
        <v>261</v>
      </c>
      <c r="E372" s="9" t="s">
        <v>6248</v>
      </c>
      <c r="F372" s="9" t="s">
        <v>58</v>
      </c>
      <c r="H372" s="9" t="s">
        <v>2891</v>
      </c>
      <c r="I372" s="9" t="s">
        <v>6383</v>
      </c>
      <c r="J372" s="9" t="s">
        <v>2940</v>
      </c>
      <c r="K372" t="s">
        <v>6384</v>
      </c>
      <c r="L372" t="s">
        <v>6385</v>
      </c>
      <c r="M372" s="3" t="str">
        <f>HYPERLINK(склад2въезд131920212223[[#This Row],[RelativePath]])</f>
        <v>10 Сушилка навес\E33149364_3_20251215T112846Z.jpg</v>
      </c>
    </row>
    <row r="373" spans="1:13" x14ac:dyDescent="0.25">
      <c r="A373" s="2" t="s">
        <v>13</v>
      </c>
      <c r="B373" s="4">
        <v>46006</v>
      </c>
      <c r="C373" s="5">
        <v>0.47834490740740743</v>
      </c>
      <c r="D373" s="9" t="s">
        <v>261</v>
      </c>
      <c r="E373" s="9" t="s">
        <v>6248</v>
      </c>
      <c r="F373" s="9" t="s">
        <v>58</v>
      </c>
      <c r="H373" s="9" t="s">
        <v>2891</v>
      </c>
      <c r="I373" s="9" t="s">
        <v>6386</v>
      </c>
      <c r="J373" s="9" t="s">
        <v>2940</v>
      </c>
      <c r="K373" t="s">
        <v>6387</v>
      </c>
      <c r="L373" t="s">
        <v>6388</v>
      </c>
      <c r="M373" s="3" t="str">
        <f>HYPERLINK(склад2въезд131920212223[[#This Row],[RelativePath]])</f>
        <v>10 Сушилка навес\E33149364_3_20251215T112849Z.jpg</v>
      </c>
    </row>
    <row r="374" spans="1:13" x14ac:dyDescent="0.25">
      <c r="A374" s="2" t="s">
        <v>13</v>
      </c>
      <c r="B374" s="4">
        <v>46006</v>
      </c>
      <c r="C374" s="5">
        <v>0.48038194444444443</v>
      </c>
      <c r="D374" s="9" t="s">
        <v>622</v>
      </c>
      <c r="E374" s="9" t="s">
        <v>6248</v>
      </c>
      <c r="F374" s="9" t="s">
        <v>58</v>
      </c>
      <c r="H374" s="9"/>
      <c r="I374" s="9" t="s">
        <v>6389</v>
      </c>
      <c r="J374" s="9" t="s">
        <v>2940</v>
      </c>
      <c r="K374" t="s">
        <v>6390</v>
      </c>
      <c r="L374" t="s">
        <v>6391</v>
      </c>
      <c r="M374" s="3" t="str">
        <f>HYPERLINK(склад2въезд131920212223[[#This Row],[RelativePath]])</f>
        <v>10 Сушилка навес\E33149364_3_20251215T113145Z.jpg</v>
      </c>
    </row>
    <row r="375" spans="1:13" x14ac:dyDescent="0.25">
      <c r="A375" s="2" t="s">
        <v>13</v>
      </c>
      <c r="B375" s="4">
        <v>46006</v>
      </c>
      <c r="C375" s="5">
        <v>0.6065625</v>
      </c>
      <c r="D375" s="9" t="s">
        <v>1569</v>
      </c>
      <c r="E375" s="9" t="s">
        <v>6446</v>
      </c>
      <c r="F375" s="9"/>
      <c r="H375" s="9"/>
      <c r="I375" s="9" t="s">
        <v>6392</v>
      </c>
      <c r="J375" s="9" t="s">
        <v>2940</v>
      </c>
      <c r="K375" t="s">
        <v>6393</v>
      </c>
      <c r="L375" t="s">
        <v>6394</v>
      </c>
      <c r="M375" s="3" t="str">
        <f>HYPERLINK(склад2въезд131920212223[[#This Row],[RelativePath]])</f>
        <v>10 Сушилка навес\E33149364_3_20251215T143327Z.jpg</v>
      </c>
    </row>
    <row r="376" spans="1:13" x14ac:dyDescent="0.25">
      <c r="A376" s="2" t="s">
        <v>13</v>
      </c>
      <c r="B376" s="4">
        <v>46006</v>
      </c>
      <c r="C376" s="5">
        <v>0.60672453703703699</v>
      </c>
      <c r="D376" s="9" t="s">
        <v>4</v>
      </c>
      <c r="E376" s="9" t="s">
        <v>6447</v>
      </c>
      <c r="F376" s="9"/>
      <c r="H376" s="9"/>
      <c r="I376" s="9" t="s">
        <v>6395</v>
      </c>
      <c r="J376" s="9" t="s">
        <v>2940</v>
      </c>
      <c r="K376" t="s">
        <v>6396</v>
      </c>
      <c r="L376" t="s">
        <v>6397</v>
      </c>
      <c r="M376" s="3" t="str">
        <f>HYPERLINK(склад2въезд131920212223[[#This Row],[RelativePath]])</f>
        <v>10 Сушилка навес\E33149364_3_20251215T143341Z.jpg</v>
      </c>
    </row>
    <row r="377" spans="1:13" x14ac:dyDescent="0.25">
      <c r="A377" s="2" t="s">
        <v>13</v>
      </c>
      <c r="B377" s="4">
        <v>46006</v>
      </c>
      <c r="C377" s="5">
        <v>0.61089120370370376</v>
      </c>
      <c r="D377" s="9" t="s">
        <v>261</v>
      </c>
      <c r="E377" s="9" t="s">
        <v>6446</v>
      </c>
      <c r="F377" s="9" t="s">
        <v>1071</v>
      </c>
      <c r="G377">
        <v>2</v>
      </c>
      <c r="H377" s="9"/>
      <c r="I377" s="9" t="s">
        <v>6398</v>
      </c>
      <c r="J377" s="9" t="s">
        <v>2940</v>
      </c>
      <c r="K377" t="s">
        <v>6399</v>
      </c>
      <c r="L377" t="s">
        <v>6400</v>
      </c>
      <c r="M377" s="3" t="str">
        <f>HYPERLINK(склад2въезд131920212223[[#This Row],[RelativePath]])</f>
        <v>10 Сушилка навес\E33149364_3_20251215T143941Z.jpg</v>
      </c>
    </row>
    <row r="378" spans="1:13" x14ac:dyDescent="0.25">
      <c r="A378" s="2" t="s">
        <v>13</v>
      </c>
      <c r="B378" s="4">
        <v>46006</v>
      </c>
      <c r="C378" s="5">
        <v>0.611724537037037</v>
      </c>
      <c r="D378" s="9" t="s">
        <v>622</v>
      </c>
      <c r="E378" s="9" t="s">
        <v>6446</v>
      </c>
      <c r="F378" s="9" t="s">
        <v>1071</v>
      </c>
      <c r="H378" s="9"/>
      <c r="I378" s="9" t="s">
        <v>6401</v>
      </c>
      <c r="J378" s="9" t="s">
        <v>2940</v>
      </c>
      <c r="K378" t="s">
        <v>6402</v>
      </c>
      <c r="L378" t="s">
        <v>6403</v>
      </c>
      <c r="M378" s="3" t="str">
        <f>HYPERLINK(склад2въезд131920212223[[#This Row],[RelativePath]])</f>
        <v>10 Сушилка навес\E33149364_3_20251215T144053Z.jpg</v>
      </c>
    </row>
    <row r="379" spans="1:13" x14ac:dyDescent="0.25">
      <c r="A379" s="2" t="s">
        <v>13</v>
      </c>
      <c r="B379" s="4">
        <v>46006</v>
      </c>
      <c r="C379" s="5">
        <v>0.62203703703703705</v>
      </c>
      <c r="D379" s="9" t="s">
        <v>4164</v>
      </c>
      <c r="E379" s="9" t="s">
        <v>86</v>
      </c>
      <c r="F379" s="9" t="s">
        <v>500</v>
      </c>
      <c r="H379" s="9" t="s">
        <v>5038</v>
      </c>
      <c r="I379" s="9" t="s">
        <v>6404</v>
      </c>
      <c r="J379" s="9" t="s">
        <v>2940</v>
      </c>
      <c r="K379" t="s">
        <v>6405</v>
      </c>
      <c r="L379" t="s">
        <v>6406</v>
      </c>
      <c r="M379" s="3" t="str">
        <f>HYPERLINK(склад2въезд131920212223[[#This Row],[RelativePath]])</f>
        <v>10 Сушилка навес\E33149364_3_20251215T145544Z.jpg</v>
      </c>
    </row>
    <row r="380" spans="1:13" x14ac:dyDescent="0.25">
      <c r="A380" s="2" t="s">
        <v>13</v>
      </c>
      <c r="B380" s="4">
        <v>46006</v>
      </c>
      <c r="C380" s="5">
        <v>0.62807870370370367</v>
      </c>
      <c r="D380" s="9" t="s">
        <v>4164</v>
      </c>
      <c r="E380" s="9" t="s">
        <v>86</v>
      </c>
      <c r="F380" s="9" t="s">
        <v>500</v>
      </c>
      <c r="H380" s="9" t="s">
        <v>5038</v>
      </c>
      <c r="I380" s="9" t="s">
        <v>6407</v>
      </c>
      <c r="J380" s="9" t="s">
        <v>2940</v>
      </c>
      <c r="K380" t="s">
        <v>6408</v>
      </c>
      <c r="L380" t="s">
        <v>6409</v>
      </c>
      <c r="M380" s="3" t="str">
        <f>HYPERLINK(склад2въезд131920212223[[#This Row],[RelativePath]])</f>
        <v>10 Сушилка навес\E33149364_3_20251215T150426Z.jpg</v>
      </c>
    </row>
    <row r="381" spans="1:13" x14ac:dyDescent="0.25">
      <c r="A381" s="2" t="s">
        <v>13</v>
      </c>
      <c r="B381" s="4">
        <v>46006</v>
      </c>
      <c r="C381" s="5">
        <v>0.63324074074074077</v>
      </c>
      <c r="D381" s="9" t="s">
        <v>4164</v>
      </c>
      <c r="E381" s="9" t="s">
        <v>86</v>
      </c>
      <c r="F381" s="9" t="s">
        <v>1584</v>
      </c>
      <c r="H381" s="9" t="s">
        <v>5038</v>
      </c>
      <c r="I381" s="9" t="s">
        <v>6410</v>
      </c>
      <c r="J381" s="9" t="s">
        <v>2940</v>
      </c>
      <c r="K381" t="s">
        <v>6411</v>
      </c>
      <c r="L381" t="s">
        <v>6412</v>
      </c>
      <c r="M381" s="3" t="str">
        <f>HYPERLINK(склад2въезд131920212223[[#This Row],[RelativePath]])</f>
        <v>10 Сушилка навес\E33149364_3_20251215T151152Z.jpg</v>
      </c>
    </row>
    <row r="382" spans="1:13" x14ac:dyDescent="0.25">
      <c r="A382" s="2" t="s">
        <v>13</v>
      </c>
      <c r="B382" s="4">
        <v>46006</v>
      </c>
      <c r="C382" s="5">
        <v>0.69715277777777773</v>
      </c>
      <c r="D382" s="9" t="s">
        <v>4</v>
      </c>
      <c r="E382" s="9" t="s">
        <v>6448</v>
      </c>
      <c r="F382" s="9"/>
      <c r="H382" s="9"/>
      <c r="I382" s="9" t="s">
        <v>6413</v>
      </c>
      <c r="J382" s="9" t="s">
        <v>2940</v>
      </c>
      <c r="K382" t="s">
        <v>6414</v>
      </c>
      <c r="L382" t="s">
        <v>6415</v>
      </c>
      <c r="M382" s="3" t="str">
        <f>HYPERLINK(склад2въезд131920212223[[#This Row],[RelativePath]])</f>
        <v>10 Сушилка навес\E33149364_3_20251215T164354Z.jpg</v>
      </c>
    </row>
    <row r="383" spans="1:13" x14ac:dyDescent="0.25">
      <c r="A383" s="2" t="s">
        <v>13</v>
      </c>
      <c r="B383" s="4">
        <v>46006</v>
      </c>
      <c r="C383" s="5">
        <v>0.70814814814814819</v>
      </c>
      <c r="D383" s="9" t="s">
        <v>4</v>
      </c>
      <c r="E383" s="9" t="s">
        <v>6449</v>
      </c>
      <c r="F383" s="9"/>
      <c r="H383" s="9" t="s">
        <v>6450</v>
      </c>
      <c r="I383" s="9" t="s">
        <v>6416</v>
      </c>
      <c r="J383" s="9" t="s">
        <v>2940</v>
      </c>
      <c r="K383" t="s">
        <v>6417</v>
      </c>
      <c r="L383" t="s">
        <v>6418</v>
      </c>
      <c r="M383" s="3" t="str">
        <f>HYPERLINK(склад2въезд131920212223[[#This Row],[RelativePath]])</f>
        <v>10 Сушилка навес\E33149364_3_20251215T165944Z.jpg</v>
      </c>
    </row>
    <row r="384" spans="1:13" x14ac:dyDescent="0.25">
      <c r="A384" s="2" t="s">
        <v>14</v>
      </c>
      <c r="B384" s="4">
        <v>46007</v>
      </c>
      <c r="C384" s="5">
        <v>0.38737268518518519</v>
      </c>
      <c r="D384" s="9" t="s">
        <v>505</v>
      </c>
      <c r="E384" s="9" t="s">
        <v>503</v>
      </c>
      <c r="F384" s="9" t="s">
        <v>58</v>
      </c>
      <c r="H384" s="9" t="s">
        <v>4177</v>
      </c>
      <c r="I384" s="9" t="s">
        <v>6526</v>
      </c>
      <c r="J384" s="9" t="s">
        <v>2940</v>
      </c>
      <c r="K384" t="s">
        <v>6527</v>
      </c>
      <c r="L384" t="s">
        <v>6528</v>
      </c>
      <c r="M384" s="3" t="str">
        <f>HYPERLINK(склад2въезд131920212223[[#This Row],[RelativePath]])</f>
        <v>10 Сушилка навес\E33149364_3_20251216T091749Z.jpg</v>
      </c>
    </row>
    <row r="385" spans="1:13" x14ac:dyDescent="0.25">
      <c r="A385" s="2" t="s">
        <v>14</v>
      </c>
      <c r="B385" s="4">
        <v>46007</v>
      </c>
      <c r="C385" s="5">
        <v>0.39740740740740743</v>
      </c>
      <c r="D385" s="9" t="s">
        <v>505</v>
      </c>
      <c r="E385" s="9" t="s">
        <v>503</v>
      </c>
      <c r="F385" s="9" t="s">
        <v>58</v>
      </c>
      <c r="H385" s="9" t="s">
        <v>4177</v>
      </c>
      <c r="I385" s="9" t="s">
        <v>6529</v>
      </c>
      <c r="J385" s="9" t="s">
        <v>2940</v>
      </c>
      <c r="K385" t="s">
        <v>6530</v>
      </c>
      <c r="L385" t="s">
        <v>6531</v>
      </c>
      <c r="M385" s="3" t="str">
        <f>HYPERLINK(склад2въезд131920212223[[#This Row],[RelativePath]])</f>
        <v>10 Сушилка навес\E33149364_3_20251216T093216Z.jpg</v>
      </c>
    </row>
    <row r="386" spans="1:13" x14ac:dyDescent="0.25">
      <c r="A386" s="2" t="s">
        <v>14</v>
      </c>
      <c r="B386" s="4">
        <v>46007</v>
      </c>
      <c r="C386" s="5">
        <v>0.40063657407407405</v>
      </c>
      <c r="D386" s="9" t="s">
        <v>4</v>
      </c>
      <c r="E386" s="9" t="s">
        <v>8</v>
      </c>
      <c r="F386" s="9"/>
      <c r="H386" s="9"/>
      <c r="I386" s="9" t="s">
        <v>6532</v>
      </c>
      <c r="J386" s="9" t="s">
        <v>2940</v>
      </c>
      <c r="K386" t="s">
        <v>6533</v>
      </c>
      <c r="L386" t="s">
        <v>6534</v>
      </c>
      <c r="M386" s="3" t="str">
        <f>HYPERLINK(склад2въезд131920212223[[#This Row],[RelativePath]])</f>
        <v>10 Сушилка навес\E33149364_3_20251216T093655Z.jpg</v>
      </c>
    </row>
    <row r="387" spans="1:13" x14ac:dyDescent="0.25">
      <c r="A387" s="2" t="s">
        <v>14</v>
      </c>
      <c r="B387" s="4">
        <v>46007</v>
      </c>
      <c r="C387" s="5">
        <v>0.4092824074074074</v>
      </c>
      <c r="D387" s="9" t="s">
        <v>4</v>
      </c>
      <c r="E387" s="9" t="s">
        <v>8</v>
      </c>
      <c r="F387" s="9"/>
      <c r="H387" s="9"/>
      <c r="I387" s="9" t="s">
        <v>6535</v>
      </c>
      <c r="J387" s="9" t="s">
        <v>2940</v>
      </c>
      <c r="K387" t="s">
        <v>6536</v>
      </c>
      <c r="L387" t="s">
        <v>6537</v>
      </c>
      <c r="M387" s="3" t="str">
        <f>HYPERLINK(склад2въезд131920212223[[#This Row],[RelativePath]])</f>
        <v>10 Сушилка навес\E33149364_3_20251216T094922Z.jpg</v>
      </c>
    </row>
    <row r="388" spans="1:13" x14ac:dyDescent="0.25">
      <c r="A388" s="2" t="s">
        <v>14</v>
      </c>
      <c r="B388" s="4">
        <v>46007</v>
      </c>
      <c r="C388" s="5">
        <v>0.46201388888888889</v>
      </c>
      <c r="D388" s="9" t="s">
        <v>4</v>
      </c>
      <c r="E388" s="9" t="s">
        <v>8</v>
      </c>
      <c r="F388" s="9"/>
      <c r="H388" s="9"/>
      <c r="I388" s="9" t="s">
        <v>6538</v>
      </c>
      <c r="J388" s="9" t="s">
        <v>2940</v>
      </c>
      <c r="K388" t="s">
        <v>6539</v>
      </c>
      <c r="L388" t="s">
        <v>6540</v>
      </c>
      <c r="M388" s="3" t="str">
        <f>HYPERLINK(склад2въезд131920212223[[#This Row],[RelativePath]])</f>
        <v>10 Сушилка навес\E33149364_3_20251216T110518Z.jpg</v>
      </c>
    </row>
    <row r="389" spans="1:13" x14ac:dyDescent="0.25">
      <c r="A389" s="2" t="s">
        <v>14</v>
      </c>
      <c r="B389" s="4">
        <v>46007</v>
      </c>
      <c r="C389" s="5">
        <v>0.46773148148148147</v>
      </c>
      <c r="D389" s="9" t="s">
        <v>4</v>
      </c>
      <c r="E389" s="9" t="s">
        <v>8</v>
      </c>
      <c r="F389" s="9"/>
      <c r="H389" s="9"/>
      <c r="I389" s="9" t="s">
        <v>6541</v>
      </c>
      <c r="J389" s="9" t="s">
        <v>2940</v>
      </c>
      <c r="K389" t="s">
        <v>6542</v>
      </c>
      <c r="L389" t="s">
        <v>6543</v>
      </c>
      <c r="M389" s="3" t="str">
        <f>HYPERLINK(склад2въезд131920212223[[#This Row],[RelativePath]])</f>
        <v>10 Сушилка навес\E33149364_3_20251216T111332Z.jpg</v>
      </c>
    </row>
    <row r="390" spans="1:13" x14ac:dyDescent="0.25">
      <c r="A390" s="2" t="s">
        <v>14</v>
      </c>
      <c r="B390" s="4">
        <v>46007</v>
      </c>
      <c r="C390" s="5">
        <v>0.57921296296296299</v>
      </c>
      <c r="D390" s="9" t="s">
        <v>4</v>
      </c>
      <c r="E390" s="9" t="s">
        <v>8</v>
      </c>
      <c r="F390" s="9"/>
      <c r="H390" s="9"/>
      <c r="I390" s="9" t="s">
        <v>6544</v>
      </c>
      <c r="J390" s="9" t="s">
        <v>2940</v>
      </c>
      <c r="K390" t="s">
        <v>6545</v>
      </c>
      <c r="L390" t="s">
        <v>6546</v>
      </c>
      <c r="M390" s="3" t="str">
        <f>HYPERLINK(склад2въезд131920212223[[#This Row],[RelativePath]])</f>
        <v>10 Сушилка навес\E33149364_3_20251216T135404Z.jpg</v>
      </c>
    </row>
    <row r="391" spans="1:13" x14ac:dyDescent="0.25">
      <c r="A391" s="2" t="s">
        <v>14</v>
      </c>
      <c r="B391" s="4">
        <v>46007</v>
      </c>
      <c r="C391" s="5">
        <v>0.64810185185185187</v>
      </c>
      <c r="D391" s="9" t="s">
        <v>505</v>
      </c>
      <c r="E391" s="9" t="s">
        <v>503</v>
      </c>
      <c r="F391" s="9" t="s">
        <v>1071</v>
      </c>
      <c r="H391" s="9"/>
      <c r="I391" s="9" t="s">
        <v>6547</v>
      </c>
      <c r="J391" s="9" t="s">
        <v>2940</v>
      </c>
      <c r="K391" t="s">
        <v>6548</v>
      </c>
      <c r="L391" t="s">
        <v>6549</v>
      </c>
      <c r="M391" s="3" t="str">
        <f>HYPERLINK(склад2въезд131920212223[[#This Row],[RelativePath]])</f>
        <v>10 Сушилка навес\E33149364_3_20251216T153316Z.jpg</v>
      </c>
    </row>
    <row r="392" spans="1:13" x14ac:dyDescent="0.25">
      <c r="A392" s="2" t="s">
        <v>14</v>
      </c>
      <c r="B392" s="4">
        <v>46007</v>
      </c>
      <c r="C392" s="5">
        <v>0.67344907407407406</v>
      </c>
      <c r="D392" s="9" t="s">
        <v>4</v>
      </c>
      <c r="E392" s="9" t="s">
        <v>8</v>
      </c>
      <c r="F392" s="9"/>
      <c r="H392" s="9"/>
      <c r="I392" s="9" t="s">
        <v>6550</v>
      </c>
      <c r="J392" s="9" t="s">
        <v>2940</v>
      </c>
      <c r="K392" t="s">
        <v>6551</v>
      </c>
      <c r="L392" t="s">
        <v>6552</v>
      </c>
      <c r="M392" s="3" t="str">
        <f>HYPERLINK(склад2въезд131920212223[[#This Row],[RelativePath]])</f>
        <v>10 Сушилка навес\E33149364_3_20251216T160946Z.jpg</v>
      </c>
    </row>
    <row r="393" spans="1:13" x14ac:dyDescent="0.25">
      <c r="A393" s="2" t="s">
        <v>14</v>
      </c>
      <c r="B393" s="4">
        <v>46007</v>
      </c>
      <c r="C393" s="5">
        <v>0.70112268518518517</v>
      </c>
      <c r="D393" s="9" t="s">
        <v>4</v>
      </c>
      <c r="E393" s="9" t="s">
        <v>8</v>
      </c>
      <c r="F393" s="9"/>
      <c r="H393" s="9"/>
      <c r="I393" s="9" t="s">
        <v>6553</v>
      </c>
      <c r="J393" s="9" t="s">
        <v>2940</v>
      </c>
      <c r="K393" t="s">
        <v>6554</v>
      </c>
      <c r="L393" t="s">
        <v>6555</v>
      </c>
      <c r="M393" s="3" t="str">
        <f>HYPERLINK(склад2въезд131920212223[[#This Row],[RelativePath]])</f>
        <v>10 Сушилка навес\E33149364_3_20251216T164937Z.jpg</v>
      </c>
    </row>
    <row r="394" spans="1:13" x14ac:dyDescent="0.25">
      <c r="A394" s="2" t="s">
        <v>15</v>
      </c>
      <c r="B394" s="4">
        <v>46008</v>
      </c>
      <c r="C394" s="5">
        <v>0.4039814814814815</v>
      </c>
      <c r="D394" s="9" t="s">
        <v>505</v>
      </c>
      <c r="E394" s="9" t="s">
        <v>503</v>
      </c>
      <c r="F394" s="9" t="s">
        <v>58</v>
      </c>
      <c r="H394" s="9" t="s">
        <v>4177</v>
      </c>
      <c r="I394" s="9" t="s">
        <v>6697</v>
      </c>
      <c r="J394" s="9" t="s">
        <v>2940</v>
      </c>
      <c r="K394" t="s">
        <v>6698</v>
      </c>
      <c r="L394" t="s">
        <v>6699</v>
      </c>
      <c r="M394" s="3" t="str">
        <f>HYPERLINK(склад2въезд131920212223[[#This Row],[RelativePath]])</f>
        <v>10 Сушилка навес\E33149364_3_20251217T094144Z.jpg</v>
      </c>
    </row>
    <row r="395" spans="1:13" x14ac:dyDescent="0.25">
      <c r="A395" s="2" t="s">
        <v>15</v>
      </c>
      <c r="B395" s="4">
        <v>46008</v>
      </c>
      <c r="C395" s="5">
        <v>0.42366898148148147</v>
      </c>
      <c r="D395" s="9" t="s">
        <v>505</v>
      </c>
      <c r="E395" s="9" t="s">
        <v>503</v>
      </c>
      <c r="F395" s="9" t="s">
        <v>6787</v>
      </c>
      <c r="H395" s="9" t="s">
        <v>4177</v>
      </c>
      <c r="I395" s="9" t="s">
        <v>6700</v>
      </c>
      <c r="J395" s="9" t="s">
        <v>2940</v>
      </c>
      <c r="K395" t="s">
        <v>6701</v>
      </c>
      <c r="L395" t="s">
        <v>6702</v>
      </c>
      <c r="M395" s="3" t="str">
        <f>HYPERLINK(склад2въезд131920212223[[#This Row],[RelativePath]])</f>
        <v>10 Сушилка навес\E33149364_3_20251217T101005Z.jpg</v>
      </c>
    </row>
    <row r="396" spans="1:13" x14ac:dyDescent="0.25">
      <c r="A396" s="2" t="s">
        <v>15</v>
      </c>
      <c r="B396" s="4">
        <v>46008</v>
      </c>
      <c r="C396" s="5">
        <v>0.4307523148148148</v>
      </c>
      <c r="D396" s="9" t="s">
        <v>505</v>
      </c>
      <c r="E396" s="9" t="s">
        <v>503</v>
      </c>
      <c r="F396" s="9" t="s">
        <v>58</v>
      </c>
      <c r="H396" s="9" t="s">
        <v>4177</v>
      </c>
      <c r="I396" s="9" t="s">
        <v>6703</v>
      </c>
      <c r="J396" s="9" t="s">
        <v>2940</v>
      </c>
      <c r="K396" t="s">
        <v>6704</v>
      </c>
      <c r="L396" t="s">
        <v>6705</v>
      </c>
      <c r="M396" s="3" t="str">
        <f>HYPERLINK(склад2въезд131920212223[[#This Row],[RelativePath]])</f>
        <v>10 Сушилка навес\E33149364_3_20251217T102017Z.jpg</v>
      </c>
    </row>
    <row r="397" spans="1:13" x14ac:dyDescent="0.25">
      <c r="A397" s="2" t="s">
        <v>15</v>
      </c>
      <c r="B397" s="4">
        <v>46008</v>
      </c>
      <c r="C397" s="5">
        <v>0.46015046296296297</v>
      </c>
      <c r="D397" s="9" t="s">
        <v>505</v>
      </c>
      <c r="E397" s="9" t="s">
        <v>503</v>
      </c>
      <c r="F397" s="9" t="s">
        <v>1071</v>
      </c>
      <c r="H397" s="9" t="s">
        <v>4177</v>
      </c>
      <c r="I397" s="9" t="s">
        <v>6706</v>
      </c>
      <c r="J397" s="9" t="s">
        <v>2940</v>
      </c>
      <c r="K397" t="s">
        <v>6707</v>
      </c>
      <c r="L397" t="s">
        <v>6708</v>
      </c>
      <c r="M397" s="3" t="str">
        <f>HYPERLINK(склад2въезд131920212223[[#This Row],[RelativePath]])</f>
        <v>10 Сушилка навес\E33149364_3_20251217T110237Z.jpg</v>
      </c>
    </row>
    <row r="398" spans="1:13" x14ac:dyDescent="0.25">
      <c r="A398" s="2" t="s">
        <v>15</v>
      </c>
      <c r="B398" s="4">
        <v>46008</v>
      </c>
      <c r="C398" s="5">
        <v>0.47341435185185188</v>
      </c>
      <c r="D398" s="9" t="s">
        <v>505</v>
      </c>
      <c r="E398" s="9" t="s">
        <v>503</v>
      </c>
      <c r="F398" s="9" t="s">
        <v>58</v>
      </c>
      <c r="H398" s="9" t="s">
        <v>4177</v>
      </c>
      <c r="I398" s="9" t="s">
        <v>6709</v>
      </c>
      <c r="J398" s="9" t="s">
        <v>2940</v>
      </c>
      <c r="K398" t="s">
        <v>6710</v>
      </c>
      <c r="L398" t="s">
        <v>6711</v>
      </c>
      <c r="M398" s="3" t="str">
        <f>HYPERLINK(склад2въезд131920212223[[#This Row],[RelativePath]])</f>
        <v>10 Сушилка навес\E33149364_3_20251217T112143Z.jpg</v>
      </c>
    </row>
    <row r="399" spans="1:13" x14ac:dyDescent="0.25">
      <c r="A399" s="2" t="s">
        <v>15</v>
      </c>
      <c r="B399" s="4">
        <v>46008</v>
      </c>
      <c r="C399" s="5">
        <v>0.48656250000000001</v>
      </c>
      <c r="D399" s="9" t="s">
        <v>505</v>
      </c>
      <c r="E399" s="9" t="s">
        <v>503</v>
      </c>
      <c r="F399" s="9" t="s">
        <v>1071</v>
      </c>
      <c r="H399" s="9" t="s">
        <v>4177</v>
      </c>
      <c r="I399" s="9" t="s">
        <v>6712</v>
      </c>
      <c r="J399" s="9" t="s">
        <v>2940</v>
      </c>
      <c r="K399" t="s">
        <v>6713</v>
      </c>
      <c r="L399" t="s">
        <v>6714</v>
      </c>
      <c r="M399" s="3" t="str">
        <f>HYPERLINK(склад2въезд131920212223[[#This Row],[RelativePath]])</f>
        <v>10 Сушилка навес\E33149364_3_20251217T114039Z.jpg</v>
      </c>
    </row>
    <row r="400" spans="1:13" x14ac:dyDescent="0.25">
      <c r="A400" s="2" t="s">
        <v>15</v>
      </c>
      <c r="B400" s="4">
        <v>46008</v>
      </c>
      <c r="C400" s="5">
        <v>0.49677083333333333</v>
      </c>
      <c r="D400" s="9" t="s">
        <v>505</v>
      </c>
      <c r="E400" s="9" t="s">
        <v>503</v>
      </c>
      <c r="F400" s="9" t="s">
        <v>58</v>
      </c>
      <c r="H400" s="9" t="s">
        <v>4177</v>
      </c>
      <c r="I400" s="9" t="s">
        <v>6715</v>
      </c>
      <c r="J400" s="9" t="s">
        <v>2940</v>
      </c>
      <c r="K400" t="s">
        <v>6716</v>
      </c>
      <c r="L400" t="s">
        <v>6717</v>
      </c>
      <c r="M400" s="3" t="str">
        <f>HYPERLINK(склад2въезд131920212223[[#This Row],[RelativePath]])</f>
        <v>10 Сушилка навес\E33149364_3_20251217T115521Z.jpg</v>
      </c>
    </row>
    <row r="401" spans="1:13" x14ac:dyDescent="0.25">
      <c r="A401" s="2" t="s">
        <v>15</v>
      </c>
      <c r="B401" s="4">
        <v>46008</v>
      </c>
      <c r="C401" s="5">
        <v>0.51552083333333332</v>
      </c>
      <c r="D401" s="9" t="s">
        <v>505</v>
      </c>
      <c r="E401" s="9" t="s">
        <v>503</v>
      </c>
      <c r="F401" s="9" t="s">
        <v>58</v>
      </c>
      <c r="H401" s="9" t="s">
        <v>4177</v>
      </c>
      <c r="I401" s="9" t="s">
        <v>6718</v>
      </c>
      <c r="J401" s="9" t="s">
        <v>2940</v>
      </c>
      <c r="K401" t="s">
        <v>6719</v>
      </c>
      <c r="L401" t="s">
        <v>6720</v>
      </c>
      <c r="M401" s="3" t="str">
        <f>HYPERLINK(склад2въезд131920212223[[#This Row],[RelativePath]])</f>
        <v>10 Сушилка навес\E33149364_3_20251217T122221Z.jpg</v>
      </c>
    </row>
    <row r="402" spans="1:13" x14ac:dyDescent="0.25">
      <c r="A402" s="2" t="s">
        <v>15</v>
      </c>
      <c r="B402" s="4">
        <v>46008</v>
      </c>
      <c r="C402" s="5">
        <v>0.59641203703703705</v>
      </c>
      <c r="D402" s="9" t="s">
        <v>505</v>
      </c>
      <c r="E402" s="9" t="s">
        <v>503</v>
      </c>
      <c r="F402" s="9" t="s">
        <v>1071</v>
      </c>
      <c r="H402" s="9" t="s">
        <v>4177</v>
      </c>
      <c r="I402" s="9" t="s">
        <v>6721</v>
      </c>
      <c r="J402" s="9" t="s">
        <v>2940</v>
      </c>
      <c r="K402" t="s">
        <v>6722</v>
      </c>
      <c r="L402" t="s">
        <v>6723</v>
      </c>
      <c r="M402" s="3" t="str">
        <f>HYPERLINK(склад2въезд131920212223[[#This Row],[RelativePath]])</f>
        <v>10 Сушилка навес\E33149364_3_20251217T141850Z.jpg</v>
      </c>
    </row>
    <row r="403" spans="1:13" x14ac:dyDescent="0.25">
      <c r="A403" s="2" t="s">
        <v>15</v>
      </c>
      <c r="B403" s="4">
        <v>46008</v>
      </c>
      <c r="C403" s="5">
        <v>0.60145833333333332</v>
      </c>
      <c r="D403" s="9" t="s">
        <v>505</v>
      </c>
      <c r="E403" s="9" t="s">
        <v>503</v>
      </c>
      <c r="F403" s="9" t="s">
        <v>1071</v>
      </c>
      <c r="H403" s="9" t="s">
        <v>4177</v>
      </c>
      <c r="I403" s="9" t="s">
        <v>6724</v>
      </c>
      <c r="J403" s="9" t="s">
        <v>2940</v>
      </c>
      <c r="K403" t="s">
        <v>6725</v>
      </c>
      <c r="L403" t="s">
        <v>6726</v>
      </c>
      <c r="M403" s="3" t="str">
        <f>HYPERLINK(склад2въезд131920212223[[#This Row],[RelativePath]])</f>
        <v>10 Сушилка навес\E33149364_3_20251217T142606Z.jpg</v>
      </c>
    </row>
    <row r="404" spans="1:13" x14ac:dyDescent="0.25">
      <c r="A404" s="2" t="s">
        <v>15</v>
      </c>
      <c r="B404" s="4">
        <v>46008</v>
      </c>
      <c r="C404" s="5">
        <v>0.60629629629629633</v>
      </c>
      <c r="D404" s="9" t="s">
        <v>505</v>
      </c>
      <c r="E404" s="9" t="s">
        <v>503</v>
      </c>
      <c r="F404" s="9" t="s">
        <v>7083</v>
      </c>
      <c r="H404" s="9" t="s">
        <v>6258</v>
      </c>
      <c r="I404" s="9" t="s">
        <v>6727</v>
      </c>
      <c r="J404" s="9" t="s">
        <v>2940</v>
      </c>
      <c r="K404" t="s">
        <v>6728</v>
      </c>
      <c r="L404" t="s">
        <v>6729</v>
      </c>
      <c r="M404" s="3" t="str">
        <f>HYPERLINK(склад2въезд131920212223[[#This Row],[RelativePath]])</f>
        <v>10 Сушилка навес\E33149364_3_20251217T143304Z.jpg</v>
      </c>
    </row>
    <row r="405" spans="1:13" x14ac:dyDescent="0.25">
      <c r="A405" s="2" t="s">
        <v>15</v>
      </c>
      <c r="B405" s="4">
        <v>46008</v>
      </c>
      <c r="C405" s="5">
        <v>0.64269675925925929</v>
      </c>
      <c r="D405" s="9" t="s">
        <v>4</v>
      </c>
      <c r="E405" s="9" t="s">
        <v>8</v>
      </c>
      <c r="F405" s="9"/>
      <c r="H405" s="9"/>
      <c r="I405" s="9" t="s">
        <v>6730</v>
      </c>
      <c r="J405" s="9" t="s">
        <v>2940</v>
      </c>
      <c r="K405" t="s">
        <v>6731</v>
      </c>
      <c r="L405" t="s">
        <v>6732</v>
      </c>
      <c r="M405" s="3" t="str">
        <f>HYPERLINK(склад2въезд131920212223[[#This Row],[RelativePath]])</f>
        <v>10 Сушилка навес\E33149364_3_20251217T152529Z.jpg</v>
      </c>
    </row>
    <row r="406" spans="1:13" x14ac:dyDescent="0.25">
      <c r="A406" s="2" t="s">
        <v>15</v>
      </c>
      <c r="B406" s="4">
        <v>46008</v>
      </c>
      <c r="C406" s="5">
        <v>0.6821990740740741</v>
      </c>
      <c r="D406" s="9" t="s">
        <v>505</v>
      </c>
      <c r="E406" s="9" t="s">
        <v>503</v>
      </c>
      <c r="F406" s="9" t="s">
        <v>58</v>
      </c>
      <c r="H406" s="9" t="s">
        <v>4177</v>
      </c>
      <c r="I406" s="9" t="s">
        <v>6733</v>
      </c>
      <c r="J406" s="9" t="s">
        <v>2940</v>
      </c>
      <c r="K406" t="s">
        <v>6734</v>
      </c>
      <c r="L406" t="s">
        <v>6735</v>
      </c>
      <c r="M406" s="3" t="str">
        <f>HYPERLINK(склад2въезд131920212223[[#This Row],[RelativePath]])</f>
        <v>10 Сушилка навес\E33149364_3_20251217T162222Z.jpg</v>
      </c>
    </row>
    <row r="407" spans="1:13" x14ac:dyDescent="0.25">
      <c r="A407" s="2" t="s">
        <v>16</v>
      </c>
      <c r="B407" s="4">
        <v>46009</v>
      </c>
      <c r="C407" s="5">
        <v>0.38549768518518518</v>
      </c>
      <c r="D407" s="9" t="s">
        <v>4</v>
      </c>
      <c r="E407" s="9" t="s">
        <v>8</v>
      </c>
      <c r="F407" s="9"/>
      <c r="H407" s="9"/>
      <c r="I407" s="9" t="s">
        <v>6939</v>
      </c>
      <c r="J407" s="9" t="s">
        <v>2940</v>
      </c>
      <c r="K407" t="s">
        <v>6940</v>
      </c>
      <c r="L407" t="s">
        <v>6941</v>
      </c>
      <c r="M407" s="3" t="str">
        <f>HYPERLINK(склад2въезд131920212223[[#This Row],[RelativePath]])</f>
        <v>10 Сушилка навес\E33149364_3_20251218T091507Z.jpg</v>
      </c>
    </row>
    <row r="408" spans="1:13" x14ac:dyDescent="0.25">
      <c r="A408" s="2" t="s">
        <v>16</v>
      </c>
      <c r="B408" s="4">
        <v>46009</v>
      </c>
      <c r="C408" s="5">
        <v>0.40157407407407408</v>
      </c>
      <c r="D408" s="9" t="s">
        <v>505</v>
      </c>
      <c r="E408" s="9" t="s">
        <v>503</v>
      </c>
      <c r="F408" s="9" t="s">
        <v>58</v>
      </c>
      <c r="H408" s="9" t="s">
        <v>2904</v>
      </c>
      <c r="I408" s="9" t="s">
        <v>6942</v>
      </c>
      <c r="J408" s="9" t="s">
        <v>2940</v>
      </c>
      <c r="K408" t="s">
        <v>6943</v>
      </c>
      <c r="L408" t="s">
        <v>6944</v>
      </c>
      <c r="M408" s="3" t="str">
        <f>HYPERLINK(склад2въезд131920212223[[#This Row],[RelativePath]])</f>
        <v>10 Сушилка навес\E33149364_3_20251218T093816Z.jpg</v>
      </c>
    </row>
    <row r="409" spans="1:13" x14ac:dyDescent="0.25">
      <c r="A409" s="2" t="s">
        <v>16</v>
      </c>
      <c r="B409" s="4">
        <v>46009</v>
      </c>
      <c r="C409" s="5">
        <v>0.40166666666666667</v>
      </c>
      <c r="D409" s="9" t="s">
        <v>505</v>
      </c>
      <c r="E409" s="9" t="s">
        <v>503</v>
      </c>
      <c r="F409" s="9" t="s">
        <v>58</v>
      </c>
      <c r="H409" s="9" t="s">
        <v>2891</v>
      </c>
      <c r="I409" s="9" t="s">
        <v>6945</v>
      </c>
      <c r="J409" s="9" t="s">
        <v>2940</v>
      </c>
      <c r="K409" t="s">
        <v>6946</v>
      </c>
      <c r="L409" t="s">
        <v>6947</v>
      </c>
      <c r="M409" s="3" t="str">
        <f>HYPERLINK(склад2въезд131920212223[[#This Row],[RelativePath]])</f>
        <v>10 Сушилка навес\E33149364_3_20251218T093824Z.jpg</v>
      </c>
    </row>
    <row r="410" spans="1:13" x14ac:dyDescent="0.25">
      <c r="A410" s="2" t="s">
        <v>16</v>
      </c>
      <c r="B410" s="4">
        <v>46009</v>
      </c>
      <c r="C410" s="5">
        <v>0.41100694444444447</v>
      </c>
      <c r="D410" s="9" t="s">
        <v>505</v>
      </c>
      <c r="E410" s="9" t="s">
        <v>503</v>
      </c>
      <c r="F410" s="9" t="s">
        <v>58</v>
      </c>
      <c r="H410" s="9" t="s">
        <v>4177</v>
      </c>
      <c r="I410" s="9" t="s">
        <v>6948</v>
      </c>
      <c r="J410" s="9" t="s">
        <v>2940</v>
      </c>
      <c r="K410" t="s">
        <v>6949</v>
      </c>
      <c r="L410" t="s">
        <v>6950</v>
      </c>
      <c r="M410" s="3" t="str">
        <f>HYPERLINK(склад2въезд131920212223[[#This Row],[RelativePath]])</f>
        <v>10 Сушилка навес\E33149364_3_20251218T095151Z.jpg</v>
      </c>
    </row>
    <row r="411" spans="1:13" x14ac:dyDescent="0.25">
      <c r="A411" s="2" t="s">
        <v>16</v>
      </c>
      <c r="B411" s="4">
        <v>46009</v>
      </c>
      <c r="C411" s="5">
        <v>0.41358796296296296</v>
      </c>
      <c r="D411" s="9" t="s">
        <v>4164</v>
      </c>
      <c r="E411" s="9" t="s">
        <v>5411</v>
      </c>
      <c r="F411" s="9" t="s">
        <v>2899</v>
      </c>
      <c r="H411" s="9"/>
      <c r="I411" s="9" t="s">
        <v>6951</v>
      </c>
      <c r="J411" s="9" t="s">
        <v>2940</v>
      </c>
      <c r="K411" t="s">
        <v>6952</v>
      </c>
      <c r="L411" t="s">
        <v>6953</v>
      </c>
      <c r="M411" s="3" t="str">
        <f>HYPERLINK(склад2въезд131920212223[[#This Row],[RelativePath]])</f>
        <v>10 Сушилка навес\E33149364_3_20251218T095534Z.jpg</v>
      </c>
    </row>
    <row r="412" spans="1:13" x14ac:dyDescent="0.25">
      <c r="A412" s="2" t="s">
        <v>16</v>
      </c>
      <c r="B412" s="4">
        <v>46009</v>
      </c>
      <c r="C412" s="5">
        <v>0.41434027777777777</v>
      </c>
      <c r="D412" s="9" t="s">
        <v>158</v>
      </c>
      <c r="E412" s="9" t="s">
        <v>86</v>
      </c>
      <c r="F412" s="9" t="s">
        <v>2899</v>
      </c>
      <c r="H412" s="9" t="s">
        <v>2909</v>
      </c>
      <c r="I412" s="9" t="s">
        <v>6954</v>
      </c>
      <c r="J412" s="9" t="s">
        <v>2940</v>
      </c>
      <c r="K412" t="s">
        <v>6955</v>
      </c>
      <c r="L412" t="s">
        <v>6956</v>
      </c>
      <c r="M412" s="3" t="str">
        <f>HYPERLINK(склад2въезд131920212223[[#This Row],[RelativePath]])</f>
        <v>10 Сушилка навес\E33149364_3_20251218T095639Z.jpg</v>
      </c>
    </row>
    <row r="413" spans="1:13" x14ac:dyDescent="0.25">
      <c r="A413" s="2" t="s">
        <v>16</v>
      </c>
      <c r="B413" s="4">
        <v>46009</v>
      </c>
      <c r="C413" s="5">
        <v>0.42549768518518516</v>
      </c>
      <c r="D413" s="9" t="s">
        <v>4164</v>
      </c>
      <c r="E413" s="9" t="s">
        <v>5411</v>
      </c>
      <c r="F413" s="9" t="s">
        <v>500</v>
      </c>
      <c r="H413" s="9"/>
      <c r="I413" s="9" t="s">
        <v>6957</v>
      </c>
      <c r="J413" s="9" t="s">
        <v>2940</v>
      </c>
      <c r="K413" t="s">
        <v>6958</v>
      </c>
      <c r="L413" t="s">
        <v>6959</v>
      </c>
      <c r="M413" s="3" t="str">
        <f>HYPERLINK(склад2въезд131920212223[[#This Row],[RelativePath]])</f>
        <v>10 Сушилка навес\E33149364_3_20251218T101243Z.jpg</v>
      </c>
    </row>
    <row r="414" spans="1:13" x14ac:dyDescent="0.25">
      <c r="A414" s="2" t="s">
        <v>16</v>
      </c>
      <c r="B414" s="4">
        <v>46009</v>
      </c>
      <c r="C414" s="5">
        <v>0.44012731481481482</v>
      </c>
      <c r="D414" s="9" t="s">
        <v>505</v>
      </c>
      <c r="E414" s="9" t="s">
        <v>503</v>
      </c>
      <c r="F414" s="9" t="s">
        <v>58</v>
      </c>
      <c r="H414" s="9" t="s">
        <v>4177</v>
      </c>
      <c r="I414" s="9" t="s">
        <v>6960</v>
      </c>
      <c r="J414" s="9" t="s">
        <v>2940</v>
      </c>
      <c r="K414" t="s">
        <v>6961</v>
      </c>
      <c r="L414" t="s">
        <v>6962</v>
      </c>
      <c r="M414" s="3" t="str">
        <f>HYPERLINK(склад2въезд131920212223[[#This Row],[RelativePath]])</f>
        <v>10 Сушилка навес\E33149364_3_20251218T103347Z.jpg</v>
      </c>
    </row>
    <row r="415" spans="1:13" x14ac:dyDescent="0.25">
      <c r="A415" s="2" t="s">
        <v>16</v>
      </c>
      <c r="B415" s="4">
        <v>46009</v>
      </c>
      <c r="C415" s="5">
        <v>0.45413194444444444</v>
      </c>
      <c r="D415" s="9" t="s">
        <v>505</v>
      </c>
      <c r="E415" s="9" t="s">
        <v>503</v>
      </c>
      <c r="F415" s="9" t="s">
        <v>58</v>
      </c>
      <c r="H415" s="9" t="s">
        <v>4177</v>
      </c>
      <c r="I415" s="9" t="s">
        <v>6963</v>
      </c>
      <c r="J415" s="9" t="s">
        <v>2940</v>
      </c>
      <c r="K415" t="s">
        <v>6964</v>
      </c>
      <c r="L415" t="s">
        <v>6965</v>
      </c>
      <c r="M415" s="3" t="str">
        <f>HYPERLINK(склад2въезд131920212223[[#This Row],[RelativePath]])</f>
        <v>10 Сушилка навес\E33149364_3_20251218T105357Z.jpg</v>
      </c>
    </row>
    <row r="416" spans="1:13" x14ac:dyDescent="0.25">
      <c r="A416" s="2" t="s">
        <v>16</v>
      </c>
      <c r="B416" s="4">
        <v>46009</v>
      </c>
      <c r="C416" s="5">
        <v>0.47814814814814816</v>
      </c>
      <c r="D416" s="9" t="s">
        <v>505</v>
      </c>
      <c r="E416" s="9" t="s">
        <v>503</v>
      </c>
      <c r="F416" s="9" t="s">
        <v>6787</v>
      </c>
      <c r="H416" s="9" t="s">
        <v>4177</v>
      </c>
      <c r="I416" s="9" t="s">
        <v>6966</v>
      </c>
      <c r="J416" s="9" t="s">
        <v>2940</v>
      </c>
      <c r="K416" t="s">
        <v>6967</v>
      </c>
      <c r="L416" t="s">
        <v>6968</v>
      </c>
      <c r="M416" s="3" t="str">
        <f>HYPERLINK(склад2въезд131920212223[[#This Row],[RelativePath]])</f>
        <v>10 Сушилка навес\E33149364_3_20251218T112832Z.jpg</v>
      </c>
    </row>
    <row r="417" spans="1:13" x14ac:dyDescent="0.25">
      <c r="A417" s="2" t="s">
        <v>16</v>
      </c>
      <c r="B417" s="4">
        <v>46009</v>
      </c>
      <c r="C417" s="5">
        <v>0.48194444444444445</v>
      </c>
      <c r="D417" s="9" t="s">
        <v>158</v>
      </c>
      <c r="E417" s="9" t="s">
        <v>503</v>
      </c>
      <c r="F417" s="9" t="s">
        <v>6787</v>
      </c>
      <c r="H417" s="9" t="s">
        <v>4177</v>
      </c>
      <c r="I417" s="9" t="s">
        <v>6969</v>
      </c>
      <c r="J417" s="9" t="s">
        <v>2940</v>
      </c>
      <c r="K417" t="s">
        <v>6970</v>
      </c>
      <c r="L417" t="s">
        <v>6971</v>
      </c>
      <c r="M417" s="3" t="str">
        <f>HYPERLINK(склад2въезд131920212223[[#This Row],[RelativePath]])</f>
        <v>10 Сушилка навес\E33149364_3_20251218T113400Z.jpg</v>
      </c>
    </row>
    <row r="418" spans="1:13" x14ac:dyDescent="0.25">
      <c r="A418" s="2" t="s">
        <v>16</v>
      </c>
      <c r="B418" s="4">
        <v>46009</v>
      </c>
      <c r="C418" s="5">
        <v>0.50218750000000001</v>
      </c>
      <c r="D418" s="9" t="s">
        <v>505</v>
      </c>
      <c r="E418" s="9" t="s">
        <v>503</v>
      </c>
      <c r="F418" s="9" t="s">
        <v>2899</v>
      </c>
      <c r="H418" s="9" t="s">
        <v>4177</v>
      </c>
      <c r="I418" s="9" t="s">
        <v>6972</v>
      </c>
      <c r="J418" s="9" t="s">
        <v>2940</v>
      </c>
      <c r="K418" t="s">
        <v>6973</v>
      </c>
      <c r="L418" t="s">
        <v>6974</v>
      </c>
      <c r="M418" s="3" t="str">
        <f>HYPERLINK(склад2въезд131920212223[[#This Row],[RelativePath]])</f>
        <v>10 Сушилка навес\E33149364_3_20251218T120309Z.jpg</v>
      </c>
    </row>
    <row r="419" spans="1:13" x14ac:dyDescent="0.25">
      <c r="A419" s="2" t="s">
        <v>16</v>
      </c>
      <c r="B419" s="4">
        <v>46009</v>
      </c>
      <c r="C419" s="5">
        <v>0.51871527777777782</v>
      </c>
      <c r="D419" s="9" t="s">
        <v>505</v>
      </c>
      <c r="E419" s="9" t="s">
        <v>503</v>
      </c>
      <c r="F419" s="9" t="s">
        <v>7084</v>
      </c>
      <c r="H419" s="9"/>
      <c r="I419" s="9" t="s">
        <v>6975</v>
      </c>
      <c r="J419" s="9" t="s">
        <v>2940</v>
      </c>
      <c r="K419" t="s">
        <v>6976</v>
      </c>
      <c r="L419" t="s">
        <v>6977</v>
      </c>
      <c r="M419" s="3" t="str">
        <f>HYPERLINK(склад2въезд131920212223[[#This Row],[RelativePath]])</f>
        <v>10 Сушилка навес\E33149364_3_20251218T122657Z.jpg</v>
      </c>
    </row>
    <row r="420" spans="1:13" x14ac:dyDescent="0.25">
      <c r="A420" s="2" t="s">
        <v>16</v>
      </c>
      <c r="B420" s="4">
        <v>46009</v>
      </c>
      <c r="C420" s="5">
        <v>0.52583333333333337</v>
      </c>
      <c r="D420" s="9" t="s">
        <v>505</v>
      </c>
      <c r="E420" s="9" t="s">
        <v>503</v>
      </c>
      <c r="F420" s="9" t="s">
        <v>7083</v>
      </c>
      <c r="H420" s="9" t="s">
        <v>6258</v>
      </c>
      <c r="I420" s="9" t="s">
        <v>6978</v>
      </c>
      <c r="J420" s="9" t="s">
        <v>2940</v>
      </c>
      <c r="K420" t="s">
        <v>6979</v>
      </c>
      <c r="L420" t="s">
        <v>6980</v>
      </c>
      <c r="M420" s="3" t="str">
        <f>HYPERLINK(склад2въезд131920212223[[#This Row],[RelativePath]])</f>
        <v>10 Сушилка навес\E33149364_3_20251218T123712Z.jpg</v>
      </c>
    </row>
    <row r="421" spans="1:13" x14ac:dyDescent="0.25">
      <c r="A421" s="2" t="s">
        <v>16</v>
      </c>
      <c r="B421" s="4">
        <v>46009</v>
      </c>
      <c r="C421" s="5">
        <v>0.6021643518518518</v>
      </c>
      <c r="D421" s="9" t="s">
        <v>4162</v>
      </c>
      <c r="E421" s="9" t="s">
        <v>86</v>
      </c>
      <c r="F421" s="9" t="s">
        <v>58</v>
      </c>
      <c r="H421" s="9" t="s">
        <v>1583</v>
      </c>
      <c r="I421" s="9" t="s">
        <v>6981</v>
      </c>
      <c r="J421" s="9" t="s">
        <v>2940</v>
      </c>
      <c r="K421" t="s">
        <v>6982</v>
      </c>
      <c r="L421" t="s">
        <v>6983</v>
      </c>
      <c r="M421" s="3" t="str">
        <f>HYPERLINK(склад2въезд131920212223[[#This Row],[RelativePath]])</f>
        <v>10 Сушилка навес\E33149364_3_20251218T142707Z.jpg</v>
      </c>
    </row>
    <row r="422" spans="1:13" x14ac:dyDescent="0.25">
      <c r="A422" s="2" t="s">
        <v>16</v>
      </c>
      <c r="B422" s="4">
        <v>46009</v>
      </c>
      <c r="C422" s="5">
        <v>0.60252314814814811</v>
      </c>
      <c r="D422" s="9" t="s">
        <v>158</v>
      </c>
      <c r="E422" s="9" t="s">
        <v>86</v>
      </c>
      <c r="F422" s="9" t="s">
        <v>58</v>
      </c>
      <c r="H422" s="9" t="s">
        <v>2909</v>
      </c>
      <c r="I422" s="9" t="s">
        <v>6984</v>
      </c>
      <c r="J422" s="9" t="s">
        <v>2940</v>
      </c>
      <c r="K422" t="s">
        <v>6985</v>
      </c>
      <c r="L422" t="s">
        <v>6986</v>
      </c>
      <c r="M422" s="3" t="str">
        <f>HYPERLINK(склад2въезд131920212223[[#This Row],[RelativePath]])</f>
        <v>10 Сушилка навес\E33149364_3_20251218T142738Z.jpg</v>
      </c>
    </row>
    <row r="423" spans="1:13" x14ac:dyDescent="0.25">
      <c r="A423" s="2" t="s">
        <v>16</v>
      </c>
      <c r="B423" s="4">
        <v>46009</v>
      </c>
      <c r="C423" s="5">
        <v>0.61395833333333338</v>
      </c>
      <c r="D423" s="9" t="s">
        <v>4162</v>
      </c>
      <c r="E423" s="9" t="s">
        <v>86</v>
      </c>
      <c r="F423" s="9" t="s">
        <v>2917</v>
      </c>
      <c r="H423" s="9" t="s">
        <v>1583</v>
      </c>
      <c r="I423" s="9" t="s">
        <v>6987</v>
      </c>
      <c r="J423" s="9" t="s">
        <v>2940</v>
      </c>
      <c r="K423" t="s">
        <v>6988</v>
      </c>
      <c r="L423" t="s">
        <v>6989</v>
      </c>
      <c r="M423" s="3" t="str">
        <f>HYPERLINK(склад2въезд131920212223[[#This Row],[RelativePath]])</f>
        <v>10 Сушилка навес\E33149364_3_20251218T144406Z.jpg</v>
      </c>
    </row>
    <row r="424" spans="1:13" x14ac:dyDescent="0.25">
      <c r="A424" s="2" t="s">
        <v>16</v>
      </c>
      <c r="B424" s="4">
        <v>46009</v>
      </c>
      <c r="C424" s="5">
        <v>0.61412037037037037</v>
      </c>
      <c r="D424" s="9" t="s">
        <v>4162</v>
      </c>
      <c r="E424" s="9" t="s">
        <v>86</v>
      </c>
      <c r="F424" s="9" t="s">
        <v>2917</v>
      </c>
      <c r="H424" s="9" t="s">
        <v>2891</v>
      </c>
      <c r="I424" s="9" t="s">
        <v>6990</v>
      </c>
      <c r="J424" s="9" t="s">
        <v>2940</v>
      </c>
      <c r="K424" t="s">
        <v>6991</v>
      </c>
      <c r="L424" t="s">
        <v>6992</v>
      </c>
      <c r="M424" s="3" t="str">
        <f>HYPERLINK(склад2въезд131920212223[[#This Row],[RelativePath]])</f>
        <v>10 Сушилка навес\E33149364_3_20251218T144420Z.jpg</v>
      </c>
    </row>
    <row r="425" spans="1:13" x14ac:dyDescent="0.25">
      <c r="A425" s="2" t="s">
        <v>16</v>
      </c>
      <c r="B425" s="4">
        <v>46009</v>
      </c>
      <c r="C425" s="5">
        <v>0.61439814814814819</v>
      </c>
      <c r="D425" s="9" t="s">
        <v>4162</v>
      </c>
      <c r="E425" s="9" t="s">
        <v>86</v>
      </c>
      <c r="F425" s="9" t="s">
        <v>2917</v>
      </c>
      <c r="H425" s="9" t="s">
        <v>2891</v>
      </c>
      <c r="I425" s="9" t="s">
        <v>6993</v>
      </c>
      <c r="J425" s="9" t="s">
        <v>2940</v>
      </c>
      <c r="K425" t="s">
        <v>6994</v>
      </c>
      <c r="L425" t="s">
        <v>6995</v>
      </c>
      <c r="M425" s="3" t="str">
        <f>HYPERLINK(склад2въезд131920212223[[#This Row],[RelativePath]])</f>
        <v>10 Сушилка навес\E33149364_3_20251218T144444Z.jpg</v>
      </c>
    </row>
    <row r="426" spans="1:13" x14ac:dyDescent="0.25">
      <c r="A426" s="2" t="s">
        <v>16</v>
      </c>
      <c r="B426" s="4">
        <v>46009</v>
      </c>
      <c r="C426" s="5">
        <v>0.69344907407407408</v>
      </c>
      <c r="D426" s="9" t="s">
        <v>505</v>
      </c>
      <c r="E426" s="9" t="s">
        <v>503</v>
      </c>
      <c r="F426" s="9" t="s">
        <v>7083</v>
      </c>
      <c r="H426" s="9" t="s">
        <v>6258</v>
      </c>
      <c r="I426" s="9" t="s">
        <v>6996</v>
      </c>
      <c r="J426" s="9" t="s">
        <v>2940</v>
      </c>
      <c r="K426" t="s">
        <v>6997</v>
      </c>
      <c r="L426" t="s">
        <v>6998</v>
      </c>
      <c r="M426" s="3" t="str">
        <f>HYPERLINK(склад2въезд131920212223[[#This Row],[RelativePath]])</f>
        <v>10 Сушилка навес\E33149364_3_20251218T163834Z.jpg</v>
      </c>
    </row>
    <row r="427" spans="1:13" x14ac:dyDescent="0.25">
      <c r="A427" s="2" t="s">
        <v>17</v>
      </c>
      <c r="B427" s="4">
        <v>46010</v>
      </c>
      <c r="C427" s="5">
        <v>0.3845601851851852</v>
      </c>
      <c r="D427" s="9" t="s">
        <v>505</v>
      </c>
      <c r="E427" s="9" t="s">
        <v>503</v>
      </c>
      <c r="F427" s="9" t="s">
        <v>58</v>
      </c>
      <c r="H427" s="9" t="s">
        <v>2909</v>
      </c>
      <c r="I427" s="9" t="s">
        <v>6999</v>
      </c>
      <c r="J427" s="9" t="s">
        <v>2940</v>
      </c>
      <c r="K427" t="s">
        <v>7000</v>
      </c>
      <c r="L427" t="s">
        <v>7001</v>
      </c>
      <c r="M427" s="3" t="str">
        <f>HYPERLINK(склад2въезд131920212223[[#This Row],[RelativePath]])</f>
        <v>10 Сушилка навес\E33149364_3_20251219T091346Z.jpg</v>
      </c>
    </row>
    <row r="428" spans="1:13" x14ac:dyDescent="0.25">
      <c r="A428" s="2" t="s">
        <v>17</v>
      </c>
      <c r="B428" s="4">
        <v>46010</v>
      </c>
      <c r="C428" s="5">
        <v>0.38466435185185183</v>
      </c>
      <c r="D428" s="9" t="s">
        <v>505</v>
      </c>
      <c r="E428" s="9" t="s">
        <v>503</v>
      </c>
      <c r="F428" s="9" t="s">
        <v>58</v>
      </c>
      <c r="H428" s="9" t="s">
        <v>2891</v>
      </c>
      <c r="I428" s="9" t="s">
        <v>7002</v>
      </c>
      <c r="J428" s="9" t="s">
        <v>2940</v>
      </c>
      <c r="K428" t="s">
        <v>7003</v>
      </c>
      <c r="L428" t="s">
        <v>7004</v>
      </c>
      <c r="M428" s="3" t="str">
        <f>HYPERLINK(склад2въезд131920212223[[#This Row],[RelativePath]])</f>
        <v>10 Сушилка навес\E33149364_3_20251219T091355Z.jpg</v>
      </c>
    </row>
    <row r="429" spans="1:13" x14ac:dyDescent="0.25">
      <c r="A429" s="2" t="s">
        <v>17</v>
      </c>
      <c r="B429" s="4">
        <v>46010</v>
      </c>
      <c r="C429" s="5">
        <v>0.39033564814814814</v>
      </c>
      <c r="D429" s="9" t="s">
        <v>505</v>
      </c>
      <c r="E429" s="9" t="s">
        <v>503</v>
      </c>
      <c r="F429" s="9" t="s">
        <v>58</v>
      </c>
      <c r="H429" s="9" t="s">
        <v>2909</v>
      </c>
      <c r="I429" s="9" t="s">
        <v>7005</v>
      </c>
      <c r="J429" s="9" t="s">
        <v>2940</v>
      </c>
      <c r="K429" t="s">
        <v>7006</v>
      </c>
      <c r="L429" t="s">
        <v>7007</v>
      </c>
      <c r="M429" s="3" t="str">
        <f>HYPERLINK(склад2въезд131920212223[[#This Row],[RelativePath]])</f>
        <v>10 Сушилка навес\E33149364_3_20251219T092205Z.jpg</v>
      </c>
    </row>
    <row r="430" spans="1:13" x14ac:dyDescent="0.25">
      <c r="A430" s="2" t="s">
        <v>17</v>
      </c>
      <c r="B430" s="4">
        <v>46010</v>
      </c>
      <c r="C430" s="5">
        <v>0.52172453703703703</v>
      </c>
      <c r="D430" s="9" t="s">
        <v>505</v>
      </c>
      <c r="E430" s="9" t="s">
        <v>503</v>
      </c>
      <c r="F430" s="9" t="s">
        <v>7082</v>
      </c>
      <c r="H430" s="9" t="s">
        <v>4177</v>
      </c>
      <c r="I430" s="9" t="s">
        <v>7008</v>
      </c>
      <c r="J430" s="9" t="s">
        <v>2940</v>
      </c>
      <c r="K430" t="s">
        <v>7009</v>
      </c>
      <c r="L430" t="s">
        <v>7010</v>
      </c>
      <c r="M430" s="3" t="str">
        <f>HYPERLINK(склад2въезд131920212223[[#This Row],[RelativePath]])</f>
        <v>10 Сушилка навес\E33149364_3_20251219T123117Z.jpg</v>
      </c>
    </row>
    <row r="431" spans="1:13" x14ac:dyDescent="0.25">
      <c r="A431" s="2" t="s">
        <v>17</v>
      </c>
      <c r="B431" s="4">
        <v>46010</v>
      </c>
      <c r="C431" s="5">
        <v>0.66196759259259264</v>
      </c>
      <c r="D431" s="9" t="s">
        <v>505</v>
      </c>
      <c r="E431" s="9" t="s">
        <v>503</v>
      </c>
      <c r="F431" s="9" t="s">
        <v>3031</v>
      </c>
      <c r="H431" s="9" t="s">
        <v>4177</v>
      </c>
      <c r="I431" s="9" t="s">
        <v>7011</v>
      </c>
      <c r="J431" s="9" t="s">
        <v>2940</v>
      </c>
      <c r="K431" t="s">
        <v>7012</v>
      </c>
      <c r="L431" t="s">
        <v>7013</v>
      </c>
      <c r="M431" s="3" t="str">
        <f>HYPERLINK(склад2въезд131920212223[[#This Row],[RelativePath]])</f>
        <v>10 Сушилка навес\E33149364_3_20251219T155314Z.jpg</v>
      </c>
    </row>
    <row r="432" spans="1:13" x14ac:dyDescent="0.25">
      <c r="A432" s="2" t="s">
        <v>17</v>
      </c>
      <c r="B432" s="4">
        <v>46010</v>
      </c>
      <c r="C432" s="5">
        <v>0.67274305555555558</v>
      </c>
      <c r="D432" s="9" t="s">
        <v>4</v>
      </c>
      <c r="E432" s="9" t="s">
        <v>8</v>
      </c>
      <c r="F432" s="9"/>
      <c r="H432" s="9"/>
      <c r="I432" s="9" t="s">
        <v>7014</v>
      </c>
      <c r="J432" s="9" t="s">
        <v>2940</v>
      </c>
      <c r="K432" t="s">
        <v>7015</v>
      </c>
      <c r="L432" t="s">
        <v>7016</v>
      </c>
      <c r="M432" s="3" t="str">
        <f>HYPERLINK(склад2въезд131920212223[[#This Row],[RelativePath]])</f>
        <v>10 Сушилка навес\E33149364_3_20251219T160845Z.jpg</v>
      </c>
    </row>
    <row r="433" spans="1:13" x14ac:dyDescent="0.25">
      <c r="A433" s="2" t="s">
        <v>18</v>
      </c>
      <c r="B433" s="4">
        <v>46011</v>
      </c>
      <c r="C433" s="5">
        <v>0.68629629629629629</v>
      </c>
      <c r="D433" s="9" t="s">
        <v>1967</v>
      </c>
      <c r="E433" s="9" t="s">
        <v>8</v>
      </c>
      <c r="F433" s="9"/>
      <c r="H433" s="9"/>
      <c r="I433" s="9" t="s">
        <v>7017</v>
      </c>
      <c r="J433" s="9" t="s">
        <v>2940</v>
      </c>
      <c r="K433" t="s">
        <v>7018</v>
      </c>
      <c r="L433" t="s">
        <v>7019</v>
      </c>
      <c r="M433" s="3" t="str">
        <f>HYPERLINK(склад2въезд131920212223[[#This Row],[RelativePath]])</f>
        <v>10 Сушилка навес\E33149364_3_20251220T162816Z.jpg</v>
      </c>
    </row>
    <row r="434" spans="1:13" x14ac:dyDescent="0.25">
      <c r="A434" s="2" t="s">
        <v>22</v>
      </c>
      <c r="B434" s="4">
        <v>46012</v>
      </c>
      <c r="C434" s="5">
        <v>0.69641203703703702</v>
      </c>
      <c r="D434" s="9" t="s">
        <v>1967</v>
      </c>
      <c r="E434" s="9" t="s">
        <v>8</v>
      </c>
      <c r="F434" s="9"/>
      <c r="H434" s="9"/>
      <c r="I434" s="9" t="s">
        <v>7115</v>
      </c>
      <c r="J434" s="9" t="s">
        <v>2940</v>
      </c>
      <c r="K434" t="s">
        <v>7116</v>
      </c>
      <c r="L434" t="s">
        <v>7117</v>
      </c>
      <c r="M434" s="3" t="str">
        <f>HYPERLINK(склад2въезд131920212223[[#This Row],[RelativePath]])</f>
        <v>10 Сушилка навес\E33149364_3_20251221T164250Z.jpg</v>
      </c>
    </row>
    <row r="435" spans="1:13" x14ac:dyDescent="0.25">
      <c r="A435" s="2" t="s">
        <v>13</v>
      </c>
      <c r="B435" s="4">
        <v>46013</v>
      </c>
      <c r="C435" s="5">
        <v>0.7088888888888889</v>
      </c>
      <c r="D435" s="9" t="s">
        <v>1967</v>
      </c>
      <c r="E435" s="9" t="s">
        <v>8</v>
      </c>
      <c r="F435" s="9"/>
      <c r="H435" s="9"/>
      <c r="I435" s="9" t="s">
        <v>7209</v>
      </c>
      <c r="J435" s="9" t="s">
        <v>2940</v>
      </c>
      <c r="K435" t="s">
        <v>7210</v>
      </c>
      <c r="L435" t="s">
        <v>7211</v>
      </c>
      <c r="M435" s="3" t="str">
        <f>HYPERLINK(склад2въезд131920212223[[#This Row],[RelativePath]])</f>
        <v>10 Сушилка навес\E33149364_3_20251222T170048Z.jpg</v>
      </c>
    </row>
    <row r="436" spans="1:13" x14ac:dyDescent="0.25">
      <c r="A436" s="2" t="s">
        <v>14</v>
      </c>
      <c r="B436" s="4">
        <v>46014</v>
      </c>
      <c r="C436" s="5">
        <v>0.44975694444444442</v>
      </c>
      <c r="D436" s="9" t="s">
        <v>1967</v>
      </c>
      <c r="E436" s="9" t="s">
        <v>8</v>
      </c>
      <c r="F436" s="9"/>
      <c r="H436" s="9"/>
      <c r="I436" s="9" t="s">
        <v>7212</v>
      </c>
      <c r="J436" s="9" t="s">
        <v>2940</v>
      </c>
      <c r="K436" t="s">
        <v>7213</v>
      </c>
      <c r="L436" t="s">
        <v>7214</v>
      </c>
      <c r="M436" s="3" t="str">
        <f>HYPERLINK(склад2въезд131920212223[[#This Row],[RelativePath]])</f>
        <v>10 Сушилка навес\E33149364_3_20251223T104739Z.jpg</v>
      </c>
    </row>
    <row r="437" spans="1:13" x14ac:dyDescent="0.25">
      <c r="A437" s="2" t="s">
        <v>15</v>
      </c>
      <c r="B437" s="4">
        <v>46015</v>
      </c>
      <c r="C437" s="5">
        <v>0.44194444444444442</v>
      </c>
      <c r="D437" s="9" t="s">
        <v>1967</v>
      </c>
      <c r="E437" s="9" t="s">
        <v>8</v>
      </c>
      <c r="F437" s="9"/>
      <c r="H437" s="9"/>
      <c r="I437" s="9" t="s">
        <v>7396</v>
      </c>
      <c r="J437" s="9" t="s">
        <v>2940</v>
      </c>
      <c r="K437" t="s">
        <v>7397</v>
      </c>
      <c r="L437" t="s">
        <v>7398</v>
      </c>
      <c r="M437" s="3" t="str">
        <f>HYPERLINK(склад2въезд131920212223[[#This Row],[RelativePath]])</f>
        <v>10 Сушилка навес\E33149364_3_20251224T103624Z.jpg</v>
      </c>
    </row>
    <row r="438" spans="1:13" x14ac:dyDescent="0.25">
      <c r="A438" s="2" t="s">
        <v>15</v>
      </c>
      <c r="B438" s="4">
        <v>46015</v>
      </c>
      <c r="C438" s="5">
        <v>0.60836805555555551</v>
      </c>
      <c r="D438" s="9" t="s">
        <v>7617</v>
      </c>
      <c r="E438" s="9" t="s">
        <v>1570</v>
      </c>
      <c r="F438" s="9"/>
      <c r="H438" s="9"/>
      <c r="I438" s="9" t="s">
        <v>7399</v>
      </c>
      <c r="J438" s="9" t="s">
        <v>2940</v>
      </c>
      <c r="K438" t="s">
        <v>7400</v>
      </c>
      <c r="L438" t="s">
        <v>7401</v>
      </c>
      <c r="M438" s="3" t="str">
        <f>HYPERLINK(склад2въезд131920212223[[#This Row],[RelativePath]])</f>
        <v>10 Сушилка навес\E33149364_3_20251224T143603Z.jpg</v>
      </c>
    </row>
    <row r="439" spans="1:13" x14ac:dyDescent="0.25">
      <c r="A439" s="2" t="s">
        <v>15</v>
      </c>
      <c r="B439" s="4">
        <v>46015</v>
      </c>
      <c r="C439" s="5">
        <v>0.6224884259259259</v>
      </c>
      <c r="D439" s="9" t="s">
        <v>7617</v>
      </c>
      <c r="E439" s="9" t="s">
        <v>1570</v>
      </c>
      <c r="F439" s="9"/>
      <c r="H439" s="9"/>
      <c r="I439" s="9" t="s">
        <v>7402</v>
      </c>
      <c r="J439" s="9" t="s">
        <v>2940</v>
      </c>
      <c r="K439" t="s">
        <v>7403</v>
      </c>
      <c r="L439" t="s">
        <v>7404</v>
      </c>
      <c r="M439" s="3" t="str">
        <f>HYPERLINK(склад2въезд131920212223[[#This Row],[RelativePath]])</f>
        <v>10 Сушилка навес\E33149364_3_20251224T145623Z.jpg</v>
      </c>
    </row>
    <row r="440" spans="1:13" x14ac:dyDescent="0.25">
      <c r="A440" s="2" t="s">
        <v>15</v>
      </c>
      <c r="B440" s="4">
        <v>46015</v>
      </c>
      <c r="C440" s="5">
        <v>0.70687500000000003</v>
      </c>
      <c r="D440" s="9" t="s">
        <v>1967</v>
      </c>
      <c r="E440" s="9" t="s">
        <v>8</v>
      </c>
      <c r="F440" s="9"/>
      <c r="H440" s="9"/>
      <c r="I440" s="9" t="s">
        <v>7405</v>
      </c>
      <c r="J440" s="9" t="s">
        <v>2940</v>
      </c>
      <c r="K440" t="s">
        <v>7406</v>
      </c>
      <c r="L440" t="s">
        <v>7407</v>
      </c>
      <c r="M440" s="3" t="str">
        <f>HYPERLINK(склад2въезд131920212223[[#This Row],[RelativePath]])</f>
        <v>10 Сушилка навес\E33149364_3_20251224T165754Z.jpg</v>
      </c>
    </row>
    <row r="441" spans="1:13" x14ac:dyDescent="0.25">
      <c r="A441" s="2" t="s">
        <v>16</v>
      </c>
      <c r="B441" s="4">
        <v>46016</v>
      </c>
      <c r="C441" s="5">
        <v>0.50045138888888885</v>
      </c>
      <c r="D441" s="9" t="s">
        <v>261</v>
      </c>
      <c r="E441" s="9" t="s">
        <v>70</v>
      </c>
      <c r="F441" s="9" t="s">
        <v>58</v>
      </c>
      <c r="H441" s="9" t="s">
        <v>1581</v>
      </c>
      <c r="I441" s="9" t="s">
        <v>7408</v>
      </c>
      <c r="J441" s="9" t="s">
        <v>2940</v>
      </c>
      <c r="K441" t="s">
        <v>7409</v>
      </c>
      <c r="L441" t="s">
        <v>7410</v>
      </c>
      <c r="M441" s="3" t="str">
        <f>HYPERLINK(склад2въезд131920212223[[#This Row],[RelativePath]])</f>
        <v>10 Сушилка навес\E33149364_3_20251225T120039Z.jpg</v>
      </c>
    </row>
    <row r="442" spans="1:13" x14ac:dyDescent="0.25">
      <c r="A442" s="2" t="s">
        <v>16</v>
      </c>
      <c r="B442" s="4">
        <v>46016</v>
      </c>
      <c r="C442" s="5">
        <v>0.50079861111111112</v>
      </c>
      <c r="D442" s="9" t="s">
        <v>261</v>
      </c>
      <c r="E442" s="9" t="s">
        <v>70</v>
      </c>
      <c r="F442" s="9" t="s">
        <v>58</v>
      </c>
      <c r="H442" s="9" t="s">
        <v>2891</v>
      </c>
      <c r="I442" s="9" t="s">
        <v>7411</v>
      </c>
      <c r="J442" s="9" t="s">
        <v>2940</v>
      </c>
      <c r="K442" t="s">
        <v>7412</v>
      </c>
      <c r="L442" t="s">
        <v>7413</v>
      </c>
      <c r="M442" s="3" t="str">
        <f>HYPERLINK(склад2въезд131920212223[[#This Row],[RelativePath]])</f>
        <v>10 Сушилка навес\E33149364_3_20251225T120109Z.jpg</v>
      </c>
    </row>
    <row r="443" spans="1:13" x14ac:dyDescent="0.25">
      <c r="A443" s="2" t="s">
        <v>16</v>
      </c>
      <c r="B443" s="4">
        <v>46016</v>
      </c>
      <c r="C443" s="5">
        <v>0.50168981481481478</v>
      </c>
      <c r="D443" s="9" t="s">
        <v>261</v>
      </c>
      <c r="E443" s="9" t="s">
        <v>70</v>
      </c>
      <c r="F443" s="9" t="s">
        <v>58</v>
      </c>
      <c r="H443" s="9" t="s">
        <v>2891</v>
      </c>
      <c r="I443" s="9" t="s">
        <v>7414</v>
      </c>
      <c r="J443" s="9" t="s">
        <v>2940</v>
      </c>
      <c r="K443" t="s">
        <v>7415</v>
      </c>
      <c r="L443" t="s">
        <v>7416</v>
      </c>
      <c r="M443" s="3" t="str">
        <f>HYPERLINK(склад2въезд131920212223[[#This Row],[RelativePath]])</f>
        <v>10 Сушилка навес\E33149364_3_20251225T120226Z.jpg</v>
      </c>
    </row>
    <row r="444" spans="1:13" x14ac:dyDescent="0.25">
      <c r="A444" s="2" t="s">
        <v>16</v>
      </c>
      <c r="B444" s="4">
        <v>46016</v>
      </c>
      <c r="C444" s="5">
        <v>0.50189814814814815</v>
      </c>
      <c r="D444" s="9" t="s">
        <v>261</v>
      </c>
      <c r="E444" s="9" t="s">
        <v>70</v>
      </c>
      <c r="F444" s="9" t="s">
        <v>58</v>
      </c>
      <c r="H444" s="9" t="s">
        <v>2891</v>
      </c>
      <c r="I444" s="9" t="s">
        <v>7417</v>
      </c>
      <c r="J444" s="9" t="s">
        <v>2940</v>
      </c>
      <c r="K444" t="s">
        <v>7418</v>
      </c>
      <c r="L444" t="s">
        <v>7419</v>
      </c>
      <c r="M444" s="3" t="str">
        <f>HYPERLINK(склад2въезд131920212223[[#This Row],[RelativePath]])</f>
        <v>10 Сушилка навес\E33149364_3_20251225T120244Z.jpg</v>
      </c>
    </row>
    <row r="445" spans="1:13" x14ac:dyDescent="0.25">
      <c r="A445" s="2" t="s">
        <v>16</v>
      </c>
      <c r="B445" s="4">
        <v>46016</v>
      </c>
      <c r="C445" s="5">
        <v>0.50423611111111111</v>
      </c>
      <c r="D445" s="9" t="s">
        <v>261</v>
      </c>
      <c r="E445" s="9" t="s">
        <v>70</v>
      </c>
      <c r="F445" s="9" t="s">
        <v>58</v>
      </c>
      <c r="H445" s="9" t="s">
        <v>2891</v>
      </c>
      <c r="I445" s="9" t="s">
        <v>7420</v>
      </c>
      <c r="J445" s="9" t="s">
        <v>2940</v>
      </c>
      <c r="K445" t="s">
        <v>7421</v>
      </c>
      <c r="L445" t="s">
        <v>7422</v>
      </c>
      <c r="M445" s="3" t="str">
        <f>HYPERLINK(склад2въезд131920212223[[#This Row],[RelativePath]])</f>
        <v>10 Сушилка навес\E33149364_3_20251225T120606Z.jpg</v>
      </c>
    </row>
    <row r="446" spans="1:13" x14ac:dyDescent="0.25">
      <c r="A446" s="2" t="s">
        <v>16</v>
      </c>
      <c r="B446" s="4">
        <v>46016</v>
      </c>
      <c r="C446" s="5">
        <v>0.50668981481481479</v>
      </c>
      <c r="D446" s="9" t="s">
        <v>622</v>
      </c>
      <c r="E446" s="9" t="s">
        <v>70</v>
      </c>
      <c r="F446" s="9" t="s">
        <v>58</v>
      </c>
      <c r="H446" s="9"/>
      <c r="I446" s="9" t="s">
        <v>7423</v>
      </c>
      <c r="J446" s="9" t="s">
        <v>2940</v>
      </c>
      <c r="K446" t="s">
        <v>7424</v>
      </c>
      <c r="L446" t="s">
        <v>7425</v>
      </c>
      <c r="M446" s="3" t="str">
        <f>HYPERLINK(склад2въезд131920212223[[#This Row],[RelativePath]])</f>
        <v>10 Сушилка навес\E33149364_3_20251225T120938Z.jpg</v>
      </c>
    </row>
    <row r="447" spans="1:13" x14ac:dyDescent="0.25">
      <c r="A447" s="2" t="s">
        <v>16</v>
      </c>
      <c r="B447" s="4">
        <v>46016</v>
      </c>
      <c r="C447" s="5">
        <v>0.51128472222222221</v>
      </c>
      <c r="D447" s="9" t="s">
        <v>7618</v>
      </c>
      <c r="E447" s="9" t="s">
        <v>503</v>
      </c>
      <c r="F447" s="9"/>
      <c r="H447" s="9"/>
      <c r="I447" s="9" t="s">
        <v>7426</v>
      </c>
      <c r="J447" s="9" t="s">
        <v>2940</v>
      </c>
      <c r="K447" t="s">
        <v>7427</v>
      </c>
      <c r="L447" t="s">
        <v>7428</v>
      </c>
      <c r="M447" s="3" t="str">
        <f>HYPERLINK(склад2въезд131920212223[[#This Row],[RelativePath]])</f>
        <v>10 Сушилка навес\E33149364_3_20251225T121615Z.jpg</v>
      </c>
    </row>
    <row r="448" spans="1:13" x14ac:dyDescent="0.25">
      <c r="A448" s="2" t="s">
        <v>16</v>
      </c>
      <c r="B448" s="4">
        <v>46016</v>
      </c>
      <c r="C448" s="5">
        <v>0.52425925925925931</v>
      </c>
      <c r="D448" s="9" t="s">
        <v>4164</v>
      </c>
      <c r="E448" s="9" t="s">
        <v>86</v>
      </c>
      <c r="F448" s="9" t="s">
        <v>7619</v>
      </c>
      <c r="H448" s="9"/>
      <c r="I448" s="9" t="s">
        <v>7429</v>
      </c>
      <c r="J448" s="9" t="s">
        <v>2940</v>
      </c>
      <c r="K448" t="s">
        <v>7430</v>
      </c>
      <c r="L448" t="s">
        <v>7431</v>
      </c>
      <c r="M448" s="3" t="str">
        <f>HYPERLINK(склад2въезд131920212223[[#This Row],[RelativePath]])</f>
        <v>10 Сушилка навес\E33149364_3_20251225T123456Z.jpg</v>
      </c>
    </row>
    <row r="449" spans="1:13" x14ac:dyDescent="0.25">
      <c r="A449" s="2" t="s">
        <v>16</v>
      </c>
      <c r="B449" s="4">
        <v>46016</v>
      </c>
      <c r="C449" s="5">
        <v>0.52465277777777775</v>
      </c>
      <c r="D449" s="9" t="s">
        <v>4164</v>
      </c>
      <c r="E449" s="9" t="s">
        <v>86</v>
      </c>
      <c r="F449" s="9" t="s">
        <v>7619</v>
      </c>
      <c r="H449" s="9" t="s">
        <v>2891</v>
      </c>
      <c r="I449" s="9" t="s">
        <v>7432</v>
      </c>
      <c r="J449" s="9" t="s">
        <v>2940</v>
      </c>
      <c r="K449" t="s">
        <v>7433</v>
      </c>
      <c r="L449" t="s">
        <v>7434</v>
      </c>
      <c r="M449" s="3" t="str">
        <f>HYPERLINK(склад2въезд131920212223[[#This Row],[RelativePath]])</f>
        <v>10 Сушилка навес\E33149364_3_20251225T123530Z.jpg</v>
      </c>
    </row>
    <row r="450" spans="1:13" x14ac:dyDescent="0.25">
      <c r="A450" s="2" t="s">
        <v>16</v>
      </c>
      <c r="B450" s="4">
        <v>46016</v>
      </c>
      <c r="C450" s="5">
        <v>0.53423611111111113</v>
      </c>
      <c r="D450" s="9" t="s">
        <v>4164</v>
      </c>
      <c r="E450" s="9" t="s">
        <v>86</v>
      </c>
      <c r="F450" s="9" t="s">
        <v>7619</v>
      </c>
      <c r="H450" s="9"/>
      <c r="I450" s="9" t="s">
        <v>7435</v>
      </c>
      <c r="J450" s="9" t="s">
        <v>2940</v>
      </c>
      <c r="K450" t="s">
        <v>7436</v>
      </c>
      <c r="L450" t="s">
        <v>7437</v>
      </c>
      <c r="M450" s="3" t="str">
        <f>HYPERLINK(склад2въезд131920212223[[#This Row],[RelativePath]])</f>
        <v>10 Сушилка навес\E33149364_3_20251225T124918Z.jpg</v>
      </c>
    </row>
    <row r="451" spans="1:13" x14ac:dyDescent="0.25">
      <c r="A451" s="2" t="s">
        <v>16</v>
      </c>
      <c r="B451" s="4">
        <v>46016</v>
      </c>
      <c r="C451" s="5">
        <v>0.63858796296296294</v>
      </c>
      <c r="D451" s="9" t="s">
        <v>1967</v>
      </c>
      <c r="E451" s="9" t="s">
        <v>8</v>
      </c>
      <c r="F451" s="9"/>
      <c r="H451" s="9"/>
      <c r="I451" s="9" t="s">
        <v>7438</v>
      </c>
      <c r="J451" s="9" t="s">
        <v>2940</v>
      </c>
      <c r="K451" t="s">
        <v>7439</v>
      </c>
      <c r="L451" t="s">
        <v>7440</v>
      </c>
      <c r="M451" s="3" t="str">
        <f>HYPERLINK(склад2въезд131920212223[[#This Row],[RelativePath]])</f>
        <v>10 Сушилка навес\E33149364_3_20251225T151934Z.jpg</v>
      </c>
    </row>
    <row r="452" spans="1:13" x14ac:dyDescent="0.25">
      <c r="A452" s="2" t="s">
        <v>16</v>
      </c>
      <c r="B452" s="4">
        <v>46016</v>
      </c>
      <c r="C452" s="5">
        <v>0.70717592592592593</v>
      </c>
      <c r="D452" s="9" t="s">
        <v>1967</v>
      </c>
      <c r="E452" s="9" t="s">
        <v>8</v>
      </c>
      <c r="F452" s="9"/>
      <c r="H452" s="9"/>
      <c r="I452" s="9" t="s">
        <v>7441</v>
      </c>
      <c r="J452" s="9" t="s">
        <v>2940</v>
      </c>
      <c r="K452" t="s">
        <v>7442</v>
      </c>
      <c r="L452" t="s">
        <v>7443</v>
      </c>
      <c r="M452" s="3" t="str">
        <f>HYPERLINK(склад2въезд131920212223[[#This Row],[RelativePath]])</f>
        <v>10 Сушилка навес\E33149364_3_20251225T165820Z.jpg</v>
      </c>
    </row>
    <row r="453" spans="1:13" x14ac:dyDescent="0.25">
      <c r="A453" s="2" t="s">
        <v>17</v>
      </c>
      <c r="B453" s="4">
        <v>46017</v>
      </c>
      <c r="C453" s="5">
        <v>0.67009259259259257</v>
      </c>
      <c r="D453" s="9" t="s">
        <v>1967</v>
      </c>
      <c r="E453" s="9" t="s">
        <v>8</v>
      </c>
      <c r="F453" s="9"/>
      <c r="H453" s="9"/>
      <c r="I453" s="9" t="s">
        <v>7650</v>
      </c>
      <c r="J453" s="9" t="s">
        <v>2940</v>
      </c>
      <c r="K453" t="s">
        <v>7651</v>
      </c>
      <c r="L453" t="s">
        <v>7652</v>
      </c>
      <c r="M453" s="3" t="str">
        <f>HYPERLINK(склад2въезд131920212223[[#This Row],[RelativePath]])</f>
        <v>10 Сушилка навес\E33149364_3_20251226T160456Z.jpg</v>
      </c>
    </row>
    <row r="454" spans="1:13" x14ac:dyDescent="0.25">
      <c r="A454" s="2" t="s">
        <v>18</v>
      </c>
      <c r="B454" s="4">
        <v>46018</v>
      </c>
      <c r="C454" s="5">
        <v>0.59619212962962964</v>
      </c>
      <c r="D454" s="9" t="s">
        <v>1569</v>
      </c>
      <c r="E454" s="9" t="s">
        <v>6574</v>
      </c>
      <c r="F454" s="9" t="s">
        <v>5010</v>
      </c>
      <c r="H454" s="9"/>
      <c r="I454" s="9" t="s">
        <v>7930</v>
      </c>
      <c r="J454" s="9" t="s">
        <v>2940</v>
      </c>
      <c r="K454" t="s">
        <v>7931</v>
      </c>
      <c r="L454" t="s">
        <v>7932</v>
      </c>
      <c r="M454" s="3" t="str">
        <f>HYPERLINK(склад2въезд131920212223[[#This Row],[RelativePath]])</f>
        <v>10 Сушилка навес\E33149364_3_20251227T141831Z.jpg</v>
      </c>
    </row>
    <row r="455" spans="1:13" x14ac:dyDescent="0.25">
      <c r="A455" s="2" t="s">
        <v>18</v>
      </c>
      <c r="B455" s="4">
        <v>46018</v>
      </c>
      <c r="C455" s="5">
        <v>0.59634259259259259</v>
      </c>
      <c r="D455" s="9" t="s">
        <v>7944</v>
      </c>
      <c r="E455" s="9" t="s">
        <v>6574</v>
      </c>
      <c r="F455" s="9" t="s">
        <v>5010</v>
      </c>
      <c r="H455" s="9" t="s">
        <v>7954</v>
      </c>
      <c r="I455" s="9" t="s">
        <v>7933</v>
      </c>
      <c r="J455" s="9" t="s">
        <v>2940</v>
      </c>
      <c r="K455" t="s">
        <v>7934</v>
      </c>
      <c r="L455" t="s">
        <v>7935</v>
      </c>
      <c r="M455" s="3" t="str">
        <f>HYPERLINK(склад2въезд131920212223[[#This Row],[RelativePath]])</f>
        <v>10 Сушилка навес\E33149364_3_20251227T141844Z.jpg</v>
      </c>
    </row>
    <row r="456" spans="1:13" x14ac:dyDescent="0.25">
      <c r="A456" s="2" t="s">
        <v>18</v>
      </c>
      <c r="B456" s="4">
        <v>46018</v>
      </c>
      <c r="C456" s="5">
        <v>0.60803240740740738</v>
      </c>
      <c r="D456" s="9" t="s">
        <v>622</v>
      </c>
      <c r="E456" s="9" t="s">
        <v>6574</v>
      </c>
      <c r="F456" s="9" t="s">
        <v>5010</v>
      </c>
      <c r="H456" s="9"/>
      <c r="I456" s="9" t="s">
        <v>7936</v>
      </c>
      <c r="J456" s="9" t="s">
        <v>2940</v>
      </c>
      <c r="K456" t="s">
        <v>7937</v>
      </c>
      <c r="L456" t="s">
        <v>7938</v>
      </c>
      <c r="M456" s="3" t="str">
        <f>HYPERLINK(склад2въезд131920212223[[#This Row],[RelativePath]])</f>
        <v>10 Сушилка навес\E33149364_3_20251227T143534Z.jpg</v>
      </c>
    </row>
    <row r="457" spans="1:13" x14ac:dyDescent="0.25">
      <c r="A457" s="2" t="s">
        <v>22</v>
      </c>
      <c r="B457" s="4">
        <v>46019</v>
      </c>
      <c r="C457" s="5">
        <v>0.6990277777777778</v>
      </c>
      <c r="D457" s="9" t="s">
        <v>4</v>
      </c>
      <c r="E457" s="9" t="s">
        <v>1570</v>
      </c>
      <c r="F457" s="9" t="s">
        <v>7955</v>
      </c>
      <c r="H457" s="9"/>
      <c r="I457" s="9" t="s">
        <v>7939</v>
      </c>
      <c r="J457" s="9" t="s">
        <v>2940</v>
      </c>
      <c r="K457" t="s">
        <v>7940</v>
      </c>
      <c r="L457" t="s">
        <v>7941</v>
      </c>
      <c r="M457" s="3" t="str">
        <f>HYPERLINK(склад2въезд131920212223[[#This Row],[RelativePath]])</f>
        <v>10 Сушилка навес\E33149364_3_20251228T164636Z.jpg</v>
      </c>
    </row>
    <row r="458" spans="1:13" x14ac:dyDescent="0.25">
      <c r="A458" s="2" t="s">
        <v>13</v>
      </c>
      <c r="B458" s="4">
        <v>46020</v>
      </c>
      <c r="C458" s="5">
        <v>0.50363425925925931</v>
      </c>
      <c r="D458" s="9" t="s">
        <v>1569</v>
      </c>
      <c r="E458" s="9" t="s">
        <v>70</v>
      </c>
      <c r="F458" s="9"/>
      <c r="H458" s="9"/>
      <c r="I458" s="9" t="s">
        <v>8096</v>
      </c>
      <c r="J458" s="9" t="s">
        <v>2940</v>
      </c>
      <c r="K458" t="s">
        <v>8097</v>
      </c>
      <c r="L458" t="s">
        <v>8098</v>
      </c>
      <c r="M458" s="3" t="str">
        <f>HYPERLINK(склад2въезд131920212223[[#This Row],[RelativePath]])</f>
        <v>10 Сушилка навес\E33149364_3_20251229T120514Z.jpg</v>
      </c>
    </row>
    <row r="459" spans="1:13" x14ac:dyDescent="0.25">
      <c r="A459" s="2" t="s">
        <v>13</v>
      </c>
      <c r="B459" s="4">
        <v>46020</v>
      </c>
      <c r="C459" s="5">
        <v>0.51174768518518521</v>
      </c>
      <c r="D459" s="9" t="s">
        <v>262</v>
      </c>
      <c r="E459" s="9" t="s">
        <v>70</v>
      </c>
      <c r="F459" s="9" t="s">
        <v>5027</v>
      </c>
      <c r="H459" s="9" t="s">
        <v>2904</v>
      </c>
      <c r="I459" s="9" t="s">
        <v>8099</v>
      </c>
      <c r="J459" s="9" t="s">
        <v>2940</v>
      </c>
      <c r="K459" t="s">
        <v>8100</v>
      </c>
      <c r="L459" t="s">
        <v>8101</v>
      </c>
      <c r="M459" s="3" t="str">
        <f>HYPERLINK(склад2въезд131920212223[[#This Row],[RelativePath]])</f>
        <v>10 Сушилка навес\E33149364_3_20251229T121655Z.jpg</v>
      </c>
    </row>
    <row r="460" spans="1:13" x14ac:dyDescent="0.25">
      <c r="A460" s="2" t="s">
        <v>13</v>
      </c>
      <c r="B460" s="4">
        <v>46020</v>
      </c>
      <c r="C460" s="5">
        <v>0.51180555555555551</v>
      </c>
      <c r="D460" s="9" t="s">
        <v>262</v>
      </c>
      <c r="E460" s="9" t="s">
        <v>70</v>
      </c>
      <c r="F460" s="9" t="s">
        <v>5027</v>
      </c>
      <c r="H460" s="9" t="s">
        <v>2904</v>
      </c>
      <c r="I460" s="9" t="s">
        <v>8102</v>
      </c>
      <c r="J460" s="9" t="s">
        <v>2940</v>
      </c>
      <c r="K460" t="s">
        <v>8103</v>
      </c>
      <c r="L460" t="s">
        <v>8104</v>
      </c>
      <c r="M460" s="3" t="str">
        <f>HYPERLINK(склад2въезд131920212223[[#This Row],[RelativePath]])</f>
        <v>10 Сушилка навес\E33149364_3_20251229T121700Z.jpg</v>
      </c>
    </row>
    <row r="461" spans="1:13" x14ac:dyDescent="0.25">
      <c r="A461" s="2" t="s">
        <v>13</v>
      </c>
      <c r="B461" s="4">
        <v>46020</v>
      </c>
      <c r="C461" s="5">
        <v>0.5133564814814815</v>
      </c>
      <c r="D461" s="9" t="s">
        <v>262</v>
      </c>
      <c r="E461" s="9" t="s">
        <v>70</v>
      </c>
      <c r="F461" s="9" t="s">
        <v>5027</v>
      </c>
      <c r="H461" s="9" t="s">
        <v>2904</v>
      </c>
      <c r="I461" s="9" t="s">
        <v>8105</v>
      </c>
      <c r="J461" s="9" t="s">
        <v>2940</v>
      </c>
      <c r="K461" t="s">
        <v>8106</v>
      </c>
      <c r="L461" t="s">
        <v>8107</v>
      </c>
      <c r="M461" s="3" t="str">
        <f>HYPERLINK(склад2въезд131920212223[[#This Row],[RelativePath]])</f>
        <v>10 Сушилка навес\E33149364_3_20251229T121914Z.jpg</v>
      </c>
    </row>
    <row r="462" spans="1:13" x14ac:dyDescent="0.25">
      <c r="A462" s="2" t="s">
        <v>13</v>
      </c>
      <c r="B462" s="4">
        <v>46020</v>
      </c>
      <c r="C462" s="5">
        <v>0.51724537037037033</v>
      </c>
      <c r="D462" s="9" t="s">
        <v>622</v>
      </c>
      <c r="E462" s="9" t="s">
        <v>70</v>
      </c>
      <c r="F462" s="9"/>
      <c r="H462" s="9"/>
      <c r="I462" s="9" t="s">
        <v>8108</v>
      </c>
      <c r="J462" s="9" t="s">
        <v>2940</v>
      </c>
      <c r="K462" t="s">
        <v>8109</v>
      </c>
      <c r="L462" t="s">
        <v>8110</v>
      </c>
      <c r="M462" s="3" t="str">
        <f>HYPERLINK(склад2въезд131920212223[[#This Row],[RelativePath]])</f>
        <v>10 Сушилка навес\E33149364_3_20251229T122450Z.jpg</v>
      </c>
    </row>
    <row r="463" spans="1:13" x14ac:dyDescent="0.25">
      <c r="A463" s="2" t="s">
        <v>13</v>
      </c>
      <c r="B463" s="4">
        <v>46020</v>
      </c>
      <c r="C463" s="5">
        <v>0.55249999999999999</v>
      </c>
      <c r="D463" s="9" t="s">
        <v>505</v>
      </c>
      <c r="E463" s="9" t="s">
        <v>503</v>
      </c>
      <c r="F463" s="9" t="s">
        <v>8248</v>
      </c>
      <c r="H463" s="9"/>
      <c r="I463" s="9" t="s">
        <v>8111</v>
      </c>
      <c r="J463" s="9" t="s">
        <v>2940</v>
      </c>
      <c r="K463" t="s">
        <v>8112</v>
      </c>
      <c r="L463" t="s">
        <v>8113</v>
      </c>
      <c r="M463" s="3" t="str">
        <f>HYPERLINK(склад2въезд131920212223[[#This Row],[RelativePath]])</f>
        <v>10 Сушилка навес\E33149364_3_20251229T131536Z.jpg</v>
      </c>
    </row>
    <row r="464" spans="1:13" x14ac:dyDescent="0.25">
      <c r="A464" s="2" t="s">
        <v>13</v>
      </c>
      <c r="B464" s="4">
        <v>46020</v>
      </c>
      <c r="C464" s="5">
        <v>0.58472222222222225</v>
      </c>
      <c r="D464" s="9" t="s">
        <v>4</v>
      </c>
      <c r="E464" s="9" t="s">
        <v>503</v>
      </c>
      <c r="F464" s="9"/>
      <c r="H464" s="9"/>
      <c r="I464" s="9" t="s">
        <v>8114</v>
      </c>
      <c r="J464" s="9" t="s">
        <v>2940</v>
      </c>
      <c r="K464" t="s">
        <v>8115</v>
      </c>
      <c r="L464" t="s">
        <v>8116</v>
      </c>
      <c r="M464" s="3" t="str">
        <f>HYPERLINK(склад2въезд131920212223[[#This Row],[RelativePath]])</f>
        <v>10 Сушилка навес\E33149364_3_20251229T140200Z.jpg</v>
      </c>
    </row>
    <row r="465" spans="1:13" x14ac:dyDescent="0.25">
      <c r="A465" s="2" t="s">
        <v>13</v>
      </c>
      <c r="B465" s="4">
        <v>46020</v>
      </c>
      <c r="C465" s="5">
        <v>0.5873032407407407</v>
      </c>
      <c r="D465" s="9" t="s">
        <v>4</v>
      </c>
      <c r="E465" s="9" t="s">
        <v>8249</v>
      </c>
      <c r="F465" s="9"/>
      <c r="H465" s="9"/>
      <c r="I465" s="9" t="s">
        <v>8117</v>
      </c>
      <c r="J465" s="9" t="s">
        <v>2940</v>
      </c>
      <c r="K465" t="s">
        <v>8118</v>
      </c>
      <c r="L465" t="s">
        <v>8119</v>
      </c>
      <c r="M465" s="3" t="str">
        <f>HYPERLINK(склад2въезд131920212223[[#This Row],[RelativePath]])</f>
        <v>10 Сушилка навес\E33149364_3_20251229T140543Z.jpg</v>
      </c>
    </row>
    <row r="466" spans="1:13" x14ac:dyDescent="0.25">
      <c r="A466" s="2" t="s">
        <v>13</v>
      </c>
      <c r="B466" s="4">
        <v>46020</v>
      </c>
      <c r="C466" s="5">
        <v>0.59174768518518517</v>
      </c>
      <c r="D466" s="9" t="s">
        <v>4</v>
      </c>
      <c r="E466" s="9" t="s">
        <v>8249</v>
      </c>
      <c r="F466" s="9"/>
      <c r="H466" s="9"/>
      <c r="I466" s="9" t="s">
        <v>8120</v>
      </c>
      <c r="J466" s="9" t="s">
        <v>2940</v>
      </c>
      <c r="K466" t="s">
        <v>8121</v>
      </c>
      <c r="L466" t="s">
        <v>8122</v>
      </c>
      <c r="M466" s="3" t="str">
        <f>HYPERLINK(склад2въезд131920212223[[#This Row],[RelativePath]])</f>
        <v>10 Сушилка навес\E33149364_3_20251229T141207Z.jpg</v>
      </c>
    </row>
    <row r="467" spans="1:13" x14ac:dyDescent="0.25">
      <c r="A467" s="2" t="s">
        <v>13</v>
      </c>
      <c r="B467" s="4">
        <v>46020</v>
      </c>
      <c r="C467" s="5">
        <v>0.64571759259259254</v>
      </c>
      <c r="D467" s="9" t="s">
        <v>4</v>
      </c>
      <c r="E467" s="9" t="s">
        <v>8251</v>
      </c>
      <c r="F467" s="9"/>
      <c r="H467" s="9"/>
      <c r="I467" s="9" t="s">
        <v>8123</v>
      </c>
      <c r="J467" s="9" t="s">
        <v>2940</v>
      </c>
      <c r="K467" t="s">
        <v>8124</v>
      </c>
      <c r="L467" t="s">
        <v>8125</v>
      </c>
      <c r="M467" s="3" t="str">
        <f>HYPERLINK(склад2въезд131920212223[[#This Row],[RelativePath]])</f>
        <v>10 Сушилка навес\E33149364_3_20251229T152950Z.jpg</v>
      </c>
    </row>
    <row r="468" spans="1:13" x14ac:dyDescent="0.25">
      <c r="A468" s="2" t="s">
        <v>13</v>
      </c>
      <c r="B468" s="4">
        <v>46020</v>
      </c>
      <c r="C468" s="5">
        <v>0.64688657407407413</v>
      </c>
      <c r="D468" s="9" t="s">
        <v>261</v>
      </c>
      <c r="E468" s="9" t="s">
        <v>8250</v>
      </c>
      <c r="F468" s="9" t="s">
        <v>1584</v>
      </c>
      <c r="H468" s="9"/>
      <c r="I468" s="9" t="s">
        <v>8126</v>
      </c>
      <c r="J468" s="9" t="s">
        <v>2940</v>
      </c>
      <c r="K468" t="s">
        <v>8127</v>
      </c>
      <c r="L468" t="s">
        <v>8128</v>
      </c>
      <c r="M468" s="3" t="str">
        <f>HYPERLINK(склад2въезд131920212223[[#This Row],[RelativePath]])</f>
        <v>10 Сушилка навес\E33149364_3_20251229T153131Z.jpg</v>
      </c>
    </row>
    <row r="469" spans="1:13" x14ac:dyDescent="0.25">
      <c r="A469" s="2" t="s">
        <v>13</v>
      </c>
      <c r="B469" s="4">
        <v>46020</v>
      </c>
      <c r="C469" s="5">
        <v>0.66874999999999996</v>
      </c>
      <c r="D469" s="9" t="s">
        <v>4</v>
      </c>
      <c r="E469" s="9" t="s">
        <v>8</v>
      </c>
      <c r="F469" s="9"/>
      <c r="H469" s="9"/>
      <c r="I469" s="9" t="s">
        <v>8129</v>
      </c>
      <c r="J469" s="9" t="s">
        <v>2940</v>
      </c>
      <c r="K469" t="s">
        <v>8130</v>
      </c>
      <c r="L469" t="s">
        <v>8131</v>
      </c>
      <c r="M469" s="3" t="str">
        <f>HYPERLINK(склад2въезд131920212223[[#This Row],[RelativePath]])</f>
        <v>10 Сушилка навес\E33149364_3_20251229T160300Z.jpg</v>
      </c>
    </row>
    <row r="470" spans="1:13" x14ac:dyDescent="0.25">
      <c r="A470" s="2" t="s">
        <v>13</v>
      </c>
      <c r="B470" s="4">
        <v>46020</v>
      </c>
      <c r="C470" s="5">
        <v>0.70465277777777779</v>
      </c>
      <c r="D470" s="9" t="s">
        <v>4</v>
      </c>
      <c r="E470" s="9" t="s">
        <v>8</v>
      </c>
      <c r="F470" s="9"/>
      <c r="H470" s="9"/>
      <c r="I470" s="9" t="s">
        <v>8132</v>
      </c>
      <c r="J470" s="9" t="s">
        <v>2940</v>
      </c>
      <c r="K470" t="s">
        <v>8133</v>
      </c>
      <c r="L470" t="s">
        <v>8134</v>
      </c>
      <c r="M470" s="3" t="str">
        <f>HYPERLINK(склад2въезд131920212223[[#This Row],[RelativePath]])</f>
        <v>10 Сушилка навес\E33149364_3_20251229T165442Z.jpg</v>
      </c>
    </row>
    <row r="471" spans="1:13" x14ac:dyDescent="0.25">
      <c r="A471" s="2" t="s">
        <v>13</v>
      </c>
      <c r="B471" s="4">
        <v>46020</v>
      </c>
      <c r="C471" s="5">
        <v>0.72060185185185188</v>
      </c>
      <c r="D471" s="9" t="s">
        <v>4</v>
      </c>
      <c r="E471" s="9" t="s">
        <v>8</v>
      </c>
      <c r="F471" s="9"/>
      <c r="H471" s="9"/>
      <c r="I471" s="9" t="s">
        <v>8135</v>
      </c>
      <c r="J471" s="9" t="s">
        <v>2940</v>
      </c>
      <c r="K471" t="s">
        <v>8136</v>
      </c>
      <c r="L471" t="s">
        <v>8137</v>
      </c>
      <c r="M471" s="3" t="str">
        <f>HYPERLINK(склад2въезд131920212223[[#This Row],[RelativePath]])</f>
        <v>10 Сушилка навес\E33149364_3_20251229T171740Z.jpg</v>
      </c>
    </row>
    <row r="472" spans="1:13" x14ac:dyDescent="0.25">
      <c r="A472" s="2" t="s">
        <v>14</v>
      </c>
      <c r="B472" s="4">
        <v>46021</v>
      </c>
      <c r="C472" s="5">
        <v>0.58172453703703708</v>
      </c>
      <c r="D472" s="9" t="s">
        <v>1569</v>
      </c>
      <c r="E472" s="9" t="s">
        <v>70</v>
      </c>
      <c r="F472" s="9"/>
      <c r="H472" s="9"/>
      <c r="I472" s="9" t="s">
        <v>8138</v>
      </c>
      <c r="J472" s="9" t="s">
        <v>2940</v>
      </c>
      <c r="K472" t="s">
        <v>8139</v>
      </c>
      <c r="L472" t="s">
        <v>8140</v>
      </c>
      <c r="M472" s="3" t="str">
        <f>HYPERLINK(склад2въезд131920212223[[#This Row],[RelativePath]])</f>
        <v>10 Сушилка навес\E33149364_3_20251230T135741Z.jpg</v>
      </c>
    </row>
    <row r="473" spans="1:13" x14ac:dyDescent="0.25">
      <c r="A473" s="2" t="s">
        <v>14</v>
      </c>
      <c r="B473" s="4">
        <v>46021</v>
      </c>
      <c r="C473" s="5">
        <v>0.58225694444444442</v>
      </c>
      <c r="D473" s="9" t="s">
        <v>262</v>
      </c>
      <c r="E473" s="9" t="s">
        <v>70</v>
      </c>
      <c r="F473" s="9" t="s">
        <v>5027</v>
      </c>
      <c r="H473" s="9"/>
      <c r="I473" s="9" t="s">
        <v>8141</v>
      </c>
      <c r="J473" s="9" t="s">
        <v>2940</v>
      </c>
      <c r="K473" t="s">
        <v>8142</v>
      </c>
      <c r="L473" t="s">
        <v>8143</v>
      </c>
      <c r="M473" s="3" t="str">
        <f>HYPERLINK(склад2въезд131920212223[[#This Row],[RelativePath]])</f>
        <v>10 Сушилка навес\E33149364_3_20251230T135827Z.jpg</v>
      </c>
    </row>
    <row r="474" spans="1:13" x14ac:dyDescent="0.25">
      <c r="A474" s="2" t="s">
        <v>14</v>
      </c>
      <c r="B474" s="4">
        <v>46021</v>
      </c>
      <c r="C474" s="5">
        <v>0.58259259259259255</v>
      </c>
      <c r="D474" s="9" t="s">
        <v>262</v>
      </c>
      <c r="E474" s="9" t="s">
        <v>70</v>
      </c>
      <c r="F474" s="9" t="s">
        <v>5027</v>
      </c>
      <c r="H474" s="9"/>
      <c r="I474" s="9" t="s">
        <v>8144</v>
      </c>
      <c r="J474" s="9" t="s">
        <v>2940</v>
      </c>
      <c r="K474" t="s">
        <v>8145</v>
      </c>
      <c r="L474" t="s">
        <v>8146</v>
      </c>
      <c r="M474" s="3" t="str">
        <f>HYPERLINK(склад2въезд131920212223[[#This Row],[RelativePath]])</f>
        <v>10 Сушилка навес\E33149364_3_20251230T135856Z.jpg</v>
      </c>
    </row>
    <row r="475" spans="1:13" x14ac:dyDescent="0.25">
      <c r="A475" s="2" t="s">
        <v>14</v>
      </c>
      <c r="B475" s="4">
        <v>46021</v>
      </c>
      <c r="C475" s="5">
        <v>0.58275462962962965</v>
      </c>
      <c r="D475" s="9" t="s">
        <v>262</v>
      </c>
      <c r="E475" s="9" t="s">
        <v>70</v>
      </c>
      <c r="F475" s="9" t="s">
        <v>5027</v>
      </c>
      <c r="H475" s="9"/>
      <c r="I475" s="9" t="s">
        <v>8147</v>
      </c>
      <c r="J475" s="9" t="s">
        <v>2940</v>
      </c>
      <c r="K475" t="s">
        <v>8148</v>
      </c>
      <c r="L475" t="s">
        <v>8149</v>
      </c>
      <c r="M475" s="3" t="str">
        <f>HYPERLINK(склад2въезд131920212223[[#This Row],[RelativePath]])</f>
        <v>10 Сушилка навес\E33149364_3_20251230T135910Z.jpg</v>
      </c>
    </row>
    <row r="476" spans="1:13" x14ac:dyDescent="0.25">
      <c r="A476" s="2" t="s">
        <v>14</v>
      </c>
      <c r="B476" s="4">
        <v>46021</v>
      </c>
      <c r="C476" s="5">
        <v>0.58341435185185186</v>
      </c>
      <c r="D476" s="9" t="s">
        <v>622</v>
      </c>
      <c r="E476" s="9" t="s">
        <v>70</v>
      </c>
      <c r="F476" s="9"/>
      <c r="H476" s="9"/>
      <c r="I476" s="9" t="s">
        <v>8150</v>
      </c>
      <c r="J476" s="9" t="s">
        <v>2940</v>
      </c>
      <c r="K476" t="s">
        <v>8151</v>
      </c>
      <c r="L476" t="s">
        <v>8152</v>
      </c>
      <c r="M476" s="3" t="str">
        <f>HYPERLINK(склад2въезд131920212223[[#This Row],[RelativePath]])</f>
        <v>10 Сушилка навес\E33149364_3_20251230T140007Z.jpg</v>
      </c>
    </row>
    <row r="477" spans="1:13" x14ac:dyDescent="0.25">
      <c r="A477" s="2" t="s">
        <v>14</v>
      </c>
      <c r="B477" s="4">
        <v>46021</v>
      </c>
      <c r="C477" s="5">
        <v>0.64958333333333329</v>
      </c>
      <c r="D477" s="9" t="s">
        <v>1569</v>
      </c>
      <c r="E477" s="9" t="s">
        <v>8252</v>
      </c>
      <c r="F477" s="9"/>
      <c r="H477" s="9" t="s">
        <v>8253</v>
      </c>
      <c r="I477" s="9" t="s">
        <v>8153</v>
      </c>
      <c r="J477" s="9" t="s">
        <v>2940</v>
      </c>
      <c r="K477" t="s">
        <v>8154</v>
      </c>
      <c r="L477" t="s">
        <v>8155</v>
      </c>
      <c r="M477" s="3" t="str">
        <f>HYPERLINK(склад2въезд131920212223[[#This Row],[RelativePath]])</f>
        <v>10 Сушилка навес\E33149364_3_20251230T153524Z.jpg</v>
      </c>
    </row>
    <row r="478" spans="1:13" x14ac:dyDescent="0.25">
      <c r="A478" s="2" t="s">
        <v>14</v>
      </c>
      <c r="B478" s="4">
        <v>46021</v>
      </c>
      <c r="C478" s="5">
        <v>0.65531249999999996</v>
      </c>
      <c r="D478" s="9" t="s">
        <v>6092</v>
      </c>
      <c r="E478" s="9" t="s">
        <v>8252</v>
      </c>
      <c r="F478" s="9"/>
      <c r="H478" s="9" t="s">
        <v>8254</v>
      </c>
      <c r="I478" s="9" t="s">
        <v>8156</v>
      </c>
      <c r="J478" s="9" t="s">
        <v>2940</v>
      </c>
      <c r="K478" t="s">
        <v>8157</v>
      </c>
      <c r="L478" t="s">
        <v>8158</v>
      </c>
      <c r="M478" s="3" t="str">
        <f>HYPERLINK(склад2въезд131920212223[[#This Row],[RelativePath]])</f>
        <v>10 Сушилка навес\E33149364_3_20251230T154339Z.jpg</v>
      </c>
    </row>
    <row r="479" spans="1:13" x14ac:dyDescent="0.25">
      <c r="A479" s="2" t="s">
        <v>14</v>
      </c>
      <c r="B479" s="4">
        <v>46021</v>
      </c>
      <c r="C479" s="5">
        <v>0.67981481481481476</v>
      </c>
      <c r="D479" s="9" t="s">
        <v>622</v>
      </c>
      <c r="E479" s="9" t="s">
        <v>8252</v>
      </c>
      <c r="F479" s="9"/>
      <c r="H479" s="9"/>
      <c r="I479" s="9" t="s">
        <v>8159</v>
      </c>
      <c r="J479" s="9" t="s">
        <v>2940</v>
      </c>
      <c r="K479" t="s">
        <v>8160</v>
      </c>
      <c r="L479" t="s">
        <v>8161</v>
      </c>
      <c r="M479" s="3" t="str">
        <f>HYPERLINK(склад2въезд131920212223[[#This Row],[RelativePath]])</f>
        <v>10 Сушилка навес\E33149364_3_20251230T161856Z.jpg</v>
      </c>
    </row>
    <row r="480" spans="1:13" x14ac:dyDescent="0.25">
      <c r="A480" s="2" t="s">
        <v>14</v>
      </c>
      <c r="B480" s="4">
        <v>46021</v>
      </c>
      <c r="C480" s="5">
        <v>0.69195601851851851</v>
      </c>
      <c r="D480" s="9" t="s">
        <v>8255</v>
      </c>
      <c r="E480" s="9" t="s">
        <v>5027</v>
      </c>
      <c r="F480" s="9"/>
      <c r="H480" s="9" t="s">
        <v>8256</v>
      </c>
      <c r="I480" s="9" t="s">
        <v>8162</v>
      </c>
      <c r="J480" s="9" t="s">
        <v>2940</v>
      </c>
      <c r="K480" t="s">
        <v>8163</v>
      </c>
      <c r="L480" t="s">
        <v>8164</v>
      </c>
      <c r="M480" s="3" t="str">
        <f>HYPERLINK(склад2въезд131920212223[[#This Row],[RelativePath]])</f>
        <v>10 Сушилка навес\E33149364_3_20251230T163625Z.jpg</v>
      </c>
    </row>
    <row r="481" spans="1:13" x14ac:dyDescent="0.25">
      <c r="A481" s="2" t="s">
        <v>15</v>
      </c>
      <c r="B481" s="4">
        <v>46022</v>
      </c>
      <c r="C481" s="5">
        <v>0.58023148148148151</v>
      </c>
      <c r="D481" s="9" t="s">
        <v>1967</v>
      </c>
      <c r="E481" s="9" t="s">
        <v>8</v>
      </c>
      <c r="F481" s="9"/>
      <c r="H481" s="9"/>
      <c r="I481" s="9" t="s">
        <v>8165</v>
      </c>
      <c r="J481" s="9" t="s">
        <v>2940</v>
      </c>
      <c r="K481" t="s">
        <v>8166</v>
      </c>
      <c r="L481" t="s">
        <v>8167</v>
      </c>
      <c r="M481" s="3" t="str">
        <f>HYPERLINK(склад2въезд131920212223[[#This Row],[RelativePath]])</f>
        <v>10 Сушилка навес\E33149364_3_20251231T135532Z.jpg</v>
      </c>
    </row>
    <row r="482" spans="1:13" x14ac:dyDescent="0.25">
      <c r="A482" s="2" t="s">
        <v>16</v>
      </c>
      <c r="B482" s="4">
        <v>46023</v>
      </c>
      <c r="C482" s="5">
        <v>0.66334490740740737</v>
      </c>
      <c r="D482" s="9" t="s">
        <v>1967</v>
      </c>
      <c r="E482" s="9" t="s">
        <v>8</v>
      </c>
      <c r="F482" s="9"/>
      <c r="H482" s="9"/>
      <c r="I482" s="9" t="s">
        <v>8168</v>
      </c>
      <c r="J482" s="9" t="s">
        <v>2940</v>
      </c>
      <c r="K482" t="s">
        <v>8169</v>
      </c>
      <c r="L482" t="s">
        <v>8170</v>
      </c>
      <c r="M482" s="3" t="str">
        <f>HYPERLINK(склад2въезд131920212223[[#This Row],[RelativePath]])</f>
        <v>10 Сушилка навес\E33149364_3_20260101T155513Z.jpg</v>
      </c>
    </row>
    <row r="483" spans="1:13" x14ac:dyDescent="0.25">
      <c r="A483" s="2" t="s">
        <v>17</v>
      </c>
      <c r="B483" s="4">
        <v>46024</v>
      </c>
      <c r="C483" s="5">
        <v>0.54982638888888891</v>
      </c>
      <c r="D483" s="9" t="s">
        <v>1967</v>
      </c>
      <c r="E483" s="9" t="s">
        <v>8</v>
      </c>
      <c r="F483" s="9"/>
      <c r="H483" s="9"/>
      <c r="I483" s="9" t="s">
        <v>8333</v>
      </c>
      <c r="J483" s="9" t="s">
        <v>2940</v>
      </c>
      <c r="K483" t="s">
        <v>8334</v>
      </c>
      <c r="L483" t="s">
        <v>8335</v>
      </c>
      <c r="M483" s="3" t="str">
        <f>HYPERLINK(склад2въезд131920212223[[#This Row],[RelativePath]])</f>
        <v>10 Сушилка навес\E33149364_3_20260102T131145Z.jpg</v>
      </c>
    </row>
    <row r="484" spans="1:13" x14ac:dyDescent="0.25">
      <c r="A484" s="2" t="s">
        <v>18</v>
      </c>
      <c r="B484" s="4">
        <v>46025</v>
      </c>
      <c r="C484" s="5">
        <v>0.67645833333333338</v>
      </c>
      <c r="D484" s="9" t="s">
        <v>1967</v>
      </c>
      <c r="E484" s="9" t="s">
        <v>8</v>
      </c>
      <c r="F484" s="9"/>
      <c r="H484" s="9"/>
      <c r="I484" s="9" t="s">
        <v>8336</v>
      </c>
      <c r="J484" s="9" t="s">
        <v>2940</v>
      </c>
      <c r="K484" t="s">
        <v>8337</v>
      </c>
      <c r="L484" t="s">
        <v>8338</v>
      </c>
      <c r="M484" s="3" t="str">
        <f>HYPERLINK(склад2въезд131920212223[[#This Row],[RelativePath]])</f>
        <v>10 Сушилка навес\E33149364_3_20260103T161406Z.jpg</v>
      </c>
    </row>
    <row r="485" spans="1:13" x14ac:dyDescent="0.25">
      <c r="A485" s="2" t="s">
        <v>22</v>
      </c>
      <c r="B485" s="4">
        <v>46026</v>
      </c>
      <c r="C485" s="5">
        <v>0.48237268518518517</v>
      </c>
      <c r="D485" s="9" t="s">
        <v>1967</v>
      </c>
      <c r="E485" s="9" t="s">
        <v>8</v>
      </c>
      <c r="F485" s="9"/>
      <c r="H485" s="9"/>
      <c r="I485" s="9" t="s">
        <v>8339</v>
      </c>
      <c r="J485" s="9" t="s">
        <v>2940</v>
      </c>
      <c r="K485" t="s">
        <v>8340</v>
      </c>
      <c r="L485" t="s">
        <v>8341</v>
      </c>
      <c r="M485" s="3" t="str">
        <f>HYPERLINK(склад2въезд131920212223[[#This Row],[RelativePath]])</f>
        <v>10 Сушилка навес\E33149364_3_20260104T113437Z.jpg</v>
      </c>
    </row>
    <row r="486" spans="1:13" x14ac:dyDescent="0.25">
      <c r="A486" s="2" t="s">
        <v>13</v>
      </c>
      <c r="B486" s="4">
        <v>46027</v>
      </c>
      <c r="C486" s="5">
        <v>0.6650462962962963</v>
      </c>
      <c r="D486" s="9" t="s">
        <v>1967</v>
      </c>
      <c r="E486" s="9" t="s">
        <v>8</v>
      </c>
      <c r="F486" s="9"/>
      <c r="H486" s="9"/>
      <c r="I486" s="9" t="s">
        <v>8591</v>
      </c>
      <c r="J486" s="9" t="s">
        <v>2940</v>
      </c>
      <c r="K486" t="s">
        <v>8592</v>
      </c>
      <c r="L486" t="s">
        <v>8593</v>
      </c>
      <c r="M486" s="3" t="str">
        <f>HYPERLINK(склад2въезд131920212223[[#This Row],[RelativePath]])</f>
        <v>10 Сушилка навес\E33149364_3_20260105T155740Z.jpg</v>
      </c>
    </row>
    <row r="487" spans="1:13" x14ac:dyDescent="0.25">
      <c r="A487" s="2" t="s">
        <v>14</v>
      </c>
      <c r="B487" s="4">
        <v>46028</v>
      </c>
      <c r="C487" s="5">
        <v>0.43192129629629628</v>
      </c>
      <c r="D487" s="9" t="s">
        <v>1967</v>
      </c>
      <c r="E487" s="9" t="s">
        <v>8714</v>
      </c>
      <c r="F487" s="9"/>
      <c r="H487" s="9"/>
      <c r="I487" s="9" t="s">
        <v>8594</v>
      </c>
      <c r="J487" s="9" t="s">
        <v>2940</v>
      </c>
      <c r="K487" t="s">
        <v>8595</v>
      </c>
      <c r="L487" t="s">
        <v>8596</v>
      </c>
      <c r="M487" s="3" t="str">
        <f>HYPERLINK(склад2въезд131920212223[[#This Row],[RelativePath]])</f>
        <v>10 Сушилка навес\E33149364_3_20260106T102158Z.jpg</v>
      </c>
    </row>
    <row r="488" spans="1:13" x14ac:dyDescent="0.25">
      <c r="A488" s="2" t="s">
        <v>15</v>
      </c>
      <c r="B488" s="4">
        <v>46029</v>
      </c>
      <c r="C488" s="5">
        <v>0.50581018518518517</v>
      </c>
      <c r="D488" s="9" t="s">
        <v>1967</v>
      </c>
      <c r="E488" s="9" t="s">
        <v>8714</v>
      </c>
      <c r="F488" s="9"/>
      <c r="H488" s="9"/>
      <c r="I488" s="9" t="s">
        <v>8597</v>
      </c>
      <c r="J488" s="9" t="s">
        <v>2940</v>
      </c>
      <c r="K488" t="s">
        <v>8598</v>
      </c>
      <c r="L488" t="s">
        <v>8599</v>
      </c>
      <c r="M488" s="3" t="str">
        <f>HYPERLINK(склад2въезд131920212223[[#This Row],[RelativePath]])</f>
        <v>10 Сушилка навес\E33149364_3_20260107T120822Z.jpg</v>
      </c>
    </row>
    <row r="489" spans="1:13" x14ac:dyDescent="0.25">
      <c r="A489" s="2" t="s">
        <v>16</v>
      </c>
      <c r="B489" s="4">
        <v>46030</v>
      </c>
      <c r="C489" s="5">
        <v>0.75096064814814811</v>
      </c>
      <c r="D489" s="9" t="s">
        <v>1967</v>
      </c>
      <c r="E489" s="9" t="s">
        <v>8</v>
      </c>
      <c r="F489" s="9"/>
      <c r="H489" s="9"/>
      <c r="I489" s="9" t="s">
        <v>8600</v>
      </c>
      <c r="J489" s="9" t="s">
        <v>2940</v>
      </c>
      <c r="K489" t="s">
        <v>8601</v>
      </c>
      <c r="L489" t="s">
        <v>8602</v>
      </c>
      <c r="M489" s="3" t="str">
        <f>HYPERLINK(склад2въезд131920212223[[#This Row],[RelativePath]])</f>
        <v>10 Сушилка навес\E33149364_3_20260108T180123Z.jpg</v>
      </c>
    </row>
    <row r="490" spans="1:13" x14ac:dyDescent="0.25">
      <c r="A490" s="2" t="s">
        <v>17</v>
      </c>
      <c r="B490" s="4">
        <v>46031</v>
      </c>
      <c r="C490" s="5">
        <v>0.42194444444444446</v>
      </c>
      <c r="D490" s="9" t="s">
        <v>1967</v>
      </c>
      <c r="E490" s="9" t="s">
        <v>8714</v>
      </c>
      <c r="F490" s="9"/>
      <c r="H490" s="9"/>
      <c r="I490" s="9" t="s">
        <v>8603</v>
      </c>
      <c r="J490" s="9" t="s">
        <v>2940</v>
      </c>
      <c r="K490" t="s">
        <v>8604</v>
      </c>
      <c r="L490" t="s">
        <v>8605</v>
      </c>
      <c r="M490" s="3" t="str">
        <f>HYPERLINK(склад2въезд131920212223[[#This Row],[RelativePath]])</f>
        <v>10 Сушилка навес\E33149364_3_20260109T100736Z.jpg</v>
      </c>
    </row>
    <row r="491" spans="1:13" x14ac:dyDescent="0.25">
      <c r="A491" s="2" t="s">
        <v>18</v>
      </c>
      <c r="B491" s="4">
        <v>46032</v>
      </c>
      <c r="C491" s="5">
        <v>0.58620370370370367</v>
      </c>
      <c r="D491" s="9" t="s">
        <v>1967</v>
      </c>
      <c r="E491" s="9" t="s">
        <v>8714</v>
      </c>
      <c r="F491" s="9"/>
      <c r="H491" s="9"/>
      <c r="I491" s="9" t="s">
        <v>8606</v>
      </c>
      <c r="J491" s="9" t="s">
        <v>2940</v>
      </c>
      <c r="K491" t="s">
        <v>8607</v>
      </c>
      <c r="L491" t="s">
        <v>8608</v>
      </c>
      <c r="M491" s="3" t="str">
        <f>HYPERLINK(склад2въезд131920212223[[#This Row],[RelativePath]])</f>
        <v>10 Сушилка навес\E33149364_3_20260110T140408Z.jpg</v>
      </c>
    </row>
    <row r="492" spans="1:13" x14ac:dyDescent="0.25">
      <c r="A492" s="2" t="s">
        <v>22</v>
      </c>
      <c r="B492" s="4">
        <v>46033</v>
      </c>
      <c r="C492" s="5">
        <v>0.6337962962962963</v>
      </c>
      <c r="D492" s="9" t="s">
        <v>4</v>
      </c>
      <c r="E492" s="9" t="s">
        <v>8693</v>
      </c>
      <c r="F492" s="9"/>
      <c r="H492" s="9"/>
      <c r="I492" s="9" t="s">
        <v>8609</v>
      </c>
      <c r="J492" s="9" t="s">
        <v>2940</v>
      </c>
      <c r="K492" t="s">
        <v>8610</v>
      </c>
      <c r="L492" t="s">
        <v>8611</v>
      </c>
      <c r="M492" s="3" t="str">
        <f>HYPERLINK(склад2въезд131920212223[[#This Row],[RelativePath]])</f>
        <v>10 Сушилка навес\E33149364_3_20260111T151240Z.jpg</v>
      </c>
    </row>
    <row r="493" spans="1:13" x14ac:dyDescent="0.25">
      <c r="A493" s="2" t="s">
        <v>13</v>
      </c>
      <c r="B493" s="4">
        <v>46034</v>
      </c>
      <c r="C493" s="5">
        <v>0.44011574074074072</v>
      </c>
      <c r="D493" s="9" t="s">
        <v>4</v>
      </c>
      <c r="E493" s="9" t="s">
        <v>8</v>
      </c>
      <c r="F493" s="9"/>
      <c r="H493" s="9"/>
      <c r="I493" s="9" t="s">
        <v>8913</v>
      </c>
      <c r="J493" s="9" t="s">
        <v>2940</v>
      </c>
      <c r="K493" t="s">
        <v>8914</v>
      </c>
      <c r="L493" t="s">
        <v>8915</v>
      </c>
      <c r="M493" s="3" t="str">
        <f>HYPERLINK(склад2въезд131920212223[[#This Row],[RelativePath]])</f>
        <v>10 Сушилка навес\E33149364_3_20260112T103346Z.jpg</v>
      </c>
    </row>
    <row r="494" spans="1:13" x14ac:dyDescent="0.25">
      <c r="A494" s="2" t="s">
        <v>13</v>
      </c>
      <c r="B494" s="4">
        <v>46034</v>
      </c>
      <c r="C494" s="5">
        <v>0.44938657407407406</v>
      </c>
      <c r="D494" s="9" t="s">
        <v>261</v>
      </c>
      <c r="E494" s="9" t="s">
        <v>86</v>
      </c>
      <c r="F494" s="9" t="s">
        <v>9076</v>
      </c>
      <c r="H494" s="9"/>
      <c r="I494" s="9" t="s">
        <v>8916</v>
      </c>
      <c r="J494" s="9" t="s">
        <v>2940</v>
      </c>
      <c r="K494" t="s">
        <v>8917</v>
      </c>
      <c r="L494" t="s">
        <v>8918</v>
      </c>
      <c r="M494" s="3" t="str">
        <f>HYPERLINK(склад2въезд131920212223[[#This Row],[RelativePath]])</f>
        <v>10 Сушилка навес\E33149364_3_20260112T104707Z.jpg</v>
      </c>
    </row>
    <row r="495" spans="1:13" x14ac:dyDescent="0.25">
      <c r="A495" s="2" t="s">
        <v>13</v>
      </c>
      <c r="B495" s="4">
        <v>46034</v>
      </c>
      <c r="C495" s="5">
        <v>0.45026620370370368</v>
      </c>
      <c r="D495" s="9" t="s">
        <v>4162</v>
      </c>
      <c r="E495" s="9" t="s">
        <v>86</v>
      </c>
      <c r="F495" s="9" t="s">
        <v>9076</v>
      </c>
      <c r="H495" s="9"/>
      <c r="I495" s="9" t="s">
        <v>8919</v>
      </c>
      <c r="J495" s="9" t="s">
        <v>2940</v>
      </c>
      <c r="K495" t="s">
        <v>8920</v>
      </c>
      <c r="L495" t="s">
        <v>8921</v>
      </c>
      <c r="M495" s="3" t="str">
        <f>HYPERLINK(склад2въезд131920212223[[#This Row],[RelativePath]])</f>
        <v>10 Сушилка навес\E33149364_3_20260112T104823Z.jpg</v>
      </c>
    </row>
    <row r="496" spans="1:13" x14ac:dyDescent="0.25">
      <c r="A496" s="2" t="s">
        <v>13</v>
      </c>
      <c r="B496" s="4">
        <v>46034</v>
      </c>
      <c r="C496" s="5">
        <v>0.45119212962962962</v>
      </c>
      <c r="D496" s="9" t="s">
        <v>4162</v>
      </c>
      <c r="E496" s="9" t="s">
        <v>9093</v>
      </c>
      <c r="F496" s="9" t="s">
        <v>9076</v>
      </c>
      <c r="H496" s="9"/>
      <c r="I496" s="9" t="s">
        <v>8922</v>
      </c>
      <c r="J496" s="9" t="s">
        <v>2940</v>
      </c>
      <c r="K496" t="s">
        <v>8923</v>
      </c>
      <c r="L496" t="s">
        <v>8924</v>
      </c>
      <c r="M496" s="3" t="str">
        <f>HYPERLINK(склад2въезд131920212223[[#This Row],[RelativePath]])</f>
        <v>10 Сушилка навес\E33149364_3_20260112T104943Z.jpg</v>
      </c>
    </row>
    <row r="497" spans="1:13" x14ac:dyDescent="0.25">
      <c r="A497" s="2" t="s">
        <v>13</v>
      </c>
      <c r="B497" s="4">
        <v>46034</v>
      </c>
      <c r="C497" s="5">
        <v>0.47744212962962962</v>
      </c>
      <c r="D497" s="9" t="s">
        <v>4164</v>
      </c>
      <c r="E497" s="9" t="s">
        <v>86</v>
      </c>
      <c r="F497" s="9" t="s">
        <v>60</v>
      </c>
      <c r="H497" s="9" t="s">
        <v>1568</v>
      </c>
      <c r="I497" s="9" t="s">
        <v>8925</v>
      </c>
      <c r="J497" s="9" t="s">
        <v>2940</v>
      </c>
      <c r="K497" t="s">
        <v>8926</v>
      </c>
      <c r="L497" t="s">
        <v>8927</v>
      </c>
      <c r="M497" s="3" t="str">
        <f>HYPERLINK(склад2въезд131920212223[[#This Row],[RelativePath]])</f>
        <v>10 Сушилка навес\E33149364_3_20260112T112731Z.jpg</v>
      </c>
    </row>
    <row r="498" spans="1:13" x14ac:dyDescent="0.25">
      <c r="A498" s="2" t="s">
        <v>13</v>
      </c>
      <c r="B498" s="4">
        <v>46034</v>
      </c>
      <c r="C498" s="5">
        <v>0.48261574074074076</v>
      </c>
      <c r="D498" s="9" t="s">
        <v>4164</v>
      </c>
      <c r="E498" s="9" t="s">
        <v>86</v>
      </c>
      <c r="F498" s="9" t="s">
        <v>9088</v>
      </c>
      <c r="H498" s="9"/>
      <c r="I498" s="9" t="s">
        <v>8928</v>
      </c>
      <c r="J498" s="9" t="s">
        <v>2940</v>
      </c>
      <c r="K498" t="s">
        <v>8929</v>
      </c>
      <c r="L498" t="s">
        <v>8930</v>
      </c>
      <c r="M498" s="3" t="str">
        <f>HYPERLINK(склад2въезд131920212223[[#This Row],[RelativePath]])</f>
        <v>10 Сушилка навес\E33149364_3_20260112T113458Z.jpg</v>
      </c>
    </row>
    <row r="499" spans="1:13" x14ac:dyDescent="0.25">
      <c r="A499" s="2" t="s">
        <v>13</v>
      </c>
      <c r="B499" s="4">
        <v>46034</v>
      </c>
      <c r="C499" s="5">
        <v>0.48497685185185185</v>
      </c>
      <c r="D499" s="9" t="s">
        <v>4164</v>
      </c>
      <c r="E499" s="9" t="s">
        <v>86</v>
      </c>
      <c r="F499" s="9" t="s">
        <v>9088</v>
      </c>
      <c r="H499" s="9" t="s">
        <v>2891</v>
      </c>
      <c r="I499" s="9" t="s">
        <v>8931</v>
      </c>
      <c r="J499" s="9" t="s">
        <v>2940</v>
      </c>
      <c r="K499" t="s">
        <v>8932</v>
      </c>
      <c r="L499" t="s">
        <v>8933</v>
      </c>
      <c r="M499" s="3" t="str">
        <f>HYPERLINK(склад2въезд131920212223[[#This Row],[RelativePath]])</f>
        <v>10 Сушилка навес\E33149364_3_20260112T113822Z.jpg</v>
      </c>
    </row>
    <row r="500" spans="1:13" x14ac:dyDescent="0.25">
      <c r="A500" s="2" t="s">
        <v>13</v>
      </c>
      <c r="B500" s="4">
        <v>46034</v>
      </c>
      <c r="C500" s="5">
        <v>0.49864583333333334</v>
      </c>
      <c r="D500" s="9" t="s">
        <v>4164</v>
      </c>
      <c r="E500" s="9" t="s">
        <v>86</v>
      </c>
      <c r="F500" s="9" t="s">
        <v>9089</v>
      </c>
      <c r="H500" s="9"/>
      <c r="I500" s="9" t="s">
        <v>8934</v>
      </c>
      <c r="J500" s="9" t="s">
        <v>2940</v>
      </c>
      <c r="K500" t="s">
        <v>8935</v>
      </c>
      <c r="L500" t="s">
        <v>8936</v>
      </c>
      <c r="M500" s="3" t="str">
        <f>HYPERLINK(склад2въезд131920212223[[#This Row],[RelativePath]])</f>
        <v>10 Сушилка навес\E33149364_3_20260112T115803Z.jpg</v>
      </c>
    </row>
    <row r="501" spans="1:13" x14ac:dyDescent="0.25">
      <c r="A501" s="2" t="s">
        <v>13</v>
      </c>
      <c r="B501" s="4">
        <v>46034</v>
      </c>
      <c r="C501" s="5">
        <v>0.49890046296296298</v>
      </c>
      <c r="D501" s="9" t="s">
        <v>4164</v>
      </c>
      <c r="E501" s="9" t="s">
        <v>86</v>
      </c>
      <c r="F501" s="9" t="s">
        <v>9089</v>
      </c>
      <c r="H501" s="9"/>
      <c r="I501" s="9" t="s">
        <v>8937</v>
      </c>
      <c r="J501" s="9" t="s">
        <v>2940</v>
      </c>
      <c r="K501" t="s">
        <v>8938</v>
      </c>
      <c r="L501" t="s">
        <v>8939</v>
      </c>
      <c r="M501" s="3" t="str">
        <f>HYPERLINK(склад2въезд131920212223[[#This Row],[RelativePath]])</f>
        <v>10 Сушилка навес\E33149364_3_20260112T115825Z.jpg</v>
      </c>
    </row>
    <row r="502" spans="1:13" x14ac:dyDescent="0.25">
      <c r="A502" s="2" t="s">
        <v>13</v>
      </c>
      <c r="B502" s="4">
        <v>46034</v>
      </c>
      <c r="C502" s="5">
        <v>0.51219907407407406</v>
      </c>
      <c r="D502" s="9" t="s">
        <v>4164</v>
      </c>
      <c r="E502" s="9" t="s">
        <v>86</v>
      </c>
      <c r="F502" s="9" t="s">
        <v>9089</v>
      </c>
      <c r="H502" s="9"/>
      <c r="I502" s="9" t="s">
        <v>8940</v>
      </c>
      <c r="J502" s="9" t="s">
        <v>2940</v>
      </c>
      <c r="K502" t="s">
        <v>8941</v>
      </c>
      <c r="L502" t="s">
        <v>8942</v>
      </c>
      <c r="M502" s="3" t="str">
        <f>HYPERLINK(склад2въезд131920212223[[#This Row],[RelativePath]])</f>
        <v>10 Сушилка навес\E33149364_3_20260112T121734Z.jpg</v>
      </c>
    </row>
    <row r="503" spans="1:13" x14ac:dyDescent="0.25">
      <c r="A503" s="2" t="s">
        <v>13</v>
      </c>
      <c r="B503" s="4">
        <v>46034</v>
      </c>
      <c r="C503" s="5">
        <v>0.51225694444444447</v>
      </c>
      <c r="D503" s="9" t="s">
        <v>4164</v>
      </c>
      <c r="E503" s="9" t="s">
        <v>86</v>
      </c>
      <c r="F503" s="9" t="s">
        <v>9089</v>
      </c>
      <c r="H503" s="9"/>
      <c r="I503" s="9" t="s">
        <v>8943</v>
      </c>
      <c r="J503" s="9" t="s">
        <v>2940</v>
      </c>
      <c r="K503" t="s">
        <v>8944</v>
      </c>
      <c r="L503" t="s">
        <v>8945</v>
      </c>
      <c r="M503" s="3" t="str">
        <f>HYPERLINK(склад2въезд131920212223[[#This Row],[RelativePath]])</f>
        <v>10 Сушилка навес\E33149364_3_20260112T121739Z.jpg</v>
      </c>
    </row>
    <row r="504" spans="1:13" x14ac:dyDescent="0.25">
      <c r="A504" s="2" t="s">
        <v>13</v>
      </c>
      <c r="B504" s="4">
        <v>46034</v>
      </c>
      <c r="C504" s="5">
        <v>0.51979166666666665</v>
      </c>
      <c r="D504" s="9" t="s">
        <v>4164</v>
      </c>
      <c r="E504" s="9" t="s">
        <v>86</v>
      </c>
      <c r="F504" s="9" t="s">
        <v>9089</v>
      </c>
      <c r="H504" s="9"/>
      <c r="I504" s="9" t="s">
        <v>8946</v>
      </c>
      <c r="J504" s="9" t="s">
        <v>2940</v>
      </c>
      <c r="K504" t="s">
        <v>8947</v>
      </c>
      <c r="L504" t="s">
        <v>8948</v>
      </c>
      <c r="M504" s="3" t="str">
        <f>HYPERLINK(склад2въезд131920212223[[#This Row],[RelativePath]])</f>
        <v>10 Сушилка навес\E33149364_3_20260112T122830Z.jpg</v>
      </c>
    </row>
    <row r="505" spans="1:13" x14ac:dyDescent="0.25">
      <c r="A505" s="2" t="s">
        <v>13</v>
      </c>
      <c r="B505" s="4">
        <v>46034</v>
      </c>
      <c r="C505" s="5">
        <v>0.59173611111111113</v>
      </c>
      <c r="D505" s="9" t="s">
        <v>4164</v>
      </c>
      <c r="E505" s="9" t="s">
        <v>86</v>
      </c>
      <c r="F505" s="9" t="s">
        <v>60</v>
      </c>
      <c r="H505" s="9" t="s">
        <v>1568</v>
      </c>
      <c r="I505" s="9" t="s">
        <v>8949</v>
      </c>
      <c r="J505" s="9" t="s">
        <v>2940</v>
      </c>
      <c r="K505" t="s">
        <v>8950</v>
      </c>
      <c r="L505" t="s">
        <v>8951</v>
      </c>
      <c r="M505" s="3" t="str">
        <f>HYPERLINK(склад2въезд131920212223[[#This Row],[RelativePath]])</f>
        <v>10 Сушилка навес\E33149364_3_20260112T141206Z.jpg</v>
      </c>
    </row>
    <row r="506" spans="1:13" x14ac:dyDescent="0.25">
      <c r="A506" s="2" t="s">
        <v>13</v>
      </c>
      <c r="B506" s="4">
        <v>46034</v>
      </c>
      <c r="C506" s="5">
        <v>0.5983680555555555</v>
      </c>
      <c r="D506" s="9" t="s">
        <v>4164</v>
      </c>
      <c r="E506" s="9" t="s">
        <v>86</v>
      </c>
      <c r="F506" s="9" t="s">
        <v>60</v>
      </c>
      <c r="H506" s="9" t="s">
        <v>1568</v>
      </c>
      <c r="I506" s="9" t="s">
        <v>8952</v>
      </c>
      <c r="J506" s="9" t="s">
        <v>2940</v>
      </c>
      <c r="K506" t="s">
        <v>8953</v>
      </c>
      <c r="L506" t="s">
        <v>8954</v>
      </c>
      <c r="M506" s="3" t="str">
        <f>HYPERLINK(склад2въезд131920212223[[#This Row],[RelativePath]])</f>
        <v>10 Сушилка навес\E33149364_3_20260112T142139Z.jpg</v>
      </c>
    </row>
    <row r="507" spans="1:13" x14ac:dyDescent="0.25">
      <c r="A507" s="2" t="s">
        <v>13</v>
      </c>
      <c r="B507" s="4">
        <v>46034</v>
      </c>
      <c r="C507" s="5">
        <v>0.60241898148148143</v>
      </c>
      <c r="D507" s="9" t="s">
        <v>4164</v>
      </c>
      <c r="E507" s="9" t="s">
        <v>86</v>
      </c>
      <c r="F507" s="9" t="s">
        <v>9089</v>
      </c>
      <c r="H507" s="9"/>
      <c r="I507" s="9" t="s">
        <v>8955</v>
      </c>
      <c r="J507" s="9" t="s">
        <v>2940</v>
      </c>
      <c r="K507" t="s">
        <v>8956</v>
      </c>
      <c r="L507" t="s">
        <v>8957</v>
      </c>
      <c r="M507" s="3" t="str">
        <f>HYPERLINK(склад2въезд131920212223[[#This Row],[RelativePath]])</f>
        <v>10 Сушилка навес\E33149364_3_20260112T142729Z.jpg</v>
      </c>
    </row>
    <row r="508" spans="1:13" x14ac:dyDescent="0.25">
      <c r="A508" s="2" t="s">
        <v>13</v>
      </c>
      <c r="B508" s="4">
        <v>46034</v>
      </c>
      <c r="C508" s="5">
        <v>0.62383101851851852</v>
      </c>
      <c r="D508" s="9" t="s">
        <v>505</v>
      </c>
      <c r="E508" s="9" t="s">
        <v>503</v>
      </c>
      <c r="F508" s="9" t="s">
        <v>58</v>
      </c>
      <c r="H508" s="9"/>
      <c r="I508" s="9" t="s">
        <v>8958</v>
      </c>
      <c r="J508" s="9" t="s">
        <v>2940</v>
      </c>
      <c r="K508" t="s">
        <v>8959</v>
      </c>
      <c r="L508" t="s">
        <v>8960</v>
      </c>
      <c r="M508" s="3" t="str">
        <f>HYPERLINK(склад2въезд131920212223[[#This Row],[RelativePath]])</f>
        <v>10 Сушилка навес\E33149364_3_20260112T145819Z.jpg</v>
      </c>
    </row>
    <row r="509" spans="1:13" x14ac:dyDescent="0.25">
      <c r="A509" s="2" t="s">
        <v>14</v>
      </c>
      <c r="B509" s="4">
        <v>46035</v>
      </c>
      <c r="C509" s="5">
        <v>0.38993055555555556</v>
      </c>
      <c r="D509" s="9" t="s">
        <v>505</v>
      </c>
      <c r="E509" s="9" t="s">
        <v>503</v>
      </c>
      <c r="F509" s="9" t="s">
        <v>58</v>
      </c>
      <c r="H509" s="9"/>
      <c r="I509" s="9" t="s">
        <v>8961</v>
      </c>
      <c r="J509" s="9" t="s">
        <v>2940</v>
      </c>
      <c r="K509" t="s">
        <v>8962</v>
      </c>
      <c r="L509" t="s">
        <v>8963</v>
      </c>
      <c r="M509" s="3" t="str">
        <f>HYPERLINK(склад2въезд131920212223[[#This Row],[RelativePath]])</f>
        <v>10 Сушилка навес\E33149364_3_20260113T092130Z.jpg</v>
      </c>
    </row>
    <row r="510" spans="1:13" x14ac:dyDescent="0.25">
      <c r="A510" s="2" t="s">
        <v>14</v>
      </c>
      <c r="B510" s="4">
        <v>46035</v>
      </c>
      <c r="C510" s="5">
        <v>0.38997685185185182</v>
      </c>
      <c r="D510" s="9" t="s">
        <v>505</v>
      </c>
      <c r="E510" s="9" t="s">
        <v>503</v>
      </c>
      <c r="F510" s="9" t="s">
        <v>58</v>
      </c>
      <c r="H510" s="9"/>
      <c r="I510" s="9" t="s">
        <v>8964</v>
      </c>
      <c r="J510" s="9" t="s">
        <v>2940</v>
      </c>
      <c r="K510" t="s">
        <v>8965</v>
      </c>
      <c r="L510" t="s">
        <v>8966</v>
      </c>
      <c r="M510" s="3" t="str">
        <f>HYPERLINK(склад2въезд131920212223[[#This Row],[RelativePath]])</f>
        <v>10 Сушилка навес\E33149364_3_20260113T092134Z.jpg</v>
      </c>
    </row>
    <row r="511" spans="1:13" x14ac:dyDescent="0.25">
      <c r="A511" s="2" t="s">
        <v>14</v>
      </c>
      <c r="B511" s="4">
        <v>46035</v>
      </c>
      <c r="C511" s="5">
        <v>0.39157407407407407</v>
      </c>
      <c r="D511" s="9" t="s">
        <v>505</v>
      </c>
      <c r="E511" s="9" t="s">
        <v>503</v>
      </c>
      <c r="F511" s="9" t="s">
        <v>58</v>
      </c>
      <c r="H511" s="9"/>
      <c r="I511" s="9" t="s">
        <v>8967</v>
      </c>
      <c r="J511" s="9" t="s">
        <v>2940</v>
      </c>
      <c r="K511" t="s">
        <v>8968</v>
      </c>
      <c r="L511" t="s">
        <v>8969</v>
      </c>
      <c r="M511" s="3" t="str">
        <f>HYPERLINK(склад2въезд131920212223[[#This Row],[RelativePath]])</f>
        <v>10 Сушилка навес\E33149364_3_20260113T092352Z.jpg</v>
      </c>
    </row>
    <row r="512" spans="1:13" x14ac:dyDescent="0.25">
      <c r="A512" s="2" t="s">
        <v>14</v>
      </c>
      <c r="B512" s="4">
        <v>46035</v>
      </c>
      <c r="C512" s="5">
        <v>0.40383101851851849</v>
      </c>
      <c r="D512" s="9" t="s">
        <v>505</v>
      </c>
      <c r="E512" s="9" t="s">
        <v>503</v>
      </c>
      <c r="F512" s="9" t="s">
        <v>58</v>
      </c>
      <c r="H512" s="9"/>
      <c r="I512" s="9" t="s">
        <v>8970</v>
      </c>
      <c r="J512" s="9" t="s">
        <v>2940</v>
      </c>
      <c r="K512" t="s">
        <v>8971</v>
      </c>
      <c r="L512" t="s">
        <v>8972</v>
      </c>
      <c r="M512" s="3" t="str">
        <f>HYPERLINK(склад2въезд131920212223[[#This Row],[RelativePath]])</f>
        <v>10 Сушилка навес\E33149364_3_20260113T094131Z.jpg</v>
      </c>
    </row>
    <row r="513" spans="1:13" x14ac:dyDescent="0.25">
      <c r="A513" s="2" t="s">
        <v>14</v>
      </c>
      <c r="B513" s="4">
        <v>46035</v>
      </c>
      <c r="C513" s="5">
        <v>0.41616898148148146</v>
      </c>
      <c r="D513" s="9" t="s">
        <v>505</v>
      </c>
      <c r="E513" s="9" t="s">
        <v>503</v>
      </c>
      <c r="F513" s="9" t="s">
        <v>9094</v>
      </c>
      <c r="H513" s="9"/>
      <c r="I513" s="9" t="s">
        <v>8973</v>
      </c>
      <c r="J513" s="9" t="s">
        <v>2940</v>
      </c>
      <c r="K513" t="s">
        <v>8974</v>
      </c>
      <c r="L513" t="s">
        <v>8975</v>
      </c>
      <c r="M513" s="3" t="str">
        <f>HYPERLINK(склад2въезд131920212223[[#This Row],[RelativePath]])</f>
        <v>10 Сушилка навес\E33149364_3_20260113T095917Z.jpg</v>
      </c>
    </row>
    <row r="514" spans="1:13" x14ac:dyDescent="0.25">
      <c r="A514" s="2" t="s">
        <v>14</v>
      </c>
      <c r="B514" s="4">
        <v>46035</v>
      </c>
      <c r="C514" s="5">
        <v>0.41851851851851851</v>
      </c>
      <c r="D514" s="9" t="s">
        <v>505</v>
      </c>
      <c r="E514" s="9" t="s">
        <v>503</v>
      </c>
      <c r="F514" s="9" t="s">
        <v>58</v>
      </c>
      <c r="H514" s="9"/>
      <c r="I514" s="9" t="s">
        <v>8976</v>
      </c>
      <c r="J514" s="9" t="s">
        <v>2940</v>
      </c>
      <c r="K514" t="s">
        <v>8977</v>
      </c>
      <c r="L514" t="s">
        <v>8978</v>
      </c>
      <c r="M514" s="3" t="str">
        <f>HYPERLINK(склад2въезд131920212223[[#This Row],[RelativePath]])</f>
        <v>10 Сушилка навес\E33149364_3_20260113T100240Z.jpg</v>
      </c>
    </row>
    <row r="515" spans="1:13" x14ac:dyDescent="0.25">
      <c r="A515" s="2" t="s">
        <v>14</v>
      </c>
      <c r="B515" s="4">
        <v>46035</v>
      </c>
      <c r="C515" s="5">
        <v>0.4635185185185185</v>
      </c>
      <c r="D515" s="9" t="s">
        <v>505</v>
      </c>
      <c r="E515" s="9" t="s">
        <v>503</v>
      </c>
      <c r="F515" s="9" t="s">
        <v>9088</v>
      </c>
      <c r="H515" s="9"/>
      <c r="I515" s="9" t="s">
        <v>8979</v>
      </c>
      <c r="J515" s="9" t="s">
        <v>2940</v>
      </c>
      <c r="K515" t="s">
        <v>8980</v>
      </c>
      <c r="L515" t="s">
        <v>8981</v>
      </c>
      <c r="M515" s="3" t="str">
        <f>HYPERLINK(склад2въезд131920212223[[#This Row],[RelativePath]])</f>
        <v>10 Сушилка навес\E33149364_3_20260113T110728Z.jpg</v>
      </c>
    </row>
    <row r="516" spans="1:13" x14ac:dyDescent="0.25">
      <c r="A516" s="2" t="s">
        <v>14</v>
      </c>
      <c r="B516" s="4">
        <v>46035</v>
      </c>
      <c r="C516" s="5">
        <v>0.46653935185185186</v>
      </c>
      <c r="D516" s="9" t="s">
        <v>4164</v>
      </c>
      <c r="E516" s="9" t="s">
        <v>86</v>
      </c>
      <c r="F516" s="9" t="s">
        <v>500</v>
      </c>
      <c r="H516" s="9"/>
      <c r="I516" s="9" t="s">
        <v>8982</v>
      </c>
      <c r="J516" s="9" t="s">
        <v>2940</v>
      </c>
      <c r="K516" t="s">
        <v>8983</v>
      </c>
      <c r="L516" t="s">
        <v>8984</v>
      </c>
      <c r="M516" s="3" t="str">
        <f>HYPERLINK(склад2въезд131920212223[[#This Row],[RelativePath]])</f>
        <v>10 Сушилка навес\E33149364_3_20260113T111149Z.jpg</v>
      </c>
    </row>
    <row r="517" spans="1:13" x14ac:dyDescent="0.25">
      <c r="A517" s="2" t="s">
        <v>14</v>
      </c>
      <c r="B517" s="4">
        <v>46035</v>
      </c>
      <c r="C517" s="5">
        <v>0.46659722222222222</v>
      </c>
      <c r="D517" s="9" t="s">
        <v>4164</v>
      </c>
      <c r="E517" s="9" t="s">
        <v>86</v>
      </c>
      <c r="F517" s="9" t="s">
        <v>500</v>
      </c>
      <c r="H517" s="9" t="s">
        <v>2891</v>
      </c>
      <c r="I517" s="9" t="s">
        <v>8985</v>
      </c>
      <c r="J517" s="9" t="s">
        <v>2940</v>
      </c>
      <c r="K517" t="s">
        <v>8986</v>
      </c>
      <c r="L517" t="s">
        <v>8987</v>
      </c>
      <c r="M517" s="3" t="str">
        <f>HYPERLINK(склад2въезд131920212223[[#This Row],[RelativePath]])</f>
        <v>10 Сушилка навес\E33149364_3_20260113T111154Z.jpg</v>
      </c>
    </row>
    <row r="518" spans="1:13" x14ac:dyDescent="0.25">
      <c r="A518" s="2" t="s">
        <v>14</v>
      </c>
      <c r="B518" s="4">
        <v>46035</v>
      </c>
      <c r="C518" s="5">
        <v>0.48436342592592591</v>
      </c>
      <c r="D518" s="9" t="s">
        <v>505</v>
      </c>
      <c r="E518" s="9" t="s">
        <v>503</v>
      </c>
      <c r="F518" s="9" t="s">
        <v>58</v>
      </c>
      <c r="H518" s="9"/>
      <c r="I518" s="9" t="s">
        <v>8988</v>
      </c>
      <c r="J518" s="9" t="s">
        <v>2940</v>
      </c>
      <c r="K518" t="s">
        <v>8989</v>
      </c>
      <c r="L518" t="s">
        <v>8990</v>
      </c>
      <c r="M518" s="3" t="str">
        <f>HYPERLINK(склад2въезд131920212223[[#This Row],[RelativePath]])</f>
        <v>10 Сушилка навес\E33149364_3_20260113T113729Z.jpg</v>
      </c>
    </row>
    <row r="519" spans="1:13" x14ac:dyDescent="0.25">
      <c r="A519" s="2" t="s">
        <v>14</v>
      </c>
      <c r="B519" s="4">
        <v>46035</v>
      </c>
      <c r="C519" s="5">
        <v>0.48532407407407407</v>
      </c>
      <c r="D519" s="9" t="s">
        <v>505</v>
      </c>
      <c r="E519" s="9" t="s">
        <v>503</v>
      </c>
      <c r="F519" s="9" t="s">
        <v>58</v>
      </c>
      <c r="H519" s="9"/>
      <c r="I519" s="9" t="s">
        <v>8991</v>
      </c>
      <c r="J519" s="9" t="s">
        <v>2940</v>
      </c>
      <c r="K519" t="s">
        <v>8992</v>
      </c>
      <c r="L519" t="s">
        <v>8993</v>
      </c>
      <c r="M519" s="3" t="str">
        <f>HYPERLINK(склад2въезд131920212223[[#This Row],[RelativePath]])</f>
        <v>10 Сушилка навес\E33149364_3_20260113T113852Z.jpg</v>
      </c>
    </row>
    <row r="520" spans="1:13" x14ac:dyDescent="0.25">
      <c r="A520" s="2" t="s">
        <v>14</v>
      </c>
      <c r="B520" s="4">
        <v>46035</v>
      </c>
      <c r="C520" s="5">
        <v>0.49320601851851853</v>
      </c>
      <c r="D520" s="9" t="s">
        <v>505</v>
      </c>
      <c r="E520" s="9" t="s">
        <v>503</v>
      </c>
      <c r="F520" s="9" t="s">
        <v>9095</v>
      </c>
      <c r="H520" s="9"/>
      <c r="I520" s="9" t="s">
        <v>8994</v>
      </c>
      <c r="J520" s="9" t="s">
        <v>2940</v>
      </c>
      <c r="K520" t="s">
        <v>8995</v>
      </c>
      <c r="L520" t="s">
        <v>8996</v>
      </c>
      <c r="M520" s="3" t="str">
        <f>HYPERLINK(склад2въезд131920212223[[#This Row],[RelativePath]])</f>
        <v>10 Сушилка навес\E33149364_3_20260113T115013Z.jpg</v>
      </c>
    </row>
    <row r="521" spans="1:13" x14ac:dyDescent="0.25">
      <c r="A521" s="2" t="s">
        <v>14</v>
      </c>
      <c r="B521" s="4">
        <v>46035</v>
      </c>
      <c r="C521" s="5">
        <v>0.63649305555555558</v>
      </c>
      <c r="D521" s="9" t="s">
        <v>505</v>
      </c>
      <c r="E521" s="9" t="s">
        <v>503</v>
      </c>
      <c r="F521" s="9" t="s">
        <v>9096</v>
      </c>
      <c r="H521" s="9"/>
      <c r="I521" s="9" t="s">
        <v>8997</v>
      </c>
      <c r="J521" s="9" t="s">
        <v>2940</v>
      </c>
      <c r="K521" t="s">
        <v>8998</v>
      </c>
      <c r="L521" t="s">
        <v>8999</v>
      </c>
      <c r="M521" s="3" t="str">
        <f>HYPERLINK(склад2въезд131920212223[[#This Row],[RelativePath]])</f>
        <v>10 Сушилка навес\E33149364_3_20260113T151633Z.jpg</v>
      </c>
    </row>
    <row r="522" spans="1:13" x14ac:dyDescent="0.25">
      <c r="A522" s="2" t="s">
        <v>15</v>
      </c>
      <c r="B522" s="4">
        <v>46036</v>
      </c>
      <c r="C522" s="5">
        <v>0.49981481481481482</v>
      </c>
      <c r="D522" s="9" t="s">
        <v>7944</v>
      </c>
      <c r="E522" s="9" t="s">
        <v>4134</v>
      </c>
      <c r="F522" s="9"/>
      <c r="H522" s="9"/>
      <c r="I522" s="9" t="s">
        <v>9185</v>
      </c>
      <c r="J522" s="9" t="s">
        <v>2940</v>
      </c>
      <c r="K522" t="s">
        <v>9186</v>
      </c>
      <c r="L522" t="s">
        <v>9187</v>
      </c>
      <c r="M522" s="3" t="str">
        <f>HYPERLINK(склад2въезд131920212223[[#This Row],[RelativePath]])</f>
        <v>10 Сушилка навес\E33149364_3_20260114T115944Z.jpg</v>
      </c>
    </row>
    <row r="523" spans="1:13" x14ac:dyDescent="0.25">
      <c r="A523" s="2" t="s">
        <v>15</v>
      </c>
      <c r="B523" s="4">
        <v>46036</v>
      </c>
      <c r="C523" s="5">
        <v>0.6033101851851852</v>
      </c>
      <c r="D523" s="9" t="s">
        <v>505</v>
      </c>
      <c r="E523" s="9" t="s">
        <v>1570</v>
      </c>
      <c r="F523" s="9" t="s">
        <v>58</v>
      </c>
      <c r="H523" s="9"/>
      <c r="I523" s="9" t="s">
        <v>9188</v>
      </c>
      <c r="J523" s="9" t="s">
        <v>2940</v>
      </c>
      <c r="K523" t="s">
        <v>9189</v>
      </c>
      <c r="L523" t="s">
        <v>9190</v>
      </c>
      <c r="M523" s="3" t="str">
        <f>HYPERLINK(склад2въезд131920212223[[#This Row],[RelativePath]])</f>
        <v>10 Сушилка навес\E33149364_3_20260114T142846Z.jpg</v>
      </c>
    </row>
    <row r="524" spans="1:13" x14ac:dyDescent="0.25">
      <c r="A524" s="2" t="s">
        <v>15</v>
      </c>
      <c r="B524" s="4">
        <v>46036</v>
      </c>
      <c r="C524" s="5">
        <v>0.7074421296296296</v>
      </c>
      <c r="D524" s="9" t="s">
        <v>7944</v>
      </c>
      <c r="E524" s="9" t="s">
        <v>4134</v>
      </c>
      <c r="F524" s="9"/>
      <c r="H524" s="9"/>
      <c r="I524" s="9" t="s">
        <v>9191</v>
      </c>
      <c r="J524" s="9" t="s">
        <v>2940</v>
      </c>
      <c r="K524" t="s">
        <v>9192</v>
      </c>
      <c r="L524" t="s">
        <v>9193</v>
      </c>
      <c r="M524" s="3" t="str">
        <f>HYPERLINK(склад2въезд131920212223[[#This Row],[RelativePath]])</f>
        <v>10 Сушилка навес\E33149364_3_20260114T165843Z.jpg</v>
      </c>
    </row>
    <row r="525" spans="1:13" x14ac:dyDescent="0.25">
      <c r="A525" s="2" t="s">
        <v>15</v>
      </c>
      <c r="B525" s="4">
        <v>46036</v>
      </c>
      <c r="C525" s="5">
        <v>0.71695601851851853</v>
      </c>
      <c r="D525" s="9" t="s">
        <v>4</v>
      </c>
      <c r="E525" s="9" t="s">
        <v>8</v>
      </c>
      <c r="F525" s="9"/>
      <c r="H525" s="9"/>
      <c r="I525" s="9" t="s">
        <v>9194</v>
      </c>
      <c r="J525" s="9" t="s">
        <v>2940</v>
      </c>
      <c r="K525" t="s">
        <v>9195</v>
      </c>
      <c r="L525" t="s">
        <v>9196</v>
      </c>
      <c r="M525" s="3" t="str">
        <f>HYPERLINK(склад2въезд131920212223[[#This Row],[RelativePath]])</f>
        <v>10 Сушилка навес\E33149364_3_20260114T171225Z.jpg</v>
      </c>
    </row>
    <row r="526" spans="1:13" x14ac:dyDescent="0.25">
      <c r="A526" s="2" t="s">
        <v>16</v>
      </c>
      <c r="B526" s="4">
        <v>46037</v>
      </c>
      <c r="C526" s="5">
        <v>0.50908564814814816</v>
      </c>
      <c r="D526" s="9" t="s">
        <v>505</v>
      </c>
      <c r="E526" s="9" t="s">
        <v>1570</v>
      </c>
      <c r="F526" s="9" t="s">
        <v>58</v>
      </c>
      <c r="H526" s="9" t="s">
        <v>9401</v>
      </c>
      <c r="I526" s="9" t="s">
        <v>9368</v>
      </c>
      <c r="J526" s="9" t="s">
        <v>2940</v>
      </c>
      <c r="K526" t="s">
        <v>9369</v>
      </c>
      <c r="L526" t="s">
        <v>9370</v>
      </c>
      <c r="M526" s="3" t="str">
        <f>HYPERLINK(склад2въезд131920212223[[#This Row],[RelativePath]])</f>
        <v>10 Сушилка навес\E33149364_3_20260115T121305Z.jpg</v>
      </c>
    </row>
    <row r="527" spans="1:13" x14ac:dyDescent="0.25">
      <c r="A527" s="2" t="s">
        <v>16</v>
      </c>
      <c r="B527" s="4">
        <v>46037</v>
      </c>
      <c r="C527" s="5">
        <v>0.52739583333333329</v>
      </c>
      <c r="D527" s="9" t="s">
        <v>505</v>
      </c>
      <c r="E527" s="9" t="s">
        <v>1570</v>
      </c>
      <c r="F527" s="9" t="s">
        <v>58</v>
      </c>
      <c r="H527" s="9" t="s">
        <v>9401</v>
      </c>
      <c r="I527" s="9" t="s">
        <v>9371</v>
      </c>
      <c r="J527" s="9" t="s">
        <v>2940</v>
      </c>
      <c r="K527" t="s">
        <v>9372</v>
      </c>
      <c r="L527" t="s">
        <v>9373</v>
      </c>
      <c r="M527" s="3" t="str">
        <f>HYPERLINK(склад2въезд131920212223[[#This Row],[RelativePath]])</f>
        <v>10 Сушилка навес\E33149364_3_20260115T123927Z.jpg</v>
      </c>
    </row>
    <row r="528" spans="1:13" x14ac:dyDescent="0.25">
      <c r="A528" s="2" t="s">
        <v>16</v>
      </c>
      <c r="B528" s="4">
        <v>46037</v>
      </c>
      <c r="C528" s="5">
        <v>0.52899305555555554</v>
      </c>
      <c r="D528" s="9" t="s">
        <v>505</v>
      </c>
      <c r="E528" s="9" t="s">
        <v>1570</v>
      </c>
      <c r="F528" s="9" t="s">
        <v>58</v>
      </c>
      <c r="H528" s="9" t="s">
        <v>2904</v>
      </c>
      <c r="I528" s="9" t="s">
        <v>9374</v>
      </c>
      <c r="J528" s="9" t="s">
        <v>2940</v>
      </c>
      <c r="K528" t="s">
        <v>9375</v>
      </c>
      <c r="L528" t="s">
        <v>9376</v>
      </c>
      <c r="M528" s="3" t="str">
        <f>HYPERLINK(склад2въезд131920212223[[#This Row],[RelativePath]])</f>
        <v>10 Сушилка навес\E33149364_3_20260115T124145Z.jpg</v>
      </c>
    </row>
    <row r="529" spans="1:13" x14ac:dyDescent="0.25">
      <c r="A529" s="2" t="s">
        <v>16</v>
      </c>
      <c r="B529" s="4">
        <v>46037</v>
      </c>
      <c r="C529" s="5">
        <v>0.61229166666666668</v>
      </c>
      <c r="D529" s="9" t="s">
        <v>1569</v>
      </c>
      <c r="E529" s="9" t="s">
        <v>9402</v>
      </c>
      <c r="F529" s="9"/>
      <c r="H529" s="9"/>
      <c r="I529" s="9" t="s">
        <v>9377</v>
      </c>
      <c r="J529" s="9" t="s">
        <v>2940</v>
      </c>
      <c r="K529" t="s">
        <v>9378</v>
      </c>
      <c r="L529" t="s">
        <v>9379</v>
      </c>
      <c r="M529" s="3" t="str">
        <f>HYPERLINK(склад2въезд131920212223[[#This Row],[RelativePath]])</f>
        <v>10 Сушилка навес\E33149364_3_20260115T144142Z.jpg</v>
      </c>
    </row>
    <row r="530" spans="1:13" x14ac:dyDescent="0.25">
      <c r="A530" s="2" t="s">
        <v>16</v>
      </c>
      <c r="B530" s="4">
        <v>46037</v>
      </c>
      <c r="C530" s="5">
        <v>0.65997685185185184</v>
      </c>
      <c r="D530" s="9" t="s">
        <v>622</v>
      </c>
      <c r="E530" s="9" t="s">
        <v>9402</v>
      </c>
      <c r="F530" s="9"/>
      <c r="H530" s="9"/>
      <c r="I530" s="9" t="s">
        <v>9380</v>
      </c>
      <c r="J530" s="9" t="s">
        <v>2940</v>
      </c>
      <c r="K530" t="s">
        <v>9381</v>
      </c>
      <c r="L530" t="s">
        <v>9382</v>
      </c>
      <c r="M530" s="3" t="str">
        <f>HYPERLINK(склад2въезд131920212223[[#This Row],[RelativePath]])</f>
        <v>10 Сушилка навес\E33149364_3_20260115T155022Z.jpg</v>
      </c>
    </row>
    <row r="531" spans="1:13" x14ac:dyDescent="0.25">
      <c r="A531" s="2" t="s">
        <v>16</v>
      </c>
      <c r="B531" s="4">
        <v>46037</v>
      </c>
      <c r="C531" s="5">
        <v>0.67829861111111112</v>
      </c>
      <c r="D531" s="9" t="s">
        <v>505</v>
      </c>
      <c r="E531" s="9" t="s">
        <v>1570</v>
      </c>
      <c r="F531" s="9" t="s">
        <v>58</v>
      </c>
      <c r="H531" s="9" t="s">
        <v>9401</v>
      </c>
      <c r="I531" s="9" t="s">
        <v>9383</v>
      </c>
      <c r="J531" s="9" t="s">
        <v>2940</v>
      </c>
      <c r="K531" t="s">
        <v>9384</v>
      </c>
      <c r="L531" t="s">
        <v>9385</v>
      </c>
      <c r="M531" s="3" t="str">
        <f>HYPERLINK(склад2въезд131920212223[[#This Row],[RelativePath]])</f>
        <v>10 Сушилка навес\E33149364_3_20260115T161645Z.jpg</v>
      </c>
    </row>
    <row r="532" spans="1:13" x14ac:dyDescent="0.25">
      <c r="A532" s="2" t="s">
        <v>17</v>
      </c>
      <c r="B532" s="4">
        <v>46038</v>
      </c>
      <c r="C532" s="5">
        <v>0.39101851851851854</v>
      </c>
      <c r="D532" s="9" t="s">
        <v>1569</v>
      </c>
      <c r="E532" s="9" t="s">
        <v>9403</v>
      </c>
      <c r="F532" s="9"/>
      <c r="H532" s="9"/>
      <c r="I532" s="9" t="s">
        <v>9386</v>
      </c>
      <c r="J532" s="9" t="s">
        <v>2940</v>
      </c>
      <c r="K532" t="s">
        <v>9387</v>
      </c>
      <c r="L532" t="s">
        <v>9388</v>
      </c>
      <c r="M532" s="3" t="str">
        <f>HYPERLINK(склад2въезд131920212223[[#This Row],[RelativePath]])</f>
        <v>10 Сушилка навес\E33149364_3_20260116T092304Z.jpg</v>
      </c>
    </row>
    <row r="533" spans="1:13" x14ac:dyDescent="0.25">
      <c r="A533" s="2" t="s">
        <v>17</v>
      </c>
      <c r="B533" s="4">
        <v>46038</v>
      </c>
      <c r="C533" s="5">
        <v>0.39223379629629629</v>
      </c>
      <c r="D533" s="9" t="s">
        <v>261</v>
      </c>
      <c r="E533" s="9" t="s">
        <v>9403</v>
      </c>
      <c r="F533" s="9" t="s">
        <v>2899</v>
      </c>
      <c r="H533" s="9"/>
      <c r="I533" s="9" t="s">
        <v>9389</v>
      </c>
      <c r="J533" s="9" t="s">
        <v>2940</v>
      </c>
      <c r="K533" t="s">
        <v>9390</v>
      </c>
      <c r="L533" t="s">
        <v>9391</v>
      </c>
      <c r="M533" s="3" t="str">
        <f>HYPERLINK(склад2въезд131920212223[[#This Row],[RelativePath]])</f>
        <v>10 Сушилка навес\E33149364_3_20260116T092449Z.jpg</v>
      </c>
    </row>
    <row r="534" spans="1:13" x14ac:dyDescent="0.25">
      <c r="A534" s="2" t="s">
        <v>17</v>
      </c>
      <c r="B534" s="4">
        <v>46038</v>
      </c>
      <c r="C534" s="5">
        <v>0.40317129629629628</v>
      </c>
      <c r="D534" s="9" t="s">
        <v>622</v>
      </c>
      <c r="E534" s="9" t="s">
        <v>9403</v>
      </c>
      <c r="F534" s="9" t="s">
        <v>2899</v>
      </c>
      <c r="H534" s="9"/>
      <c r="I534" s="9" t="s">
        <v>9392</v>
      </c>
      <c r="J534" s="9" t="s">
        <v>2940</v>
      </c>
      <c r="K534" t="s">
        <v>9393</v>
      </c>
      <c r="L534" t="s">
        <v>9394</v>
      </c>
      <c r="M534" s="3" t="str">
        <f>HYPERLINK(склад2въезд131920212223[[#This Row],[RelativePath]])</f>
        <v>10 Сушилка навес\E33149364_3_20260116T094034Z.jpg</v>
      </c>
    </row>
    <row r="535" spans="1:13" x14ac:dyDescent="0.25">
      <c r="A535" s="2" t="s">
        <v>17</v>
      </c>
      <c r="B535" s="4">
        <v>46038</v>
      </c>
      <c r="C535" s="5">
        <v>0.52334490740740736</v>
      </c>
      <c r="D535" s="9" t="s">
        <v>505</v>
      </c>
      <c r="E535" s="9" t="s">
        <v>1570</v>
      </c>
      <c r="F535" s="9" t="s">
        <v>58</v>
      </c>
      <c r="H535" s="9" t="s">
        <v>9401</v>
      </c>
      <c r="I535" s="9" t="s">
        <v>9395</v>
      </c>
      <c r="J535" s="9" t="s">
        <v>2940</v>
      </c>
      <c r="K535" t="s">
        <v>9396</v>
      </c>
      <c r="L535" t="s">
        <v>9397</v>
      </c>
      <c r="M535" s="3" t="str">
        <f>HYPERLINK(склад2въезд131920212223[[#This Row],[RelativePath]])</f>
        <v>10 Сушилка навес\E33149364_3_20260116T123337Z.jpg</v>
      </c>
    </row>
    <row r="536" spans="1:13" x14ac:dyDescent="0.25">
      <c r="A536" s="2" t="s">
        <v>17</v>
      </c>
      <c r="B536" s="4">
        <v>46038</v>
      </c>
      <c r="C536" s="5">
        <v>0.68223379629629632</v>
      </c>
      <c r="D536" s="9" t="s">
        <v>4</v>
      </c>
      <c r="E536" s="9" t="s">
        <v>8</v>
      </c>
      <c r="F536" s="9"/>
      <c r="H536" s="9"/>
      <c r="I536" s="9" t="s">
        <v>9398</v>
      </c>
      <c r="J536" s="9" t="s">
        <v>2940</v>
      </c>
      <c r="K536" t="s">
        <v>9399</v>
      </c>
      <c r="L536" t="s">
        <v>9400</v>
      </c>
      <c r="M536" s="3" t="str">
        <f>HYPERLINK(склад2въезд131920212223[[#This Row],[RelativePath]])</f>
        <v>10 Сушилка навес\E33149364_3_20260116T162225Z.jpg</v>
      </c>
    </row>
    <row r="537" spans="1:13" x14ac:dyDescent="0.25">
      <c r="A537" s="2" t="s">
        <v>18</v>
      </c>
      <c r="B537" s="4">
        <v>46039</v>
      </c>
      <c r="C537" s="5">
        <v>0.61101851851851852</v>
      </c>
      <c r="D537" s="9" t="s">
        <v>4</v>
      </c>
      <c r="E537" s="9" t="s">
        <v>6574</v>
      </c>
      <c r="F537" s="9" t="s">
        <v>9224</v>
      </c>
      <c r="H537" s="9"/>
      <c r="I537" s="9" t="s">
        <v>9537</v>
      </c>
      <c r="J537" s="9" t="s">
        <v>2940</v>
      </c>
      <c r="K537" t="s">
        <v>9538</v>
      </c>
      <c r="L537" t="s">
        <v>9539</v>
      </c>
      <c r="M537" s="3" t="str">
        <f>HYPERLINK(склад2въезд131920212223[[#This Row],[RelativePath]])</f>
        <v>10 Сушилка навес\E33149364_3_20260117T143952Z.jpg</v>
      </c>
    </row>
    <row r="538" spans="1:13" x14ac:dyDescent="0.25">
      <c r="A538" s="2" t="s">
        <v>18</v>
      </c>
      <c r="B538" s="4">
        <v>46039</v>
      </c>
      <c r="C538" s="5">
        <v>0.65752314814814816</v>
      </c>
      <c r="D538" s="9" t="s">
        <v>4</v>
      </c>
      <c r="E538" s="9" t="s">
        <v>6574</v>
      </c>
      <c r="F538" s="9" t="s">
        <v>9224</v>
      </c>
      <c r="H538" s="9"/>
      <c r="I538" s="9" t="s">
        <v>9540</v>
      </c>
      <c r="J538" s="9" t="s">
        <v>2940</v>
      </c>
      <c r="K538" t="s">
        <v>9541</v>
      </c>
      <c r="L538" t="s">
        <v>9542</v>
      </c>
      <c r="M538" s="3" t="str">
        <f>HYPERLINK(склад2въезд131920212223[[#This Row],[RelativePath]])</f>
        <v>10 Сушилка навес\E33149364_3_20260117T154650Z.jpg</v>
      </c>
    </row>
    <row r="539" spans="1:13" x14ac:dyDescent="0.25">
      <c r="A539" s="2" t="s">
        <v>22</v>
      </c>
      <c r="B539" s="4">
        <v>46040</v>
      </c>
      <c r="C539" s="5">
        <v>0.63092592592592589</v>
      </c>
      <c r="D539" s="9" t="s">
        <v>505</v>
      </c>
      <c r="E539" s="9" t="s">
        <v>1570</v>
      </c>
      <c r="F539" s="9" t="s">
        <v>58</v>
      </c>
      <c r="H539" s="9"/>
      <c r="I539" s="9" t="s">
        <v>9543</v>
      </c>
      <c r="J539" s="9" t="s">
        <v>2940</v>
      </c>
      <c r="K539" t="s">
        <v>9544</v>
      </c>
      <c r="L539" t="s">
        <v>9545</v>
      </c>
      <c r="M539" s="3" t="str">
        <f>HYPERLINK(склад2въезд131920212223[[#This Row],[RelativePath]])</f>
        <v>10 Сушилка навес\E33149364_3_20260118T150832Z.jpg</v>
      </c>
    </row>
    <row r="540" spans="1:13" x14ac:dyDescent="0.25">
      <c r="A540" s="2" t="s">
        <v>13</v>
      </c>
      <c r="B540" s="4">
        <v>46041</v>
      </c>
      <c r="C540" s="5">
        <v>0.68579861111111107</v>
      </c>
      <c r="D540" s="9" t="s">
        <v>1967</v>
      </c>
      <c r="E540" s="9" t="s">
        <v>8</v>
      </c>
      <c r="F540" s="9"/>
      <c r="H540" s="9"/>
      <c r="I540" s="9" t="s">
        <v>9703</v>
      </c>
      <c r="J540" s="9" t="s">
        <v>2940</v>
      </c>
      <c r="K540" t="s">
        <v>9704</v>
      </c>
      <c r="L540" t="s">
        <v>9705</v>
      </c>
      <c r="M540" s="3" t="str">
        <f>HYPERLINK(склад2въезд131920212223[[#This Row],[RelativePath]])</f>
        <v>10 Сушилка навес\E33149364_3_20260119T162733Z.jpg</v>
      </c>
    </row>
    <row r="541" spans="1:13" x14ac:dyDescent="0.25">
      <c r="A541" s="2" t="s">
        <v>14</v>
      </c>
      <c r="B541" s="4">
        <v>46042</v>
      </c>
      <c r="C541" s="5">
        <v>0.39603009259259259</v>
      </c>
      <c r="D541" s="9" t="s">
        <v>505</v>
      </c>
      <c r="E541" s="9" t="s">
        <v>1570</v>
      </c>
      <c r="F541" s="9" t="s">
        <v>58</v>
      </c>
      <c r="H541" s="9"/>
      <c r="I541" s="9" t="s">
        <v>9706</v>
      </c>
      <c r="J541" s="9" t="s">
        <v>2940</v>
      </c>
      <c r="K541" t="s">
        <v>9707</v>
      </c>
      <c r="L541" t="s">
        <v>9708</v>
      </c>
      <c r="M541" s="3" t="str">
        <f>HYPERLINK(склад2въезд131920212223[[#This Row],[RelativePath]])</f>
        <v>10 Сушилка навес\E33149364_3_20260120T093017Z.jpg</v>
      </c>
    </row>
    <row r="542" spans="1:13" x14ac:dyDescent="0.25">
      <c r="A542" s="2" t="s">
        <v>14</v>
      </c>
      <c r="B542" s="4">
        <v>46042</v>
      </c>
      <c r="C542" s="5">
        <v>0.42540509259259257</v>
      </c>
      <c r="D542" s="9" t="s">
        <v>4164</v>
      </c>
      <c r="E542" s="9" t="s">
        <v>86</v>
      </c>
      <c r="F542" s="9" t="s">
        <v>9088</v>
      </c>
      <c r="H542" s="9"/>
      <c r="I542" s="9" t="s">
        <v>9709</v>
      </c>
      <c r="J542" s="9" t="s">
        <v>2940</v>
      </c>
      <c r="K542" t="s">
        <v>9710</v>
      </c>
      <c r="L542" t="s">
        <v>9711</v>
      </c>
      <c r="M542" s="3" t="str">
        <f>HYPERLINK(склад2въезд131920212223[[#This Row],[RelativePath]])</f>
        <v>10 Сушилка навес\E33149364_3_20260120T101235Z.jpg</v>
      </c>
    </row>
    <row r="543" spans="1:13" x14ac:dyDescent="0.25">
      <c r="A543" s="2" t="s">
        <v>14</v>
      </c>
      <c r="B543" s="4">
        <v>46042</v>
      </c>
      <c r="C543" s="5">
        <v>0.43747685185185187</v>
      </c>
      <c r="D543" s="9" t="s">
        <v>4164</v>
      </c>
      <c r="E543" s="9" t="s">
        <v>86</v>
      </c>
      <c r="F543" s="9" t="s">
        <v>9088</v>
      </c>
      <c r="H543" s="9"/>
      <c r="I543" s="9" t="s">
        <v>9712</v>
      </c>
      <c r="J543" s="9" t="s">
        <v>2940</v>
      </c>
      <c r="K543" t="s">
        <v>9713</v>
      </c>
      <c r="L543" t="s">
        <v>9714</v>
      </c>
      <c r="M543" s="3" t="str">
        <f>HYPERLINK(склад2въезд131920212223[[#This Row],[RelativePath]])</f>
        <v>10 Сушилка навес\E33149364_3_20260120T102958Z.jpg</v>
      </c>
    </row>
    <row r="544" spans="1:13" x14ac:dyDescent="0.25">
      <c r="A544" s="2" t="s">
        <v>14</v>
      </c>
      <c r="B544" s="4">
        <v>46042</v>
      </c>
      <c r="C544" s="5">
        <v>0.44299768518518517</v>
      </c>
      <c r="D544" s="9" t="s">
        <v>4164</v>
      </c>
      <c r="E544" s="9" t="s">
        <v>86</v>
      </c>
      <c r="F544" s="9" t="s">
        <v>9088</v>
      </c>
      <c r="H544" s="9"/>
      <c r="I544" s="9" t="s">
        <v>9715</v>
      </c>
      <c r="J544" s="9" t="s">
        <v>2940</v>
      </c>
      <c r="K544" t="s">
        <v>9716</v>
      </c>
      <c r="L544" t="s">
        <v>9717</v>
      </c>
      <c r="M544" s="3" t="str">
        <f>HYPERLINK(склад2въезд131920212223[[#This Row],[RelativePath]])</f>
        <v>10 Сушилка навес\E33149364_3_20260120T103755Z.jpg</v>
      </c>
    </row>
    <row r="545" spans="1:13" x14ac:dyDescent="0.25">
      <c r="A545" s="2" t="s">
        <v>15</v>
      </c>
      <c r="B545" s="4">
        <v>46043</v>
      </c>
      <c r="C545" s="5">
        <v>0.4676851851851852</v>
      </c>
      <c r="D545" s="9" t="s">
        <v>1569</v>
      </c>
      <c r="E545" s="9" t="s">
        <v>10015</v>
      </c>
      <c r="F545" s="9"/>
      <c r="H545" s="9"/>
      <c r="I545" s="9" t="s">
        <v>9919</v>
      </c>
      <c r="J545" s="9" t="s">
        <v>2940</v>
      </c>
      <c r="K545" t="s">
        <v>9920</v>
      </c>
      <c r="L545" t="s">
        <v>9921</v>
      </c>
      <c r="M545" s="3" t="str">
        <f>HYPERLINK(склад2въезд131920212223[[#This Row],[RelativePath]])</f>
        <v>10 Сушилка навес\E33149364_3_20260121T111328Z.jpg</v>
      </c>
    </row>
    <row r="546" spans="1:13" x14ac:dyDescent="0.25">
      <c r="A546" s="2" t="s">
        <v>15</v>
      </c>
      <c r="B546" s="4">
        <v>46043</v>
      </c>
      <c r="C546" s="5">
        <v>0.49844907407407407</v>
      </c>
      <c r="D546" s="9" t="s">
        <v>622</v>
      </c>
      <c r="E546" s="9" t="s">
        <v>10015</v>
      </c>
      <c r="F546" s="9"/>
      <c r="H546" s="9"/>
      <c r="I546" s="9" t="s">
        <v>9922</v>
      </c>
      <c r="J546" s="9" t="s">
        <v>2940</v>
      </c>
      <c r="K546" t="s">
        <v>9923</v>
      </c>
      <c r="L546" t="s">
        <v>9924</v>
      </c>
      <c r="M546" s="3" t="str">
        <f>HYPERLINK(склад2въезд131920212223[[#This Row],[RelativePath]])</f>
        <v>10 Сушилка навес\E33149364_3_20260121T115746Z.jpg</v>
      </c>
    </row>
    <row r="547" spans="1:13" x14ac:dyDescent="0.25">
      <c r="A547" s="2" t="s">
        <v>15</v>
      </c>
      <c r="B547" s="4">
        <v>46043</v>
      </c>
      <c r="C547" s="5">
        <v>0.56027777777777776</v>
      </c>
      <c r="D547" s="9" t="s">
        <v>159</v>
      </c>
      <c r="E547" s="9" t="s">
        <v>10015</v>
      </c>
      <c r="F547" s="9"/>
      <c r="H547" s="9"/>
      <c r="I547" s="9" t="s">
        <v>9925</v>
      </c>
      <c r="J547" s="9" t="s">
        <v>2940</v>
      </c>
      <c r="K547" t="s">
        <v>9926</v>
      </c>
      <c r="L547" t="s">
        <v>9927</v>
      </c>
      <c r="M547" s="3" t="str">
        <f>HYPERLINK(склад2въезд131920212223[[#This Row],[RelativePath]])</f>
        <v>10 Сушилка навес\E33149364_3_20260121T132648Z.jpg</v>
      </c>
    </row>
    <row r="548" spans="1:13" x14ac:dyDescent="0.25">
      <c r="A548" s="2" t="s">
        <v>15</v>
      </c>
      <c r="B548" s="4">
        <v>46043</v>
      </c>
      <c r="C548" s="5">
        <v>0.59810185185185183</v>
      </c>
      <c r="D548" s="9" t="s">
        <v>505</v>
      </c>
      <c r="E548" s="9" t="s">
        <v>1570</v>
      </c>
      <c r="F548" s="9" t="s">
        <v>58</v>
      </c>
      <c r="H548" s="9"/>
      <c r="I548" s="9" t="s">
        <v>9928</v>
      </c>
      <c r="J548" s="9" t="s">
        <v>2940</v>
      </c>
      <c r="K548" t="s">
        <v>9929</v>
      </c>
      <c r="L548" t="s">
        <v>9930</v>
      </c>
      <c r="M548" s="3" t="str">
        <f>HYPERLINK(склад2въезд131920212223[[#This Row],[RelativePath]])</f>
        <v>10 Сушилка навес\E33149364_3_20260121T142116Z.jpg</v>
      </c>
    </row>
    <row r="549" spans="1:13" x14ac:dyDescent="0.25">
      <c r="A549" s="2" t="s">
        <v>15</v>
      </c>
      <c r="B549" s="4">
        <v>46043</v>
      </c>
      <c r="C549" s="5">
        <v>0.82384259259259263</v>
      </c>
      <c r="D549" s="9" t="s">
        <v>10016</v>
      </c>
      <c r="E549" s="9" t="s">
        <v>10015</v>
      </c>
      <c r="F549" s="9"/>
      <c r="H549" s="9"/>
      <c r="I549" s="9" t="s">
        <v>9931</v>
      </c>
      <c r="J549" s="9" t="s">
        <v>2940</v>
      </c>
      <c r="K549" t="s">
        <v>9932</v>
      </c>
      <c r="L549" t="s">
        <v>9933</v>
      </c>
      <c r="M549" s="3" t="str">
        <f>HYPERLINK(склад2въезд131920212223[[#This Row],[RelativePath]])</f>
        <v>10 Сушилка навес\E33149364_3_20260121T194620Z.jpg</v>
      </c>
    </row>
    <row r="550" spans="1:13" x14ac:dyDescent="0.25">
      <c r="A550" s="2" t="s">
        <v>16</v>
      </c>
      <c r="B550" s="4">
        <v>46044</v>
      </c>
      <c r="C550" s="5">
        <v>0.49981481481481482</v>
      </c>
      <c r="D550" s="9" t="s">
        <v>505</v>
      </c>
      <c r="E550" s="9" t="s">
        <v>1570</v>
      </c>
      <c r="F550" s="9" t="s">
        <v>58</v>
      </c>
      <c r="H550" s="9"/>
      <c r="I550" s="9" t="s">
        <v>9934</v>
      </c>
      <c r="J550" s="9" t="s">
        <v>2940</v>
      </c>
      <c r="K550" t="s">
        <v>9935</v>
      </c>
      <c r="L550" t="s">
        <v>9936</v>
      </c>
      <c r="M550" s="3" t="str">
        <f>HYPERLINK(склад2въезд131920212223[[#This Row],[RelativePath]])</f>
        <v>10 Сушилка навес\E33149364_3_20260122T115944Z.jpg</v>
      </c>
    </row>
    <row r="551" spans="1:13" x14ac:dyDescent="0.25">
      <c r="A551" s="2" t="s">
        <v>16</v>
      </c>
      <c r="B551" s="4">
        <v>46044</v>
      </c>
      <c r="C551" s="5">
        <v>0.50148148148148153</v>
      </c>
      <c r="D551" s="9" t="s">
        <v>4164</v>
      </c>
      <c r="E551" s="9" t="s">
        <v>86</v>
      </c>
      <c r="F551" s="9" t="s">
        <v>9088</v>
      </c>
      <c r="H551" s="9"/>
      <c r="I551" s="9" t="s">
        <v>9937</v>
      </c>
      <c r="J551" s="9" t="s">
        <v>2940</v>
      </c>
      <c r="K551" t="s">
        <v>9938</v>
      </c>
      <c r="L551" t="s">
        <v>9939</v>
      </c>
      <c r="M551" s="3" t="str">
        <f>HYPERLINK(склад2въезд131920212223[[#This Row],[RelativePath]])</f>
        <v>10 Сушилка навес\E33149364_3_20260122T120208Z.jpg</v>
      </c>
    </row>
    <row r="552" spans="1:13" x14ac:dyDescent="0.25">
      <c r="A552" s="2" t="s">
        <v>16</v>
      </c>
      <c r="B552" s="4">
        <v>46044</v>
      </c>
      <c r="C552" s="5">
        <v>0.50605324074074076</v>
      </c>
      <c r="D552" s="9" t="s">
        <v>159</v>
      </c>
      <c r="E552" s="9" t="s">
        <v>4134</v>
      </c>
      <c r="F552" s="9"/>
      <c r="H552" s="9"/>
      <c r="I552" s="9" t="s">
        <v>9940</v>
      </c>
      <c r="J552" s="9" t="s">
        <v>2940</v>
      </c>
      <c r="K552" t="s">
        <v>9941</v>
      </c>
      <c r="L552" t="s">
        <v>9942</v>
      </c>
      <c r="M552" s="3" t="str">
        <f>HYPERLINK(склад2въезд131920212223[[#This Row],[RelativePath]])</f>
        <v>10 Сушилка навес\E33149364_3_20260122T120843Z.jpg</v>
      </c>
    </row>
    <row r="553" spans="1:13" x14ac:dyDescent="0.25">
      <c r="A553" s="2" t="s">
        <v>16</v>
      </c>
      <c r="B553" s="4">
        <v>46044</v>
      </c>
      <c r="C553" s="5">
        <v>0.51615740740740745</v>
      </c>
      <c r="D553" s="9" t="s">
        <v>505</v>
      </c>
      <c r="E553" s="9" t="s">
        <v>1570</v>
      </c>
      <c r="F553" s="9" t="s">
        <v>58</v>
      </c>
      <c r="H553" s="9"/>
      <c r="I553" s="9" t="s">
        <v>9943</v>
      </c>
      <c r="J553" s="9" t="s">
        <v>2940</v>
      </c>
      <c r="K553" t="s">
        <v>9944</v>
      </c>
      <c r="L553" t="s">
        <v>9945</v>
      </c>
      <c r="M553" s="3" t="str">
        <f>HYPERLINK(склад2въезд131920212223[[#This Row],[RelativePath]])</f>
        <v>10 Сушилка навес\E33149364_3_20260122T122316Z.jpg</v>
      </c>
    </row>
    <row r="554" spans="1:13" x14ac:dyDescent="0.25">
      <c r="A554" s="2" t="s">
        <v>16</v>
      </c>
      <c r="B554" s="4">
        <v>46044</v>
      </c>
      <c r="C554" s="5">
        <v>0.52630787037037041</v>
      </c>
      <c r="D554" s="9" t="s">
        <v>10017</v>
      </c>
      <c r="E554" s="9" t="s">
        <v>4134</v>
      </c>
      <c r="F554" s="9"/>
      <c r="H554" s="9"/>
      <c r="I554" s="9" t="s">
        <v>9946</v>
      </c>
      <c r="J554" s="9" t="s">
        <v>2940</v>
      </c>
      <c r="K554" t="s">
        <v>9947</v>
      </c>
      <c r="L554" t="s">
        <v>9948</v>
      </c>
      <c r="M554" s="3" t="str">
        <f>HYPERLINK(склад2въезд131920212223[[#This Row],[RelativePath]])</f>
        <v>10 Сушилка навес\E33149364_3_20260122T123753Z.jpg</v>
      </c>
    </row>
    <row r="555" spans="1:13" x14ac:dyDescent="0.25">
      <c r="A555" s="2" t="s">
        <v>16</v>
      </c>
      <c r="B555" s="4">
        <v>46044</v>
      </c>
      <c r="C555" s="5">
        <v>0.52642361111111113</v>
      </c>
      <c r="D555" s="9" t="s">
        <v>505</v>
      </c>
      <c r="E555" s="9" t="s">
        <v>1570</v>
      </c>
      <c r="F555" s="9" t="s">
        <v>58</v>
      </c>
      <c r="H555" s="9"/>
      <c r="I555" s="9" t="s">
        <v>9949</v>
      </c>
      <c r="J555" s="9" t="s">
        <v>2940</v>
      </c>
      <c r="K555" t="s">
        <v>9950</v>
      </c>
      <c r="L555" t="s">
        <v>9951</v>
      </c>
      <c r="M555" s="3" t="str">
        <f>HYPERLINK(склад2въезд131920212223[[#This Row],[RelativePath]])</f>
        <v>10 Сушилка навес\E33149364_3_20260122T123803Z.jpg</v>
      </c>
    </row>
    <row r="556" spans="1:13" x14ac:dyDescent="0.25">
      <c r="A556" s="2" t="s">
        <v>16</v>
      </c>
      <c r="B556" s="4">
        <v>46044</v>
      </c>
      <c r="C556" s="5">
        <v>0.60675925925925922</v>
      </c>
      <c r="D556" s="9" t="s">
        <v>4164</v>
      </c>
      <c r="E556" s="9" t="s">
        <v>86</v>
      </c>
      <c r="F556" s="9" t="s">
        <v>9088</v>
      </c>
      <c r="H556" s="9" t="s">
        <v>4177</v>
      </c>
      <c r="I556" s="9" t="s">
        <v>9952</v>
      </c>
      <c r="J556" s="9" t="s">
        <v>2940</v>
      </c>
      <c r="K556" t="s">
        <v>9953</v>
      </c>
      <c r="L556" t="s">
        <v>9954</v>
      </c>
      <c r="M556" s="3" t="str">
        <f>HYPERLINK(склад2въезд131920212223[[#This Row],[RelativePath]])</f>
        <v>10 Сушилка навес\E33149364_3_20260122T143344Z.jpg</v>
      </c>
    </row>
    <row r="557" spans="1:13" x14ac:dyDescent="0.25">
      <c r="A557" s="2" t="s">
        <v>16</v>
      </c>
      <c r="B557" s="4">
        <v>46044</v>
      </c>
      <c r="C557" s="5">
        <v>0.6099768518518518</v>
      </c>
      <c r="D557" s="9" t="s">
        <v>4164</v>
      </c>
      <c r="E557" s="9" t="s">
        <v>86</v>
      </c>
      <c r="F557" s="9" t="s">
        <v>9088</v>
      </c>
      <c r="H557" s="9" t="s">
        <v>4177</v>
      </c>
      <c r="I557" s="9" t="s">
        <v>9955</v>
      </c>
      <c r="J557" s="9" t="s">
        <v>2940</v>
      </c>
      <c r="K557" t="s">
        <v>9956</v>
      </c>
      <c r="L557" t="s">
        <v>9957</v>
      </c>
      <c r="M557" s="3" t="str">
        <f>HYPERLINK(склад2въезд131920212223[[#This Row],[RelativePath]])</f>
        <v>10 Сушилка навес\E33149364_3_20260122T143822Z.jpg</v>
      </c>
    </row>
    <row r="558" spans="1:13" x14ac:dyDescent="0.25">
      <c r="A558" s="2" t="s">
        <v>16</v>
      </c>
      <c r="B558" s="4">
        <v>46044</v>
      </c>
      <c r="C558" s="5">
        <v>0.65746527777777775</v>
      </c>
      <c r="D558" s="9" t="s">
        <v>505</v>
      </c>
      <c r="E558" s="9" t="s">
        <v>1570</v>
      </c>
      <c r="F558" s="9" t="s">
        <v>53</v>
      </c>
      <c r="H558" s="9"/>
      <c r="I558" s="9" t="s">
        <v>9958</v>
      </c>
      <c r="J558" s="9" t="s">
        <v>2940</v>
      </c>
      <c r="K558" t="s">
        <v>9959</v>
      </c>
      <c r="L558" t="s">
        <v>9960</v>
      </c>
      <c r="M558" s="3" t="str">
        <f>HYPERLINK(склад2въезд131920212223[[#This Row],[RelativePath]])</f>
        <v>10 Сушилка навес\E33149364_3_20260122T154645Z.jpg</v>
      </c>
    </row>
    <row r="559" spans="1:13" x14ac:dyDescent="0.25">
      <c r="A559" s="2" t="s">
        <v>17</v>
      </c>
      <c r="B559" s="4">
        <v>46045</v>
      </c>
      <c r="C559" s="5">
        <v>0.39099537037037035</v>
      </c>
      <c r="D559" s="9" t="s">
        <v>10316</v>
      </c>
      <c r="E559" s="9" t="s">
        <v>1570</v>
      </c>
      <c r="F559" s="9"/>
      <c r="H559" s="9"/>
      <c r="I559" s="9" t="s">
        <v>10260</v>
      </c>
      <c r="J559" s="9" t="s">
        <v>2940</v>
      </c>
      <c r="K559" t="s">
        <v>10261</v>
      </c>
      <c r="L559" t="s">
        <v>10262</v>
      </c>
      <c r="M559" s="3" t="str">
        <f>HYPERLINK(склад2въезд131920212223[[#This Row],[RelativePath]])</f>
        <v>10 Сушилка навес\E33149364_3_20260123T092302Z.jpg</v>
      </c>
    </row>
    <row r="560" spans="1:13" x14ac:dyDescent="0.25">
      <c r="A560" s="2" t="s">
        <v>17</v>
      </c>
      <c r="B560" s="4">
        <v>46045</v>
      </c>
      <c r="C560" s="5">
        <v>0.59203703703703703</v>
      </c>
      <c r="D560" s="9" t="s">
        <v>261</v>
      </c>
      <c r="E560" s="9" t="s">
        <v>9403</v>
      </c>
      <c r="F560" s="9" t="s">
        <v>58</v>
      </c>
      <c r="H560" s="9" t="s">
        <v>10317</v>
      </c>
      <c r="I560" s="9" t="s">
        <v>10268</v>
      </c>
      <c r="J560" s="9" t="s">
        <v>2940</v>
      </c>
      <c r="K560" t="s">
        <v>10269</v>
      </c>
      <c r="L560" t="s">
        <v>10270</v>
      </c>
      <c r="M560" s="3" t="str">
        <f>HYPERLINK(склад2въезд131920212223[[#This Row],[RelativePath]])</f>
        <v>10 Сушилка навес\E33149364_3_20260123T141232Z.jpg</v>
      </c>
    </row>
    <row r="561" spans="1:13" x14ac:dyDescent="0.25">
      <c r="A561" s="2" t="s">
        <v>17</v>
      </c>
      <c r="B561" s="4">
        <v>46045</v>
      </c>
      <c r="C561" s="5">
        <v>0.59375</v>
      </c>
      <c r="D561" s="9" t="s">
        <v>622</v>
      </c>
      <c r="E561" s="9" t="s">
        <v>9403</v>
      </c>
      <c r="F561" s="9" t="s">
        <v>58</v>
      </c>
      <c r="H561" s="9" t="s">
        <v>10318</v>
      </c>
      <c r="I561" s="9" t="s">
        <v>10271</v>
      </c>
      <c r="J561" s="9" t="s">
        <v>2940</v>
      </c>
      <c r="K561" t="s">
        <v>10272</v>
      </c>
      <c r="L561" t="s">
        <v>10273</v>
      </c>
      <c r="M561" s="3" t="str">
        <f>HYPERLINK(склад2въезд131920212223[[#This Row],[RelativePath]])</f>
        <v>10 Сушилка навес\E33149364_3_20260123T141500Z.jpg</v>
      </c>
    </row>
    <row r="562" spans="1:13" x14ac:dyDescent="0.25">
      <c r="A562" s="2" t="s">
        <v>18</v>
      </c>
      <c r="B562" s="4">
        <v>46046</v>
      </c>
      <c r="C562" s="5">
        <v>0.46934027777777776</v>
      </c>
      <c r="D562" s="9" t="s">
        <v>4</v>
      </c>
      <c r="E562" s="9" t="s">
        <v>10397</v>
      </c>
      <c r="F562" s="9"/>
      <c r="H562" s="9"/>
      <c r="I562" s="9" t="s">
        <v>10394</v>
      </c>
      <c r="J562" s="9" t="s">
        <v>2940</v>
      </c>
      <c r="K562" t="s">
        <v>10395</v>
      </c>
      <c r="L562" t="s">
        <v>10396</v>
      </c>
      <c r="M562" s="3" t="str">
        <f>HYPERLINK(склад2въезд131920212223[[#This Row],[RelativePath]])</f>
        <v>10 Сушилка навес\E33149364_3_20260124T111551Z.jpg</v>
      </c>
    </row>
    <row r="563" spans="1:13" x14ac:dyDescent="0.25">
      <c r="A563" s="2" t="s">
        <v>22</v>
      </c>
      <c r="B563" s="4">
        <v>46047</v>
      </c>
      <c r="C563" s="5">
        <v>0.70607638888888891</v>
      </c>
      <c r="D563" s="9" t="s">
        <v>4</v>
      </c>
      <c r="E563" s="9" t="s">
        <v>434</v>
      </c>
      <c r="F563" s="9"/>
      <c r="H563" s="9"/>
      <c r="I563" s="9" t="s">
        <v>10344</v>
      </c>
      <c r="J563" s="9" t="s">
        <v>2940</v>
      </c>
      <c r="K563" t="s">
        <v>10345</v>
      </c>
      <c r="L563" t="s">
        <v>10346</v>
      </c>
      <c r="M563" s="3" t="str">
        <f>HYPERLINK(склад2въезд131920212223[[#This Row],[RelativePath]])</f>
        <v>10 Сушилка навес\E33149364_3_20260125T165645Z.jpg</v>
      </c>
    </row>
    <row r="564" spans="1:13" x14ac:dyDescent="0.25">
      <c r="A564" s="2" t="s">
        <v>13</v>
      </c>
      <c r="B564" s="4">
        <v>46048</v>
      </c>
      <c r="C564" s="5">
        <v>0.52285879629629628</v>
      </c>
      <c r="D564" s="9" t="s">
        <v>4</v>
      </c>
      <c r="E564" s="9" t="s">
        <v>10508</v>
      </c>
      <c r="F564" s="9"/>
      <c r="H564" s="9"/>
      <c r="I564" s="9" t="s">
        <v>10470</v>
      </c>
      <c r="J564" s="9" t="s">
        <v>2940</v>
      </c>
      <c r="K564" t="s">
        <v>10471</v>
      </c>
      <c r="L564" t="s">
        <v>10472</v>
      </c>
      <c r="M564" s="3" t="str">
        <f>HYPERLINK(склад2въезд131920212223[[#This Row],[RelativePath]])</f>
        <v>10 Сушилка навес\E33149364_3_20260126T123255Z.jpg</v>
      </c>
    </row>
    <row r="565" spans="1:13" x14ac:dyDescent="0.25">
      <c r="A565" s="2" t="s">
        <v>14</v>
      </c>
      <c r="B565" s="4">
        <v>46049</v>
      </c>
      <c r="C565" s="5">
        <v>0.54361111111111116</v>
      </c>
      <c r="D565" s="9" t="s">
        <v>4</v>
      </c>
      <c r="E565" s="9" t="s">
        <v>10508</v>
      </c>
      <c r="F565" s="9"/>
      <c r="H565" s="9"/>
      <c r="I565" s="9" t="s">
        <v>10473</v>
      </c>
      <c r="J565" s="9" t="s">
        <v>2940</v>
      </c>
      <c r="K565" t="s">
        <v>10474</v>
      </c>
      <c r="L565" t="s">
        <v>10475</v>
      </c>
      <c r="M565" s="3" t="str">
        <f>HYPERLINK(склад2въезд131920212223[[#This Row],[RelativePath]])</f>
        <v>10 Сушилка навес\E33149364_3_20260127T130248Z.jpg</v>
      </c>
    </row>
    <row r="566" spans="1:13" x14ac:dyDescent="0.25">
      <c r="A566" s="2" t="s">
        <v>14</v>
      </c>
      <c r="B566" s="4">
        <v>46049</v>
      </c>
      <c r="C566" s="5">
        <v>0.67454861111111108</v>
      </c>
      <c r="D566" s="9" t="s">
        <v>4</v>
      </c>
      <c r="E566" s="9" t="s">
        <v>10508</v>
      </c>
      <c r="F566" s="9"/>
      <c r="H566" s="9"/>
      <c r="I566" s="9" t="s">
        <v>10476</v>
      </c>
      <c r="J566" s="9" t="s">
        <v>2940</v>
      </c>
      <c r="K566" t="s">
        <v>10477</v>
      </c>
      <c r="L566" t="s">
        <v>10478</v>
      </c>
      <c r="M566" s="3" t="str">
        <f>HYPERLINK(склад2въезд131920212223[[#This Row],[RelativePath]])</f>
        <v>10 Сушилка навес\E33149364_3_20260127T161121Z.jpg</v>
      </c>
    </row>
    <row r="567" spans="1:13" x14ac:dyDescent="0.25">
      <c r="A567" s="2" t="s">
        <v>14</v>
      </c>
      <c r="B567" s="4">
        <v>46049</v>
      </c>
      <c r="C567" s="5">
        <v>0.69666666666666666</v>
      </c>
      <c r="D567" s="9" t="s">
        <v>4</v>
      </c>
      <c r="E567" s="9" t="s">
        <v>10397</v>
      </c>
      <c r="F567" s="9"/>
      <c r="H567" s="9"/>
      <c r="I567" s="9" t="s">
        <v>10479</v>
      </c>
      <c r="J567" s="9" t="s">
        <v>2940</v>
      </c>
      <c r="K567" t="s">
        <v>10480</v>
      </c>
      <c r="L567" t="s">
        <v>10481</v>
      </c>
      <c r="M567" s="3" t="str">
        <f>HYPERLINK(склад2въезд131920212223[[#This Row],[RelativePath]])</f>
        <v>10 Сушилка навес\E33149364_3_20260127T164312Z.jpg</v>
      </c>
    </row>
    <row r="568" spans="1:13" x14ac:dyDescent="0.25">
      <c r="A568" s="2" t="s">
        <v>15</v>
      </c>
      <c r="B568" s="4">
        <v>46050</v>
      </c>
      <c r="C568" s="5">
        <v>0.4223263888888889</v>
      </c>
      <c r="D568" s="9" t="s">
        <v>4164</v>
      </c>
      <c r="E568" s="9" t="s">
        <v>86</v>
      </c>
      <c r="F568" s="9" t="s">
        <v>9088</v>
      </c>
      <c r="H568" s="9"/>
      <c r="I568" s="9" t="s">
        <v>10692</v>
      </c>
      <c r="J568" s="9" t="s">
        <v>2940</v>
      </c>
      <c r="K568" t="s">
        <v>10693</v>
      </c>
      <c r="L568" t="s">
        <v>10694</v>
      </c>
      <c r="M568" s="3" t="str">
        <f>HYPERLINK(склад2въезд131920212223[[#This Row],[RelativePath]])</f>
        <v>10 Сушилка навес\E33149364_3_20260128T100809Z.jpg</v>
      </c>
    </row>
    <row r="569" spans="1:13" x14ac:dyDescent="0.25">
      <c r="A569" s="2" t="s">
        <v>15</v>
      </c>
      <c r="B569" s="4">
        <v>46050</v>
      </c>
      <c r="C569" s="5">
        <v>0.61810185185185185</v>
      </c>
      <c r="D569" s="9" t="s">
        <v>505</v>
      </c>
      <c r="E569" s="9" t="s">
        <v>1570</v>
      </c>
      <c r="F569" s="9" t="s">
        <v>2884</v>
      </c>
      <c r="H569" s="9"/>
      <c r="I569" s="9" t="s">
        <v>10695</v>
      </c>
      <c r="J569" s="9" t="s">
        <v>2940</v>
      </c>
      <c r="K569" t="s">
        <v>10696</v>
      </c>
      <c r="L569" t="s">
        <v>10697</v>
      </c>
      <c r="M569" s="3" t="str">
        <f>HYPERLINK(склад2въезд131920212223[[#This Row],[RelativePath]])</f>
        <v>10 Сушилка навес\E33149364_3_20260128T145004Z.jpg</v>
      </c>
    </row>
    <row r="570" spans="1:13" x14ac:dyDescent="0.25">
      <c r="A570" s="2" t="s">
        <v>15</v>
      </c>
      <c r="B570" s="4">
        <v>46050</v>
      </c>
      <c r="C570" s="5">
        <v>0.65270833333333333</v>
      </c>
      <c r="D570" s="9" t="s">
        <v>4164</v>
      </c>
      <c r="E570" s="9" t="s">
        <v>86</v>
      </c>
      <c r="F570" s="9" t="s">
        <v>9088</v>
      </c>
      <c r="H570" s="9"/>
      <c r="I570" s="9" t="s">
        <v>10698</v>
      </c>
      <c r="J570" s="9" t="s">
        <v>2940</v>
      </c>
      <c r="K570" t="s">
        <v>10699</v>
      </c>
      <c r="L570" t="s">
        <v>10700</v>
      </c>
      <c r="M570" s="3" t="str">
        <f>HYPERLINK(склад2въезд131920212223[[#This Row],[RelativePath]])</f>
        <v>10 Сушилка навес\E33149364_3_20260128T153954Z.jpg</v>
      </c>
    </row>
    <row r="571" spans="1:13" x14ac:dyDescent="0.25">
      <c r="A571" s="2" t="s">
        <v>16</v>
      </c>
      <c r="B571" s="4">
        <v>46051</v>
      </c>
      <c r="C571" s="5">
        <v>0.53275462962962961</v>
      </c>
      <c r="D571" s="9" t="s">
        <v>505</v>
      </c>
      <c r="E571" s="9" t="s">
        <v>1570</v>
      </c>
      <c r="F571" s="9" t="s">
        <v>2884</v>
      </c>
      <c r="H571" s="9" t="s">
        <v>6258</v>
      </c>
      <c r="I571" s="9" t="s">
        <v>10701</v>
      </c>
      <c r="J571" s="9" t="s">
        <v>2940</v>
      </c>
      <c r="K571" t="s">
        <v>10702</v>
      </c>
      <c r="L571" t="s">
        <v>10703</v>
      </c>
      <c r="M571" s="3" t="str">
        <f>HYPERLINK(склад2въезд131920212223[[#This Row],[RelativePath]])</f>
        <v>10 Сушилка навес\E33149364_3_20260129T124710Z.jpg</v>
      </c>
    </row>
    <row r="572" spans="1:13" x14ac:dyDescent="0.25">
      <c r="A572" s="2" t="s">
        <v>16</v>
      </c>
      <c r="B572" s="4">
        <v>46051</v>
      </c>
      <c r="C572" s="5">
        <v>0.58608796296296295</v>
      </c>
      <c r="D572" s="9" t="s">
        <v>505</v>
      </c>
      <c r="E572" s="9" t="s">
        <v>1570</v>
      </c>
      <c r="F572" s="9" t="s">
        <v>2884</v>
      </c>
      <c r="H572" s="9"/>
      <c r="I572" s="9" t="s">
        <v>10704</v>
      </c>
      <c r="J572" s="9" t="s">
        <v>2940</v>
      </c>
      <c r="K572" t="s">
        <v>10705</v>
      </c>
      <c r="L572" t="s">
        <v>10706</v>
      </c>
      <c r="M572" s="3" t="str">
        <f>HYPERLINK(склад2въезд131920212223[[#This Row],[RelativePath]])</f>
        <v>10 Сушилка навес\E33149364_3_20260129T140358Z.jpg</v>
      </c>
    </row>
    <row r="573" spans="1:13" x14ac:dyDescent="0.25">
      <c r="A573" s="2" t="s">
        <v>16</v>
      </c>
      <c r="B573" s="4">
        <v>46051</v>
      </c>
      <c r="C573" s="5">
        <v>0.58915509259259258</v>
      </c>
      <c r="D573" s="9" t="s">
        <v>505</v>
      </c>
      <c r="E573" s="9" t="s">
        <v>1570</v>
      </c>
      <c r="F573" s="9" t="s">
        <v>2884</v>
      </c>
      <c r="H573" s="9"/>
      <c r="I573" s="9" t="s">
        <v>10707</v>
      </c>
      <c r="J573" s="9" t="s">
        <v>2940</v>
      </c>
      <c r="K573" t="s">
        <v>10708</v>
      </c>
      <c r="L573" t="s">
        <v>10709</v>
      </c>
      <c r="M573" s="3" t="str">
        <f>HYPERLINK(склад2въезд131920212223[[#This Row],[RelativePath]])</f>
        <v>10 Сушилка навес\E33149364_3_20260129T140823Z.jpg</v>
      </c>
    </row>
    <row r="574" spans="1:13" x14ac:dyDescent="0.25">
      <c r="A574" s="2" t="s">
        <v>16</v>
      </c>
      <c r="B574" s="4">
        <v>46051</v>
      </c>
      <c r="C574" s="5">
        <v>0.62744212962962964</v>
      </c>
      <c r="D574" s="9" t="s">
        <v>505</v>
      </c>
      <c r="E574" s="9" t="s">
        <v>1570</v>
      </c>
      <c r="F574" s="9" t="s">
        <v>2884</v>
      </c>
      <c r="H574" s="9"/>
      <c r="I574" s="9" t="s">
        <v>10710</v>
      </c>
      <c r="J574" s="9" t="s">
        <v>2940</v>
      </c>
      <c r="K574" t="s">
        <v>10711</v>
      </c>
      <c r="L574" t="s">
        <v>10712</v>
      </c>
      <c r="M574" s="3" t="str">
        <f>HYPERLINK(склад2въезд131920212223[[#This Row],[RelativePath]])</f>
        <v>10 Сушилка навес\E33149364_3_20260129T150331Z.jpg</v>
      </c>
    </row>
    <row r="575" spans="1:13" x14ac:dyDescent="0.25">
      <c r="A575" s="2" t="s">
        <v>16</v>
      </c>
      <c r="B575" s="4">
        <v>46051</v>
      </c>
      <c r="C575" s="5">
        <v>0.63372685185185185</v>
      </c>
      <c r="D575" s="9" t="s">
        <v>505</v>
      </c>
      <c r="E575" s="9" t="s">
        <v>1570</v>
      </c>
      <c r="F575" s="9" t="s">
        <v>2884</v>
      </c>
      <c r="H575" s="9"/>
      <c r="I575" s="9" t="s">
        <v>10713</v>
      </c>
      <c r="J575" s="9" t="s">
        <v>2940</v>
      </c>
      <c r="K575" t="s">
        <v>10714</v>
      </c>
      <c r="L575" t="s">
        <v>10715</v>
      </c>
      <c r="M575" s="3" t="str">
        <f>HYPERLINK(склад2въезд131920212223[[#This Row],[RelativePath]])</f>
        <v>10 Сушилка навес\E33149364_3_20260129T151234Z.jpg</v>
      </c>
    </row>
    <row r="576" spans="1:13" x14ac:dyDescent="0.25">
      <c r="A576" s="2" t="s">
        <v>16</v>
      </c>
      <c r="B576" s="4">
        <v>46051</v>
      </c>
      <c r="C576" s="5">
        <v>0.69541666666666668</v>
      </c>
      <c r="D576" s="9" t="s">
        <v>505</v>
      </c>
      <c r="E576" s="9" t="s">
        <v>1570</v>
      </c>
      <c r="F576" s="9" t="s">
        <v>2884</v>
      </c>
      <c r="H576" s="9"/>
      <c r="I576" s="9" t="s">
        <v>10716</v>
      </c>
      <c r="J576" s="9" t="s">
        <v>2940</v>
      </c>
      <c r="K576" t="s">
        <v>10717</v>
      </c>
      <c r="L576" t="s">
        <v>10718</v>
      </c>
      <c r="M576" s="3" t="str">
        <f>HYPERLINK(склад2въезд131920212223[[#This Row],[RelativePath]])</f>
        <v>10 Сушилка навес\E33149364_3_20260129T164124Z.jpg</v>
      </c>
    </row>
    <row r="577" spans="1:13" x14ac:dyDescent="0.25">
      <c r="A577" s="2" t="s">
        <v>16</v>
      </c>
      <c r="B577" s="4">
        <v>46051</v>
      </c>
      <c r="C577" s="5">
        <v>0.7123842592592593</v>
      </c>
      <c r="D577" s="9" t="s">
        <v>505</v>
      </c>
      <c r="E577" s="9" t="s">
        <v>1570</v>
      </c>
      <c r="F577" s="9" t="s">
        <v>2884</v>
      </c>
      <c r="H577" s="9"/>
      <c r="I577" s="9" t="s">
        <v>10719</v>
      </c>
      <c r="J577" s="9" t="s">
        <v>2940</v>
      </c>
      <c r="K577" t="s">
        <v>10720</v>
      </c>
      <c r="L577" t="s">
        <v>10721</v>
      </c>
      <c r="M577" s="3" t="str">
        <f>HYPERLINK(склад2въезд131920212223[[#This Row],[RelativePath]])</f>
        <v>10 Сушилка навес\E33149364_3_20260129T170550Z.jpg</v>
      </c>
    </row>
    <row r="578" spans="1:13" x14ac:dyDescent="0.25">
      <c r="A578" s="2" t="s">
        <v>17</v>
      </c>
      <c r="B578" s="4">
        <v>46052</v>
      </c>
      <c r="C578" s="5">
        <v>0.37525462962962963</v>
      </c>
      <c r="D578" s="9" t="s">
        <v>1569</v>
      </c>
      <c r="E578" s="9" t="s">
        <v>70</v>
      </c>
      <c r="F578" s="9"/>
      <c r="H578" s="9"/>
      <c r="I578" s="9" t="s">
        <v>10822</v>
      </c>
      <c r="J578" s="9" t="s">
        <v>2940</v>
      </c>
      <c r="K578" t="s">
        <v>10823</v>
      </c>
      <c r="L578" t="s">
        <v>10824</v>
      </c>
      <c r="M578" s="3" t="str">
        <f>HYPERLINK(склад2въезд131920212223[[#This Row],[RelativePath]])</f>
        <v>10 Сушилка навес\E33149364_3_20260130T090022Z.jpg</v>
      </c>
    </row>
    <row r="579" spans="1:13" x14ac:dyDescent="0.25">
      <c r="A579" s="2" t="s">
        <v>17</v>
      </c>
      <c r="B579" s="4">
        <v>46052</v>
      </c>
      <c r="C579" s="5">
        <v>0.38319444444444445</v>
      </c>
      <c r="D579" s="9" t="s">
        <v>261</v>
      </c>
      <c r="E579" s="9" t="s">
        <v>70</v>
      </c>
      <c r="F579" s="9" t="s">
        <v>10873</v>
      </c>
      <c r="H579" s="9"/>
      <c r="I579" s="9" t="s">
        <v>10825</v>
      </c>
      <c r="J579" s="9" t="s">
        <v>2940</v>
      </c>
      <c r="K579" t="s">
        <v>10826</v>
      </c>
      <c r="L579" t="s">
        <v>10827</v>
      </c>
      <c r="M579" s="3" t="str">
        <f>HYPERLINK(склад2въезд131920212223[[#This Row],[RelativePath]])</f>
        <v>10 Сушилка навес\E33149364_3_20260130T091148Z.jpg</v>
      </c>
    </row>
    <row r="580" spans="1:13" x14ac:dyDescent="0.25">
      <c r="A580" s="2" t="s">
        <v>17</v>
      </c>
      <c r="B580" s="4">
        <v>46052</v>
      </c>
      <c r="C580" s="5">
        <v>0.3832638888888889</v>
      </c>
      <c r="D580" s="9" t="s">
        <v>261</v>
      </c>
      <c r="E580" s="9" t="s">
        <v>70</v>
      </c>
      <c r="F580" s="9" t="s">
        <v>10873</v>
      </c>
      <c r="H580" s="9" t="s">
        <v>2891</v>
      </c>
      <c r="I580" s="9" t="s">
        <v>10828</v>
      </c>
      <c r="J580" s="9" t="s">
        <v>2940</v>
      </c>
      <c r="K580" t="s">
        <v>10829</v>
      </c>
      <c r="L580" t="s">
        <v>10830</v>
      </c>
      <c r="M580" s="3" t="str">
        <f>HYPERLINK(склад2въезд131920212223[[#This Row],[RelativePath]])</f>
        <v>10 Сушилка навес\E33149364_3_20260130T091154Z.jpg</v>
      </c>
    </row>
    <row r="581" spans="1:13" x14ac:dyDescent="0.25">
      <c r="A581" s="2" t="s">
        <v>17</v>
      </c>
      <c r="B581" s="4">
        <v>46052</v>
      </c>
      <c r="C581" s="5">
        <v>0.38341435185185185</v>
      </c>
      <c r="D581" s="9" t="s">
        <v>261</v>
      </c>
      <c r="E581" s="9" t="s">
        <v>70</v>
      </c>
      <c r="F581" s="9" t="s">
        <v>10873</v>
      </c>
      <c r="H581" s="9" t="s">
        <v>2891</v>
      </c>
      <c r="I581" s="9" t="s">
        <v>10831</v>
      </c>
      <c r="J581" s="9" t="s">
        <v>2940</v>
      </c>
      <c r="K581" t="s">
        <v>10832</v>
      </c>
      <c r="L581" t="s">
        <v>10833</v>
      </c>
      <c r="M581" s="3" t="str">
        <f>HYPERLINK(склад2въезд131920212223[[#This Row],[RelativePath]])</f>
        <v>10 Сушилка навес\E33149364_3_20260130T091207Z.jpg</v>
      </c>
    </row>
    <row r="582" spans="1:13" x14ac:dyDescent="0.25">
      <c r="A582" s="2" t="s">
        <v>17</v>
      </c>
      <c r="B582" s="4">
        <v>46052</v>
      </c>
      <c r="C582" s="5">
        <v>0.38377314814814817</v>
      </c>
      <c r="D582" s="9" t="s">
        <v>261</v>
      </c>
      <c r="E582" s="9" t="s">
        <v>70</v>
      </c>
      <c r="F582" s="9" t="s">
        <v>10873</v>
      </c>
      <c r="H582" s="9" t="s">
        <v>2891</v>
      </c>
      <c r="I582" s="9" t="s">
        <v>10834</v>
      </c>
      <c r="J582" s="9" t="s">
        <v>2940</v>
      </c>
      <c r="K582" t="s">
        <v>10835</v>
      </c>
      <c r="L582" t="s">
        <v>10836</v>
      </c>
      <c r="M582" s="3" t="str">
        <f>HYPERLINK(склад2въезд131920212223[[#This Row],[RelativePath]])</f>
        <v>10 Сушилка навес\E33149364_3_20260130T091238Z.jpg</v>
      </c>
    </row>
    <row r="583" spans="1:13" x14ac:dyDescent="0.25">
      <c r="A583" s="2" t="s">
        <v>17</v>
      </c>
      <c r="B583" s="4">
        <v>46052</v>
      </c>
      <c r="C583" s="5">
        <v>0.38449074074074074</v>
      </c>
      <c r="D583" s="9" t="s">
        <v>622</v>
      </c>
      <c r="E583" s="9" t="s">
        <v>70</v>
      </c>
      <c r="F583" s="9"/>
      <c r="H583" s="9"/>
      <c r="I583" s="9" t="s">
        <v>10837</v>
      </c>
      <c r="J583" s="9" t="s">
        <v>2940</v>
      </c>
      <c r="K583" t="s">
        <v>10838</v>
      </c>
      <c r="L583" t="s">
        <v>10839</v>
      </c>
      <c r="M583" s="3" t="str">
        <f>HYPERLINK(склад2въезд131920212223[[#This Row],[RelativePath]])</f>
        <v>10 Сушилка навес\E33149364_3_20260130T091340Z.jpg</v>
      </c>
    </row>
    <row r="584" spans="1:13" x14ac:dyDescent="0.25">
      <c r="A584" s="2" t="s">
        <v>17</v>
      </c>
      <c r="B584" s="4">
        <v>46052</v>
      </c>
      <c r="C584" s="5">
        <v>0.4107986111111111</v>
      </c>
      <c r="D584" s="9" t="s">
        <v>4164</v>
      </c>
      <c r="E584" s="9" t="s">
        <v>86</v>
      </c>
      <c r="F584" s="9" t="s">
        <v>9088</v>
      </c>
      <c r="H584" s="9"/>
      <c r="I584" s="9" t="s">
        <v>10840</v>
      </c>
      <c r="J584" s="9" t="s">
        <v>2940</v>
      </c>
      <c r="K584" t="s">
        <v>10841</v>
      </c>
      <c r="L584" t="s">
        <v>10842</v>
      </c>
      <c r="M584" s="3" t="str">
        <f>HYPERLINK(склад2въезд131920212223[[#This Row],[RelativePath]])</f>
        <v>10 Сушилка навес\E33149364_3_20260130T095133Z.jpg</v>
      </c>
    </row>
    <row r="585" spans="1:13" x14ac:dyDescent="0.25">
      <c r="A585" s="2" t="s">
        <v>17</v>
      </c>
      <c r="B585" s="4">
        <v>46052</v>
      </c>
      <c r="C585" s="5">
        <v>0.57089120370370372</v>
      </c>
      <c r="D585" s="9" t="s">
        <v>159</v>
      </c>
      <c r="E585" s="9" t="s">
        <v>10015</v>
      </c>
      <c r="F585" s="9"/>
      <c r="H585" s="9"/>
      <c r="I585" s="9" t="s">
        <v>10843</v>
      </c>
      <c r="J585" s="9" t="s">
        <v>2940</v>
      </c>
      <c r="K585" t="s">
        <v>10844</v>
      </c>
      <c r="L585" t="s">
        <v>10845</v>
      </c>
      <c r="M585" s="3" t="str">
        <f>HYPERLINK(склад2въезд131920212223[[#This Row],[RelativePath]])</f>
        <v>10 Сушилка навес\E33149364_3_20260130T134205Z.jpg</v>
      </c>
    </row>
    <row r="586" spans="1:13" x14ac:dyDescent="0.25">
      <c r="A586" s="2" t="s">
        <v>17</v>
      </c>
      <c r="B586" s="4">
        <v>46052</v>
      </c>
      <c r="C586" s="5">
        <v>0.57483796296296297</v>
      </c>
      <c r="D586" s="9" t="s">
        <v>1569</v>
      </c>
      <c r="E586" s="9" t="s">
        <v>10015</v>
      </c>
      <c r="F586" s="9"/>
      <c r="H586" s="9"/>
      <c r="I586" s="9" t="s">
        <v>10846</v>
      </c>
      <c r="J586" s="9" t="s">
        <v>2940</v>
      </c>
      <c r="K586" t="s">
        <v>10847</v>
      </c>
      <c r="L586" t="s">
        <v>10848</v>
      </c>
      <c r="M586" s="3" t="str">
        <f>HYPERLINK(склад2въезд131920212223[[#This Row],[RelativePath]])</f>
        <v>10 Сушилка навес\E33149364_3_20260130T134746Z.jpg</v>
      </c>
    </row>
    <row r="587" spans="1:13" x14ac:dyDescent="0.25">
      <c r="A587" s="2" t="s">
        <v>17</v>
      </c>
      <c r="B587" s="4">
        <v>46052</v>
      </c>
      <c r="C587" s="5">
        <v>0.60657407407407404</v>
      </c>
      <c r="D587" s="9" t="s">
        <v>4</v>
      </c>
      <c r="E587" s="9" t="s">
        <v>10874</v>
      </c>
      <c r="F587" s="9"/>
      <c r="H587" s="9"/>
      <c r="I587" s="9" t="s">
        <v>10849</v>
      </c>
      <c r="J587" s="9" t="s">
        <v>2940</v>
      </c>
      <c r="K587" t="s">
        <v>10850</v>
      </c>
      <c r="L587" t="s">
        <v>10851</v>
      </c>
      <c r="M587" s="3" t="str">
        <f>HYPERLINK(склад2въезд131920212223[[#This Row],[RelativePath]])</f>
        <v>10 Сушилка навес\E33149364_3_20260130T143328Z.jpg</v>
      </c>
    </row>
    <row r="588" spans="1:13" x14ac:dyDescent="0.25">
      <c r="A588" s="2" t="s">
        <v>17</v>
      </c>
      <c r="B588" s="4">
        <v>46052</v>
      </c>
      <c r="C588" s="5">
        <v>0.89500000000000002</v>
      </c>
      <c r="D588" s="9" t="s">
        <v>622</v>
      </c>
      <c r="E588" s="9" t="s">
        <v>10015</v>
      </c>
      <c r="F588" s="9"/>
      <c r="H588" s="9"/>
      <c r="I588" s="9" t="s">
        <v>10852</v>
      </c>
      <c r="J588" s="9" t="s">
        <v>2940</v>
      </c>
      <c r="K588" t="s">
        <v>10853</v>
      </c>
      <c r="L588" t="s">
        <v>10854</v>
      </c>
      <c r="M588" s="3" t="str">
        <f>HYPERLINK(склад2въезд131920212223[[#This Row],[RelativePath]])</f>
        <v>10 Сушилка навес\E33149364_3_20260130T212848Z.jpg</v>
      </c>
    </row>
    <row r="589" spans="1:13" x14ac:dyDescent="0.25">
      <c r="A589" s="2" t="s">
        <v>18</v>
      </c>
      <c r="B589" s="4">
        <v>46053</v>
      </c>
      <c r="C589" s="5">
        <v>0.49326388888888889</v>
      </c>
      <c r="D589" s="9" t="s">
        <v>261</v>
      </c>
      <c r="E589" s="9" t="s">
        <v>10988</v>
      </c>
      <c r="F589" s="9" t="s">
        <v>7081</v>
      </c>
      <c r="G589">
        <v>1</v>
      </c>
      <c r="H589" s="9"/>
      <c r="I589" s="9" t="s">
        <v>10940</v>
      </c>
      <c r="J589" s="9" t="s">
        <v>2940</v>
      </c>
      <c r="K589" t="s">
        <v>10941</v>
      </c>
      <c r="L589" t="s">
        <v>10942</v>
      </c>
      <c r="M589" s="3" t="str">
        <f>HYPERLINK(склад2въезд131920212223[[#This Row],[RelativePath]])</f>
        <v>10 Сушилка навес\E33149364_3_20260131T115018Z.jpg</v>
      </c>
    </row>
    <row r="590" spans="1:13" x14ac:dyDescent="0.25">
      <c r="A590" s="2" t="s">
        <v>18</v>
      </c>
      <c r="B590" s="4">
        <v>46053</v>
      </c>
      <c r="C590" s="5">
        <v>0.49449074074074073</v>
      </c>
      <c r="D590" s="9" t="s">
        <v>261</v>
      </c>
      <c r="E590" s="9" t="s">
        <v>10988</v>
      </c>
      <c r="F590" s="9" t="s">
        <v>7081</v>
      </c>
      <c r="G590">
        <v>1</v>
      </c>
      <c r="H590" s="9"/>
      <c r="I590" s="9" t="s">
        <v>10943</v>
      </c>
      <c r="J590" s="9" t="s">
        <v>2940</v>
      </c>
      <c r="K590" t="s">
        <v>10944</v>
      </c>
      <c r="L590" t="s">
        <v>10945</v>
      </c>
      <c r="M590" s="3" t="str">
        <f>HYPERLINK(склад2въезд131920212223[[#This Row],[RelativePath]])</f>
        <v>10 Сушилка навес\E33149364_3_20260131T115204Z.jpg</v>
      </c>
    </row>
    <row r="591" spans="1:13" x14ac:dyDescent="0.25">
      <c r="A591" s="2" t="s">
        <v>18</v>
      </c>
      <c r="B591" s="4">
        <v>46053</v>
      </c>
      <c r="C591" s="5">
        <v>0.49556712962962962</v>
      </c>
      <c r="D591" s="9" t="s">
        <v>261</v>
      </c>
      <c r="E591" s="9" t="s">
        <v>10988</v>
      </c>
      <c r="F591" s="9" t="s">
        <v>7081</v>
      </c>
      <c r="G591">
        <v>1</v>
      </c>
      <c r="H591" s="9"/>
      <c r="I591" s="9" t="s">
        <v>10946</v>
      </c>
      <c r="J591" s="9" t="s">
        <v>2940</v>
      </c>
      <c r="K591" t="s">
        <v>10947</v>
      </c>
      <c r="L591" t="s">
        <v>10948</v>
      </c>
      <c r="M591" s="3" t="str">
        <f>HYPERLINK(склад2въезд131920212223[[#This Row],[RelativePath]])</f>
        <v>10 Сушилка навес\E33149364_3_20260131T115337Z.jpg</v>
      </c>
    </row>
    <row r="592" spans="1:13" x14ac:dyDescent="0.25">
      <c r="A592" s="2" t="s">
        <v>18</v>
      </c>
      <c r="B592" s="4">
        <v>46053</v>
      </c>
      <c r="C592" s="5">
        <v>0.49659722222222225</v>
      </c>
      <c r="D592" s="9" t="s">
        <v>261</v>
      </c>
      <c r="E592" s="9" t="s">
        <v>10988</v>
      </c>
      <c r="F592" s="9" t="s">
        <v>7081</v>
      </c>
      <c r="G592">
        <v>1</v>
      </c>
      <c r="H592" s="9"/>
      <c r="I592" s="9" t="s">
        <v>10949</v>
      </c>
      <c r="J592" s="9" t="s">
        <v>2940</v>
      </c>
      <c r="K592" t="s">
        <v>10950</v>
      </c>
      <c r="L592" t="s">
        <v>10951</v>
      </c>
      <c r="M592" s="3" t="str">
        <f>HYPERLINK(склад2въезд131920212223[[#This Row],[RelativePath]])</f>
        <v>10 Сушилка навес\E33149364_3_20260131T115506Z.jpg</v>
      </c>
    </row>
    <row r="593" spans="1:13" x14ac:dyDescent="0.25">
      <c r="A593" s="2" t="s">
        <v>18</v>
      </c>
      <c r="B593" s="4">
        <v>46053</v>
      </c>
      <c r="C593" s="5">
        <v>0.49760416666666668</v>
      </c>
      <c r="D593" s="9" t="s">
        <v>261</v>
      </c>
      <c r="E593" s="9" t="s">
        <v>10988</v>
      </c>
      <c r="F593" s="9" t="s">
        <v>7081</v>
      </c>
      <c r="G593">
        <v>1</v>
      </c>
      <c r="H593" s="9"/>
      <c r="I593" s="9" t="s">
        <v>10952</v>
      </c>
      <c r="J593" s="9" t="s">
        <v>2940</v>
      </c>
      <c r="K593" t="s">
        <v>10953</v>
      </c>
      <c r="L593" t="s">
        <v>10954</v>
      </c>
      <c r="M593" s="3" t="str">
        <f>HYPERLINK(склад2въезд131920212223[[#This Row],[RelativePath]])</f>
        <v>10 Сушилка навес\E33149364_3_20260131T115633Z.jpg</v>
      </c>
    </row>
    <row r="594" spans="1:13" x14ac:dyDescent="0.25">
      <c r="A594" s="2" t="s">
        <v>18</v>
      </c>
      <c r="B594" s="4">
        <v>46053</v>
      </c>
      <c r="C594" s="5">
        <v>0.49864583333333334</v>
      </c>
      <c r="D594" s="9" t="s">
        <v>261</v>
      </c>
      <c r="E594" s="9" t="s">
        <v>10988</v>
      </c>
      <c r="F594" s="9" t="s">
        <v>7081</v>
      </c>
      <c r="G594">
        <v>1</v>
      </c>
      <c r="H594" s="9"/>
      <c r="I594" s="9" t="s">
        <v>10955</v>
      </c>
      <c r="J594" s="9" t="s">
        <v>2940</v>
      </c>
      <c r="K594" t="s">
        <v>10956</v>
      </c>
      <c r="L594" t="s">
        <v>10957</v>
      </c>
      <c r="M594" s="3" t="str">
        <f>HYPERLINK(склад2въезд131920212223[[#This Row],[RelativePath]])</f>
        <v>10 Сушилка навес\E33149364_3_20260131T115803Z.jpg</v>
      </c>
    </row>
    <row r="595" spans="1:13" x14ac:dyDescent="0.25">
      <c r="A595" s="2" t="s">
        <v>18</v>
      </c>
      <c r="B595" s="4">
        <v>46053</v>
      </c>
      <c r="C595" s="5">
        <v>0.49983796296296296</v>
      </c>
      <c r="D595" s="9" t="s">
        <v>261</v>
      </c>
      <c r="E595" s="9" t="s">
        <v>10988</v>
      </c>
      <c r="F595" s="9" t="s">
        <v>7081</v>
      </c>
      <c r="G595">
        <v>1</v>
      </c>
      <c r="H595" s="9"/>
      <c r="I595" s="9" t="s">
        <v>10958</v>
      </c>
      <c r="J595" s="9" t="s">
        <v>2940</v>
      </c>
      <c r="K595" t="s">
        <v>10959</v>
      </c>
      <c r="L595" t="s">
        <v>10960</v>
      </c>
      <c r="M595" s="3" t="str">
        <f>HYPERLINK(склад2въезд131920212223[[#This Row],[RelativePath]])</f>
        <v>10 Сушилка навес\E33149364_3_20260131T115946Z.jpg</v>
      </c>
    </row>
    <row r="596" spans="1:13" x14ac:dyDescent="0.25">
      <c r="A596" s="2" t="s">
        <v>18</v>
      </c>
      <c r="B596" s="4">
        <v>46053</v>
      </c>
      <c r="C596" s="5">
        <v>0.50087962962962962</v>
      </c>
      <c r="D596" s="9" t="s">
        <v>261</v>
      </c>
      <c r="E596" s="9" t="s">
        <v>10988</v>
      </c>
      <c r="F596" s="9" t="s">
        <v>7081</v>
      </c>
      <c r="G596">
        <v>1</v>
      </c>
      <c r="H596" s="9"/>
      <c r="I596" s="9" t="s">
        <v>10961</v>
      </c>
      <c r="J596" s="9" t="s">
        <v>2940</v>
      </c>
      <c r="K596" t="s">
        <v>10962</v>
      </c>
      <c r="L596" t="s">
        <v>10963</v>
      </c>
      <c r="M596" s="3" t="str">
        <f>HYPERLINK(склад2въезд131920212223[[#This Row],[RelativePath]])</f>
        <v>10 Сушилка навес\E33149364_3_20260131T120116Z.jpg</v>
      </c>
    </row>
    <row r="597" spans="1:13" x14ac:dyDescent="0.25">
      <c r="A597" s="2" t="s">
        <v>18</v>
      </c>
      <c r="B597" s="4">
        <v>46053</v>
      </c>
      <c r="C597" s="5">
        <v>0.50236111111111115</v>
      </c>
      <c r="D597" s="9" t="s">
        <v>261</v>
      </c>
      <c r="E597" s="9" t="s">
        <v>10988</v>
      </c>
      <c r="F597" s="9" t="s">
        <v>7081</v>
      </c>
      <c r="G597">
        <v>1</v>
      </c>
      <c r="H597" s="9"/>
      <c r="I597" s="9" t="s">
        <v>10964</v>
      </c>
      <c r="J597" s="9" t="s">
        <v>2940</v>
      </c>
      <c r="K597" t="s">
        <v>10965</v>
      </c>
      <c r="L597" t="s">
        <v>10966</v>
      </c>
      <c r="M597" s="3" t="str">
        <f>HYPERLINK(склад2въезд131920212223[[#This Row],[RelativePath]])</f>
        <v>10 Сушилка навес\E33149364_3_20260131T120324Z.jpg</v>
      </c>
    </row>
    <row r="598" spans="1:13" x14ac:dyDescent="0.25">
      <c r="A598" s="2" t="s">
        <v>18</v>
      </c>
      <c r="B598" s="4">
        <v>46053</v>
      </c>
      <c r="C598" s="5">
        <v>0.50332175925925926</v>
      </c>
      <c r="D598" s="9" t="s">
        <v>261</v>
      </c>
      <c r="E598" s="9" t="s">
        <v>10988</v>
      </c>
      <c r="F598" s="9" t="s">
        <v>7081</v>
      </c>
      <c r="G598">
        <v>1</v>
      </c>
      <c r="H598" s="9"/>
      <c r="I598" s="9" t="s">
        <v>10967</v>
      </c>
      <c r="J598" s="9" t="s">
        <v>2940</v>
      </c>
      <c r="K598" t="s">
        <v>10968</v>
      </c>
      <c r="L598" t="s">
        <v>10969</v>
      </c>
      <c r="M598" s="3" t="str">
        <f>HYPERLINK(склад2въезд131920212223[[#This Row],[RelativePath]])</f>
        <v>10 Сушилка навес\E33149364_3_20260131T120447Z.jpg</v>
      </c>
    </row>
    <row r="599" spans="1:13" x14ac:dyDescent="0.25">
      <c r="A599" s="2" t="s">
        <v>18</v>
      </c>
      <c r="B599" s="4">
        <v>46053</v>
      </c>
      <c r="C599" s="5">
        <v>0.50494212962962959</v>
      </c>
      <c r="D599" s="9" t="s">
        <v>261</v>
      </c>
      <c r="E599" s="9" t="s">
        <v>10988</v>
      </c>
      <c r="F599" s="9" t="s">
        <v>7081</v>
      </c>
      <c r="G599">
        <v>1</v>
      </c>
      <c r="H599" s="9"/>
      <c r="I599" s="9" t="s">
        <v>10970</v>
      </c>
      <c r="J599" s="9" t="s">
        <v>2940</v>
      </c>
      <c r="K599" t="s">
        <v>10971</v>
      </c>
      <c r="L599" t="s">
        <v>10972</v>
      </c>
      <c r="M599" s="3" t="str">
        <f>HYPERLINK(склад2въезд131920212223[[#This Row],[RelativePath]])</f>
        <v>10 Сушилка навес\E33149364_3_20260131T120707Z.jpg</v>
      </c>
    </row>
    <row r="600" spans="1:13" x14ac:dyDescent="0.25">
      <c r="A600" s="2" t="s">
        <v>18</v>
      </c>
      <c r="B600" s="4">
        <v>46053</v>
      </c>
      <c r="C600" s="5">
        <v>0.50526620370370368</v>
      </c>
      <c r="D600" s="9" t="s">
        <v>622</v>
      </c>
      <c r="E600" s="9" t="s">
        <v>10988</v>
      </c>
      <c r="F600" s="9"/>
      <c r="H600" s="9"/>
      <c r="I600" s="9" t="s">
        <v>10973</v>
      </c>
      <c r="J600" s="9" t="s">
        <v>2940</v>
      </c>
      <c r="K600" t="s">
        <v>10974</v>
      </c>
      <c r="L600" t="s">
        <v>10975</v>
      </c>
      <c r="M600" s="3" t="str">
        <f>HYPERLINK(склад2въезд131920212223[[#This Row],[RelativePath]])</f>
        <v>10 Сушилка навес\E33149364_3_20260131T120735Z.jpg</v>
      </c>
    </row>
    <row r="601" spans="1:13" x14ac:dyDescent="0.25">
      <c r="A601" s="2" t="s">
        <v>22</v>
      </c>
      <c r="B601" s="4">
        <v>46054</v>
      </c>
      <c r="C601" s="5">
        <v>0.52239583333333328</v>
      </c>
      <c r="D601" s="9" t="s">
        <v>505</v>
      </c>
      <c r="E601" s="9" t="s">
        <v>1570</v>
      </c>
      <c r="F601" s="9" t="s">
        <v>2884</v>
      </c>
      <c r="H601" s="9"/>
      <c r="I601" s="9" t="s">
        <v>10976</v>
      </c>
      <c r="J601" s="9" t="s">
        <v>2940</v>
      </c>
      <c r="K601" t="s">
        <v>10977</v>
      </c>
      <c r="L601" t="s">
        <v>10978</v>
      </c>
      <c r="M601" s="3" t="str">
        <f>HYPERLINK(склад2въезд131920212223[[#This Row],[RelativePath]])</f>
        <v>10 Сушилка навес\E33149364_3_20260201T123215Z.jpg</v>
      </c>
    </row>
    <row r="602" spans="1:13" x14ac:dyDescent="0.25">
      <c r="A602" s="2" t="s">
        <v>22</v>
      </c>
      <c r="B602" s="4">
        <v>46054</v>
      </c>
      <c r="C602" s="5">
        <v>0.53148148148148144</v>
      </c>
      <c r="D602" s="9" t="s">
        <v>505</v>
      </c>
      <c r="E602" s="9" t="s">
        <v>1570</v>
      </c>
      <c r="F602" s="9" t="s">
        <v>2884</v>
      </c>
      <c r="H602" s="9"/>
      <c r="I602" s="9" t="s">
        <v>10979</v>
      </c>
      <c r="J602" s="9" t="s">
        <v>2940</v>
      </c>
      <c r="K602" t="s">
        <v>10980</v>
      </c>
      <c r="L602" t="s">
        <v>10981</v>
      </c>
      <c r="M602" s="3" t="str">
        <f>HYPERLINK(склад2въезд131920212223[[#This Row],[RelativePath]])</f>
        <v>10 Сушилка навес\E33149364_3_20260201T124520Z.jpg</v>
      </c>
    </row>
    <row r="603" spans="1:13" x14ac:dyDescent="0.25">
      <c r="A603" s="2" t="s">
        <v>13</v>
      </c>
      <c r="B603" s="4">
        <v>46055</v>
      </c>
      <c r="C603" s="5">
        <v>0.39371527777777776</v>
      </c>
      <c r="D603" s="9" t="s">
        <v>505</v>
      </c>
      <c r="E603" s="9" t="s">
        <v>1570</v>
      </c>
      <c r="F603" s="9" t="s">
        <v>2884</v>
      </c>
      <c r="H603" s="9"/>
      <c r="I603" s="9" t="s">
        <v>11114</v>
      </c>
      <c r="J603" s="9" t="s">
        <v>2940</v>
      </c>
      <c r="K603" t="s">
        <v>11115</v>
      </c>
      <c r="L603" t="s">
        <v>11116</v>
      </c>
      <c r="M603" s="3" t="str">
        <f>HYPERLINK(склад2въезд131920212223[[#This Row],[RelativePath]])</f>
        <v>10 Сушилка навес\E33149364_3_20260202T092657Z.jpg</v>
      </c>
    </row>
    <row r="604" spans="1:13" x14ac:dyDescent="0.25">
      <c r="A604" s="2" t="s">
        <v>13</v>
      </c>
      <c r="B604" s="4">
        <v>46055</v>
      </c>
      <c r="C604" s="5">
        <v>0.40539351851851851</v>
      </c>
      <c r="D604" s="9" t="s">
        <v>11281</v>
      </c>
      <c r="E604" s="9" t="s">
        <v>86</v>
      </c>
      <c r="F604" s="9"/>
      <c r="H604" s="9"/>
      <c r="I604" s="9" t="s">
        <v>11117</v>
      </c>
      <c r="J604" s="9" t="s">
        <v>2940</v>
      </c>
      <c r="K604" t="s">
        <v>11118</v>
      </c>
      <c r="L604" t="s">
        <v>11119</v>
      </c>
      <c r="M604" s="3" t="str">
        <f>HYPERLINK(склад2въезд131920212223[[#This Row],[RelativePath]])</f>
        <v>10 Сушилка навес\E33149364_3_20260202T094346Z.jpg</v>
      </c>
    </row>
    <row r="605" spans="1:13" x14ac:dyDescent="0.25">
      <c r="A605" s="2" t="s">
        <v>13</v>
      </c>
      <c r="B605" s="4">
        <v>46055</v>
      </c>
      <c r="C605" s="5">
        <v>0.41719907407407408</v>
      </c>
      <c r="D605" s="9" t="s">
        <v>11282</v>
      </c>
      <c r="E605" s="9" t="s">
        <v>86</v>
      </c>
      <c r="F605" s="9"/>
      <c r="H605" s="9"/>
      <c r="I605" s="9" t="s">
        <v>11120</v>
      </c>
      <c r="J605" s="9" t="s">
        <v>2940</v>
      </c>
      <c r="K605" t="s">
        <v>11121</v>
      </c>
      <c r="L605" t="s">
        <v>11122</v>
      </c>
      <c r="M605" s="3" t="str">
        <f>HYPERLINK(склад2въезд131920212223[[#This Row],[RelativePath]])</f>
        <v>10 Сушилка навес\E33149364_3_20260202T100046Z.jpg</v>
      </c>
    </row>
    <row r="606" spans="1:13" x14ac:dyDescent="0.25">
      <c r="A606" s="2" t="s">
        <v>13</v>
      </c>
      <c r="B606" s="4">
        <v>46055</v>
      </c>
      <c r="C606" s="5">
        <v>0.49484953703703705</v>
      </c>
      <c r="D606" s="9" t="s">
        <v>505</v>
      </c>
      <c r="E606" s="9" t="s">
        <v>1570</v>
      </c>
      <c r="F606" s="9" t="s">
        <v>2884</v>
      </c>
      <c r="H606" s="9"/>
      <c r="I606" s="9" t="s">
        <v>11123</v>
      </c>
      <c r="J606" s="9" t="s">
        <v>2940</v>
      </c>
      <c r="K606" t="s">
        <v>11124</v>
      </c>
      <c r="L606" t="s">
        <v>11125</v>
      </c>
      <c r="M606" s="3" t="str">
        <f>HYPERLINK(склад2въезд131920212223[[#This Row],[RelativePath]])</f>
        <v>10 Сушилка навес\E33149364_3_20260202T115235Z.jpg</v>
      </c>
    </row>
    <row r="607" spans="1:13" x14ac:dyDescent="0.25">
      <c r="A607" s="2" t="s">
        <v>14</v>
      </c>
      <c r="B607" s="4">
        <v>46056</v>
      </c>
      <c r="C607" s="5">
        <v>0.4612384259259259</v>
      </c>
      <c r="D607" s="9" t="s">
        <v>505</v>
      </c>
      <c r="E607" s="9" t="s">
        <v>503</v>
      </c>
      <c r="F607" s="9" t="s">
        <v>9088</v>
      </c>
      <c r="H607" s="9"/>
      <c r="I607" s="9" t="s">
        <v>11126</v>
      </c>
      <c r="J607" s="9" t="s">
        <v>2940</v>
      </c>
      <c r="K607" t="s">
        <v>11127</v>
      </c>
      <c r="L607" t="s">
        <v>11128</v>
      </c>
      <c r="M607" s="3" t="str">
        <f>HYPERLINK(склад2въезд131920212223[[#This Row],[RelativePath]])</f>
        <v>10 Сушилка навес\E33149364_3_20260203T110411Z.jpg</v>
      </c>
    </row>
    <row r="608" spans="1:13" x14ac:dyDescent="0.25">
      <c r="A608" s="2" t="s">
        <v>14</v>
      </c>
      <c r="B608" s="4">
        <v>46056</v>
      </c>
      <c r="C608" s="5">
        <v>0.55513888888888885</v>
      </c>
      <c r="D608" s="9" t="s">
        <v>1569</v>
      </c>
      <c r="E608" s="9" t="s">
        <v>10015</v>
      </c>
      <c r="F608" s="9"/>
      <c r="H608" s="9"/>
      <c r="I608" s="9" t="s">
        <v>11129</v>
      </c>
      <c r="J608" s="9" t="s">
        <v>2940</v>
      </c>
      <c r="K608" t="s">
        <v>11130</v>
      </c>
      <c r="L608" t="s">
        <v>11131</v>
      </c>
      <c r="M608" s="3" t="str">
        <f>HYPERLINK(склад2въезд131920212223[[#This Row],[RelativePath]])</f>
        <v>10 Сушилка навес\E33149364_3_20260203T131924Z.jpg</v>
      </c>
    </row>
    <row r="609" spans="1:13" x14ac:dyDescent="0.25">
      <c r="A609" s="2" t="s">
        <v>14</v>
      </c>
      <c r="B609" s="4">
        <v>46056</v>
      </c>
      <c r="C609" s="5">
        <v>0.60166666666666668</v>
      </c>
      <c r="D609" s="9" t="s">
        <v>11283</v>
      </c>
      <c r="E609" s="9" t="s">
        <v>10015</v>
      </c>
      <c r="F609" s="9"/>
      <c r="H609" s="9"/>
      <c r="I609" s="9" t="s">
        <v>11132</v>
      </c>
      <c r="J609" s="9" t="s">
        <v>2940</v>
      </c>
      <c r="K609" t="s">
        <v>11133</v>
      </c>
      <c r="L609" t="s">
        <v>11134</v>
      </c>
      <c r="M609" s="3" t="str">
        <f>HYPERLINK(склад2въезд131920212223[[#This Row],[RelativePath]])</f>
        <v>10 Сушилка навес\E33149364_3_20260203T142624Z.jpg</v>
      </c>
    </row>
    <row r="610" spans="1:13" x14ac:dyDescent="0.25">
      <c r="A610" s="2" t="s">
        <v>14</v>
      </c>
      <c r="B610" s="4">
        <v>46056</v>
      </c>
      <c r="C610" s="5">
        <v>0.60630787037037037</v>
      </c>
      <c r="D610" s="9" t="s">
        <v>11284</v>
      </c>
      <c r="E610" s="9" t="s">
        <v>86</v>
      </c>
      <c r="F610" s="9"/>
      <c r="H610" s="9"/>
      <c r="I610" s="9" t="s">
        <v>11135</v>
      </c>
      <c r="J610" s="9" t="s">
        <v>2940</v>
      </c>
      <c r="K610" t="s">
        <v>11136</v>
      </c>
      <c r="L610" t="s">
        <v>11137</v>
      </c>
      <c r="M610" s="3" t="str">
        <f>HYPERLINK(склад2въезд131920212223[[#This Row],[RelativePath]])</f>
        <v>10 Сушилка навес\E33149364_3_20260203T143305Z.jpg</v>
      </c>
    </row>
    <row r="611" spans="1:13" x14ac:dyDescent="0.25">
      <c r="A611" s="2" t="s">
        <v>14</v>
      </c>
      <c r="B611" s="4">
        <v>46056</v>
      </c>
      <c r="C611" s="5">
        <v>0.63982638888888888</v>
      </c>
      <c r="D611" s="9" t="s">
        <v>505</v>
      </c>
      <c r="E611" s="9" t="s">
        <v>1570</v>
      </c>
      <c r="F611" s="9" t="s">
        <v>2884</v>
      </c>
      <c r="H611" s="9"/>
      <c r="I611" s="9" t="s">
        <v>11138</v>
      </c>
      <c r="J611" s="9" t="s">
        <v>2940</v>
      </c>
      <c r="K611" t="s">
        <v>11139</v>
      </c>
      <c r="L611" t="s">
        <v>11140</v>
      </c>
      <c r="M611" s="3" t="str">
        <f>HYPERLINK(склад2въезд131920212223[[#This Row],[RelativePath]])</f>
        <v>10 Сушилка навес\E33149364_3_20260203T152121Z.jpg</v>
      </c>
    </row>
    <row r="612" spans="1:13" x14ac:dyDescent="0.25">
      <c r="A612" s="2" t="s">
        <v>14</v>
      </c>
      <c r="B612" s="4">
        <v>46056</v>
      </c>
      <c r="C612" s="5">
        <v>0.67363425925925924</v>
      </c>
      <c r="D612" s="9" t="s">
        <v>622</v>
      </c>
      <c r="E612" s="9" t="s">
        <v>10015</v>
      </c>
      <c r="F612" s="9"/>
      <c r="H612" s="9"/>
      <c r="I612" s="9" t="s">
        <v>11141</v>
      </c>
      <c r="J612" s="9" t="s">
        <v>2940</v>
      </c>
      <c r="K612" t="s">
        <v>11142</v>
      </c>
      <c r="L612" t="s">
        <v>11143</v>
      </c>
      <c r="M612" s="3" t="str">
        <f>HYPERLINK(склад2въезд131920212223[[#This Row],[RelativePath]])</f>
        <v>10 Сушилка навес\E33149364_3_20260203T161002Z.jpg</v>
      </c>
    </row>
    <row r="613" spans="1:13" x14ac:dyDescent="0.25">
      <c r="A613" s="2" t="s">
        <v>15</v>
      </c>
      <c r="B613" s="4">
        <v>46057</v>
      </c>
      <c r="C613" s="5">
        <v>0.59472222222222226</v>
      </c>
      <c r="D613" s="9" t="s">
        <v>4164</v>
      </c>
      <c r="E613" s="9" t="s">
        <v>86</v>
      </c>
      <c r="F613" s="9" t="s">
        <v>11506</v>
      </c>
      <c r="H613" s="9"/>
      <c r="I613" s="9" t="s">
        <v>11378</v>
      </c>
      <c r="J613" s="9" t="s">
        <v>2940</v>
      </c>
      <c r="K613" t="s">
        <v>11379</v>
      </c>
      <c r="L613" t="s">
        <v>11380</v>
      </c>
      <c r="M613" s="3" t="str">
        <f>HYPERLINK(склад2въезд131920212223[[#This Row],[RelativePath]])</f>
        <v>10 Сушилка навес\E33149364_3_20260204T141624Z.jpg</v>
      </c>
    </row>
    <row r="614" spans="1:13" x14ac:dyDescent="0.25">
      <c r="A614" s="2" t="s">
        <v>15</v>
      </c>
      <c r="B614" s="4">
        <v>46057</v>
      </c>
      <c r="C614" s="5">
        <v>0.633275462962963</v>
      </c>
      <c r="D614" s="9" t="s">
        <v>158</v>
      </c>
      <c r="E614" s="9" t="s">
        <v>86</v>
      </c>
      <c r="F614" s="9" t="s">
        <v>58</v>
      </c>
      <c r="H614" s="9" t="s">
        <v>11507</v>
      </c>
      <c r="I614" s="9" t="s">
        <v>11381</v>
      </c>
      <c r="J614" s="9" t="s">
        <v>2940</v>
      </c>
      <c r="K614" t="s">
        <v>11382</v>
      </c>
      <c r="L614" t="s">
        <v>11383</v>
      </c>
      <c r="M614" s="3" t="str">
        <f>HYPERLINK(склад2въезд131920212223[[#This Row],[RelativePath]])</f>
        <v>10 Сушилка навес\E33149364_3_20260204T151155Z.jpg</v>
      </c>
    </row>
    <row r="615" spans="1:13" x14ac:dyDescent="0.25">
      <c r="A615" s="2" t="s">
        <v>15</v>
      </c>
      <c r="B615" s="4">
        <v>46057</v>
      </c>
      <c r="C615" s="5">
        <v>0.64008101851851851</v>
      </c>
      <c r="D615" s="9" t="s">
        <v>11508</v>
      </c>
      <c r="E615" s="9" t="s">
        <v>1570</v>
      </c>
      <c r="F615" s="9"/>
      <c r="H615" s="9"/>
      <c r="I615" s="9" t="s">
        <v>11384</v>
      </c>
      <c r="J615" s="9" t="s">
        <v>2940</v>
      </c>
      <c r="K615" t="s">
        <v>11385</v>
      </c>
      <c r="L615" t="s">
        <v>11386</v>
      </c>
      <c r="M615" s="3" t="str">
        <f>HYPERLINK(склад2въезд131920212223[[#This Row],[RelativePath]])</f>
        <v>10 Сушилка навес\E33149364_3_20260204T152143Z.jpg</v>
      </c>
    </row>
    <row r="616" spans="1:13" x14ac:dyDescent="0.25">
      <c r="A616" s="2" t="s">
        <v>15</v>
      </c>
      <c r="B616" s="4">
        <v>46057</v>
      </c>
      <c r="C616" s="5">
        <v>0.64031249999999995</v>
      </c>
      <c r="D616" s="9" t="s">
        <v>11509</v>
      </c>
      <c r="E616" s="9" t="s">
        <v>1570</v>
      </c>
      <c r="F616" s="9"/>
      <c r="H616" s="9"/>
      <c r="I616" s="9" t="s">
        <v>11387</v>
      </c>
      <c r="J616" s="9" t="s">
        <v>2940</v>
      </c>
      <c r="K616" t="s">
        <v>11388</v>
      </c>
      <c r="L616" t="s">
        <v>11389</v>
      </c>
      <c r="M616" s="3" t="str">
        <f>HYPERLINK(склад2въезд131920212223[[#This Row],[RelativePath]])</f>
        <v>10 Сушилка навес\E33149364_3_20260204T152203Z.jpg</v>
      </c>
    </row>
    <row r="617" spans="1:13" x14ac:dyDescent="0.25">
      <c r="A617" s="2" t="s">
        <v>16</v>
      </c>
      <c r="B617" s="4">
        <v>46058</v>
      </c>
      <c r="C617" s="5">
        <v>0.38155092592592593</v>
      </c>
      <c r="D617" s="9" t="s">
        <v>11510</v>
      </c>
      <c r="E617" s="9" t="s">
        <v>1570</v>
      </c>
      <c r="F617" s="9"/>
      <c r="H617" s="9"/>
      <c r="I617" s="9" t="s">
        <v>11390</v>
      </c>
      <c r="J617" s="9" t="s">
        <v>2940</v>
      </c>
      <c r="K617" t="s">
        <v>11391</v>
      </c>
      <c r="L617" t="s">
        <v>11392</v>
      </c>
      <c r="M617" s="3" t="str">
        <f>HYPERLINK(склад2въезд131920212223[[#This Row],[RelativePath]])</f>
        <v>10 Сушилка навес\E33149364_3_20260205T090926Z.jpg</v>
      </c>
    </row>
    <row r="618" spans="1:13" x14ac:dyDescent="0.25">
      <c r="A618" s="2" t="s">
        <v>16</v>
      </c>
      <c r="B618" s="4">
        <v>46058</v>
      </c>
      <c r="C618" s="5">
        <v>0.66181712962962957</v>
      </c>
      <c r="D618" s="9" t="s">
        <v>11510</v>
      </c>
      <c r="E618" s="9" t="s">
        <v>1570</v>
      </c>
      <c r="F618" s="9"/>
      <c r="H618" s="9"/>
      <c r="I618" s="9" t="s">
        <v>11393</v>
      </c>
      <c r="J618" s="9" t="s">
        <v>2940</v>
      </c>
      <c r="K618" t="s">
        <v>11394</v>
      </c>
      <c r="L618" t="s">
        <v>11395</v>
      </c>
      <c r="M618" s="3" t="str">
        <f>HYPERLINK(склад2въезд131920212223[[#This Row],[RelativePath]])</f>
        <v>10 Сушилка навес\E33149364_3_20260205T155301Z.jpg</v>
      </c>
    </row>
    <row r="619" spans="1:13" x14ac:dyDescent="0.25">
      <c r="A619" s="2" t="s">
        <v>17</v>
      </c>
      <c r="B619" s="4">
        <v>46059</v>
      </c>
      <c r="C619" s="5">
        <v>0.46134259259259258</v>
      </c>
      <c r="D619" s="9" t="s">
        <v>11510</v>
      </c>
      <c r="E619" s="9" t="s">
        <v>1570</v>
      </c>
      <c r="F619" s="9"/>
      <c r="H619" s="9"/>
      <c r="I619" s="9" t="s">
        <v>11396</v>
      </c>
      <c r="J619" s="9" t="s">
        <v>2940</v>
      </c>
      <c r="K619" t="s">
        <v>11397</v>
      </c>
      <c r="L619" t="s">
        <v>11398</v>
      </c>
      <c r="M619" s="3" t="str">
        <f>HYPERLINK(склад2въезд131920212223[[#This Row],[RelativePath]])</f>
        <v>10 Сушилка навес\E33149364_3_20260206T110420Z.jpg</v>
      </c>
    </row>
    <row r="620" spans="1:13" x14ac:dyDescent="0.25">
      <c r="A620" s="2" t="s">
        <v>18</v>
      </c>
      <c r="B620" s="4">
        <v>46060</v>
      </c>
      <c r="C620" s="5">
        <v>0.7</v>
      </c>
      <c r="D620" s="9" t="s">
        <v>1967</v>
      </c>
      <c r="E620" s="9" t="s">
        <v>8</v>
      </c>
      <c r="F620" s="9"/>
      <c r="H620" s="9"/>
      <c r="I620" s="9" t="s">
        <v>11589</v>
      </c>
      <c r="J620" s="9" t="s">
        <v>2940</v>
      </c>
      <c r="K620" t="s">
        <v>11590</v>
      </c>
      <c r="L620" t="s">
        <v>11591</v>
      </c>
      <c r="M620" s="3" t="str">
        <f>HYPERLINK(склад2въезд131920212223[[#This Row],[RelativePath]])</f>
        <v>10 Сушилка навес\E33149364_3_20260207T164800Z.jpg</v>
      </c>
    </row>
    <row r="621" spans="1:13" x14ac:dyDescent="0.25">
      <c r="A621" s="2" t="s">
        <v>22</v>
      </c>
      <c r="B621" s="4">
        <v>46061</v>
      </c>
      <c r="C621" s="5">
        <v>0.48668981481481483</v>
      </c>
      <c r="D621" s="9" t="s">
        <v>505</v>
      </c>
      <c r="E621" s="9" t="s">
        <v>1570</v>
      </c>
      <c r="F621" s="9" t="s">
        <v>58</v>
      </c>
      <c r="H621" s="9"/>
      <c r="I621" s="9" t="s">
        <v>11592</v>
      </c>
      <c r="J621" s="9" t="s">
        <v>2940</v>
      </c>
      <c r="K621" t="s">
        <v>11593</v>
      </c>
      <c r="L621" t="s">
        <v>11594</v>
      </c>
      <c r="M621" s="3" t="str">
        <f>HYPERLINK(склад2въезд131920212223[[#This Row],[RelativePath]])</f>
        <v>10 Сушилка навес\E33149364_3_20260208T114050Z.jpg</v>
      </c>
    </row>
    <row r="622" spans="1:13" x14ac:dyDescent="0.25">
      <c r="A622" s="2" t="s">
        <v>22</v>
      </c>
      <c r="B622" s="4">
        <v>46061</v>
      </c>
      <c r="C622" s="5">
        <v>0.52968749999999998</v>
      </c>
      <c r="D622" s="9" t="s">
        <v>505</v>
      </c>
      <c r="E622" s="9" t="s">
        <v>1570</v>
      </c>
      <c r="F622" s="9" t="s">
        <v>58</v>
      </c>
      <c r="H622" s="9"/>
      <c r="I622" s="9" t="s">
        <v>11595</v>
      </c>
      <c r="J622" s="9" t="s">
        <v>2940</v>
      </c>
      <c r="K622" t="s">
        <v>11596</v>
      </c>
      <c r="L622" t="s">
        <v>11597</v>
      </c>
      <c r="M622" s="3" t="str">
        <f>HYPERLINK(склад2въезд131920212223[[#This Row],[RelativePath]])</f>
        <v>10 Сушилка навес\E33149364_3_20260208T124245Z.jpg</v>
      </c>
    </row>
    <row r="623" spans="1:13" x14ac:dyDescent="0.25">
      <c r="A623" s="2" t="s">
        <v>14</v>
      </c>
      <c r="B623" s="4">
        <v>46077</v>
      </c>
      <c r="C623" s="5">
        <v>0.44039351851851855</v>
      </c>
      <c r="D623" s="9"/>
      <c r="E623" s="9"/>
      <c r="F623" s="9"/>
      <c r="H623" s="9"/>
      <c r="I623" s="9" t="s">
        <v>13107</v>
      </c>
      <c r="J623" s="9" t="s">
        <v>6311</v>
      </c>
      <c r="K623" t="s">
        <v>13108</v>
      </c>
      <c r="L623" t="s">
        <v>13109</v>
      </c>
      <c r="M623" s="3" t="str">
        <f>HYPERLINK(склад2въезд131920212223[[#This Row],[RelativePath]])</f>
        <v>10 Сушилка навес\GA3948333_6_20260224T103410Z.jpg</v>
      </c>
    </row>
    <row r="624" spans="1:13" x14ac:dyDescent="0.25">
      <c r="A624" s="2" t="s">
        <v>14</v>
      </c>
      <c r="B624" s="4">
        <v>46077</v>
      </c>
      <c r="C624" s="5">
        <v>0.66498842592592589</v>
      </c>
      <c r="D624" s="9"/>
      <c r="E624" s="9"/>
      <c r="F624" s="9"/>
      <c r="H624" s="9"/>
      <c r="I624" s="9" t="s">
        <v>13110</v>
      </c>
      <c r="J624" s="9" t="s">
        <v>6311</v>
      </c>
      <c r="K624" t="s">
        <v>13111</v>
      </c>
      <c r="L624" t="s">
        <v>13112</v>
      </c>
      <c r="M624" s="3" t="str">
        <f>HYPERLINK(склад2въезд131920212223[[#This Row],[RelativePath]])</f>
        <v>10 Сушилка навес\GA3948333_6_20260224T155735Z.jpg</v>
      </c>
    </row>
    <row r="625" spans="1:13" x14ac:dyDescent="0.25">
      <c r="A625" s="2" t="s">
        <v>14</v>
      </c>
      <c r="B625" s="4">
        <v>46077</v>
      </c>
      <c r="C625" s="5">
        <v>0.78349537037037043</v>
      </c>
      <c r="D625" s="9"/>
      <c r="E625" s="9"/>
      <c r="F625" s="9"/>
      <c r="H625" s="9"/>
      <c r="I625" s="9" t="s">
        <v>13113</v>
      </c>
      <c r="J625" s="9" t="s">
        <v>6311</v>
      </c>
      <c r="K625" t="s">
        <v>13114</v>
      </c>
      <c r="L625" t="s">
        <v>13115</v>
      </c>
      <c r="M625" s="3" t="str">
        <f>HYPERLINK(склад2въезд131920212223[[#This Row],[RelativePath]])</f>
        <v>10 Сушилка навес\GA3948333_6_20260224T184814Z.jpg</v>
      </c>
    </row>
    <row r="626" spans="1:13" x14ac:dyDescent="0.25">
      <c r="A626" s="2" t="s">
        <v>15</v>
      </c>
      <c r="B626" s="4">
        <v>46078</v>
      </c>
      <c r="C626" s="5">
        <v>0.48152777777777778</v>
      </c>
      <c r="D626" s="9"/>
      <c r="E626" s="9"/>
      <c r="F626" s="9"/>
      <c r="H626" s="9"/>
      <c r="I626" s="9" t="s">
        <v>13116</v>
      </c>
      <c r="J626" s="9" t="s">
        <v>6311</v>
      </c>
      <c r="K626" t="s">
        <v>13117</v>
      </c>
      <c r="L626" t="s">
        <v>13118</v>
      </c>
      <c r="M626" s="3" t="str">
        <f>HYPERLINK(склад2въезд131920212223[[#This Row],[RelativePath]])</f>
        <v>10 Сушилка навес\GA3948333_6_20260225T113324Z.jpg</v>
      </c>
    </row>
    <row r="627" spans="1:13" x14ac:dyDescent="0.25">
      <c r="A627" s="2" t="s">
        <v>15</v>
      </c>
      <c r="B627" s="4">
        <v>46078</v>
      </c>
      <c r="C627" s="5">
        <v>0.4821064814814815</v>
      </c>
      <c r="D627" s="9"/>
      <c r="E627" s="9"/>
      <c r="F627" s="9"/>
      <c r="H627" s="9"/>
      <c r="I627" s="9" t="s">
        <v>13119</v>
      </c>
      <c r="J627" s="9" t="s">
        <v>6311</v>
      </c>
      <c r="K627" t="s">
        <v>13120</v>
      </c>
      <c r="L627" t="s">
        <v>13121</v>
      </c>
      <c r="M627" s="3" t="str">
        <f>HYPERLINK(склад2въезд131920212223[[#This Row],[RelativePath]])</f>
        <v>10 Сушилка навес\GA3948333_6_20260225T113414Z.jpg</v>
      </c>
    </row>
    <row r="628" spans="1:13" x14ac:dyDescent="0.25">
      <c r="A628" s="2" t="s">
        <v>15</v>
      </c>
      <c r="B628" s="4">
        <v>46078</v>
      </c>
      <c r="C628" s="5">
        <v>0.48265046296296299</v>
      </c>
      <c r="D628" s="9"/>
      <c r="E628" s="9"/>
      <c r="F628" s="9"/>
      <c r="H628" s="9"/>
      <c r="I628" s="9" t="s">
        <v>13122</v>
      </c>
      <c r="J628" s="9" t="s">
        <v>6311</v>
      </c>
      <c r="K628" t="s">
        <v>13123</v>
      </c>
      <c r="L628" t="s">
        <v>13124</v>
      </c>
      <c r="M628" s="3" t="str">
        <f>HYPERLINK(склад2въезд131920212223[[#This Row],[RelativePath]])</f>
        <v>10 Сушилка навес\GA3948333_6_20260225T113501Z.jpg</v>
      </c>
    </row>
    <row r="629" spans="1:13" x14ac:dyDescent="0.25">
      <c r="A629" s="2" t="s">
        <v>15</v>
      </c>
      <c r="B629" s="4">
        <v>46078</v>
      </c>
      <c r="C629" s="5">
        <v>0.48440972222222223</v>
      </c>
      <c r="D629" s="9"/>
      <c r="E629" s="9"/>
      <c r="F629" s="9"/>
      <c r="H629" s="9"/>
      <c r="I629" s="9" t="s">
        <v>13125</v>
      </c>
      <c r="J629" s="9" t="s">
        <v>6311</v>
      </c>
      <c r="K629" t="s">
        <v>13126</v>
      </c>
      <c r="L629" t="s">
        <v>13127</v>
      </c>
      <c r="M629" s="3" t="str">
        <f>HYPERLINK(склад2въезд131920212223[[#This Row],[RelativePath]])</f>
        <v>10 Сушилка навес\GA3948333_6_20260225T113733Z.jpg</v>
      </c>
    </row>
    <row r="630" spans="1:13" x14ac:dyDescent="0.25">
      <c r="A630" s="2" t="s">
        <v>15</v>
      </c>
      <c r="B630" s="4">
        <v>46078</v>
      </c>
      <c r="C630" s="5">
        <v>0.4997800925925926</v>
      </c>
      <c r="D630" s="9"/>
      <c r="E630" s="9"/>
      <c r="F630" s="9"/>
      <c r="H630" s="9"/>
      <c r="I630" s="9" t="s">
        <v>13128</v>
      </c>
      <c r="J630" s="9" t="s">
        <v>6311</v>
      </c>
      <c r="K630" t="s">
        <v>13129</v>
      </c>
      <c r="L630" t="s">
        <v>13130</v>
      </c>
      <c r="M630" s="3" t="str">
        <f>HYPERLINK(склад2въезд131920212223[[#This Row],[RelativePath]])</f>
        <v>10 Сушилка навес\GA3948333_6_20260225T115941Z.jpg</v>
      </c>
    </row>
    <row r="631" spans="1:13" x14ac:dyDescent="0.25">
      <c r="A631" s="2" t="s">
        <v>15</v>
      </c>
      <c r="B631" s="4">
        <v>46078</v>
      </c>
      <c r="C631" s="5">
        <v>0.60851851851851857</v>
      </c>
      <c r="D631" s="9"/>
      <c r="E631" s="9"/>
      <c r="F631" s="9"/>
      <c r="H631" s="9"/>
      <c r="I631" s="9" t="s">
        <v>13131</v>
      </c>
      <c r="J631" s="9" t="s">
        <v>6311</v>
      </c>
      <c r="K631" t="s">
        <v>13132</v>
      </c>
      <c r="L631" t="s">
        <v>13133</v>
      </c>
      <c r="M631" s="3" t="str">
        <f>HYPERLINK(склад2въезд131920212223[[#This Row],[RelativePath]])</f>
        <v>10 Сушилка навес\GA3948333_6_20260225T143616Z.jpg</v>
      </c>
    </row>
    <row r="632" spans="1:13" x14ac:dyDescent="0.25">
      <c r="A632" s="2" t="s">
        <v>15</v>
      </c>
      <c r="B632" s="4">
        <v>46078</v>
      </c>
      <c r="C632" s="5">
        <v>0.60862268518518514</v>
      </c>
      <c r="D632" s="9"/>
      <c r="E632" s="9"/>
      <c r="F632" s="9"/>
      <c r="H632" s="9"/>
      <c r="I632" s="9" t="s">
        <v>13134</v>
      </c>
      <c r="J632" s="9" t="s">
        <v>6311</v>
      </c>
      <c r="K632" t="s">
        <v>13135</v>
      </c>
      <c r="L632" t="s">
        <v>13136</v>
      </c>
      <c r="M632" s="3" t="str">
        <f>HYPERLINK(склад2въезд131920212223[[#This Row],[RelativePath]])</f>
        <v>10 Сушилка навес\GA3948333_6_20260225T143625Z.jpg</v>
      </c>
    </row>
    <row r="633" spans="1:13" x14ac:dyDescent="0.25">
      <c r="A633" s="2" t="s">
        <v>15</v>
      </c>
      <c r="B633" s="4">
        <v>46078</v>
      </c>
      <c r="C633" s="5">
        <v>0.7897453703703704</v>
      </c>
      <c r="D633" s="9"/>
      <c r="E633" s="9"/>
      <c r="F633" s="9"/>
      <c r="H633" s="9"/>
      <c r="I633" s="9" t="s">
        <v>13137</v>
      </c>
      <c r="J633" s="9" t="s">
        <v>6311</v>
      </c>
      <c r="K633" t="s">
        <v>13138</v>
      </c>
      <c r="L633" t="s">
        <v>13139</v>
      </c>
      <c r="M633" s="3" t="str">
        <f>HYPERLINK(склад2въезд131920212223[[#This Row],[RelativePath]])</f>
        <v>10 Сушилка навес\GA3948333_6_20260225T185714Z.jpg</v>
      </c>
    </row>
  </sheetData>
  <conditionalFormatting sqref="D634:D644 E634:E647 G2:H633 D2:E633">
    <cfRule type="containsText" dxfId="276" priority="14" operator="containsText" text="Выезд с территории">
      <formula>NOT(ISERROR(SEARCH("Выезд с территории",D2)))</formula>
    </cfRule>
  </conditionalFormatting>
  <conditionalFormatting sqref="F2:F633">
    <cfRule type="notContainsText" dxfId="275" priority="13" operator="notContains" text="порожний">
      <formula>ISERROR(SEARCH("порожний",F2))</formula>
    </cfRule>
  </conditionalFormatting>
  <conditionalFormatting sqref="E2:E647">
    <cfRule type="containsText" dxfId="274" priority="11" operator="containsText" text="Газель базы">
      <formula>NOT(ISERROR(SEARCH("Газель базы",E2)))</formula>
    </cfRule>
    <cfRule type="containsText" dxfId="273" priority="12" operator="containsText" text="Погрузчик базы">
      <formula>NOT(ISERROR(SEARCH("Погрузчик базы",E2)))</formula>
    </cfRule>
  </conditionalFormatting>
  <conditionalFormatting sqref="E2:E647">
    <cfRule type="containsText" dxfId="272" priority="10" operator="containsText" text="Трактор базы">
      <formula>NOT(ISERROR(SEARCH("Трактор базы",E2)))</formula>
    </cfRule>
  </conditionalFormatting>
  <conditionalFormatting sqref="A2:C633">
    <cfRule type="expression" dxfId="271" priority="9">
      <formula>$A2="пн"</formula>
    </cfRule>
  </conditionalFormatting>
  <conditionalFormatting sqref="A2:C635">
    <cfRule type="expression" dxfId="270" priority="3">
      <formula>$A2="вс"</formula>
    </cfRule>
    <cfRule type="expression" dxfId="269" priority="4">
      <formula>$A2="сб"</formula>
    </cfRule>
    <cfRule type="expression" dxfId="268" priority="5">
      <formula>$A2="пт"</formula>
    </cfRule>
    <cfRule type="expression" dxfId="267" priority="6">
      <formula>$A2="чт"</formula>
    </cfRule>
    <cfRule type="expression" dxfId="266" priority="7">
      <formula>$A2="ср"</formula>
    </cfRule>
    <cfRule type="expression" dxfId="265" priority="8">
      <formula>$A2="вт"</formula>
    </cfRule>
  </conditionalFormatting>
  <conditionalFormatting sqref="D2:D644">
    <cfRule type="containsText" dxfId="264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644">
    <cfRule type="containsText" dxfId="263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4DCFA-9734-40BF-B406-2E45383EB680}">
  <sheetPr>
    <tabColor theme="1"/>
  </sheetPr>
  <dimension ref="A1:M314"/>
  <sheetViews>
    <sheetView zoomScale="90" zoomScaleNormal="90" workbookViewId="0">
      <pane ySplit="1" topLeftCell="A302" activePane="bottomLeft" state="frozen"/>
      <selection pane="bottomLeft" activeCell="I302" sqref="I302:I303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40.5703125" bestFit="1" customWidth="1"/>
    <col min="5" max="5" width="41" bestFit="1" customWidth="1"/>
    <col min="6" max="6" width="34.7109375" bestFit="1" customWidth="1"/>
    <col min="7" max="7" width="7.28515625" bestFit="1" customWidth="1"/>
    <col min="8" max="8" width="35" bestFit="1" customWidth="1"/>
    <col min="9" max="9" width="35.7109375" bestFit="1" customWidth="1"/>
    <col min="10" max="10" width="42.85546875" hidden="1" customWidth="1"/>
    <col min="11" max="11" width="54.7109375" hidden="1" customWidth="1"/>
    <col min="12" max="12" width="24.5703125" hidden="1" customWidth="1"/>
    <col min="13" max="13" width="54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0.34427083333333336</v>
      </c>
      <c r="D2" s="9" t="s">
        <v>4</v>
      </c>
      <c r="E2" s="9" t="s">
        <v>8</v>
      </c>
      <c r="F2" s="9"/>
      <c r="H2" s="9" t="s">
        <v>5</v>
      </c>
      <c r="I2" s="9" t="s">
        <v>1590</v>
      </c>
      <c r="J2" s="9" t="s">
        <v>2941</v>
      </c>
      <c r="K2" t="s">
        <v>1592</v>
      </c>
      <c r="L2" t="s">
        <v>1593</v>
      </c>
      <c r="M2" s="3" t="str">
        <f>HYPERLINK(склад2въезд1319202122237[[#This Row],[RelativePath]])</f>
        <v>11 С ангара на базу\E33149364_4_20251110T081545Z.jpg</v>
      </c>
    </row>
    <row r="3" spans="1:13" x14ac:dyDescent="0.25">
      <c r="A3" s="2" t="s">
        <v>13</v>
      </c>
      <c r="B3" s="4">
        <v>45971</v>
      </c>
      <c r="C3" s="5">
        <v>0.39631944444444445</v>
      </c>
      <c r="D3" s="9" t="s">
        <v>159</v>
      </c>
      <c r="E3" s="9" t="s">
        <v>86</v>
      </c>
      <c r="F3" s="9" t="s">
        <v>60</v>
      </c>
      <c r="H3" s="9"/>
      <c r="I3" s="9" t="s">
        <v>1594</v>
      </c>
      <c r="J3" s="9" t="s">
        <v>2941</v>
      </c>
      <c r="K3" t="s">
        <v>1595</v>
      </c>
      <c r="L3" t="s">
        <v>1596</v>
      </c>
      <c r="M3" s="3" t="str">
        <f>HYPERLINK(склад2въезд1319202122237[[#This Row],[RelativePath]])</f>
        <v>11 С ангара на базу\E33149364_4_20251110T093042Z.jpg</v>
      </c>
    </row>
    <row r="4" spans="1:13" x14ac:dyDescent="0.25">
      <c r="A4" s="2" t="s">
        <v>13</v>
      </c>
      <c r="B4" s="4">
        <v>45971</v>
      </c>
      <c r="C4" s="5">
        <v>0.39664351851851853</v>
      </c>
      <c r="D4" s="9" t="s">
        <v>1782</v>
      </c>
      <c r="E4" s="9" t="s">
        <v>86</v>
      </c>
      <c r="F4" s="9" t="s">
        <v>60</v>
      </c>
      <c r="H4" s="9" t="s">
        <v>1781</v>
      </c>
      <c r="I4" s="9" t="s">
        <v>1597</v>
      </c>
      <c r="J4" s="9" t="s">
        <v>2941</v>
      </c>
      <c r="K4" t="s">
        <v>1598</v>
      </c>
      <c r="L4" t="s">
        <v>1599</v>
      </c>
      <c r="M4" s="3" t="str">
        <f>HYPERLINK(склад2въезд1319202122237[[#This Row],[RelativePath]])</f>
        <v>11 С ангара на базу\E33149364_4_20251110T093110Z.jpg</v>
      </c>
    </row>
    <row r="5" spans="1:13" x14ac:dyDescent="0.25">
      <c r="A5" s="2" t="s">
        <v>13</v>
      </c>
      <c r="B5" s="4">
        <v>45971</v>
      </c>
      <c r="C5" s="5">
        <v>0.39850694444444446</v>
      </c>
      <c r="D5" s="9" t="s">
        <v>159</v>
      </c>
      <c r="E5" s="9" t="s">
        <v>86</v>
      </c>
      <c r="F5" s="9" t="s">
        <v>60</v>
      </c>
      <c r="H5" s="9"/>
      <c r="I5" s="9" t="s">
        <v>1600</v>
      </c>
      <c r="J5" s="9" t="s">
        <v>2941</v>
      </c>
      <c r="K5" t="s">
        <v>1601</v>
      </c>
      <c r="L5" t="s">
        <v>1602</v>
      </c>
      <c r="M5" s="3" t="str">
        <f>HYPERLINK(склад2въезд1319202122237[[#This Row],[RelativePath]])</f>
        <v>11 С ангара на базу\E33149364_4_20251110T093351Z.jpg</v>
      </c>
    </row>
    <row r="6" spans="1:13" x14ac:dyDescent="0.25">
      <c r="A6" s="2" t="s">
        <v>13</v>
      </c>
      <c r="B6" s="4">
        <v>45971</v>
      </c>
      <c r="C6" s="5">
        <v>0.39874999999999999</v>
      </c>
      <c r="D6" s="9" t="s">
        <v>1782</v>
      </c>
      <c r="E6" s="9" t="s">
        <v>86</v>
      </c>
      <c r="F6" s="9" t="s">
        <v>60</v>
      </c>
      <c r="H6" s="9"/>
      <c r="I6" s="9" t="s">
        <v>1603</v>
      </c>
      <c r="J6" s="9" t="s">
        <v>2941</v>
      </c>
      <c r="K6" t="s">
        <v>1604</v>
      </c>
      <c r="L6" t="s">
        <v>1605</v>
      </c>
      <c r="M6" s="3" t="str">
        <f>HYPERLINK(склад2въезд1319202122237[[#This Row],[RelativePath]])</f>
        <v>11 С ангара на базу\E33149364_4_20251110T093412Z.jpg</v>
      </c>
    </row>
    <row r="7" spans="1:13" x14ac:dyDescent="0.25">
      <c r="A7" s="2" t="s">
        <v>13</v>
      </c>
      <c r="B7" s="4">
        <v>45971</v>
      </c>
      <c r="C7" s="5">
        <v>0.39891203703703704</v>
      </c>
      <c r="D7" s="9" t="s">
        <v>1782</v>
      </c>
      <c r="E7" s="9" t="s">
        <v>86</v>
      </c>
      <c r="F7" s="9" t="s">
        <v>60</v>
      </c>
      <c r="H7" s="9" t="s">
        <v>1781</v>
      </c>
      <c r="I7" s="9" t="s">
        <v>1606</v>
      </c>
      <c r="J7" s="9" t="s">
        <v>2941</v>
      </c>
      <c r="K7" t="s">
        <v>1607</v>
      </c>
      <c r="L7" t="s">
        <v>1608</v>
      </c>
      <c r="M7" s="3" t="str">
        <f>HYPERLINK(склад2въезд1319202122237[[#This Row],[RelativePath]])</f>
        <v>11 С ангара на базу\E33149364_4_20251110T093426Z.jpg</v>
      </c>
    </row>
    <row r="8" spans="1:13" x14ac:dyDescent="0.25">
      <c r="A8" s="2" t="s">
        <v>13</v>
      </c>
      <c r="B8" s="4">
        <v>45971</v>
      </c>
      <c r="C8" s="5">
        <v>0.40152777777777776</v>
      </c>
      <c r="D8" s="9" t="s">
        <v>1782</v>
      </c>
      <c r="E8" s="9" t="s">
        <v>86</v>
      </c>
      <c r="F8" s="9" t="s">
        <v>60</v>
      </c>
      <c r="H8" s="9"/>
      <c r="I8" s="9" t="s">
        <v>1609</v>
      </c>
      <c r="J8" s="9" t="s">
        <v>2941</v>
      </c>
      <c r="K8" t="s">
        <v>1610</v>
      </c>
      <c r="L8" t="s">
        <v>1611</v>
      </c>
      <c r="M8" s="3" t="str">
        <f>HYPERLINK(склад2въезд1319202122237[[#This Row],[RelativePath]])</f>
        <v>11 С ангара на базу\E33149364_4_20251110T093812Z.jpg</v>
      </c>
    </row>
    <row r="9" spans="1:13" x14ac:dyDescent="0.25">
      <c r="A9" s="2" t="s">
        <v>13</v>
      </c>
      <c r="B9" s="4">
        <v>45971</v>
      </c>
      <c r="C9" s="5">
        <v>0.40177083333333335</v>
      </c>
      <c r="D9" s="9" t="s">
        <v>1782</v>
      </c>
      <c r="E9" s="9" t="s">
        <v>86</v>
      </c>
      <c r="F9" s="9" t="s">
        <v>60</v>
      </c>
      <c r="H9" s="9" t="s">
        <v>1781</v>
      </c>
      <c r="I9" s="9" t="s">
        <v>1612</v>
      </c>
      <c r="J9" s="9" t="s">
        <v>2941</v>
      </c>
      <c r="K9" t="s">
        <v>1613</v>
      </c>
      <c r="L9" t="s">
        <v>1614</v>
      </c>
      <c r="M9" s="3" t="str">
        <f>HYPERLINK(склад2въезд1319202122237[[#This Row],[RelativePath]])</f>
        <v>11 С ангара на базу\E33149364_4_20251110T093833Z.jpg</v>
      </c>
    </row>
    <row r="10" spans="1:13" x14ac:dyDescent="0.25">
      <c r="A10" s="2" t="s">
        <v>13</v>
      </c>
      <c r="B10" s="4">
        <v>45971</v>
      </c>
      <c r="C10" s="5">
        <v>0.40320601851851851</v>
      </c>
      <c r="D10" s="9" t="s">
        <v>159</v>
      </c>
      <c r="E10" s="9" t="s">
        <v>86</v>
      </c>
      <c r="F10" s="9" t="s">
        <v>60</v>
      </c>
      <c r="H10" s="9"/>
      <c r="I10" s="9" t="s">
        <v>1615</v>
      </c>
      <c r="J10" s="9" t="s">
        <v>2941</v>
      </c>
      <c r="K10" t="s">
        <v>1616</v>
      </c>
      <c r="L10" t="s">
        <v>1617</v>
      </c>
      <c r="M10" s="3" t="str">
        <f>HYPERLINK(склад2въезд1319202122237[[#This Row],[RelativePath]])</f>
        <v>11 С ангара на базу\E33149364_4_20251110T094037Z.jpg</v>
      </c>
    </row>
    <row r="11" spans="1:13" x14ac:dyDescent="0.25">
      <c r="A11" s="2" t="s">
        <v>13</v>
      </c>
      <c r="B11" s="4">
        <v>45971</v>
      </c>
      <c r="C11" s="5">
        <v>0.40347222222222223</v>
      </c>
      <c r="D11" s="9" t="s">
        <v>1782</v>
      </c>
      <c r="E11" s="9" t="s">
        <v>86</v>
      </c>
      <c r="F11" s="9" t="s">
        <v>60</v>
      </c>
      <c r="H11" s="9"/>
      <c r="I11" s="9" t="s">
        <v>1618</v>
      </c>
      <c r="J11" s="9" t="s">
        <v>2941</v>
      </c>
      <c r="K11" t="s">
        <v>1619</v>
      </c>
      <c r="L11" t="s">
        <v>1620</v>
      </c>
      <c r="M11" s="3" t="str">
        <f>HYPERLINK(склад2въезд1319202122237[[#This Row],[RelativePath]])</f>
        <v>11 С ангара на базу\E33149364_4_20251110T094100Z.jpg</v>
      </c>
    </row>
    <row r="12" spans="1:13" x14ac:dyDescent="0.25">
      <c r="A12" s="2" t="s">
        <v>13</v>
      </c>
      <c r="B12" s="4">
        <v>45971</v>
      </c>
      <c r="C12" s="5">
        <v>0.40364583333333331</v>
      </c>
      <c r="D12" s="9" t="s">
        <v>1782</v>
      </c>
      <c r="E12" s="9" t="s">
        <v>86</v>
      </c>
      <c r="F12" s="9" t="s">
        <v>60</v>
      </c>
      <c r="H12" s="9" t="s">
        <v>1781</v>
      </c>
      <c r="I12" s="9" t="s">
        <v>1621</v>
      </c>
      <c r="J12" s="9" t="s">
        <v>2941</v>
      </c>
      <c r="K12" t="s">
        <v>1622</v>
      </c>
      <c r="L12" t="s">
        <v>1623</v>
      </c>
      <c r="M12" s="3" t="str">
        <f>HYPERLINK(склад2въезд1319202122237[[#This Row],[RelativePath]])</f>
        <v>11 С ангара на базу\E33149364_4_20251110T094115Z.jpg</v>
      </c>
    </row>
    <row r="13" spans="1:13" x14ac:dyDescent="0.25">
      <c r="A13" s="2" t="s">
        <v>13</v>
      </c>
      <c r="B13" s="4">
        <v>45971</v>
      </c>
      <c r="C13" s="5">
        <v>0.40591435185185187</v>
      </c>
      <c r="D13" s="9" t="s">
        <v>159</v>
      </c>
      <c r="E13" s="9" t="s">
        <v>86</v>
      </c>
      <c r="F13" s="9" t="s">
        <v>60</v>
      </c>
      <c r="H13" s="9"/>
      <c r="I13" s="9" t="s">
        <v>1624</v>
      </c>
      <c r="J13" s="9" t="s">
        <v>2941</v>
      </c>
      <c r="K13" t="s">
        <v>1625</v>
      </c>
      <c r="L13" t="s">
        <v>1626</v>
      </c>
      <c r="M13" s="3" t="str">
        <f>HYPERLINK(склад2въезд1319202122237[[#This Row],[RelativePath]])</f>
        <v>11 С ангара на базу\E33149364_4_20251110T094431Z.jpg</v>
      </c>
    </row>
    <row r="14" spans="1:13" x14ac:dyDescent="0.25">
      <c r="A14" s="2" t="s">
        <v>13</v>
      </c>
      <c r="B14" s="4">
        <v>45971</v>
      </c>
      <c r="C14" s="5">
        <v>0.40607638888888886</v>
      </c>
      <c r="D14" s="9" t="s">
        <v>1782</v>
      </c>
      <c r="E14" s="9" t="s">
        <v>86</v>
      </c>
      <c r="F14" s="9" t="s">
        <v>60</v>
      </c>
      <c r="H14" s="9" t="s">
        <v>1781</v>
      </c>
      <c r="I14" s="9" t="s">
        <v>1627</v>
      </c>
      <c r="J14" s="9" t="s">
        <v>2941</v>
      </c>
      <c r="K14" t="s">
        <v>1628</v>
      </c>
      <c r="L14" t="s">
        <v>1629</v>
      </c>
      <c r="M14" s="3" t="str">
        <f>HYPERLINK(склад2въезд1319202122237[[#This Row],[RelativePath]])</f>
        <v>11 С ангара на базу\E33149364_4_20251110T094445Z.jpg</v>
      </c>
    </row>
    <row r="15" spans="1:13" x14ac:dyDescent="0.25">
      <c r="A15" s="2" t="s">
        <v>13</v>
      </c>
      <c r="B15" s="4">
        <v>45971</v>
      </c>
      <c r="C15" s="5">
        <v>0.40895833333333331</v>
      </c>
      <c r="D15" s="9" t="s">
        <v>159</v>
      </c>
      <c r="E15" s="9" t="s">
        <v>86</v>
      </c>
      <c r="F15" s="9" t="s">
        <v>60</v>
      </c>
      <c r="H15" s="9"/>
      <c r="I15" s="9" t="s">
        <v>1630</v>
      </c>
      <c r="J15" s="9" t="s">
        <v>2941</v>
      </c>
      <c r="K15" t="s">
        <v>1631</v>
      </c>
      <c r="L15" t="s">
        <v>1632</v>
      </c>
      <c r="M15" s="3" t="str">
        <f>HYPERLINK(склад2въезд1319202122237[[#This Row],[RelativePath]])</f>
        <v>11 С ангара на базу\E33149364_4_20251110T094854Z.jpg</v>
      </c>
    </row>
    <row r="16" spans="1:13" x14ac:dyDescent="0.25">
      <c r="A16" s="2" t="s">
        <v>13</v>
      </c>
      <c r="B16" s="4">
        <v>45971</v>
      </c>
      <c r="C16" s="5">
        <v>0.40925925925925927</v>
      </c>
      <c r="D16" s="9" t="s">
        <v>1782</v>
      </c>
      <c r="E16" s="9" t="s">
        <v>86</v>
      </c>
      <c r="F16" s="9" t="s">
        <v>60</v>
      </c>
      <c r="H16" s="9" t="s">
        <v>1781</v>
      </c>
      <c r="I16" s="9" t="s">
        <v>1633</v>
      </c>
      <c r="J16" s="9" t="s">
        <v>2941</v>
      </c>
      <c r="K16" t="s">
        <v>1634</v>
      </c>
      <c r="L16" t="s">
        <v>1635</v>
      </c>
      <c r="M16" s="3" t="str">
        <f>HYPERLINK(склад2въезд1319202122237[[#This Row],[RelativePath]])</f>
        <v>11 С ангара на базу\E33149364_4_20251110T094920Z.jpg</v>
      </c>
    </row>
    <row r="17" spans="1:13" x14ac:dyDescent="0.25">
      <c r="A17" s="2" t="s">
        <v>13</v>
      </c>
      <c r="B17" s="4">
        <v>45971</v>
      </c>
      <c r="C17" s="5">
        <v>0.42236111111111113</v>
      </c>
      <c r="D17" s="9" t="s">
        <v>159</v>
      </c>
      <c r="E17" s="9" t="s">
        <v>86</v>
      </c>
      <c r="F17" s="9" t="s">
        <v>53</v>
      </c>
      <c r="H17" s="9" t="s">
        <v>1781</v>
      </c>
      <c r="I17" s="9" t="s">
        <v>1636</v>
      </c>
      <c r="J17" s="9" t="s">
        <v>2941</v>
      </c>
      <c r="K17" t="s">
        <v>1637</v>
      </c>
      <c r="L17" t="s">
        <v>1638</v>
      </c>
      <c r="M17" s="3" t="str">
        <f>HYPERLINK(склад2въезд1319202122237[[#This Row],[RelativePath]])</f>
        <v>11 С ангара на базу\E33149364_4_20251110T100812Z.jpg</v>
      </c>
    </row>
    <row r="18" spans="1:13" x14ac:dyDescent="0.25">
      <c r="A18" s="2" t="s">
        <v>13</v>
      </c>
      <c r="B18" s="4">
        <v>45971</v>
      </c>
      <c r="C18" s="5">
        <v>0.62362268518518515</v>
      </c>
      <c r="D18" s="9" t="s">
        <v>1569</v>
      </c>
      <c r="E18" s="9" t="s">
        <v>55</v>
      </c>
      <c r="F18" s="9" t="s">
        <v>58</v>
      </c>
      <c r="H18" s="9"/>
      <c r="I18" s="9" t="s">
        <v>1639</v>
      </c>
      <c r="J18" s="9" t="s">
        <v>2941</v>
      </c>
      <c r="K18" t="s">
        <v>1640</v>
      </c>
      <c r="L18" t="s">
        <v>1641</v>
      </c>
      <c r="M18" s="3" t="str">
        <f>HYPERLINK(склад2въезд1319202122237[[#This Row],[RelativePath]])</f>
        <v>11 С ангара на базу\E33149364_4_20251110T145801Z.jpg</v>
      </c>
    </row>
    <row r="19" spans="1:13" x14ac:dyDescent="0.25">
      <c r="A19" s="2" t="s">
        <v>13</v>
      </c>
      <c r="B19" s="4">
        <v>45971</v>
      </c>
      <c r="C19" s="5">
        <v>0.62613425925925925</v>
      </c>
      <c r="D19" s="9" t="s">
        <v>262</v>
      </c>
      <c r="E19" s="9" t="s">
        <v>55</v>
      </c>
      <c r="F19" s="9" t="s">
        <v>58</v>
      </c>
      <c r="H19" s="9"/>
      <c r="I19" s="9" t="s">
        <v>1642</v>
      </c>
      <c r="J19" s="9" t="s">
        <v>2941</v>
      </c>
      <c r="K19" t="s">
        <v>1643</v>
      </c>
      <c r="L19" t="s">
        <v>1644</v>
      </c>
      <c r="M19" s="3" t="str">
        <f>HYPERLINK(склад2въезд1319202122237[[#This Row],[RelativePath]])</f>
        <v>11 С ангара на базу\E33149364_4_20251110T150138Z.jpg</v>
      </c>
    </row>
    <row r="20" spans="1:13" x14ac:dyDescent="0.25">
      <c r="A20" s="2" t="s">
        <v>13</v>
      </c>
      <c r="B20" s="4">
        <v>45971</v>
      </c>
      <c r="C20" s="5">
        <v>0.62623842592592593</v>
      </c>
      <c r="D20" s="9" t="s">
        <v>1783</v>
      </c>
      <c r="E20" s="9" t="s">
        <v>55</v>
      </c>
      <c r="F20" s="9" t="s">
        <v>58</v>
      </c>
      <c r="H20" s="9"/>
      <c r="I20" s="9" t="s">
        <v>1645</v>
      </c>
      <c r="J20" s="9" t="s">
        <v>2941</v>
      </c>
      <c r="K20" t="s">
        <v>1646</v>
      </c>
      <c r="L20" t="s">
        <v>1647</v>
      </c>
      <c r="M20" s="3" t="str">
        <f>HYPERLINK(склад2въезд1319202122237[[#This Row],[RelativePath]])</f>
        <v>11 С ангара на базу\E33149364_4_20251110T150147Z.jpg</v>
      </c>
    </row>
    <row r="21" spans="1:13" x14ac:dyDescent="0.25">
      <c r="A21" s="2" t="s">
        <v>13</v>
      </c>
      <c r="B21" s="4">
        <v>45971</v>
      </c>
      <c r="C21" s="5">
        <v>0.6270486111111111</v>
      </c>
      <c r="D21" s="9" t="s">
        <v>1783</v>
      </c>
      <c r="E21" s="9" t="s">
        <v>55</v>
      </c>
      <c r="F21" s="9" t="s">
        <v>58</v>
      </c>
      <c r="H21" s="9"/>
      <c r="I21" s="9" t="s">
        <v>1648</v>
      </c>
      <c r="J21" s="9" t="s">
        <v>2941</v>
      </c>
      <c r="K21" t="s">
        <v>1649</v>
      </c>
      <c r="L21" t="s">
        <v>1650</v>
      </c>
      <c r="M21" s="3" t="str">
        <f>HYPERLINK(склад2въезд1319202122237[[#This Row],[RelativePath]])</f>
        <v>11 С ангара на базу\E33149364_4_20251110T150257Z.jpg</v>
      </c>
    </row>
    <row r="22" spans="1:13" x14ac:dyDescent="0.25">
      <c r="A22" s="2" t="s">
        <v>13</v>
      </c>
      <c r="B22" s="4">
        <v>45971</v>
      </c>
      <c r="C22" s="5">
        <v>0.62809027777777782</v>
      </c>
      <c r="D22" s="9" t="s">
        <v>1783</v>
      </c>
      <c r="E22" s="9" t="s">
        <v>55</v>
      </c>
      <c r="F22" s="9" t="s">
        <v>58</v>
      </c>
      <c r="H22" s="9"/>
      <c r="I22" s="9" t="s">
        <v>1651</v>
      </c>
      <c r="J22" s="9" t="s">
        <v>2941</v>
      </c>
      <c r="K22" t="s">
        <v>1652</v>
      </c>
      <c r="L22" t="s">
        <v>1653</v>
      </c>
      <c r="M22" s="3" t="str">
        <f>HYPERLINK(склад2въезд1319202122237[[#This Row],[RelativePath]])</f>
        <v>11 С ангара на базу\E33149364_4_20251110T150427Z.jpg</v>
      </c>
    </row>
    <row r="23" spans="1:13" x14ac:dyDescent="0.25">
      <c r="A23" s="2" t="s">
        <v>13</v>
      </c>
      <c r="B23" s="4">
        <v>45971</v>
      </c>
      <c r="C23" s="5">
        <v>0.62959490740740742</v>
      </c>
      <c r="D23" s="9" t="s">
        <v>1783</v>
      </c>
      <c r="E23" s="9" t="s">
        <v>55</v>
      </c>
      <c r="F23" s="9" t="s">
        <v>58</v>
      </c>
      <c r="H23" s="9"/>
      <c r="I23" s="9" t="s">
        <v>1654</v>
      </c>
      <c r="J23" s="9" t="s">
        <v>2941</v>
      </c>
      <c r="K23" t="s">
        <v>1655</v>
      </c>
      <c r="L23" t="s">
        <v>1656</v>
      </c>
      <c r="M23" s="3" t="str">
        <f>HYPERLINK(склад2въезд1319202122237[[#This Row],[RelativePath]])</f>
        <v>11 С ангара на базу\E33149364_4_20251110T150637Z.jpg</v>
      </c>
    </row>
    <row r="24" spans="1:13" x14ac:dyDescent="0.25">
      <c r="A24" s="2" t="s">
        <v>13</v>
      </c>
      <c r="B24" s="4">
        <v>45971</v>
      </c>
      <c r="C24" s="5">
        <v>0.63015046296296295</v>
      </c>
      <c r="D24" s="9" t="s">
        <v>1784</v>
      </c>
      <c r="E24" s="9" t="s">
        <v>55</v>
      </c>
      <c r="F24" s="9"/>
      <c r="H24" s="9"/>
      <c r="I24" s="9" t="s">
        <v>1657</v>
      </c>
      <c r="J24" s="9" t="s">
        <v>2941</v>
      </c>
      <c r="K24" t="s">
        <v>1658</v>
      </c>
      <c r="L24" t="s">
        <v>1659</v>
      </c>
      <c r="M24" s="3" t="str">
        <f>HYPERLINK(склад2въезд1319202122237[[#This Row],[RelativePath]])</f>
        <v>11 С ангара на базу\E33149364_4_20251110T150725Z.jpg</v>
      </c>
    </row>
    <row r="25" spans="1:13" x14ac:dyDescent="0.25">
      <c r="A25" s="2" t="s">
        <v>13</v>
      </c>
      <c r="B25" s="4">
        <v>45971</v>
      </c>
      <c r="C25" s="5">
        <v>0.63042824074074078</v>
      </c>
      <c r="D25" s="9" t="s">
        <v>262</v>
      </c>
      <c r="E25" s="9" t="s">
        <v>55</v>
      </c>
      <c r="F25" s="9" t="s">
        <v>58</v>
      </c>
      <c r="H25" s="9"/>
      <c r="I25" s="9" t="s">
        <v>1660</v>
      </c>
      <c r="J25" s="9" t="s">
        <v>2941</v>
      </c>
      <c r="K25" t="s">
        <v>1661</v>
      </c>
      <c r="L25" t="s">
        <v>1662</v>
      </c>
      <c r="M25" s="3" t="str">
        <f>HYPERLINK(склад2въезд1319202122237[[#This Row],[RelativePath]])</f>
        <v>11 С ангара на базу\E33149364_4_20251110T150749Z.jpg</v>
      </c>
    </row>
    <row r="26" spans="1:13" x14ac:dyDescent="0.25">
      <c r="A26" s="2" t="s">
        <v>13</v>
      </c>
      <c r="B26" s="4">
        <v>45971</v>
      </c>
      <c r="C26" s="5">
        <v>0.63086805555555558</v>
      </c>
      <c r="D26" s="9" t="s">
        <v>1783</v>
      </c>
      <c r="E26" s="9" t="s">
        <v>55</v>
      </c>
      <c r="F26" s="9" t="s">
        <v>58</v>
      </c>
      <c r="H26" s="9"/>
      <c r="I26" s="9" t="s">
        <v>1663</v>
      </c>
      <c r="J26" s="9" t="s">
        <v>2941</v>
      </c>
      <c r="K26" t="s">
        <v>1664</v>
      </c>
      <c r="L26" t="s">
        <v>1665</v>
      </c>
      <c r="M26" s="3" t="str">
        <f>HYPERLINK(склад2въезд1319202122237[[#This Row],[RelativePath]])</f>
        <v>11 С ангара на базу\E33149364_4_20251110T150827Z.jpg</v>
      </c>
    </row>
    <row r="27" spans="1:13" x14ac:dyDescent="0.25">
      <c r="A27" s="2" t="s">
        <v>13</v>
      </c>
      <c r="B27" s="4">
        <v>45971</v>
      </c>
      <c r="C27" s="5">
        <v>0.63107638888888884</v>
      </c>
      <c r="D27" s="9" t="s">
        <v>1783</v>
      </c>
      <c r="E27" s="9" t="s">
        <v>55</v>
      </c>
      <c r="F27" s="9" t="s">
        <v>58</v>
      </c>
      <c r="H27" s="9"/>
      <c r="I27" s="9" t="s">
        <v>1666</v>
      </c>
      <c r="J27" s="9" t="s">
        <v>2941</v>
      </c>
      <c r="K27" t="s">
        <v>1667</v>
      </c>
      <c r="L27" t="s">
        <v>1668</v>
      </c>
      <c r="M27" s="3" t="str">
        <f>HYPERLINK(склад2въезд1319202122237[[#This Row],[RelativePath]])</f>
        <v>11 С ангара на базу\E33149364_4_20251110T150845Z.jpg</v>
      </c>
    </row>
    <row r="28" spans="1:13" x14ac:dyDescent="0.25">
      <c r="A28" s="2" t="s">
        <v>13</v>
      </c>
      <c r="B28" s="4">
        <v>45971</v>
      </c>
      <c r="C28" s="5">
        <v>0.72167824074074072</v>
      </c>
      <c r="D28" s="9" t="s">
        <v>4</v>
      </c>
      <c r="E28" s="9" t="s">
        <v>8</v>
      </c>
      <c r="F28" s="9"/>
      <c r="H28" s="9" t="s">
        <v>1588</v>
      </c>
      <c r="I28" s="9" t="s">
        <v>1669</v>
      </c>
      <c r="J28" s="9" t="s">
        <v>2941</v>
      </c>
      <c r="K28" t="s">
        <v>1670</v>
      </c>
      <c r="L28" t="s">
        <v>1671</v>
      </c>
      <c r="M28" s="3" t="str">
        <f>HYPERLINK(склад2въезд1319202122237[[#This Row],[RelativePath]])</f>
        <v>11 С ангара на базу\E33149364_4_20251110T171913Z.jpg</v>
      </c>
    </row>
    <row r="29" spans="1:13" x14ac:dyDescent="0.25">
      <c r="A29" s="2" t="s">
        <v>14</v>
      </c>
      <c r="B29" s="4">
        <v>45972</v>
      </c>
      <c r="C29" s="5">
        <v>0.34748842592592594</v>
      </c>
      <c r="D29" s="9" t="s">
        <v>4</v>
      </c>
      <c r="E29" s="9" t="s">
        <v>8</v>
      </c>
      <c r="F29" s="9"/>
      <c r="H29" s="9" t="s">
        <v>5</v>
      </c>
      <c r="I29" s="9" t="s">
        <v>1672</v>
      </c>
      <c r="J29" s="9" t="s">
        <v>2941</v>
      </c>
      <c r="K29" t="s">
        <v>1673</v>
      </c>
      <c r="L29" t="s">
        <v>1674</v>
      </c>
      <c r="M29" s="3" t="str">
        <f>HYPERLINK(склад2въезд1319202122237[[#This Row],[RelativePath]])</f>
        <v>11 С ангара на базу\E33149364_4_20251111T082023Z.jpg</v>
      </c>
    </row>
    <row r="30" spans="1:13" x14ac:dyDescent="0.25">
      <c r="A30" s="2" t="s">
        <v>14</v>
      </c>
      <c r="B30" s="4">
        <v>45972</v>
      </c>
      <c r="C30" s="5">
        <v>0.45525462962962965</v>
      </c>
      <c r="D30" s="9" t="s">
        <v>159</v>
      </c>
      <c r="E30" s="9" t="s">
        <v>86</v>
      </c>
      <c r="F30" s="9" t="s">
        <v>1069</v>
      </c>
      <c r="H30" s="9"/>
      <c r="I30" s="9" t="s">
        <v>1675</v>
      </c>
      <c r="J30" s="9" t="s">
        <v>2941</v>
      </c>
      <c r="K30" t="s">
        <v>1676</v>
      </c>
      <c r="L30" t="s">
        <v>1677</v>
      </c>
      <c r="M30" s="3" t="str">
        <f>HYPERLINK(склад2въезд1319202122237[[#This Row],[RelativePath]])</f>
        <v>11 С ангара на базу\E33149364_4_20251111T105534Z.jpg</v>
      </c>
    </row>
    <row r="31" spans="1:13" x14ac:dyDescent="0.25">
      <c r="A31" s="2" t="s">
        <v>14</v>
      </c>
      <c r="B31" s="4">
        <v>45972</v>
      </c>
      <c r="C31" s="5">
        <v>0.45591435185185186</v>
      </c>
      <c r="D31" s="9" t="s">
        <v>1782</v>
      </c>
      <c r="E31" s="9" t="s">
        <v>86</v>
      </c>
      <c r="F31" s="9" t="s">
        <v>1069</v>
      </c>
      <c r="H31" s="9" t="s">
        <v>1781</v>
      </c>
      <c r="I31" s="9" t="s">
        <v>1678</v>
      </c>
      <c r="J31" s="9" t="s">
        <v>2941</v>
      </c>
      <c r="K31" t="s">
        <v>1679</v>
      </c>
      <c r="L31" t="s">
        <v>1680</v>
      </c>
      <c r="M31" s="3" t="str">
        <f>HYPERLINK(склад2въезд1319202122237[[#This Row],[RelativePath]])</f>
        <v>11 С ангара на базу\E33149364_4_20251111T105631Z.jpg</v>
      </c>
    </row>
    <row r="32" spans="1:13" x14ac:dyDescent="0.25">
      <c r="A32" s="2" t="s">
        <v>14</v>
      </c>
      <c r="B32" s="4">
        <v>45972</v>
      </c>
      <c r="C32" s="5">
        <v>0.48247685185185185</v>
      </c>
      <c r="D32" s="9" t="s">
        <v>4</v>
      </c>
      <c r="E32" s="9" t="s">
        <v>8</v>
      </c>
      <c r="F32" s="9"/>
      <c r="H32" s="9"/>
      <c r="I32" s="9" t="s">
        <v>1681</v>
      </c>
      <c r="J32" s="9" t="s">
        <v>2941</v>
      </c>
      <c r="K32" t="s">
        <v>1682</v>
      </c>
      <c r="L32" t="s">
        <v>1683</v>
      </c>
      <c r="M32" s="3" t="str">
        <f>HYPERLINK(склад2въезд1319202122237[[#This Row],[RelativePath]])</f>
        <v>11 С ангара на базу\E33149364_4_20251111T113446Z.jpg</v>
      </c>
    </row>
    <row r="33" spans="1:13" x14ac:dyDescent="0.25">
      <c r="A33" s="2" t="s">
        <v>14</v>
      </c>
      <c r="B33" s="4">
        <v>45972</v>
      </c>
      <c r="C33" s="5">
        <v>0.51576388888888891</v>
      </c>
      <c r="D33" s="9" t="s">
        <v>1578</v>
      </c>
      <c r="E33" s="9" t="s">
        <v>86</v>
      </c>
      <c r="F33" s="9" t="s">
        <v>60</v>
      </c>
      <c r="H33" s="9"/>
      <c r="I33" s="9" t="s">
        <v>1684</v>
      </c>
      <c r="J33" s="9" t="s">
        <v>2941</v>
      </c>
      <c r="K33" t="s">
        <v>1685</v>
      </c>
      <c r="L33" t="s">
        <v>1686</v>
      </c>
      <c r="M33" s="3" t="str">
        <f>HYPERLINK(склад2въезд1319202122237[[#This Row],[RelativePath]])</f>
        <v>11 С ангара на базу\E33149364_4_20251111T122242Z.jpg</v>
      </c>
    </row>
    <row r="34" spans="1:13" x14ac:dyDescent="0.25">
      <c r="A34" s="2" t="s">
        <v>14</v>
      </c>
      <c r="B34" s="4">
        <v>45972</v>
      </c>
      <c r="C34" s="5">
        <v>0.51980324074074069</v>
      </c>
      <c r="D34" s="9" t="s">
        <v>1578</v>
      </c>
      <c r="E34" s="9" t="s">
        <v>86</v>
      </c>
      <c r="F34" s="9" t="s">
        <v>60</v>
      </c>
      <c r="H34" s="9"/>
      <c r="I34" s="9" t="s">
        <v>1687</v>
      </c>
      <c r="J34" s="9" t="s">
        <v>2941</v>
      </c>
      <c r="K34" t="s">
        <v>1688</v>
      </c>
      <c r="L34" t="s">
        <v>1689</v>
      </c>
      <c r="M34" s="3" t="str">
        <f>HYPERLINK(склад2въезд1319202122237[[#This Row],[RelativePath]])</f>
        <v>11 С ангара на базу\E33149364_4_20251111T122831Z.jpg</v>
      </c>
    </row>
    <row r="35" spans="1:13" x14ac:dyDescent="0.25">
      <c r="A35" s="2" t="s">
        <v>14</v>
      </c>
      <c r="B35" s="4">
        <v>45972</v>
      </c>
      <c r="C35" s="5">
        <v>0.52334490740740736</v>
      </c>
      <c r="D35" s="9" t="s">
        <v>1578</v>
      </c>
      <c r="E35" s="9" t="s">
        <v>86</v>
      </c>
      <c r="F35" s="9" t="s">
        <v>60</v>
      </c>
      <c r="H35" s="9"/>
      <c r="I35" s="9" t="s">
        <v>1690</v>
      </c>
      <c r="J35" s="9" t="s">
        <v>2941</v>
      </c>
      <c r="K35" t="s">
        <v>1691</v>
      </c>
      <c r="L35" t="s">
        <v>1692</v>
      </c>
      <c r="M35" s="3" t="str">
        <f>HYPERLINK(склад2въезд1319202122237[[#This Row],[RelativePath]])</f>
        <v>11 С ангара на базу\E33149364_4_20251111T123337Z.jpg</v>
      </c>
    </row>
    <row r="36" spans="1:13" x14ac:dyDescent="0.25">
      <c r="A36" s="2" t="s">
        <v>14</v>
      </c>
      <c r="B36" s="4">
        <v>45972</v>
      </c>
      <c r="C36" s="5">
        <v>0.52337962962962958</v>
      </c>
      <c r="D36" s="9" t="s">
        <v>1578</v>
      </c>
      <c r="E36" s="9" t="s">
        <v>86</v>
      </c>
      <c r="F36" s="9" t="s">
        <v>60</v>
      </c>
      <c r="H36" s="9"/>
      <c r="I36" s="9" t="s">
        <v>1693</v>
      </c>
      <c r="J36" s="9" t="s">
        <v>2941</v>
      </c>
      <c r="K36" t="s">
        <v>1694</v>
      </c>
      <c r="L36" t="s">
        <v>1695</v>
      </c>
      <c r="M36" s="3" t="str">
        <f>HYPERLINK(склад2въезд1319202122237[[#This Row],[RelativePath]])</f>
        <v>11 С ангара на базу\E33149364_4_20251111T123340Z.jpg</v>
      </c>
    </row>
    <row r="37" spans="1:13" x14ac:dyDescent="0.25">
      <c r="A37" s="2" t="s">
        <v>14</v>
      </c>
      <c r="B37" s="4">
        <v>45972</v>
      </c>
      <c r="C37" s="5">
        <v>0.5269907407407407</v>
      </c>
      <c r="D37" s="9" t="s">
        <v>1578</v>
      </c>
      <c r="E37" s="9" t="s">
        <v>86</v>
      </c>
      <c r="F37" s="9" t="s">
        <v>60</v>
      </c>
      <c r="H37" s="9"/>
      <c r="I37" s="9" t="s">
        <v>1696</v>
      </c>
      <c r="J37" s="9" t="s">
        <v>2941</v>
      </c>
      <c r="K37" t="s">
        <v>1697</v>
      </c>
      <c r="L37" t="s">
        <v>1698</v>
      </c>
      <c r="M37" s="3" t="str">
        <f>HYPERLINK(склад2въезд1319202122237[[#This Row],[RelativePath]])</f>
        <v>11 С ангара на базу\E33149364_4_20251111T123852Z.jpg</v>
      </c>
    </row>
    <row r="38" spans="1:13" x14ac:dyDescent="0.25">
      <c r="A38" s="2" t="s">
        <v>14</v>
      </c>
      <c r="B38" s="4">
        <v>45972</v>
      </c>
      <c r="C38" s="5">
        <v>0.53318287037037038</v>
      </c>
      <c r="D38" s="9" t="s">
        <v>4</v>
      </c>
      <c r="E38" s="9" t="s">
        <v>8</v>
      </c>
      <c r="F38" s="9"/>
      <c r="H38" s="9"/>
      <c r="I38" s="9" t="s">
        <v>1699</v>
      </c>
      <c r="J38" s="9" t="s">
        <v>2941</v>
      </c>
      <c r="K38" t="s">
        <v>1700</v>
      </c>
      <c r="L38" t="s">
        <v>1701</v>
      </c>
      <c r="M38" s="3" t="str">
        <f>HYPERLINK(склад2въезд1319202122237[[#This Row],[RelativePath]])</f>
        <v>11 С ангара на базу\E33149364_4_20251111T124747Z.jpg</v>
      </c>
    </row>
    <row r="39" spans="1:13" x14ac:dyDescent="0.25">
      <c r="A39" s="2" t="s">
        <v>14</v>
      </c>
      <c r="B39" s="4">
        <v>45972</v>
      </c>
      <c r="C39" s="5">
        <v>0.71144675925925926</v>
      </c>
      <c r="D39" s="9" t="s">
        <v>4</v>
      </c>
      <c r="E39" s="9" t="s">
        <v>8</v>
      </c>
      <c r="F39" s="9"/>
      <c r="H39" s="9" t="s">
        <v>1588</v>
      </c>
      <c r="I39" s="9" t="s">
        <v>1702</v>
      </c>
      <c r="J39" s="9" t="s">
        <v>2941</v>
      </c>
      <c r="K39" t="s">
        <v>1703</v>
      </c>
      <c r="L39" t="s">
        <v>1704</v>
      </c>
      <c r="M39" s="3" t="str">
        <f>HYPERLINK(склад2въезд1319202122237[[#This Row],[RelativePath]])</f>
        <v>11 С ангара на базу\E33149364_4_20251111T170429Z.jpg</v>
      </c>
    </row>
    <row r="40" spans="1:13" x14ac:dyDescent="0.25">
      <c r="A40" s="2" t="s">
        <v>15</v>
      </c>
      <c r="B40" s="4">
        <v>45973</v>
      </c>
      <c r="C40" s="5">
        <v>0.40519675925925924</v>
      </c>
      <c r="D40" s="9" t="s">
        <v>4</v>
      </c>
      <c r="E40" s="9" t="s">
        <v>8</v>
      </c>
      <c r="F40" s="9"/>
      <c r="H40" s="9" t="s">
        <v>5</v>
      </c>
      <c r="I40" s="9" t="s">
        <v>1705</v>
      </c>
      <c r="J40" s="9" t="s">
        <v>2941</v>
      </c>
      <c r="K40" t="s">
        <v>1706</v>
      </c>
      <c r="L40" t="s">
        <v>1707</v>
      </c>
      <c r="M40" s="3" t="str">
        <f>HYPERLINK(склад2въезд1319202122237[[#This Row],[RelativePath]])</f>
        <v>11 С ангара на базу\E33149364_4_20251112T094329Z.jpg</v>
      </c>
    </row>
    <row r="41" spans="1:13" x14ac:dyDescent="0.25">
      <c r="A41" s="2" t="s">
        <v>15</v>
      </c>
      <c r="B41" s="4">
        <v>45973</v>
      </c>
      <c r="C41" s="5">
        <v>0.40539351851851851</v>
      </c>
      <c r="D41" s="9" t="s">
        <v>261</v>
      </c>
      <c r="E41" s="9" t="s">
        <v>86</v>
      </c>
      <c r="F41" s="9" t="s">
        <v>60</v>
      </c>
      <c r="H41" s="9" t="s">
        <v>1785</v>
      </c>
      <c r="I41" s="9" t="s">
        <v>1708</v>
      </c>
      <c r="J41" s="9" t="s">
        <v>2941</v>
      </c>
      <c r="K41" t="s">
        <v>1709</v>
      </c>
      <c r="L41" t="s">
        <v>1710</v>
      </c>
      <c r="M41" s="3" t="str">
        <f>HYPERLINK(склад2въезд1319202122237[[#This Row],[RelativePath]])</f>
        <v>11 С ангара на базу\E33149364_4_20251112T094346Z.jpg</v>
      </c>
    </row>
    <row r="42" spans="1:13" x14ac:dyDescent="0.25">
      <c r="A42" s="2" t="s">
        <v>15</v>
      </c>
      <c r="B42" s="4">
        <v>45973</v>
      </c>
      <c r="C42" s="5">
        <v>0.69604166666666667</v>
      </c>
      <c r="D42" s="9" t="s">
        <v>1569</v>
      </c>
      <c r="E42" s="9" t="s">
        <v>66</v>
      </c>
      <c r="F42" s="9" t="s">
        <v>69</v>
      </c>
      <c r="H42" s="9"/>
      <c r="I42" s="9" t="s">
        <v>1711</v>
      </c>
      <c r="J42" s="9" t="s">
        <v>2941</v>
      </c>
      <c r="K42" t="s">
        <v>1712</v>
      </c>
      <c r="L42" t="s">
        <v>1713</v>
      </c>
      <c r="M42" s="3" t="str">
        <f>HYPERLINK(склад2въезд1319202122237[[#This Row],[RelativePath]])</f>
        <v>11 С ангара на базу\E33149364_4_20251112T164218Z.jpg</v>
      </c>
    </row>
    <row r="43" spans="1:13" x14ac:dyDescent="0.25">
      <c r="A43" s="2" t="s">
        <v>15</v>
      </c>
      <c r="B43" s="4">
        <v>45973</v>
      </c>
      <c r="C43" s="5">
        <v>0.69677083333333334</v>
      </c>
      <c r="D43" s="9" t="s">
        <v>262</v>
      </c>
      <c r="E43" s="9" t="s">
        <v>66</v>
      </c>
      <c r="F43" s="9" t="s">
        <v>69</v>
      </c>
      <c r="H43" s="9"/>
      <c r="I43" s="9" t="s">
        <v>1714</v>
      </c>
      <c r="J43" s="9" t="s">
        <v>2941</v>
      </c>
      <c r="K43" t="s">
        <v>1715</v>
      </c>
      <c r="L43" t="s">
        <v>1716</v>
      </c>
      <c r="M43" s="3" t="str">
        <f>HYPERLINK(склад2въезд1319202122237[[#This Row],[RelativePath]])</f>
        <v>11 С ангара на базу\E33149364_4_20251112T164321Z.jpg</v>
      </c>
    </row>
    <row r="44" spans="1:13" x14ac:dyDescent="0.25">
      <c r="A44" s="2" t="s">
        <v>15</v>
      </c>
      <c r="B44" s="4">
        <v>45973</v>
      </c>
      <c r="C44" s="5">
        <v>0.70961805555555557</v>
      </c>
      <c r="D44" s="9" t="s">
        <v>622</v>
      </c>
      <c r="E44" s="9" t="s">
        <v>66</v>
      </c>
      <c r="F44" s="9" t="s">
        <v>51</v>
      </c>
      <c r="H44" s="9"/>
      <c r="I44" s="9" t="s">
        <v>1717</v>
      </c>
      <c r="J44" s="9" t="s">
        <v>2941</v>
      </c>
      <c r="K44" t="s">
        <v>1718</v>
      </c>
      <c r="L44" t="s">
        <v>1719</v>
      </c>
      <c r="M44" s="3" t="str">
        <f>HYPERLINK(склад2въезд1319202122237[[#This Row],[RelativePath]])</f>
        <v>11 С ангара на базу\E33149364_4_20251112T170151Z.jpg</v>
      </c>
    </row>
    <row r="45" spans="1:13" x14ac:dyDescent="0.25">
      <c r="A45" s="2" t="s">
        <v>15</v>
      </c>
      <c r="B45" s="4">
        <v>45973</v>
      </c>
      <c r="C45" s="5">
        <v>0.74185185185185187</v>
      </c>
      <c r="D45" s="9" t="s">
        <v>4</v>
      </c>
      <c r="E45" s="9" t="s">
        <v>8</v>
      </c>
      <c r="F45" s="9"/>
      <c r="H45" s="9" t="s">
        <v>1588</v>
      </c>
      <c r="I45" s="9" t="s">
        <v>1720</v>
      </c>
      <c r="J45" s="9" t="s">
        <v>2941</v>
      </c>
      <c r="K45" t="s">
        <v>1721</v>
      </c>
      <c r="L45" t="s">
        <v>1722</v>
      </c>
      <c r="M45" s="3" t="str">
        <f>HYPERLINK(склад2въезд1319202122237[[#This Row],[RelativePath]])</f>
        <v>11 С ангара на базу\E33149364_4_20251112T174816Z.jpg</v>
      </c>
    </row>
    <row r="46" spans="1:13" x14ac:dyDescent="0.25">
      <c r="A46" s="2" t="s">
        <v>16</v>
      </c>
      <c r="B46" s="4">
        <v>45974</v>
      </c>
      <c r="C46" s="5">
        <v>0.36912037037037038</v>
      </c>
      <c r="D46" s="9" t="s">
        <v>4</v>
      </c>
      <c r="E46" s="9" t="s">
        <v>8</v>
      </c>
      <c r="F46" s="9"/>
      <c r="H46" s="9" t="s">
        <v>5</v>
      </c>
      <c r="I46" s="9" t="s">
        <v>1723</v>
      </c>
      <c r="J46" s="9" t="s">
        <v>2941</v>
      </c>
      <c r="K46" t="s">
        <v>1724</v>
      </c>
      <c r="L46" t="s">
        <v>1725</v>
      </c>
      <c r="M46" s="3" t="str">
        <f>HYPERLINK(склад2въезд1319202122237[[#This Row],[RelativePath]])</f>
        <v>11 С ангара на базу\E33149364_4_20251113T085132Z.jpg</v>
      </c>
    </row>
    <row r="47" spans="1:13" x14ac:dyDescent="0.25">
      <c r="A47" s="2" t="s">
        <v>16</v>
      </c>
      <c r="B47" s="4">
        <v>45974</v>
      </c>
      <c r="C47" s="5">
        <v>0.38871527777777776</v>
      </c>
      <c r="D47" s="9" t="s">
        <v>4</v>
      </c>
      <c r="E47" s="9" t="s">
        <v>70</v>
      </c>
      <c r="F47" s="9"/>
      <c r="H47" s="9" t="s">
        <v>1786</v>
      </c>
      <c r="I47" s="9" t="s">
        <v>1726</v>
      </c>
      <c r="J47" s="9" t="s">
        <v>2941</v>
      </c>
      <c r="K47" t="s">
        <v>1727</v>
      </c>
      <c r="L47" t="s">
        <v>1728</v>
      </c>
      <c r="M47" s="3" t="str">
        <f>HYPERLINK(склад2въезд1319202122237[[#This Row],[RelativePath]])</f>
        <v>11 С ангара на базу\E33149364_4_20251113T091945Z.jpg</v>
      </c>
    </row>
    <row r="48" spans="1:13" x14ac:dyDescent="0.25">
      <c r="A48" s="2" t="s">
        <v>16</v>
      </c>
      <c r="B48" s="4">
        <v>45974</v>
      </c>
      <c r="C48" s="5">
        <v>0.52577546296296296</v>
      </c>
      <c r="D48" s="9" t="s">
        <v>4</v>
      </c>
      <c r="E48" s="9" t="s">
        <v>86</v>
      </c>
      <c r="F48" s="9"/>
      <c r="H48" s="9" t="s">
        <v>1787</v>
      </c>
      <c r="I48" s="9" t="s">
        <v>1729</v>
      </c>
      <c r="J48" s="9" t="s">
        <v>2941</v>
      </c>
      <c r="K48" t="s">
        <v>1730</v>
      </c>
      <c r="L48" t="s">
        <v>1731</v>
      </c>
      <c r="M48" s="3" t="str">
        <f>HYPERLINK(склад2въезд1319202122237[[#This Row],[RelativePath]])</f>
        <v>11 С ангара на базу\E33149364_4_20251113T123707Z.jpg</v>
      </c>
    </row>
    <row r="49" spans="1:13" x14ac:dyDescent="0.25">
      <c r="A49" s="2" t="s">
        <v>16</v>
      </c>
      <c r="B49" s="4">
        <v>45974</v>
      </c>
      <c r="C49" s="5">
        <v>0.68486111111111114</v>
      </c>
      <c r="D49" s="9" t="s">
        <v>159</v>
      </c>
      <c r="E49" s="9" t="s">
        <v>86</v>
      </c>
      <c r="F49" s="9" t="s">
        <v>500</v>
      </c>
      <c r="H49" s="9"/>
      <c r="I49" s="9" t="s">
        <v>1732</v>
      </c>
      <c r="J49" s="9" t="s">
        <v>2941</v>
      </c>
      <c r="K49" t="s">
        <v>1733</v>
      </c>
      <c r="L49" t="s">
        <v>1734</v>
      </c>
      <c r="M49" s="3" t="str">
        <f>HYPERLINK(склад2въезд1319202122237[[#This Row],[RelativePath]])</f>
        <v>11 С ангара на базу\E33149364_4_20251113T162612Z.jpg</v>
      </c>
    </row>
    <row r="50" spans="1:13" x14ac:dyDescent="0.25">
      <c r="A50" s="2" t="s">
        <v>16</v>
      </c>
      <c r="B50" s="4">
        <v>45974</v>
      </c>
      <c r="C50" s="5">
        <v>0.74509259259259264</v>
      </c>
      <c r="D50" s="9" t="s">
        <v>4</v>
      </c>
      <c r="E50" s="9" t="s">
        <v>8</v>
      </c>
      <c r="F50" s="9"/>
      <c r="H50" s="9" t="s">
        <v>1588</v>
      </c>
      <c r="I50" s="9" t="s">
        <v>1735</v>
      </c>
      <c r="J50" s="9" t="s">
        <v>2941</v>
      </c>
      <c r="K50" t="s">
        <v>1736</v>
      </c>
      <c r="L50" t="s">
        <v>1737</v>
      </c>
      <c r="M50" s="3" t="str">
        <f>HYPERLINK(склад2въезд1319202122237[[#This Row],[RelativePath]])</f>
        <v>11 С ангара на базу\E33149364_4_20251113T175256Z.jpg</v>
      </c>
    </row>
    <row r="51" spans="1:13" x14ac:dyDescent="0.25">
      <c r="A51" s="2" t="s">
        <v>17</v>
      </c>
      <c r="B51" s="4">
        <v>45975</v>
      </c>
      <c r="C51" s="5">
        <v>0.36483796296296295</v>
      </c>
      <c r="D51" s="9" t="s">
        <v>4</v>
      </c>
      <c r="E51" s="9" t="s">
        <v>8</v>
      </c>
      <c r="F51" s="9"/>
      <c r="H51" s="9" t="s">
        <v>5</v>
      </c>
      <c r="I51" s="9" t="s">
        <v>1738</v>
      </c>
      <c r="J51" s="9" t="s">
        <v>2941</v>
      </c>
      <c r="K51" t="s">
        <v>1739</v>
      </c>
      <c r="L51" t="s">
        <v>1740</v>
      </c>
      <c r="M51" s="3" t="str">
        <f>HYPERLINK(склад2въезд1319202122237[[#This Row],[RelativePath]])</f>
        <v>11 С ангара на базу\E33149364_4_20251114T084522Z.jpg</v>
      </c>
    </row>
    <row r="52" spans="1:13" x14ac:dyDescent="0.25">
      <c r="A52" s="2" t="s">
        <v>17</v>
      </c>
      <c r="B52" s="4">
        <v>45975</v>
      </c>
      <c r="C52" s="5">
        <v>0.42787037037037035</v>
      </c>
      <c r="D52" s="9" t="s">
        <v>159</v>
      </c>
      <c r="E52" s="9" t="s">
        <v>86</v>
      </c>
      <c r="F52" s="9" t="s">
        <v>200</v>
      </c>
      <c r="H52" s="9"/>
      <c r="I52" s="9" t="s">
        <v>1741</v>
      </c>
      <c r="J52" s="9" t="s">
        <v>2941</v>
      </c>
      <c r="K52" t="s">
        <v>1742</v>
      </c>
      <c r="L52" t="s">
        <v>1743</v>
      </c>
      <c r="M52" s="3" t="str">
        <f>HYPERLINK(склад2въезд1319202122237[[#This Row],[RelativePath]])</f>
        <v>11 С ангара на базу\E33149364_4_20251114T101608Z.jpg</v>
      </c>
    </row>
    <row r="53" spans="1:13" x14ac:dyDescent="0.25">
      <c r="A53" s="2" t="s">
        <v>17</v>
      </c>
      <c r="B53" s="4">
        <v>45975</v>
      </c>
      <c r="C53" s="5">
        <v>0.42792824074074076</v>
      </c>
      <c r="D53" s="9" t="s">
        <v>1782</v>
      </c>
      <c r="E53" s="9" t="s">
        <v>86</v>
      </c>
      <c r="F53" s="9"/>
      <c r="H53" s="9" t="s">
        <v>1781</v>
      </c>
      <c r="I53" s="9" t="s">
        <v>1744</v>
      </c>
      <c r="J53" s="9" t="s">
        <v>2941</v>
      </c>
      <c r="K53" t="s">
        <v>1745</v>
      </c>
      <c r="L53" t="s">
        <v>1746</v>
      </c>
      <c r="M53" s="3" t="str">
        <f>HYPERLINK(склад2въезд1319202122237[[#This Row],[RelativePath]])</f>
        <v>11 С ангара на базу\E33149364_4_20251114T101613Z.jpg</v>
      </c>
    </row>
    <row r="54" spans="1:13" x14ac:dyDescent="0.25">
      <c r="A54" s="2" t="s">
        <v>17</v>
      </c>
      <c r="B54" s="4">
        <v>45975</v>
      </c>
      <c r="C54" s="5">
        <v>0.43548611111111113</v>
      </c>
      <c r="D54" s="9" t="s">
        <v>159</v>
      </c>
      <c r="E54" s="9" t="s">
        <v>86</v>
      </c>
      <c r="F54" s="9" t="s">
        <v>200</v>
      </c>
      <c r="H54" s="9" t="s">
        <v>1781</v>
      </c>
      <c r="I54" s="9" t="s">
        <v>1747</v>
      </c>
      <c r="J54" s="9" t="s">
        <v>2941</v>
      </c>
      <c r="K54" t="s">
        <v>1748</v>
      </c>
      <c r="L54" t="s">
        <v>1749</v>
      </c>
      <c r="M54" s="3" t="str">
        <f>HYPERLINK(склад2въезд1319202122237[[#This Row],[RelativePath]])</f>
        <v>11 С ангара на базу\E33149364_4_20251114T102706Z.jpg</v>
      </c>
    </row>
    <row r="55" spans="1:13" x14ac:dyDescent="0.25">
      <c r="A55" s="2" t="s">
        <v>17</v>
      </c>
      <c r="B55" s="4">
        <v>45975</v>
      </c>
      <c r="C55" s="5">
        <v>0.47024305555555557</v>
      </c>
      <c r="D55" s="9" t="s">
        <v>4</v>
      </c>
      <c r="E55" s="9" t="s">
        <v>8</v>
      </c>
      <c r="F55" s="9"/>
      <c r="H55" s="9"/>
      <c r="I55" s="9" t="s">
        <v>1750</v>
      </c>
      <c r="J55" s="9" t="s">
        <v>2941</v>
      </c>
      <c r="K55" t="s">
        <v>1751</v>
      </c>
      <c r="L55" t="s">
        <v>1752</v>
      </c>
      <c r="M55" s="3" t="str">
        <f>HYPERLINK(склад2въезд1319202122237[[#This Row],[RelativePath]])</f>
        <v>11 С ангара на базу\E33149364_4_20251114T111709Z.jpg</v>
      </c>
    </row>
    <row r="56" spans="1:13" x14ac:dyDescent="0.25">
      <c r="A56" s="2" t="s">
        <v>17</v>
      </c>
      <c r="B56" s="4">
        <v>45975</v>
      </c>
      <c r="C56" s="5">
        <v>0.50475694444444441</v>
      </c>
      <c r="D56" s="9" t="s">
        <v>159</v>
      </c>
      <c r="E56" s="9" t="s">
        <v>86</v>
      </c>
      <c r="F56" s="9" t="s">
        <v>200</v>
      </c>
      <c r="H56" s="9" t="s">
        <v>1788</v>
      </c>
      <c r="I56" s="9" t="s">
        <v>1753</v>
      </c>
      <c r="J56" s="9" t="s">
        <v>2941</v>
      </c>
      <c r="K56" t="s">
        <v>1754</v>
      </c>
      <c r="L56" t="s">
        <v>1755</v>
      </c>
      <c r="M56" s="3" t="str">
        <f>HYPERLINK(склад2въезд1319202122237[[#This Row],[RelativePath]])</f>
        <v>11 С ангара на базу\E33149364_4_20251114T120651Z.jpg</v>
      </c>
    </row>
    <row r="57" spans="1:13" x14ac:dyDescent="0.25">
      <c r="A57" s="2" t="s">
        <v>17</v>
      </c>
      <c r="B57" s="4">
        <v>45975</v>
      </c>
      <c r="C57" s="5">
        <v>0.52907407407407403</v>
      </c>
      <c r="D57" s="9" t="s">
        <v>159</v>
      </c>
      <c r="E57" s="9" t="s">
        <v>86</v>
      </c>
      <c r="F57" s="9" t="s">
        <v>200</v>
      </c>
      <c r="H57" s="9" t="s">
        <v>1788</v>
      </c>
      <c r="I57" s="9" t="s">
        <v>1756</v>
      </c>
      <c r="J57" s="9" t="s">
        <v>2941</v>
      </c>
      <c r="K57" t="s">
        <v>1757</v>
      </c>
      <c r="L57" t="s">
        <v>1758</v>
      </c>
      <c r="M57" s="3" t="str">
        <f>HYPERLINK(склад2въезд1319202122237[[#This Row],[RelativePath]])</f>
        <v>11 С ангара на базу\E33149364_4_20251114T124152Z.jpg</v>
      </c>
    </row>
    <row r="58" spans="1:13" x14ac:dyDescent="0.25">
      <c r="A58" s="2" t="s">
        <v>17</v>
      </c>
      <c r="B58" s="4">
        <v>45975</v>
      </c>
      <c r="C58" s="5">
        <v>0.72956018518518517</v>
      </c>
      <c r="D58" s="9" t="s">
        <v>4</v>
      </c>
      <c r="E58" s="9" t="s">
        <v>8</v>
      </c>
      <c r="F58" s="9"/>
      <c r="H58" s="9" t="s">
        <v>1588</v>
      </c>
      <c r="I58" s="9" t="s">
        <v>1759</v>
      </c>
      <c r="J58" s="9" t="s">
        <v>2941</v>
      </c>
      <c r="K58" t="s">
        <v>1760</v>
      </c>
      <c r="L58" t="s">
        <v>1761</v>
      </c>
      <c r="M58" s="3" t="str">
        <f>HYPERLINK(склад2въезд1319202122237[[#This Row],[RelativePath]])</f>
        <v>11 С ангара на базу\E33149364_4_20251114T173034Z.jpg</v>
      </c>
    </row>
    <row r="59" spans="1:13" x14ac:dyDescent="0.25">
      <c r="A59" s="2" t="s">
        <v>18</v>
      </c>
      <c r="B59" s="4">
        <v>45976</v>
      </c>
      <c r="C59" s="5">
        <v>0.35357638888888887</v>
      </c>
      <c r="D59" s="9" t="s">
        <v>4</v>
      </c>
      <c r="E59" s="9" t="s">
        <v>8</v>
      </c>
      <c r="F59" s="9"/>
      <c r="H59" s="9" t="s">
        <v>5</v>
      </c>
      <c r="I59" s="9" t="s">
        <v>1762</v>
      </c>
      <c r="J59" s="9" t="s">
        <v>2941</v>
      </c>
      <c r="K59" t="s">
        <v>1763</v>
      </c>
      <c r="L59" t="s">
        <v>1764</v>
      </c>
      <c r="M59" s="3" t="str">
        <f>HYPERLINK(склад2въезд1319202122237[[#This Row],[RelativePath]])</f>
        <v>11 С ангара на базу\E33149364_4_20251115T082909Z.jpg</v>
      </c>
    </row>
    <row r="60" spans="1:13" x14ac:dyDescent="0.25">
      <c r="A60" s="2" t="s">
        <v>18</v>
      </c>
      <c r="B60" s="4">
        <v>45976</v>
      </c>
      <c r="C60" s="5">
        <v>0.55797453703703703</v>
      </c>
      <c r="D60" s="9" t="s">
        <v>4</v>
      </c>
      <c r="E60" s="9" t="s">
        <v>8</v>
      </c>
      <c r="F60" s="9"/>
      <c r="H60" s="9"/>
      <c r="I60" s="9" t="s">
        <v>1765</v>
      </c>
      <c r="J60" s="9" t="s">
        <v>2941</v>
      </c>
      <c r="K60" t="s">
        <v>1766</v>
      </c>
      <c r="L60" t="s">
        <v>1767</v>
      </c>
      <c r="M60" s="3" t="str">
        <f>HYPERLINK(склад2въезд1319202122237[[#This Row],[RelativePath]])</f>
        <v>11 С ангара на базу\E33149364_4_20251115T132329Z.jpg</v>
      </c>
    </row>
    <row r="61" spans="1:13" x14ac:dyDescent="0.25">
      <c r="A61" s="2" t="s">
        <v>18</v>
      </c>
      <c r="B61" s="4">
        <v>45976</v>
      </c>
      <c r="C61" s="5">
        <v>0.73224537037037041</v>
      </c>
      <c r="D61" s="9" t="s">
        <v>4</v>
      </c>
      <c r="E61" s="9" t="s">
        <v>8</v>
      </c>
      <c r="F61" s="9"/>
      <c r="H61" s="9" t="s">
        <v>1588</v>
      </c>
      <c r="I61" s="9" t="s">
        <v>1768</v>
      </c>
      <c r="J61" s="9" t="s">
        <v>2941</v>
      </c>
      <c r="K61" t="s">
        <v>1769</v>
      </c>
      <c r="L61" t="s">
        <v>1770</v>
      </c>
      <c r="M61" s="3" t="str">
        <f>HYPERLINK(склад2въезд1319202122237[[#This Row],[RelativePath]])</f>
        <v>11 С ангара на базу\E33149364_4_20251115T173426Z.jpg</v>
      </c>
    </row>
    <row r="62" spans="1:13" x14ac:dyDescent="0.25">
      <c r="A62" s="2" t="s">
        <v>22</v>
      </c>
      <c r="B62" s="4">
        <v>45977</v>
      </c>
      <c r="C62" s="5">
        <v>0.36515046296296294</v>
      </c>
      <c r="D62" s="9" t="s">
        <v>4</v>
      </c>
      <c r="E62" s="9" t="s">
        <v>8</v>
      </c>
      <c r="F62" s="9"/>
      <c r="H62" s="9" t="s">
        <v>5</v>
      </c>
      <c r="I62" s="9" t="s">
        <v>1771</v>
      </c>
      <c r="J62" s="9" t="s">
        <v>2941</v>
      </c>
      <c r="K62" t="s">
        <v>1772</v>
      </c>
      <c r="L62" t="s">
        <v>1773</v>
      </c>
      <c r="M62" s="3" t="str">
        <f>HYPERLINK(склад2въезд1319202122237[[#This Row],[RelativePath]])</f>
        <v>11 С ангара на базу\E33149364_4_20251116T084549Z.jpg</v>
      </c>
    </row>
    <row r="63" spans="1:13" x14ac:dyDescent="0.25">
      <c r="A63" s="2" t="s">
        <v>22</v>
      </c>
      <c r="B63" s="4">
        <v>45977</v>
      </c>
      <c r="C63" s="5">
        <v>0.56468750000000001</v>
      </c>
      <c r="D63" s="9" t="s">
        <v>4</v>
      </c>
      <c r="E63" s="9" t="s">
        <v>8</v>
      </c>
      <c r="F63" s="9"/>
      <c r="H63" s="9"/>
      <c r="I63" s="9" t="s">
        <v>1774</v>
      </c>
      <c r="J63" s="9" t="s">
        <v>2941</v>
      </c>
      <c r="K63" t="s">
        <v>1775</v>
      </c>
      <c r="L63" t="s">
        <v>1776</v>
      </c>
      <c r="M63" s="3" t="str">
        <f>HYPERLINK(склад2въезд1319202122237[[#This Row],[RelativePath]])</f>
        <v>11 С ангара на базу\E33149364_4_20251116T133309Z.jpg</v>
      </c>
    </row>
    <row r="64" spans="1:13" x14ac:dyDescent="0.25">
      <c r="A64" s="2" t="s">
        <v>22</v>
      </c>
      <c r="B64" s="4">
        <v>45977</v>
      </c>
      <c r="C64" s="5">
        <v>0.71405092592592589</v>
      </c>
      <c r="D64" s="9" t="s">
        <v>4</v>
      </c>
      <c r="E64" s="9" t="s">
        <v>8</v>
      </c>
      <c r="F64" s="9"/>
      <c r="H64" s="9" t="s">
        <v>1588</v>
      </c>
      <c r="I64" s="9" t="s">
        <v>1777</v>
      </c>
      <c r="J64" s="9" t="s">
        <v>2941</v>
      </c>
      <c r="K64" t="s">
        <v>1778</v>
      </c>
      <c r="L64" t="s">
        <v>1779</v>
      </c>
      <c r="M64" s="3" t="str">
        <f>HYPERLINK(склад2въезд1319202122237[[#This Row],[RelativePath]])</f>
        <v>11 С ангара на базу\E33149364_4_20251116T170814Z.jpg</v>
      </c>
    </row>
    <row r="65" spans="1:13" x14ac:dyDescent="0.25">
      <c r="A65" s="2" t="s">
        <v>13</v>
      </c>
      <c r="B65" s="4">
        <v>45978</v>
      </c>
      <c r="C65" s="5">
        <v>0.66162037037037036</v>
      </c>
      <c r="D65" s="9" t="s">
        <v>505</v>
      </c>
      <c r="E65" s="9" t="s">
        <v>1570</v>
      </c>
      <c r="F65" s="9" t="s">
        <v>2917</v>
      </c>
      <c r="H65" s="9" t="s">
        <v>2913</v>
      </c>
      <c r="I65" s="9" t="s">
        <v>2481</v>
      </c>
      <c r="J65" s="9" t="s">
        <v>2941</v>
      </c>
      <c r="K65" t="s">
        <v>2482</v>
      </c>
      <c r="L65" t="s">
        <v>2483</v>
      </c>
      <c r="M65" s="3" t="str">
        <f>HYPERLINK(склад2въезд1319202122237[[#This Row],[RelativePath]])</f>
        <v>11 С ангара на базу\E33149364_4_20251117T155244Z.jpg</v>
      </c>
    </row>
    <row r="66" spans="1:13" x14ac:dyDescent="0.25">
      <c r="A66" s="2" t="s">
        <v>13</v>
      </c>
      <c r="B66" s="4">
        <v>45978</v>
      </c>
      <c r="C66" s="5">
        <v>0.7129050925925926</v>
      </c>
      <c r="D66" s="9" t="s">
        <v>505</v>
      </c>
      <c r="E66" s="9" t="s">
        <v>503</v>
      </c>
      <c r="F66" s="9" t="s">
        <v>58</v>
      </c>
      <c r="H66" s="9" t="s">
        <v>2923</v>
      </c>
      <c r="I66" s="9" t="s">
        <v>2484</v>
      </c>
      <c r="J66" s="9" t="s">
        <v>2941</v>
      </c>
      <c r="K66" t="s">
        <v>2485</v>
      </c>
      <c r="L66" t="s">
        <v>2486</v>
      </c>
      <c r="M66" s="3" t="str">
        <f>HYPERLINK(склад2въезд1319202122237[[#This Row],[RelativePath]])</f>
        <v>11 С ангара на базу\E33149364_4_20251117T170635Z.jpg</v>
      </c>
    </row>
    <row r="67" spans="1:13" x14ac:dyDescent="0.25">
      <c r="A67" s="2" t="s">
        <v>14</v>
      </c>
      <c r="B67" s="4">
        <v>45979</v>
      </c>
      <c r="C67" s="5">
        <v>0.43287037037037035</v>
      </c>
      <c r="D67" s="9" t="s">
        <v>2935</v>
      </c>
      <c r="E67" s="9" t="s">
        <v>2875</v>
      </c>
      <c r="F67" s="9" t="s">
        <v>58</v>
      </c>
      <c r="H67" s="9" t="s">
        <v>2912</v>
      </c>
      <c r="I67" s="9" t="s">
        <v>2487</v>
      </c>
      <c r="J67" s="9" t="s">
        <v>2941</v>
      </c>
      <c r="K67" t="s">
        <v>2488</v>
      </c>
      <c r="L67" t="s">
        <v>2489</v>
      </c>
      <c r="M67" s="3" t="str">
        <f>HYPERLINK(склад2въезд1319202122237[[#This Row],[RelativePath]])</f>
        <v>11 С ангара на базу\E33149364_4_20251118T102320Z.jpg</v>
      </c>
    </row>
    <row r="68" spans="1:13" x14ac:dyDescent="0.25">
      <c r="A68" s="2" t="s">
        <v>14</v>
      </c>
      <c r="B68" s="4">
        <v>45979</v>
      </c>
      <c r="C68" s="5">
        <v>0.43306712962962962</v>
      </c>
      <c r="D68" s="9" t="s">
        <v>1962</v>
      </c>
      <c r="E68" s="9" t="s">
        <v>2875</v>
      </c>
      <c r="F68" s="9" t="s">
        <v>58</v>
      </c>
      <c r="H68" s="9" t="s">
        <v>2912</v>
      </c>
      <c r="I68" s="9" t="s">
        <v>2490</v>
      </c>
      <c r="J68" s="9" t="s">
        <v>2941</v>
      </c>
      <c r="K68" t="s">
        <v>2491</v>
      </c>
      <c r="L68" t="s">
        <v>2492</v>
      </c>
      <c r="M68" s="3" t="str">
        <f>HYPERLINK(склад2въезд1319202122237[[#This Row],[RelativePath]])</f>
        <v>11 С ангара на базу\E33149364_4_20251118T102337Z.jpg</v>
      </c>
    </row>
    <row r="69" spans="1:13" x14ac:dyDescent="0.25">
      <c r="A69" s="2" t="s">
        <v>14</v>
      </c>
      <c r="B69" s="4">
        <v>45979</v>
      </c>
      <c r="C69" s="5">
        <v>0.4332523148148148</v>
      </c>
      <c r="D69" s="9" t="s">
        <v>1962</v>
      </c>
      <c r="E69" s="9" t="s">
        <v>2875</v>
      </c>
      <c r="F69" s="9" t="s">
        <v>58</v>
      </c>
      <c r="H69" s="9" t="s">
        <v>2912</v>
      </c>
      <c r="I69" s="9" t="s">
        <v>2493</v>
      </c>
      <c r="J69" s="9" t="s">
        <v>2941</v>
      </c>
      <c r="K69" t="s">
        <v>2494</v>
      </c>
      <c r="L69" t="s">
        <v>2495</v>
      </c>
      <c r="M69" s="3" t="str">
        <f>HYPERLINK(склад2въезд1319202122237[[#This Row],[RelativePath]])</f>
        <v>11 С ангара на базу\E33149364_4_20251118T102353Z.jpg</v>
      </c>
    </row>
    <row r="70" spans="1:13" x14ac:dyDescent="0.25">
      <c r="A70" s="2" t="s">
        <v>14</v>
      </c>
      <c r="B70" s="4">
        <v>45979</v>
      </c>
      <c r="C70" s="5">
        <v>0.43341435185185184</v>
      </c>
      <c r="D70" s="9" t="s">
        <v>1962</v>
      </c>
      <c r="E70" s="9" t="s">
        <v>2875</v>
      </c>
      <c r="F70" s="9" t="s">
        <v>58</v>
      </c>
      <c r="H70" s="9" t="s">
        <v>2912</v>
      </c>
      <c r="I70" s="9" t="s">
        <v>2496</v>
      </c>
      <c r="J70" s="9" t="s">
        <v>2941</v>
      </c>
      <c r="K70" t="s">
        <v>2497</v>
      </c>
      <c r="L70" t="s">
        <v>2498</v>
      </c>
      <c r="M70" s="3" t="str">
        <f>HYPERLINK(склад2въезд1319202122237[[#This Row],[RelativePath]])</f>
        <v>11 С ангара на базу\E33149364_4_20251118T102407Z.jpg</v>
      </c>
    </row>
    <row r="71" spans="1:13" x14ac:dyDescent="0.25">
      <c r="A71" s="2" t="s">
        <v>14</v>
      </c>
      <c r="B71" s="4">
        <v>45979</v>
      </c>
      <c r="C71" s="5">
        <v>0.43355324074074075</v>
      </c>
      <c r="D71" s="9" t="s">
        <v>1962</v>
      </c>
      <c r="E71" s="9" t="s">
        <v>2875</v>
      </c>
      <c r="F71" s="9" t="s">
        <v>58</v>
      </c>
      <c r="H71" s="9" t="s">
        <v>2912</v>
      </c>
      <c r="I71" s="9" t="s">
        <v>2499</v>
      </c>
      <c r="J71" s="9" t="s">
        <v>2941</v>
      </c>
      <c r="K71" t="s">
        <v>2500</v>
      </c>
      <c r="L71" t="s">
        <v>2501</v>
      </c>
      <c r="M71" s="3" t="str">
        <f>HYPERLINK(склад2въезд1319202122237[[#This Row],[RelativePath]])</f>
        <v>11 С ангара на базу\E33149364_4_20251118T102419Z.jpg</v>
      </c>
    </row>
    <row r="72" spans="1:13" x14ac:dyDescent="0.25">
      <c r="A72" s="2" t="s">
        <v>14</v>
      </c>
      <c r="B72" s="4">
        <v>45979</v>
      </c>
      <c r="C72" s="5">
        <v>0.43373842592592593</v>
      </c>
      <c r="D72" s="9" t="s">
        <v>1962</v>
      </c>
      <c r="E72" s="9" t="s">
        <v>2875</v>
      </c>
      <c r="F72" s="9" t="s">
        <v>58</v>
      </c>
      <c r="H72" s="9" t="s">
        <v>2912</v>
      </c>
      <c r="I72" s="9" t="s">
        <v>2502</v>
      </c>
      <c r="J72" s="9" t="s">
        <v>2941</v>
      </c>
      <c r="K72" t="s">
        <v>2503</v>
      </c>
      <c r="L72" t="s">
        <v>2504</v>
      </c>
      <c r="M72" s="3" t="str">
        <f>HYPERLINK(склад2въезд1319202122237[[#This Row],[RelativePath]])</f>
        <v>11 С ангара на базу\E33149364_4_20251118T102435Z.jpg</v>
      </c>
    </row>
    <row r="73" spans="1:13" x14ac:dyDescent="0.25">
      <c r="A73" s="2" t="s">
        <v>14</v>
      </c>
      <c r="B73" s="4">
        <v>45979</v>
      </c>
      <c r="C73" s="5">
        <v>0.43386574074074075</v>
      </c>
      <c r="D73" s="9" t="s">
        <v>1962</v>
      </c>
      <c r="E73" s="9" t="s">
        <v>2875</v>
      </c>
      <c r="F73" s="9" t="s">
        <v>58</v>
      </c>
      <c r="H73" s="9" t="s">
        <v>2912</v>
      </c>
      <c r="I73" s="9" t="s">
        <v>2505</v>
      </c>
      <c r="J73" s="9" t="s">
        <v>2941</v>
      </c>
      <c r="K73" t="s">
        <v>2506</v>
      </c>
      <c r="L73" t="s">
        <v>2507</v>
      </c>
      <c r="M73" s="3" t="str">
        <f>HYPERLINK(склад2въезд1319202122237[[#This Row],[RelativePath]])</f>
        <v>11 С ангара на базу\E33149364_4_20251118T102446Z.jpg</v>
      </c>
    </row>
    <row r="74" spans="1:13" x14ac:dyDescent="0.25">
      <c r="A74" s="2" t="s">
        <v>14</v>
      </c>
      <c r="B74" s="4">
        <v>45979</v>
      </c>
      <c r="C74" s="5">
        <v>0.43438657407407405</v>
      </c>
      <c r="D74" s="9" t="s">
        <v>4</v>
      </c>
      <c r="E74" s="9" t="s">
        <v>8</v>
      </c>
      <c r="F74" s="9"/>
      <c r="H74" s="9"/>
      <c r="I74" s="9" t="s">
        <v>2508</v>
      </c>
      <c r="J74" s="9" t="s">
        <v>2941</v>
      </c>
      <c r="K74" t="s">
        <v>2509</v>
      </c>
      <c r="L74" t="s">
        <v>2510</v>
      </c>
      <c r="M74" s="3" t="str">
        <f>HYPERLINK(склад2въезд1319202122237[[#This Row],[RelativePath]])</f>
        <v>11 С ангара на базу\E33149364_4_20251118T102531Z.jpg</v>
      </c>
    </row>
    <row r="75" spans="1:13" x14ac:dyDescent="0.25">
      <c r="A75" s="2" t="s">
        <v>14</v>
      </c>
      <c r="B75" s="4">
        <v>45979</v>
      </c>
      <c r="C75" s="5">
        <v>0.4430439814814815</v>
      </c>
      <c r="D75" s="9" t="s">
        <v>505</v>
      </c>
      <c r="E75" s="9" t="s">
        <v>503</v>
      </c>
      <c r="F75" s="9" t="s">
        <v>58</v>
      </c>
      <c r="H75" s="9" t="s">
        <v>2913</v>
      </c>
      <c r="I75" s="9" t="s">
        <v>2511</v>
      </c>
      <c r="J75" s="9" t="s">
        <v>2941</v>
      </c>
      <c r="K75" t="s">
        <v>2512</v>
      </c>
      <c r="L75" t="s">
        <v>2513</v>
      </c>
      <c r="M75" s="3" t="str">
        <f>HYPERLINK(склад2въезд1319202122237[[#This Row],[RelativePath]])</f>
        <v>11 С ангара на базу\E33149364_4_20251118T103759Z.jpg</v>
      </c>
    </row>
    <row r="76" spans="1:13" x14ac:dyDescent="0.25">
      <c r="A76" s="2" t="s">
        <v>14</v>
      </c>
      <c r="B76" s="4">
        <v>45979</v>
      </c>
      <c r="C76" s="5">
        <v>0.55715277777777783</v>
      </c>
      <c r="D76" s="9" t="s">
        <v>505</v>
      </c>
      <c r="E76" s="9" t="s">
        <v>1570</v>
      </c>
      <c r="F76" s="9" t="s">
        <v>58</v>
      </c>
      <c r="H76" s="9" t="s">
        <v>2913</v>
      </c>
      <c r="I76" s="9" t="s">
        <v>2514</v>
      </c>
      <c r="J76" s="9" t="s">
        <v>2941</v>
      </c>
      <c r="K76" t="s">
        <v>2515</v>
      </c>
      <c r="L76" t="s">
        <v>2516</v>
      </c>
      <c r="M76" s="3" t="str">
        <f>HYPERLINK(склад2въезд1319202122237[[#This Row],[RelativePath]])</f>
        <v>11 С ангара на базу\E33149364_4_20251118T132218Z.jpg</v>
      </c>
    </row>
    <row r="77" spans="1:13" x14ac:dyDescent="0.25">
      <c r="A77" s="2" t="s">
        <v>14</v>
      </c>
      <c r="B77" s="4">
        <v>45979</v>
      </c>
      <c r="C77" s="5">
        <v>0.55865740740740744</v>
      </c>
      <c r="D77" s="9" t="s">
        <v>505</v>
      </c>
      <c r="E77" s="9" t="s">
        <v>1570</v>
      </c>
      <c r="F77" s="9" t="s">
        <v>58</v>
      </c>
      <c r="H77" s="9" t="s">
        <v>2913</v>
      </c>
      <c r="I77" s="9" t="s">
        <v>2517</v>
      </c>
      <c r="J77" s="9" t="s">
        <v>2941</v>
      </c>
      <c r="K77" t="s">
        <v>2518</v>
      </c>
      <c r="L77" t="s">
        <v>2519</v>
      </c>
      <c r="M77" s="3" t="str">
        <f>HYPERLINK(склад2въезд1319202122237[[#This Row],[RelativePath]])</f>
        <v>11 С ангара на базу\E33149364_4_20251118T132428Z.jpg</v>
      </c>
    </row>
    <row r="78" spans="1:13" x14ac:dyDescent="0.25">
      <c r="A78" s="2" t="s">
        <v>15</v>
      </c>
      <c r="B78" s="4">
        <v>45980</v>
      </c>
      <c r="C78" s="5">
        <v>0.37339120370370371</v>
      </c>
      <c r="D78" s="9" t="s">
        <v>4</v>
      </c>
      <c r="E78" s="9" t="s">
        <v>8</v>
      </c>
      <c r="F78" s="9"/>
      <c r="H78" s="9"/>
      <c r="I78" s="9" t="s">
        <v>2520</v>
      </c>
      <c r="J78" s="9" t="s">
        <v>2941</v>
      </c>
      <c r="K78" t="s">
        <v>2521</v>
      </c>
      <c r="L78" t="s">
        <v>2522</v>
      </c>
      <c r="M78" s="3" t="str">
        <f>HYPERLINK(склад2въезд1319202122237[[#This Row],[RelativePath]])</f>
        <v>11 С ангара на базу\E33149364_4_20251119T085741Z.jpg</v>
      </c>
    </row>
    <row r="79" spans="1:13" x14ac:dyDescent="0.25">
      <c r="A79" s="2" t="s">
        <v>15</v>
      </c>
      <c r="B79" s="4">
        <v>45980</v>
      </c>
      <c r="C79" s="5">
        <v>0.73171296296296295</v>
      </c>
      <c r="D79" s="9" t="s">
        <v>505</v>
      </c>
      <c r="E79" s="9" t="s">
        <v>1570</v>
      </c>
      <c r="F79" s="9" t="s">
        <v>58</v>
      </c>
      <c r="H79" s="9" t="s">
        <v>2913</v>
      </c>
      <c r="I79" s="9" t="s">
        <v>2523</v>
      </c>
      <c r="J79" s="9" t="s">
        <v>2941</v>
      </c>
      <c r="K79" t="s">
        <v>2524</v>
      </c>
      <c r="L79" t="s">
        <v>2525</v>
      </c>
      <c r="M79" s="3" t="str">
        <f>HYPERLINK(склад2въезд1319202122237[[#This Row],[RelativePath]])</f>
        <v>11 С ангара на базу\E33149364_4_20251119T173340Z.jpg</v>
      </c>
    </row>
    <row r="80" spans="1:13" x14ac:dyDescent="0.25">
      <c r="A80" s="2" t="s">
        <v>16</v>
      </c>
      <c r="B80" s="4">
        <v>45981</v>
      </c>
      <c r="C80" s="5">
        <v>0.46305555555555555</v>
      </c>
      <c r="D80" s="9" t="s">
        <v>4</v>
      </c>
      <c r="E80" s="9" t="s">
        <v>8</v>
      </c>
      <c r="F80" s="9"/>
      <c r="H80" s="9"/>
      <c r="I80" s="9" t="s">
        <v>2526</v>
      </c>
      <c r="J80" s="9" t="s">
        <v>2941</v>
      </c>
      <c r="K80" t="s">
        <v>2527</v>
      </c>
      <c r="L80" t="s">
        <v>2528</v>
      </c>
      <c r="M80" s="3" t="str">
        <f>HYPERLINK(склад2въезд1319202122237[[#This Row],[RelativePath]])</f>
        <v>11 С ангара на базу\E33149364_4_20251120T110648Z.jpg</v>
      </c>
    </row>
    <row r="81" spans="1:13" x14ac:dyDescent="0.25">
      <c r="A81" s="2" t="s">
        <v>16</v>
      </c>
      <c r="B81" s="4">
        <v>45981</v>
      </c>
      <c r="C81" s="5">
        <v>0.71087962962962958</v>
      </c>
      <c r="D81" s="9" t="s">
        <v>1967</v>
      </c>
      <c r="E81" s="9"/>
      <c r="F81" s="9"/>
      <c r="H81" s="9"/>
      <c r="I81" s="9" t="s">
        <v>2529</v>
      </c>
      <c r="J81" s="9" t="s">
        <v>2941</v>
      </c>
      <c r="K81" t="s">
        <v>2530</v>
      </c>
      <c r="L81" t="s">
        <v>2531</v>
      </c>
      <c r="M81" s="3" t="str">
        <f>HYPERLINK(склад2въезд1319202122237[[#This Row],[RelativePath]])</f>
        <v>11 С ангара на базу\E33149364_4_20251120T170340Z.jpg</v>
      </c>
    </row>
    <row r="82" spans="1:13" x14ac:dyDescent="0.25">
      <c r="A82" s="2" t="s">
        <v>17</v>
      </c>
      <c r="B82" s="4">
        <v>45982</v>
      </c>
      <c r="C82" s="5">
        <v>0.49464120370370368</v>
      </c>
      <c r="D82" s="9" t="s">
        <v>4</v>
      </c>
      <c r="E82" s="9" t="s">
        <v>8</v>
      </c>
      <c r="F82" s="9"/>
      <c r="H82" s="9"/>
      <c r="I82" s="9" t="s">
        <v>2924</v>
      </c>
      <c r="J82" s="9" t="s">
        <v>2941</v>
      </c>
      <c r="K82" t="s">
        <v>2925</v>
      </c>
      <c r="L82" t="s">
        <v>2926</v>
      </c>
      <c r="M82" s="3" t="str">
        <f>HYPERLINK(склад2въезд1319202122237[[#This Row],[RelativePath]])</f>
        <v>11 С ангара на базу\E33149364_4_20251121T115217Z.jpg</v>
      </c>
    </row>
    <row r="83" spans="1:13" x14ac:dyDescent="0.25">
      <c r="A83" s="2" t="s">
        <v>17</v>
      </c>
      <c r="B83" s="4">
        <v>45982</v>
      </c>
      <c r="C83" s="5">
        <v>0.58034722222222224</v>
      </c>
      <c r="D83" s="9" t="s">
        <v>4</v>
      </c>
      <c r="E83" s="9" t="s">
        <v>8</v>
      </c>
      <c r="F83" s="9"/>
      <c r="H83" s="9" t="s">
        <v>2930</v>
      </c>
      <c r="I83" s="9" t="s">
        <v>2927</v>
      </c>
      <c r="J83" s="9" t="s">
        <v>2941</v>
      </c>
      <c r="K83" t="s">
        <v>2928</v>
      </c>
      <c r="L83" t="s">
        <v>2929</v>
      </c>
      <c r="M83" s="3" t="str">
        <f>HYPERLINK(склад2въезд1319202122237[[#This Row],[RelativePath]])</f>
        <v>11 С ангара на базу\E33149364_4_20251121T135542Z.jpg</v>
      </c>
    </row>
    <row r="84" spans="1:13" x14ac:dyDescent="0.25">
      <c r="A84" s="2" t="s">
        <v>17</v>
      </c>
      <c r="B84" s="4">
        <v>45982</v>
      </c>
      <c r="C84" s="5">
        <v>0.61516203703703709</v>
      </c>
      <c r="D84" s="9" t="s">
        <v>4</v>
      </c>
      <c r="E84" s="9" t="s">
        <v>8</v>
      </c>
      <c r="F84" s="9"/>
      <c r="H84" s="9" t="s">
        <v>2930</v>
      </c>
      <c r="I84" s="9" t="s">
        <v>2532</v>
      </c>
      <c r="J84" s="9" t="s">
        <v>2941</v>
      </c>
      <c r="K84" t="s">
        <v>2533</v>
      </c>
      <c r="L84" t="s">
        <v>2534</v>
      </c>
      <c r="M84" s="3" t="str">
        <f>HYPERLINK(склад2въезд1319202122237[[#This Row],[RelativePath]])</f>
        <v>11 С ангара на базу\E33149364_4_20251121T144550Z.jpg</v>
      </c>
    </row>
    <row r="85" spans="1:13" x14ac:dyDescent="0.25">
      <c r="A85" s="2" t="s">
        <v>18</v>
      </c>
      <c r="B85" s="4">
        <v>45983</v>
      </c>
      <c r="C85" s="5">
        <v>0.37774305555555554</v>
      </c>
      <c r="D85" s="9" t="s">
        <v>4</v>
      </c>
      <c r="E85" s="9" t="s">
        <v>8</v>
      </c>
      <c r="F85" s="9"/>
      <c r="H85" s="9"/>
      <c r="I85" s="9" t="s">
        <v>2535</v>
      </c>
      <c r="J85" s="9" t="s">
        <v>2941</v>
      </c>
      <c r="K85" t="s">
        <v>2536</v>
      </c>
      <c r="L85" t="s">
        <v>2537</v>
      </c>
      <c r="M85" s="3" t="str">
        <f>HYPERLINK(склад2въезд1319202122237[[#This Row],[RelativePath]])</f>
        <v>11 С ангара на базу\E33149364_4_20251122T090357Z.jpg</v>
      </c>
    </row>
    <row r="86" spans="1:13" x14ac:dyDescent="0.25">
      <c r="A86" s="2" t="s">
        <v>18</v>
      </c>
      <c r="B86" s="4">
        <v>45983</v>
      </c>
      <c r="C86" s="5">
        <v>0.72137731481481482</v>
      </c>
      <c r="D86" s="9" t="s">
        <v>1967</v>
      </c>
      <c r="E86" s="9"/>
      <c r="F86" s="9"/>
      <c r="H86" s="9"/>
      <c r="I86" s="9" t="s">
        <v>2538</v>
      </c>
      <c r="J86" s="9" t="s">
        <v>2941</v>
      </c>
      <c r="K86" t="s">
        <v>2539</v>
      </c>
      <c r="L86" t="s">
        <v>2540</v>
      </c>
      <c r="M86" s="3" t="str">
        <f>HYPERLINK(склад2въезд1319202122237[[#This Row],[RelativePath]])</f>
        <v>11 С ангара на базу\E33149364_4_20251122T171847Z.jpg</v>
      </c>
    </row>
    <row r="87" spans="1:13" x14ac:dyDescent="0.25">
      <c r="A87" s="2" t="s">
        <v>22</v>
      </c>
      <c r="B87" s="4">
        <v>45984</v>
      </c>
      <c r="C87" s="5">
        <v>0.68009259259259258</v>
      </c>
      <c r="D87" s="9" t="s">
        <v>1967</v>
      </c>
      <c r="E87" s="9"/>
      <c r="F87" s="9"/>
      <c r="H87" s="9"/>
      <c r="I87" s="9" t="s">
        <v>2541</v>
      </c>
      <c r="J87" s="9" t="s">
        <v>2941</v>
      </c>
      <c r="K87" t="s">
        <v>2542</v>
      </c>
      <c r="L87" t="s">
        <v>2543</v>
      </c>
      <c r="M87" s="3" t="str">
        <f>HYPERLINK(склад2въезд1319202122237[[#This Row],[RelativePath]])</f>
        <v>11 С ангара на базу\E33149364_4_20251123T161920Z.jpg</v>
      </c>
    </row>
    <row r="88" spans="1:13" x14ac:dyDescent="0.25">
      <c r="A88" s="2" t="s">
        <v>13</v>
      </c>
      <c r="B88" s="4">
        <v>45985</v>
      </c>
      <c r="C88" s="5">
        <v>0.70498842592592592</v>
      </c>
      <c r="D88" s="9" t="s">
        <v>4</v>
      </c>
      <c r="E88" s="9" t="s">
        <v>8</v>
      </c>
      <c r="F88" s="9"/>
      <c r="H88" s="9"/>
      <c r="I88" s="9" t="s">
        <v>4011</v>
      </c>
      <c r="J88" s="9" t="s">
        <v>2941</v>
      </c>
      <c r="K88" t="s">
        <v>4012</v>
      </c>
      <c r="L88" t="s">
        <v>4013</v>
      </c>
      <c r="M88" s="3" t="str">
        <f>HYPERLINK(склад2въезд1319202122237[[#This Row],[RelativePath]])</f>
        <v>11 С ангара на базу\E33149364_4_20251124T165511Z.jpg</v>
      </c>
    </row>
    <row r="89" spans="1:13" x14ac:dyDescent="0.25">
      <c r="A89" s="2" t="s">
        <v>14</v>
      </c>
      <c r="B89" s="4">
        <v>45986</v>
      </c>
      <c r="C89" s="5">
        <v>0.40570601851851851</v>
      </c>
      <c r="D89" s="9" t="s">
        <v>505</v>
      </c>
      <c r="E89" s="9" t="s">
        <v>503</v>
      </c>
      <c r="F89" s="9" t="s">
        <v>4183</v>
      </c>
      <c r="G89">
        <v>2</v>
      </c>
      <c r="H89" s="9" t="s">
        <v>4184</v>
      </c>
      <c r="I89" s="9" t="s">
        <v>4014</v>
      </c>
      <c r="J89" s="9" t="s">
        <v>2941</v>
      </c>
      <c r="K89" t="s">
        <v>4015</v>
      </c>
      <c r="L89" t="s">
        <v>4016</v>
      </c>
      <c r="M89" s="3" t="str">
        <f>HYPERLINK(склад2въезд1319202122237[[#This Row],[RelativePath]])</f>
        <v>11 С ангара на базу\E33149364_4_20251125T094413Z.jpg</v>
      </c>
    </row>
    <row r="90" spans="1:13" x14ac:dyDescent="0.25">
      <c r="A90" s="2" t="s">
        <v>14</v>
      </c>
      <c r="B90" s="4">
        <v>45986</v>
      </c>
      <c r="C90" s="5">
        <v>0.40668981481481481</v>
      </c>
      <c r="D90" s="9" t="s">
        <v>505</v>
      </c>
      <c r="E90" s="9" t="s">
        <v>503</v>
      </c>
      <c r="F90" s="9" t="s">
        <v>4183</v>
      </c>
      <c r="G90">
        <v>2</v>
      </c>
      <c r="H90" s="9" t="s">
        <v>4184</v>
      </c>
      <c r="I90" s="9" t="s">
        <v>4017</v>
      </c>
      <c r="J90" s="9" t="s">
        <v>2941</v>
      </c>
      <c r="K90" t="s">
        <v>4018</v>
      </c>
      <c r="L90" t="s">
        <v>4019</v>
      </c>
      <c r="M90" s="3" t="str">
        <f>HYPERLINK(склад2въезд1319202122237[[#This Row],[RelativePath]])</f>
        <v>11 С ангара на базу\E33149364_4_20251125T094538Z.jpg</v>
      </c>
    </row>
    <row r="91" spans="1:13" x14ac:dyDescent="0.25">
      <c r="A91" s="2" t="s">
        <v>15</v>
      </c>
      <c r="B91" s="4">
        <v>45987</v>
      </c>
      <c r="C91" s="5">
        <v>0.43556712962962962</v>
      </c>
      <c r="D91" s="9" t="s">
        <v>4157</v>
      </c>
      <c r="E91" s="9" t="s">
        <v>503</v>
      </c>
      <c r="F91" s="9" t="s">
        <v>58</v>
      </c>
      <c r="H91" s="9" t="s">
        <v>4185</v>
      </c>
      <c r="I91" s="9" t="s">
        <v>4020</v>
      </c>
      <c r="J91" s="9" t="s">
        <v>2941</v>
      </c>
      <c r="K91" t="s">
        <v>4021</v>
      </c>
      <c r="L91" t="s">
        <v>4022</v>
      </c>
      <c r="M91" s="3" t="str">
        <f>HYPERLINK(склад2въезд1319202122237[[#This Row],[RelativePath]])</f>
        <v>11 С ангара на базу\E33149364_4_20251126T102713Z.jpg</v>
      </c>
    </row>
    <row r="92" spans="1:13" x14ac:dyDescent="0.25">
      <c r="A92" s="2" t="s">
        <v>15</v>
      </c>
      <c r="B92" s="4">
        <v>45987</v>
      </c>
      <c r="C92" s="5">
        <v>0.43648148148148147</v>
      </c>
      <c r="D92" s="9" t="s">
        <v>4157</v>
      </c>
      <c r="E92" s="9" t="s">
        <v>503</v>
      </c>
      <c r="F92" s="9" t="s">
        <v>58</v>
      </c>
      <c r="H92" s="9" t="s">
        <v>2891</v>
      </c>
      <c r="I92" s="9" t="s">
        <v>4023</v>
      </c>
      <c r="J92" s="9" t="s">
        <v>2941</v>
      </c>
      <c r="K92" t="s">
        <v>4024</v>
      </c>
      <c r="L92" t="s">
        <v>4025</v>
      </c>
      <c r="M92" s="3" t="str">
        <f>HYPERLINK(склад2въезд1319202122237[[#This Row],[RelativePath]])</f>
        <v>11 С ангара на базу\E33149364_4_20251126T102832Z.jpg</v>
      </c>
    </row>
    <row r="93" spans="1:13" x14ac:dyDescent="0.25">
      <c r="A93" s="2" t="s">
        <v>15</v>
      </c>
      <c r="B93" s="4">
        <v>45987</v>
      </c>
      <c r="C93" s="5">
        <v>0.43868055555555557</v>
      </c>
      <c r="D93" s="9" t="s">
        <v>4157</v>
      </c>
      <c r="E93" s="9" t="s">
        <v>503</v>
      </c>
      <c r="F93" s="9" t="s">
        <v>58</v>
      </c>
      <c r="H93" s="9" t="s">
        <v>2891</v>
      </c>
      <c r="I93" s="9" t="s">
        <v>4026</v>
      </c>
      <c r="J93" s="9" t="s">
        <v>2941</v>
      </c>
      <c r="K93" t="s">
        <v>4027</v>
      </c>
      <c r="L93" t="s">
        <v>4028</v>
      </c>
      <c r="M93" s="3" t="str">
        <f>HYPERLINK(склад2въезд1319202122237[[#This Row],[RelativePath]])</f>
        <v>11 С ангара на базу\E33149364_4_20251126T103142Z.jpg</v>
      </c>
    </row>
    <row r="94" spans="1:13" x14ac:dyDescent="0.25">
      <c r="A94" s="2" t="s">
        <v>15</v>
      </c>
      <c r="B94" s="4">
        <v>45987</v>
      </c>
      <c r="C94" s="5">
        <v>0.44093749999999998</v>
      </c>
      <c r="D94" s="9" t="s">
        <v>4157</v>
      </c>
      <c r="E94" s="9" t="s">
        <v>503</v>
      </c>
      <c r="F94" s="9" t="s">
        <v>58</v>
      </c>
      <c r="H94" s="9" t="s">
        <v>2891</v>
      </c>
      <c r="I94" s="9" t="s">
        <v>4029</v>
      </c>
      <c r="J94" s="9" t="s">
        <v>2941</v>
      </c>
      <c r="K94" t="s">
        <v>4030</v>
      </c>
      <c r="L94" t="s">
        <v>4031</v>
      </c>
      <c r="M94" s="3" t="str">
        <f>HYPERLINK(склад2въезд1319202122237[[#This Row],[RelativePath]])</f>
        <v>11 С ангара на базу\E33149364_4_20251126T103457Z.jpg</v>
      </c>
    </row>
    <row r="95" spans="1:13" x14ac:dyDescent="0.25">
      <c r="A95" s="2" t="s">
        <v>15</v>
      </c>
      <c r="B95" s="4">
        <v>45987</v>
      </c>
      <c r="C95" s="5">
        <v>0.44150462962962961</v>
      </c>
      <c r="D95" s="9" t="s">
        <v>4157</v>
      </c>
      <c r="E95" s="9" t="s">
        <v>503</v>
      </c>
      <c r="F95" s="9" t="s">
        <v>58</v>
      </c>
      <c r="H95" s="9" t="s">
        <v>2891</v>
      </c>
      <c r="I95" s="9" t="s">
        <v>4032</v>
      </c>
      <c r="J95" s="9" t="s">
        <v>2941</v>
      </c>
      <c r="K95" t="s">
        <v>4033</v>
      </c>
      <c r="L95" t="s">
        <v>4034</v>
      </c>
      <c r="M95" s="3" t="str">
        <f>HYPERLINK(склад2въезд1319202122237[[#This Row],[RelativePath]])</f>
        <v>11 С ангара на базу\E33149364_4_20251126T103546Z.jpg</v>
      </c>
    </row>
    <row r="96" spans="1:13" x14ac:dyDescent="0.25">
      <c r="A96" s="2" t="s">
        <v>15</v>
      </c>
      <c r="B96" s="4">
        <v>45987</v>
      </c>
      <c r="C96" s="5">
        <v>0.44723379629629628</v>
      </c>
      <c r="D96" s="9" t="s">
        <v>261</v>
      </c>
      <c r="E96" s="9" t="s">
        <v>4133</v>
      </c>
      <c r="F96" s="9" t="s">
        <v>58</v>
      </c>
      <c r="H96" s="9"/>
      <c r="I96" s="9" t="s">
        <v>4035</v>
      </c>
      <c r="J96" s="9" t="s">
        <v>2941</v>
      </c>
      <c r="K96" t="s">
        <v>4036</v>
      </c>
      <c r="L96" t="s">
        <v>4037</v>
      </c>
      <c r="M96" s="3" t="str">
        <f>HYPERLINK(склад2въезд1319202122237[[#This Row],[RelativePath]])</f>
        <v>11 С ангара на базу\E33149364_4_20251126T104401Z.jpg</v>
      </c>
    </row>
    <row r="97" spans="1:13" x14ac:dyDescent="0.25">
      <c r="A97" s="2" t="s">
        <v>15</v>
      </c>
      <c r="B97" s="4">
        <v>45987</v>
      </c>
      <c r="C97" s="5">
        <v>0.44848379629629631</v>
      </c>
      <c r="D97" s="9" t="s">
        <v>261</v>
      </c>
      <c r="E97" s="9" t="s">
        <v>4133</v>
      </c>
      <c r="F97" s="9" t="s">
        <v>58</v>
      </c>
      <c r="H97" s="9" t="s">
        <v>2891</v>
      </c>
      <c r="I97" s="9" t="s">
        <v>4038</v>
      </c>
      <c r="J97" s="9" t="s">
        <v>2941</v>
      </c>
      <c r="K97" t="s">
        <v>4039</v>
      </c>
      <c r="L97" t="s">
        <v>4040</v>
      </c>
      <c r="M97" s="3" t="str">
        <f>HYPERLINK(склад2въезд1319202122237[[#This Row],[RelativePath]])</f>
        <v>11 С ангара на базу\E33149364_4_20251126T104549Z.jpg</v>
      </c>
    </row>
    <row r="98" spans="1:13" x14ac:dyDescent="0.25">
      <c r="A98" s="2" t="s">
        <v>15</v>
      </c>
      <c r="B98" s="4">
        <v>45987</v>
      </c>
      <c r="C98" s="5">
        <v>0.44864583333333335</v>
      </c>
      <c r="D98" s="9" t="s">
        <v>261</v>
      </c>
      <c r="E98" s="9" t="s">
        <v>4133</v>
      </c>
      <c r="F98" s="9" t="s">
        <v>58</v>
      </c>
      <c r="H98" s="9" t="s">
        <v>2891</v>
      </c>
      <c r="I98" s="9" t="s">
        <v>4041</v>
      </c>
      <c r="J98" s="9" t="s">
        <v>2941</v>
      </c>
      <c r="K98" t="s">
        <v>4042</v>
      </c>
      <c r="L98" t="s">
        <v>4043</v>
      </c>
      <c r="M98" s="3" t="str">
        <f>HYPERLINK(склад2въезд1319202122237[[#This Row],[RelativePath]])</f>
        <v>11 С ангара на базу\E33149364_4_20251126T104603Z.jpg</v>
      </c>
    </row>
    <row r="99" spans="1:13" x14ac:dyDescent="0.25">
      <c r="A99" s="2" t="s">
        <v>15</v>
      </c>
      <c r="B99" s="4">
        <v>45987</v>
      </c>
      <c r="C99" s="5">
        <v>0.44947916666666665</v>
      </c>
      <c r="D99" s="9" t="s">
        <v>261</v>
      </c>
      <c r="E99" s="9" t="s">
        <v>4133</v>
      </c>
      <c r="F99" s="9" t="s">
        <v>58</v>
      </c>
      <c r="H99" s="9" t="s">
        <v>2891</v>
      </c>
      <c r="I99" s="9" t="s">
        <v>4044</v>
      </c>
      <c r="J99" s="9" t="s">
        <v>2941</v>
      </c>
      <c r="K99" t="s">
        <v>4045</v>
      </c>
      <c r="L99" t="s">
        <v>4046</v>
      </c>
      <c r="M99" s="3" t="str">
        <f>HYPERLINK(склад2въезд1319202122237[[#This Row],[RelativePath]])</f>
        <v>11 С ангара на базу\E33149364_4_20251126T104715Z.jpg</v>
      </c>
    </row>
    <row r="100" spans="1:13" x14ac:dyDescent="0.25">
      <c r="A100" s="2" t="s">
        <v>16</v>
      </c>
      <c r="B100" s="4">
        <v>45988</v>
      </c>
      <c r="C100" s="5">
        <v>0.69527777777777777</v>
      </c>
      <c r="D100" s="9" t="s">
        <v>4</v>
      </c>
      <c r="E100" s="9" t="s">
        <v>8</v>
      </c>
      <c r="F100" s="9"/>
      <c r="H100" s="9"/>
      <c r="I100" s="9" t="s">
        <v>4047</v>
      </c>
      <c r="J100" s="9" t="s">
        <v>2941</v>
      </c>
      <c r="K100" t="s">
        <v>4048</v>
      </c>
      <c r="L100" t="s">
        <v>4049</v>
      </c>
      <c r="M100" s="3" t="str">
        <f>HYPERLINK(склад2въезд1319202122237[[#This Row],[RelativePath]])</f>
        <v>11 С ангара на базу\E33149364_4_20251127T164112Z.jpg</v>
      </c>
    </row>
    <row r="101" spans="1:13" x14ac:dyDescent="0.25">
      <c r="A101" s="2" t="s">
        <v>17</v>
      </c>
      <c r="B101" s="4">
        <v>45989</v>
      </c>
      <c r="C101" s="5">
        <v>0.37820601851851854</v>
      </c>
      <c r="D101" s="9" t="s">
        <v>1066</v>
      </c>
      <c r="E101" s="9" t="s">
        <v>86</v>
      </c>
      <c r="F101" s="9" t="s">
        <v>58</v>
      </c>
      <c r="H101" s="9" t="s">
        <v>1583</v>
      </c>
      <c r="I101" s="9" t="s">
        <v>4050</v>
      </c>
      <c r="J101" s="9" t="s">
        <v>2941</v>
      </c>
      <c r="K101" t="s">
        <v>4051</v>
      </c>
      <c r="L101" t="s">
        <v>4052</v>
      </c>
      <c r="M101" s="3" t="str">
        <f>HYPERLINK(склад2въезд1319202122237[[#This Row],[RelativePath]])</f>
        <v>11 С ангара на базу\E33149364_4_20251128T090437Z.jpg</v>
      </c>
    </row>
    <row r="102" spans="1:13" x14ac:dyDescent="0.25">
      <c r="A102" s="2" t="s">
        <v>17</v>
      </c>
      <c r="B102" s="4">
        <v>45989</v>
      </c>
      <c r="C102" s="5">
        <v>0.59440972222222221</v>
      </c>
      <c r="D102" s="9" t="s">
        <v>1066</v>
      </c>
      <c r="E102" s="9" t="s">
        <v>86</v>
      </c>
      <c r="F102" s="9" t="s">
        <v>58</v>
      </c>
      <c r="H102" s="9" t="s">
        <v>4186</v>
      </c>
      <c r="I102" s="9" t="s">
        <v>4053</v>
      </c>
      <c r="J102" s="9" t="s">
        <v>2941</v>
      </c>
      <c r="K102" t="s">
        <v>4054</v>
      </c>
      <c r="L102" t="s">
        <v>4055</v>
      </c>
      <c r="M102" s="3" t="str">
        <f>HYPERLINK(склад2въезд1319202122237[[#This Row],[RelativePath]])</f>
        <v>11 С ангара на базу\E33149364_4_20251128T141557Z.jpg</v>
      </c>
    </row>
    <row r="103" spans="1:13" x14ac:dyDescent="0.25">
      <c r="A103" s="2" t="s">
        <v>17</v>
      </c>
      <c r="B103" s="4">
        <v>45989</v>
      </c>
      <c r="C103" s="5">
        <v>0.59456018518518516</v>
      </c>
      <c r="D103" s="9" t="s">
        <v>1066</v>
      </c>
      <c r="E103" s="9" t="s">
        <v>86</v>
      </c>
      <c r="F103" s="9" t="s">
        <v>58</v>
      </c>
      <c r="H103" s="9" t="s">
        <v>4186</v>
      </c>
      <c r="I103" s="9" t="s">
        <v>4056</v>
      </c>
      <c r="J103" s="9" t="s">
        <v>2941</v>
      </c>
      <c r="K103" t="s">
        <v>4057</v>
      </c>
      <c r="L103" t="s">
        <v>4058</v>
      </c>
      <c r="M103" s="3" t="str">
        <f>HYPERLINK(склад2въезд1319202122237[[#This Row],[RelativePath]])</f>
        <v>11 С ангара на базу\E33149364_4_20251128T141610Z.jpg</v>
      </c>
    </row>
    <row r="104" spans="1:13" x14ac:dyDescent="0.25">
      <c r="A104" s="2" t="s">
        <v>17</v>
      </c>
      <c r="B104" s="4">
        <v>45989</v>
      </c>
      <c r="C104" s="5">
        <v>0.59644675925925927</v>
      </c>
      <c r="D104" s="9" t="s">
        <v>505</v>
      </c>
      <c r="E104" s="9" t="s">
        <v>1570</v>
      </c>
      <c r="F104" s="9" t="s">
        <v>58</v>
      </c>
      <c r="H104" s="9"/>
      <c r="I104" s="9" t="s">
        <v>4059</v>
      </c>
      <c r="J104" s="9" t="s">
        <v>2941</v>
      </c>
      <c r="K104" t="s">
        <v>4060</v>
      </c>
      <c r="L104" t="s">
        <v>4061</v>
      </c>
      <c r="M104" s="3" t="str">
        <f>HYPERLINK(склад2въезд1319202122237[[#This Row],[RelativePath]])</f>
        <v>11 С ангара на базу\E33149364_4_20251128T141853Z.jpg</v>
      </c>
    </row>
    <row r="105" spans="1:13" x14ac:dyDescent="0.25">
      <c r="A105" s="2" t="s">
        <v>17</v>
      </c>
      <c r="B105" s="4">
        <v>45989</v>
      </c>
      <c r="C105" s="5">
        <v>0.69912037037037034</v>
      </c>
      <c r="D105" s="9" t="s">
        <v>4</v>
      </c>
      <c r="E105" s="9" t="s">
        <v>8</v>
      </c>
      <c r="F105" s="9"/>
      <c r="H105" s="9"/>
      <c r="I105" s="9" t="s">
        <v>4062</v>
      </c>
      <c r="J105" s="9" t="s">
        <v>2941</v>
      </c>
      <c r="K105" t="s">
        <v>4063</v>
      </c>
      <c r="L105" t="s">
        <v>4064</v>
      </c>
      <c r="M105" s="3" t="str">
        <f>HYPERLINK(склад2въезд1319202122237[[#This Row],[RelativePath]])</f>
        <v>11 С ангара на базу\E33149364_4_20251128T164644Z.jpg</v>
      </c>
    </row>
    <row r="106" spans="1:13" x14ac:dyDescent="0.25">
      <c r="A106" s="2" t="s">
        <v>18</v>
      </c>
      <c r="B106" s="4">
        <v>45990</v>
      </c>
      <c r="C106" s="5">
        <v>0.38646990740740739</v>
      </c>
      <c r="D106" s="9" t="s">
        <v>4</v>
      </c>
      <c r="E106" s="9" t="s">
        <v>8</v>
      </c>
      <c r="F106" s="9"/>
      <c r="H106" s="9"/>
      <c r="I106" s="9" t="s">
        <v>4065</v>
      </c>
      <c r="J106" s="9" t="s">
        <v>2941</v>
      </c>
      <c r="K106" t="s">
        <v>4066</v>
      </c>
      <c r="L106" t="s">
        <v>4067</v>
      </c>
      <c r="M106" s="3" t="str">
        <f>HYPERLINK(склад2въезд1319202122237[[#This Row],[RelativePath]])</f>
        <v>11 С ангара на базу\E33149364_4_20251129T091631Z.jpg</v>
      </c>
    </row>
    <row r="107" spans="1:13" x14ac:dyDescent="0.25">
      <c r="A107" s="2" t="s">
        <v>22</v>
      </c>
      <c r="B107" s="4">
        <v>45991</v>
      </c>
      <c r="C107" s="5">
        <v>0.66434027777777782</v>
      </c>
      <c r="D107" s="9" t="s">
        <v>1967</v>
      </c>
      <c r="E107" s="9"/>
      <c r="F107" s="9"/>
      <c r="H107" s="9"/>
      <c r="I107" s="9" t="s">
        <v>4228</v>
      </c>
      <c r="J107" s="9" t="s">
        <v>2941</v>
      </c>
      <c r="K107" t="s">
        <v>4229</v>
      </c>
      <c r="L107" t="s">
        <v>4230</v>
      </c>
      <c r="M107" s="3" t="str">
        <f>HYPERLINK(склад2въезд1319202122237[[#This Row],[RelativePath]])</f>
        <v>11 С ангара на базу\E33149364_4_20251130T155639Z.jpg</v>
      </c>
    </row>
    <row r="108" spans="1:13" x14ac:dyDescent="0.25">
      <c r="A108" s="2" t="s">
        <v>13</v>
      </c>
      <c r="B108" s="4">
        <v>45992</v>
      </c>
      <c r="C108" s="5">
        <v>0.50589120370370366</v>
      </c>
      <c r="D108" s="9" t="s">
        <v>1967</v>
      </c>
      <c r="E108" s="9"/>
      <c r="F108" s="9"/>
      <c r="H108" s="9"/>
      <c r="I108" s="9" t="s">
        <v>4834</v>
      </c>
      <c r="J108" s="9" t="s">
        <v>2941</v>
      </c>
      <c r="K108" t="s">
        <v>4835</v>
      </c>
      <c r="L108" t="s">
        <v>4836</v>
      </c>
      <c r="M108" s="3" t="str">
        <f>HYPERLINK(склад2въезд1319202122237[[#This Row],[RelativePath]])</f>
        <v>11 С ангара на базу\E33149364_4_20251201T120829Z.jpg</v>
      </c>
    </row>
    <row r="109" spans="1:13" x14ac:dyDescent="0.25">
      <c r="A109" s="2" t="s">
        <v>14</v>
      </c>
      <c r="B109" s="4">
        <v>45993</v>
      </c>
      <c r="C109" s="5">
        <v>0.71202546296296299</v>
      </c>
      <c r="D109" s="9" t="s">
        <v>1967</v>
      </c>
      <c r="E109" s="9"/>
      <c r="F109" s="9"/>
      <c r="H109" s="9"/>
      <c r="I109" s="9" t="s">
        <v>4837</v>
      </c>
      <c r="J109" s="9" t="s">
        <v>2941</v>
      </c>
      <c r="K109" t="s">
        <v>4838</v>
      </c>
      <c r="L109" t="s">
        <v>4839</v>
      </c>
      <c r="M109" s="3" t="str">
        <f>HYPERLINK(склад2въезд1319202122237[[#This Row],[RelativePath]])</f>
        <v>11 С ангара на базу\E33149364_4_20251202T170519Z.jpg</v>
      </c>
    </row>
    <row r="110" spans="1:13" x14ac:dyDescent="0.25">
      <c r="A110" s="2" t="s">
        <v>15</v>
      </c>
      <c r="B110" s="4">
        <v>45994</v>
      </c>
      <c r="C110" s="5">
        <v>0.3958564814814815</v>
      </c>
      <c r="D110" s="9" t="s">
        <v>159</v>
      </c>
      <c r="E110" s="9" t="s">
        <v>86</v>
      </c>
      <c r="F110" s="9" t="s">
        <v>5037</v>
      </c>
      <c r="H110" s="9"/>
      <c r="I110" s="9" t="s">
        <v>4840</v>
      </c>
      <c r="J110" s="9" t="s">
        <v>2941</v>
      </c>
      <c r="K110" t="s">
        <v>4841</v>
      </c>
      <c r="L110" t="s">
        <v>4842</v>
      </c>
      <c r="M110" s="3" t="str">
        <f>HYPERLINK(склад2въезд1319202122237[[#This Row],[RelativePath]])</f>
        <v>11 С ангара на базу\E33149364_4_20251203T093002Z.jpg</v>
      </c>
    </row>
    <row r="111" spans="1:13" x14ac:dyDescent="0.25">
      <c r="A111" s="2" t="s">
        <v>15</v>
      </c>
      <c r="B111" s="4">
        <v>45994</v>
      </c>
      <c r="C111" s="5">
        <v>0.39642361111111113</v>
      </c>
      <c r="D111" s="9" t="s">
        <v>3028</v>
      </c>
      <c r="E111" s="9" t="s">
        <v>86</v>
      </c>
      <c r="F111" s="9" t="s">
        <v>5037</v>
      </c>
      <c r="H111" s="9"/>
      <c r="I111" s="9" t="s">
        <v>4843</v>
      </c>
      <c r="J111" s="9" t="s">
        <v>2941</v>
      </c>
      <c r="K111" t="s">
        <v>4844</v>
      </c>
      <c r="L111" t="s">
        <v>4845</v>
      </c>
      <c r="M111" s="3" t="str">
        <f>HYPERLINK(склад2въезд1319202122237[[#This Row],[RelativePath]])</f>
        <v>11 С ангара на базу\E33149364_4_20251203T093051Z.jpg</v>
      </c>
    </row>
    <row r="112" spans="1:13" x14ac:dyDescent="0.25">
      <c r="A112" s="2" t="s">
        <v>16</v>
      </c>
      <c r="B112" s="4">
        <v>45995</v>
      </c>
      <c r="C112" s="5">
        <v>0.69576388888888885</v>
      </c>
      <c r="D112" s="9" t="s">
        <v>1967</v>
      </c>
      <c r="E112" s="9"/>
      <c r="F112" s="9"/>
      <c r="H112" s="9"/>
      <c r="I112" s="9" t="s">
        <v>4846</v>
      </c>
      <c r="J112" s="9" t="s">
        <v>2941</v>
      </c>
      <c r="K112" t="s">
        <v>4847</v>
      </c>
      <c r="L112" t="s">
        <v>4848</v>
      </c>
      <c r="M112" s="3" t="str">
        <f>HYPERLINK(склад2въезд1319202122237[[#This Row],[RelativePath]])</f>
        <v>11 С ангара на базу\E33149364_4_20251204T164154Z.jpg</v>
      </c>
    </row>
    <row r="113" spans="1:13" x14ac:dyDescent="0.25">
      <c r="A113" s="2" t="s">
        <v>17</v>
      </c>
      <c r="B113" s="4">
        <v>45996</v>
      </c>
      <c r="C113" s="5">
        <v>0.58445601851851847</v>
      </c>
      <c r="D113" s="9" t="s">
        <v>4</v>
      </c>
      <c r="E113" s="9" t="s">
        <v>5073</v>
      </c>
      <c r="F113" s="9"/>
      <c r="H113" s="9" t="s">
        <v>5074</v>
      </c>
      <c r="I113" s="9" t="s">
        <v>4849</v>
      </c>
      <c r="J113" s="9" t="s">
        <v>2941</v>
      </c>
      <c r="K113" t="s">
        <v>4850</v>
      </c>
      <c r="L113" t="s">
        <v>4851</v>
      </c>
      <c r="M113" s="3" t="str">
        <f>HYPERLINK(склад2въезд1319202122237[[#This Row],[RelativePath]])</f>
        <v>11 С ангара на базу\E33149364_4_20251205T140137Z.jpg</v>
      </c>
    </row>
    <row r="114" spans="1:13" x14ac:dyDescent="0.25">
      <c r="A114" s="2" t="s">
        <v>18</v>
      </c>
      <c r="B114" s="4">
        <v>45997</v>
      </c>
      <c r="C114" s="5">
        <v>0.67991898148148144</v>
      </c>
      <c r="D114" s="9" t="s">
        <v>1967</v>
      </c>
      <c r="E114" s="9"/>
      <c r="F114" s="9"/>
      <c r="H114" s="9"/>
      <c r="I114" s="9" t="s">
        <v>4852</v>
      </c>
      <c r="J114" s="9" t="s">
        <v>2941</v>
      </c>
      <c r="K114" t="s">
        <v>4853</v>
      </c>
      <c r="L114" t="s">
        <v>4854</v>
      </c>
      <c r="M114" s="3" t="str">
        <f>HYPERLINK(склад2въезд1319202122237[[#This Row],[RelativePath]])</f>
        <v>11 С ангара на базу\E33149364_4_20251206T161905Z.jpg</v>
      </c>
    </row>
    <row r="115" spans="1:13" x14ac:dyDescent="0.25">
      <c r="A115" s="2" t="s">
        <v>22</v>
      </c>
      <c r="B115" s="4">
        <v>45998</v>
      </c>
      <c r="C115" s="5">
        <v>0.59843749999999996</v>
      </c>
      <c r="D115" s="9" t="s">
        <v>5198</v>
      </c>
      <c r="E115" s="9" t="s">
        <v>5196</v>
      </c>
      <c r="F115" s="9" t="s">
        <v>4174</v>
      </c>
      <c r="H115" s="9"/>
      <c r="I115" s="9" t="s">
        <v>5132</v>
      </c>
      <c r="J115" s="9" t="s">
        <v>2941</v>
      </c>
      <c r="K115" t="s">
        <v>5133</v>
      </c>
      <c r="L115" t="s">
        <v>5134</v>
      </c>
      <c r="M115" s="3" t="str">
        <f>HYPERLINK(склад2въезд1319202122237[[#This Row],[RelativePath]])</f>
        <v>11 С ангара на базу\E33149364_4_20251207T142145Z.jpg</v>
      </c>
    </row>
    <row r="116" spans="1:13" x14ac:dyDescent="0.25">
      <c r="A116" s="2" t="s">
        <v>22</v>
      </c>
      <c r="B116" s="4">
        <v>45998</v>
      </c>
      <c r="C116" s="5">
        <v>0.60221064814814818</v>
      </c>
      <c r="D116" s="9" t="s">
        <v>5198</v>
      </c>
      <c r="E116" s="9" t="s">
        <v>5196</v>
      </c>
      <c r="F116" s="9" t="s">
        <v>4174</v>
      </c>
      <c r="H116" s="9" t="s">
        <v>2891</v>
      </c>
      <c r="I116" s="9" t="s">
        <v>5135</v>
      </c>
      <c r="J116" s="9" t="s">
        <v>2941</v>
      </c>
      <c r="K116" t="s">
        <v>5136</v>
      </c>
      <c r="L116" t="s">
        <v>5137</v>
      </c>
      <c r="M116" s="3" t="str">
        <f>HYPERLINK(склад2въезд1319202122237[[#This Row],[RelativePath]])</f>
        <v>11 С ангара на базу\E33149364_4_20251207T142711Z.jpg</v>
      </c>
    </row>
    <row r="117" spans="1:13" x14ac:dyDescent="0.25">
      <c r="A117" s="2" t="s">
        <v>22</v>
      </c>
      <c r="B117" s="4">
        <v>45998</v>
      </c>
      <c r="C117" s="5">
        <v>0.60230324074074071</v>
      </c>
      <c r="D117" s="9" t="s">
        <v>5198</v>
      </c>
      <c r="E117" s="9" t="s">
        <v>5196</v>
      </c>
      <c r="F117" s="9" t="s">
        <v>4174</v>
      </c>
      <c r="H117" s="9" t="s">
        <v>2891</v>
      </c>
      <c r="I117" s="9" t="s">
        <v>5138</v>
      </c>
      <c r="J117" s="9" t="s">
        <v>2941</v>
      </c>
      <c r="K117" t="s">
        <v>5139</v>
      </c>
      <c r="L117" t="s">
        <v>5140</v>
      </c>
      <c r="M117" s="3" t="str">
        <f>HYPERLINK(склад2въезд1319202122237[[#This Row],[RelativePath]])</f>
        <v>11 С ангара на базу\E33149364_4_20251207T142719Z.jpg</v>
      </c>
    </row>
    <row r="118" spans="1:13" x14ac:dyDescent="0.25">
      <c r="A118" s="2" t="s">
        <v>22</v>
      </c>
      <c r="B118" s="4">
        <v>45998</v>
      </c>
      <c r="C118" s="5">
        <v>0.60530092592592588</v>
      </c>
      <c r="D118" s="9" t="s">
        <v>5198</v>
      </c>
      <c r="E118" s="9" t="s">
        <v>5196</v>
      </c>
      <c r="F118" s="9" t="s">
        <v>4174</v>
      </c>
      <c r="H118" s="9" t="s">
        <v>2891</v>
      </c>
      <c r="I118" s="9" t="s">
        <v>5141</v>
      </c>
      <c r="J118" s="9" t="s">
        <v>2941</v>
      </c>
      <c r="K118" t="s">
        <v>5142</v>
      </c>
      <c r="L118" t="s">
        <v>5143</v>
      </c>
      <c r="M118" s="3" t="str">
        <f>HYPERLINK(склад2въезд1319202122237[[#This Row],[RelativePath]])</f>
        <v>11 С ангара на базу\E33149364_4_20251207T143138Z.jpg</v>
      </c>
    </row>
    <row r="119" spans="1:13" x14ac:dyDescent="0.25">
      <c r="A119" s="2" t="s">
        <v>22</v>
      </c>
      <c r="B119" s="4">
        <v>45998</v>
      </c>
      <c r="C119" s="5">
        <v>0.6055787037037037</v>
      </c>
      <c r="D119" s="9" t="s">
        <v>5198</v>
      </c>
      <c r="E119" s="9" t="s">
        <v>5196</v>
      </c>
      <c r="F119" s="9" t="s">
        <v>4174</v>
      </c>
      <c r="H119" s="9" t="s">
        <v>2891</v>
      </c>
      <c r="I119" s="9" t="s">
        <v>5144</v>
      </c>
      <c r="J119" s="9" t="s">
        <v>2941</v>
      </c>
      <c r="K119" t="s">
        <v>5145</v>
      </c>
      <c r="L119" t="s">
        <v>5146</v>
      </c>
      <c r="M119" s="3" t="str">
        <f>HYPERLINK(склад2въезд1319202122237[[#This Row],[RelativePath]])</f>
        <v>11 С ангара на базу\E33149364_4_20251207T143202Z.jpg</v>
      </c>
    </row>
    <row r="120" spans="1:13" x14ac:dyDescent="0.25">
      <c r="A120" s="2" t="s">
        <v>22</v>
      </c>
      <c r="B120" s="4">
        <v>45998</v>
      </c>
      <c r="C120" s="5">
        <v>0.6134722222222222</v>
      </c>
      <c r="D120" s="9" t="s">
        <v>4176</v>
      </c>
      <c r="E120" s="9" t="s">
        <v>5196</v>
      </c>
      <c r="F120" s="9" t="s">
        <v>4174</v>
      </c>
      <c r="H120" s="9"/>
      <c r="I120" s="9" t="s">
        <v>5147</v>
      </c>
      <c r="J120" s="9" t="s">
        <v>2941</v>
      </c>
      <c r="K120" t="s">
        <v>5148</v>
      </c>
      <c r="L120" t="s">
        <v>5149</v>
      </c>
      <c r="M120" s="3" t="str">
        <f>HYPERLINK(склад2въезд1319202122237[[#This Row],[RelativePath]])</f>
        <v>11 С ангара на базу\E33149364_4_20251207T144324Z.jpg</v>
      </c>
    </row>
    <row r="121" spans="1:13" x14ac:dyDescent="0.25">
      <c r="A121" s="2" t="s">
        <v>13</v>
      </c>
      <c r="B121" s="4">
        <v>45999</v>
      </c>
      <c r="C121" s="5">
        <v>0.42045138888888889</v>
      </c>
      <c r="D121" s="9" t="s">
        <v>1066</v>
      </c>
      <c r="E121" s="9" t="s">
        <v>86</v>
      </c>
      <c r="F121" s="9" t="s">
        <v>58</v>
      </c>
      <c r="H121" s="9" t="s">
        <v>1583</v>
      </c>
      <c r="I121" s="9" t="s">
        <v>5384</v>
      </c>
      <c r="J121" s="9" t="s">
        <v>2941</v>
      </c>
      <c r="K121" t="s">
        <v>5385</v>
      </c>
      <c r="L121" t="s">
        <v>5386</v>
      </c>
      <c r="M121" s="3" t="str">
        <f>HYPERLINK(склад2въезд1319202122237[[#This Row],[RelativePath]])</f>
        <v>11 С ангара на базу\E33149364_4_20251208T100527Z.jpg</v>
      </c>
    </row>
    <row r="122" spans="1:13" x14ac:dyDescent="0.25">
      <c r="A122" s="2" t="s">
        <v>13</v>
      </c>
      <c r="B122" s="4">
        <v>45999</v>
      </c>
      <c r="C122" s="5">
        <v>0.46241898148148147</v>
      </c>
      <c r="D122" s="9" t="s">
        <v>1066</v>
      </c>
      <c r="E122" s="9" t="s">
        <v>86</v>
      </c>
      <c r="F122" s="9" t="s">
        <v>58</v>
      </c>
      <c r="H122" s="9" t="s">
        <v>1583</v>
      </c>
      <c r="I122" s="9" t="s">
        <v>5387</v>
      </c>
      <c r="J122" s="9" t="s">
        <v>2941</v>
      </c>
      <c r="K122" t="s">
        <v>5388</v>
      </c>
      <c r="L122" t="s">
        <v>5389</v>
      </c>
      <c r="M122" s="3" t="str">
        <f>HYPERLINK(склад2въезд1319202122237[[#This Row],[RelativePath]])</f>
        <v>11 С ангара на базу\E33149364_4_20251208T110553Z.jpg</v>
      </c>
    </row>
    <row r="123" spans="1:13" x14ac:dyDescent="0.25">
      <c r="A123" s="2" t="s">
        <v>14</v>
      </c>
      <c r="B123" s="4">
        <v>46000</v>
      </c>
      <c r="C123" s="5">
        <v>0.62097222222222226</v>
      </c>
      <c r="D123" s="9" t="s">
        <v>4</v>
      </c>
      <c r="E123" s="9" t="s">
        <v>86</v>
      </c>
      <c r="F123" s="9" t="s">
        <v>500</v>
      </c>
      <c r="H123" s="9" t="s">
        <v>5038</v>
      </c>
      <c r="I123" s="9" t="s">
        <v>5563</v>
      </c>
      <c r="J123" s="9" t="s">
        <v>2941</v>
      </c>
      <c r="K123" t="s">
        <v>5565</v>
      </c>
      <c r="L123" t="s">
        <v>5566</v>
      </c>
      <c r="M123" s="3" t="str">
        <f>HYPERLINK(склад2въезд1319202122237[[#This Row],[RelativePath]])</f>
        <v>11 С ангара на базу\E33149364_4_20251209T145412Z.jpg</v>
      </c>
    </row>
    <row r="124" spans="1:13" x14ac:dyDescent="0.25">
      <c r="A124" s="2" t="s">
        <v>14</v>
      </c>
      <c r="B124" s="4">
        <v>46000</v>
      </c>
      <c r="C124" s="5">
        <v>0.62643518518518515</v>
      </c>
      <c r="D124" s="9" t="s">
        <v>4</v>
      </c>
      <c r="E124" s="9" t="s">
        <v>86</v>
      </c>
      <c r="F124" s="9" t="s">
        <v>500</v>
      </c>
      <c r="H124" s="9" t="s">
        <v>5038</v>
      </c>
      <c r="I124" s="9" t="s">
        <v>5567</v>
      </c>
      <c r="J124" s="9" t="s">
        <v>2941</v>
      </c>
      <c r="K124" t="s">
        <v>5568</v>
      </c>
      <c r="L124" t="s">
        <v>5569</v>
      </c>
      <c r="M124" s="3" t="str">
        <f>HYPERLINK(склад2въезд1319202122237[[#This Row],[RelativePath]])</f>
        <v>11 С ангара на базу\E33149364_4_20251209T150204Z.jpg</v>
      </c>
    </row>
    <row r="125" spans="1:13" x14ac:dyDescent="0.25">
      <c r="A125" s="2" t="s">
        <v>14</v>
      </c>
      <c r="B125" s="4">
        <v>46000</v>
      </c>
      <c r="C125" s="5">
        <v>0.63228009259259255</v>
      </c>
      <c r="D125" s="9" t="s">
        <v>4</v>
      </c>
      <c r="E125" s="9" t="s">
        <v>86</v>
      </c>
      <c r="F125" s="9" t="s">
        <v>500</v>
      </c>
      <c r="H125" s="9" t="s">
        <v>5038</v>
      </c>
      <c r="I125" s="9" t="s">
        <v>5570</v>
      </c>
      <c r="J125" s="9" t="s">
        <v>2941</v>
      </c>
      <c r="K125" t="s">
        <v>5571</v>
      </c>
      <c r="L125" t="s">
        <v>5572</v>
      </c>
      <c r="M125" s="3" t="str">
        <f>HYPERLINK(склад2въезд1319202122237[[#This Row],[RelativePath]])</f>
        <v>11 С ангара на базу\E33149364_4_20251209T151029Z.jpg</v>
      </c>
    </row>
    <row r="126" spans="1:13" x14ac:dyDescent="0.25">
      <c r="A126" s="2" t="s">
        <v>15</v>
      </c>
      <c r="B126" s="4">
        <v>46001</v>
      </c>
      <c r="C126" s="5">
        <v>0.50840277777777776</v>
      </c>
      <c r="D126" s="9" t="s">
        <v>4</v>
      </c>
      <c r="E126" s="9" t="s">
        <v>86</v>
      </c>
      <c r="F126" s="9" t="s">
        <v>500</v>
      </c>
      <c r="H126" s="9" t="s">
        <v>5038</v>
      </c>
      <c r="I126" s="9" t="s">
        <v>5573</v>
      </c>
      <c r="J126" s="9" t="s">
        <v>2941</v>
      </c>
      <c r="K126" t="s">
        <v>5574</v>
      </c>
      <c r="L126" t="s">
        <v>5575</v>
      </c>
      <c r="M126" s="3" t="str">
        <f>HYPERLINK(склад2въезд1319202122237[[#This Row],[RelativePath]])</f>
        <v>11 С ангара на базу\E33149364_4_20251210T121206Z.jpg</v>
      </c>
    </row>
    <row r="127" spans="1:13" x14ac:dyDescent="0.25">
      <c r="A127" s="2" t="s">
        <v>16</v>
      </c>
      <c r="B127" s="4">
        <v>46002</v>
      </c>
      <c r="C127" s="5">
        <v>0.62214120370370374</v>
      </c>
      <c r="D127" s="9" t="s">
        <v>6105</v>
      </c>
      <c r="E127" s="9" t="s">
        <v>58</v>
      </c>
      <c r="F127" s="9"/>
      <c r="H127" s="9" t="s">
        <v>6106</v>
      </c>
      <c r="I127" s="9" t="s">
        <v>5576</v>
      </c>
      <c r="J127" s="9" t="s">
        <v>2941</v>
      </c>
      <c r="K127" t="s">
        <v>5577</v>
      </c>
      <c r="L127" t="s">
        <v>5578</v>
      </c>
      <c r="M127" s="3" t="str">
        <f>HYPERLINK(склад2въезд1319202122237[[#This Row],[RelativePath]])</f>
        <v>11 С ангара на базу\E33149364_4_20251211T145553Z.jpg</v>
      </c>
    </row>
    <row r="128" spans="1:13" x14ac:dyDescent="0.25">
      <c r="A128" s="2" t="s">
        <v>16</v>
      </c>
      <c r="B128" s="4">
        <v>46002</v>
      </c>
      <c r="C128" s="5">
        <v>0.62344907407407413</v>
      </c>
      <c r="D128" s="9" t="s">
        <v>6105</v>
      </c>
      <c r="E128" s="9" t="s">
        <v>58</v>
      </c>
      <c r="F128" s="9"/>
      <c r="H128" s="9" t="s">
        <v>2891</v>
      </c>
      <c r="I128" s="9" t="s">
        <v>5579</v>
      </c>
      <c r="J128" s="9" t="s">
        <v>2941</v>
      </c>
      <c r="K128" t="s">
        <v>5580</v>
      </c>
      <c r="L128" t="s">
        <v>5581</v>
      </c>
      <c r="M128" s="3" t="str">
        <f>HYPERLINK(склад2въезд1319202122237[[#This Row],[RelativePath]])</f>
        <v>11 С ангара на базу\E33149364_4_20251211T145746Z.jpg</v>
      </c>
    </row>
    <row r="129" spans="1:13" x14ac:dyDescent="0.25">
      <c r="A129" s="2" t="s">
        <v>16</v>
      </c>
      <c r="B129" s="4">
        <v>46002</v>
      </c>
      <c r="C129" s="5">
        <v>0.63545138888888886</v>
      </c>
      <c r="D129" s="9" t="s">
        <v>6105</v>
      </c>
      <c r="E129" s="9" t="s">
        <v>58</v>
      </c>
      <c r="F129" s="9"/>
      <c r="H129" s="9" t="s">
        <v>2891</v>
      </c>
      <c r="I129" s="9" t="s">
        <v>5582</v>
      </c>
      <c r="J129" s="9" t="s">
        <v>2941</v>
      </c>
      <c r="K129" t="s">
        <v>5583</v>
      </c>
      <c r="L129" t="s">
        <v>5584</v>
      </c>
      <c r="M129" s="3" t="str">
        <f>HYPERLINK(склад2въезд1319202122237[[#This Row],[RelativePath]])</f>
        <v>11 С ангара на базу\E33149364_4_20251211T151503Z.jpg</v>
      </c>
    </row>
    <row r="130" spans="1:13" x14ac:dyDescent="0.25">
      <c r="A130" s="2" t="s">
        <v>16</v>
      </c>
      <c r="B130" s="4">
        <v>46002</v>
      </c>
      <c r="C130" s="5">
        <v>0.72240740740740739</v>
      </c>
      <c r="D130" s="9" t="s">
        <v>6105</v>
      </c>
      <c r="E130" s="9" t="s">
        <v>58</v>
      </c>
      <c r="F130" s="9"/>
      <c r="H130" s="9" t="s">
        <v>2891</v>
      </c>
      <c r="I130" s="9" t="s">
        <v>5585</v>
      </c>
      <c r="J130" s="9" t="s">
        <v>2941</v>
      </c>
      <c r="K130" t="s">
        <v>5586</v>
      </c>
      <c r="L130" t="s">
        <v>5587</v>
      </c>
      <c r="M130" s="3" t="str">
        <f>HYPERLINK(склад2въезд1319202122237[[#This Row],[RelativePath]])</f>
        <v>11 С ангара на базу\E33149364_4_20251211T172016Z.jpg</v>
      </c>
    </row>
    <row r="131" spans="1:13" x14ac:dyDescent="0.25">
      <c r="A131" s="2" t="s">
        <v>17</v>
      </c>
      <c r="B131" s="4">
        <v>46003</v>
      </c>
      <c r="C131" s="5">
        <v>0.44664351851851852</v>
      </c>
      <c r="D131" s="9" t="s">
        <v>1066</v>
      </c>
      <c r="E131" s="9" t="s">
        <v>86</v>
      </c>
      <c r="F131" s="9" t="s">
        <v>58</v>
      </c>
      <c r="H131" s="9" t="s">
        <v>1583</v>
      </c>
      <c r="I131" s="9" t="s">
        <v>5848</v>
      </c>
      <c r="J131" s="9" t="s">
        <v>2941</v>
      </c>
      <c r="K131" t="s">
        <v>5849</v>
      </c>
      <c r="L131" t="s">
        <v>5850</v>
      </c>
      <c r="M131" s="3" t="str">
        <f>HYPERLINK(склад2въезд1319202122237[[#This Row],[RelativePath]])</f>
        <v>11 С ангара на базу\E33149364_4_20251212T104310Z.jpg</v>
      </c>
    </row>
    <row r="132" spans="1:13" x14ac:dyDescent="0.25">
      <c r="A132" s="2" t="s">
        <v>17</v>
      </c>
      <c r="B132" s="4">
        <v>46003</v>
      </c>
      <c r="C132" s="5">
        <v>0.60886574074074074</v>
      </c>
      <c r="D132" s="9" t="s">
        <v>4</v>
      </c>
      <c r="E132" s="9" t="s">
        <v>8</v>
      </c>
      <c r="F132" s="9"/>
      <c r="H132" s="9"/>
      <c r="I132" s="9" t="s">
        <v>5851</v>
      </c>
      <c r="J132" s="9" t="s">
        <v>2941</v>
      </c>
      <c r="K132" t="s">
        <v>5852</v>
      </c>
      <c r="L132" t="s">
        <v>5853</v>
      </c>
      <c r="M132" s="3" t="str">
        <f>HYPERLINK(склад2въезд1319202122237[[#This Row],[RelativePath]])</f>
        <v>11 С ангара на базу\E33149364_4_20251212T143646Z.jpg</v>
      </c>
    </row>
    <row r="133" spans="1:13" x14ac:dyDescent="0.25">
      <c r="A133" s="2" t="s">
        <v>17</v>
      </c>
      <c r="B133" s="4">
        <v>46003</v>
      </c>
      <c r="C133" s="5">
        <v>0.70218749999999996</v>
      </c>
      <c r="D133" s="9" t="s">
        <v>4</v>
      </c>
      <c r="E133" s="9" t="s">
        <v>8</v>
      </c>
      <c r="F133" s="9"/>
      <c r="H133" s="9"/>
      <c r="I133" s="9" t="s">
        <v>5854</v>
      </c>
      <c r="J133" s="9" t="s">
        <v>2941</v>
      </c>
      <c r="K133" t="s">
        <v>5855</v>
      </c>
      <c r="L133" t="s">
        <v>5856</v>
      </c>
      <c r="M133" s="3" t="str">
        <f>HYPERLINK(склад2въезд1319202122237[[#This Row],[RelativePath]])</f>
        <v>11 С ангара на базу\E33149364_4_20251212T165109Z.jpg</v>
      </c>
    </row>
    <row r="134" spans="1:13" x14ac:dyDescent="0.25">
      <c r="A134" s="2" t="s">
        <v>18</v>
      </c>
      <c r="B134" s="4">
        <v>46004</v>
      </c>
      <c r="C134" s="5">
        <v>0.38579861111111113</v>
      </c>
      <c r="D134" s="9" t="s">
        <v>1569</v>
      </c>
      <c r="E134" s="9" t="s">
        <v>6088</v>
      </c>
      <c r="F134" s="9" t="s">
        <v>6107</v>
      </c>
      <c r="H134" s="9" t="s">
        <v>6085</v>
      </c>
      <c r="I134" s="9" t="s">
        <v>6028</v>
      </c>
      <c r="J134" s="9" t="s">
        <v>2941</v>
      </c>
      <c r="K134" t="s">
        <v>6029</v>
      </c>
      <c r="L134" t="s">
        <v>6030</v>
      </c>
      <c r="M134" s="3" t="str">
        <f>HYPERLINK(склад2въезд1319202122237[[#This Row],[RelativePath]])</f>
        <v>11 С ангара на базу\E33149364_4_20251213T091533Z.jpg</v>
      </c>
    </row>
    <row r="135" spans="1:13" x14ac:dyDescent="0.25">
      <c r="A135" s="2" t="s">
        <v>18</v>
      </c>
      <c r="B135" s="4">
        <v>46004</v>
      </c>
      <c r="C135" s="5">
        <v>0.38621527777777775</v>
      </c>
      <c r="D135" s="9" t="s">
        <v>6108</v>
      </c>
      <c r="E135" s="9" t="s">
        <v>6088</v>
      </c>
      <c r="F135" s="9"/>
      <c r="H135" s="9"/>
      <c r="I135" s="9" t="s">
        <v>6031</v>
      </c>
      <c r="J135" s="9" t="s">
        <v>2941</v>
      </c>
      <c r="K135" t="s">
        <v>6032</v>
      </c>
      <c r="L135" t="s">
        <v>6033</v>
      </c>
      <c r="M135" s="3" t="str">
        <f>HYPERLINK(склад2въезд1319202122237[[#This Row],[RelativePath]])</f>
        <v>11 С ангара на базу\E33149364_4_20251213T091609Z.jpg</v>
      </c>
    </row>
    <row r="136" spans="1:13" x14ac:dyDescent="0.25">
      <c r="A136" s="2" t="s">
        <v>18</v>
      </c>
      <c r="B136" s="4">
        <v>46004</v>
      </c>
      <c r="C136" s="5">
        <v>0.39291666666666669</v>
      </c>
      <c r="D136" s="9" t="s">
        <v>261</v>
      </c>
      <c r="E136" s="9" t="s">
        <v>6088</v>
      </c>
      <c r="F136" s="9" t="s">
        <v>6109</v>
      </c>
      <c r="H136" s="9" t="s">
        <v>2891</v>
      </c>
      <c r="I136" s="9" t="s">
        <v>6034</v>
      </c>
      <c r="J136" s="9" t="s">
        <v>2941</v>
      </c>
      <c r="K136" t="s">
        <v>6035</v>
      </c>
      <c r="L136" t="s">
        <v>6036</v>
      </c>
      <c r="M136" s="3" t="str">
        <f>HYPERLINK(склад2въезд1319202122237[[#This Row],[RelativePath]])</f>
        <v>11 С ангара на базу\E33149364_4_20251213T092548Z.jpg</v>
      </c>
    </row>
    <row r="137" spans="1:13" x14ac:dyDescent="0.25">
      <c r="A137" s="2" t="s">
        <v>18</v>
      </c>
      <c r="B137" s="4">
        <v>46004</v>
      </c>
      <c r="C137" s="5">
        <v>0.39643518518518517</v>
      </c>
      <c r="D137" s="9" t="s">
        <v>261</v>
      </c>
      <c r="E137" s="9" t="s">
        <v>6088</v>
      </c>
      <c r="F137" s="9" t="s">
        <v>6109</v>
      </c>
      <c r="H137" s="9" t="s">
        <v>2891</v>
      </c>
      <c r="I137" s="9" t="s">
        <v>6037</v>
      </c>
      <c r="J137" s="9" t="s">
        <v>2941</v>
      </c>
      <c r="K137" t="s">
        <v>6038</v>
      </c>
      <c r="L137" t="s">
        <v>6039</v>
      </c>
      <c r="M137" s="3" t="str">
        <f>HYPERLINK(склад2въезд1319202122237[[#This Row],[RelativePath]])</f>
        <v>11 С ангара на базу\E33149364_4_20251213T093052Z.jpg</v>
      </c>
    </row>
    <row r="138" spans="1:13" x14ac:dyDescent="0.25">
      <c r="A138" s="2" t="s">
        <v>18</v>
      </c>
      <c r="B138" s="4">
        <v>46004</v>
      </c>
      <c r="C138" s="5">
        <v>0.39685185185185184</v>
      </c>
      <c r="D138" s="9" t="s">
        <v>261</v>
      </c>
      <c r="E138" s="9" t="s">
        <v>6088</v>
      </c>
      <c r="F138" s="9" t="s">
        <v>6109</v>
      </c>
      <c r="H138" s="9" t="s">
        <v>2891</v>
      </c>
      <c r="I138" s="9" t="s">
        <v>6040</v>
      </c>
      <c r="J138" s="9" t="s">
        <v>2941</v>
      </c>
      <c r="K138" t="s">
        <v>6041</v>
      </c>
      <c r="L138" t="s">
        <v>6042</v>
      </c>
      <c r="M138" s="3" t="str">
        <f>HYPERLINK(склад2въезд1319202122237[[#This Row],[RelativePath]])</f>
        <v>11 С ангара на базу\E33149364_4_20251213T093128Z.jpg</v>
      </c>
    </row>
    <row r="139" spans="1:13" x14ac:dyDescent="0.25">
      <c r="A139" s="2" t="s">
        <v>18</v>
      </c>
      <c r="B139" s="4">
        <v>46004</v>
      </c>
      <c r="C139" s="5">
        <v>0.3972222222222222</v>
      </c>
      <c r="D139" s="9" t="s">
        <v>261</v>
      </c>
      <c r="E139" s="9" t="s">
        <v>6088</v>
      </c>
      <c r="F139" s="9" t="s">
        <v>6109</v>
      </c>
      <c r="H139" s="9" t="s">
        <v>2891</v>
      </c>
      <c r="I139" s="9" t="s">
        <v>6043</v>
      </c>
      <c r="J139" s="9" t="s">
        <v>2941</v>
      </c>
      <c r="K139" t="s">
        <v>6044</v>
      </c>
      <c r="L139" t="s">
        <v>6045</v>
      </c>
      <c r="M139" s="3" t="str">
        <f>HYPERLINK(склад2въезд1319202122237[[#This Row],[RelativePath]])</f>
        <v>11 С ангара на базу\E33149364_4_20251213T093200Z.jpg</v>
      </c>
    </row>
    <row r="140" spans="1:13" x14ac:dyDescent="0.25">
      <c r="A140" s="2" t="s">
        <v>18</v>
      </c>
      <c r="B140" s="4">
        <v>46004</v>
      </c>
      <c r="C140" s="5">
        <v>0.39961805555555557</v>
      </c>
      <c r="D140" s="9" t="s">
        <v>261</v>
      </c>
      <c r="E140" s="9" t="s">
        <v>6088</v>
      </c>
      <c r="F140" s="9" t="s">
        <v>6109</v>
      </c>
      <c r="H140" s="9" t="s">
        <v>2891</v>
      </c>
      <c r="I140" s="9" t="s">
        <v>6046</v>
      </c>
      <c r="J140" s="9" t="s">
        <v>2941</v>
      </c>
      <c r="K140" t="s">
        <v>6047</v>
      </c>
      <c r="L140" t="s">
        <v>6048</v>
      </c>
      <c r="M140" s="3" t="str">
        <f>HYPERLINK(склад2въезд1319202122237[[#This Row],[RelativePath]])</f>
        <v>11 С ангара на базу\E33149364_4_20251213T093527Z.jpg</v>
      </c>
    </row>
    <row r="141" spans="1:13" x14ac:dyDescent="0.25">
      <c r="A141" s="2" t="s">
        <v>18</v>
      </c>
      <c r="B141" s="4">
        <v>46004</v>
      </c>
      <c r="C141" s="5">
        <v>0.39997685185185183</v>
      </c>
      <c r="D141" s="9" t="s">
        <v>261</v>
      </c>
      <c r="E141" s="9" t="s">
        <v>6088</v>
      </c>
      <c r="F141" s="9" t="s">
        <v>6109</v>
      </c>
      <c r="H141" s="9" t="s">
        <v>2891</v>
      </c>
      <c r="I141" s="9" t="s">
        <v>6049</v>
      </c>
      <c r="J141" s="9" t="s">
        <v>2941</v>
      </c>
      <c r="K141" t="s">
        <v>6050</v>
      </c>
      <c r="L141" t="s">
        <v>6051</v>
      </c>
      <c r="M141" s="3" t="str">
        <f>HYPERLINK(склад2въезд1319202122237[[#This Row],[RelativePath]])</f>
        <v>11 С ангара на базу\E33149364_4_20251213T093558Z.jpg</v>
      </c>
    </row>
    <row r="142" spans="1:13" x14ac:dyDescent="0.25">
      <c r="A142" s="2" t="s">
        <v>18</v>
      </c>
      <c r="B142" s="4">
        <v>46004</v>
      </c>
      <c r="C142" s="5">
        <v>0.40167824074074077</v>
      </c>
      <c r="D142" s="9" t="s">
        <v>261</v>
      </c>
      <c r="E142" s="9" t="s">
        <v>6088</v>
      </c>
      <c r="F142" s="9" t="s">
        <v>6109</v>
      </c>
      <c r="H142" s="9" t="s">
        <v>2891</v>
      </c>
      <c r="I142" s="9" t="s">
        <v>6052</v>
      </c>
      <c r="J142" s="9" t="s">
        <v>2941</v>
      </c>
      <c r="K142" t="s">
        <v>6053</v>
      </c>
      <c r="L142" t="s">
        <v>6054</v>
      </c>
      <c r="M142" s="3" t="str">
        <f>HYPERLINK(склад2въезд1319202122237[[#This Row],[RelativePath]])</f>
        <v>11 С ангара на базу\E33149364_4_20251213T093825Z.jpg</v>
      </c>
    </row>
    <row r="143" spans="1:13" x14ac:dyDescent="0.25">
      <c r="A143" s="2" t="s">
        <v>18</v>
      </c>
      <c r="B143" s="4">
        <v>46004</v>
      </c>
      <c r="C143" s="5">
        <v>0.40229166666666666</v>
      </c>
      <c r="D143" s="9" t="s">
        <v>261</v>
      </c>
      <c r="E143" s="9" t="s">
        <v>6088</v>
      </c>
      <c r="F143" s="9" t="s">
        <v>6109</v>
      </c>
      <c r="H143" s="9" t="s">
        <v>2891</v>
      </c>
      <c r="I143" s="9" t="s">
        <v>6055</v>
      </c>
      <c r="J143" s="9" t="s">
        <v>2941</v>
      </c>
      <c r="K143" t="s">
        <v>6056</v>
      </c>
      <c r="L143" t="s">
        <v>6057</v>
      </c>
      <c r="M143" s="3" t="str">
        <f>HYPERLINK(склад2въезд1319202122237[[#This Row],[RelativePath]])</f>
        <v>11 С ангара на базу\E33149364_4_20251213T093918Z.jpg</v>
      </c>
    </row>
    <row r="144" spans="1:13" x14ac:dyDescent="0.25">
      <c r="A144" s="2" t="s">
        <v>18</v>
      </c>
      <c r="B144" s="4">
        <v>46004</v>
      </c>
      <c r="C144" s="5">
        <v>0.40465277777777775</v>
      </c>
      <c r="D144" s="9" t="s">
        <v>622</v>
      </c>
      <c r="E144" s="9" t="s">
        <v>6088</v>
      </c>
      <c r="F144" s="9" t="s">
        <v>6109</v>
      </c>
      <c r="H144" s="9"/>
      <c r="I144" s="9" t="s">
        <v>6058</v>
      </c>
      <c r="J144" s="9" t="s">
        <v>2941</v>
      </c>
      <c r="K144" t="s">
        <v>6059</v>
      </c>
      <c r="L144" t="s">
        <v>6060</v>
      </c>
      <c r="M144" s="3" t="str">
        <f>HYPERLINK(склад2въезд1319202122237[[#This Row],[RelativePath]])</f>
        <v>11 С ангара на базу\E33149364_4_20251213T094242Z.jpg</v>
      </c>
    </row>
    <row r="145" spans="1:13" x14ac:dyDescent="0.25">
      <c r="A145" s="2" t="s">
        <v>18</v>
      </c>
      <c r="B145" s="4">
        <v>46004</v>
      </c>
      <c r="C145" s="5">
        <v>0.54765046296296294</v>
      </c>
      <c r="D145" s="9" t="s">
        <v>1569</v>
      </c>
      <c r="E145" s="9" t="s">
        <v>6088</v>
      </c>
      <c r="F145" s="9" t="s">
        <v>1572</v>
      </c>
      <c r="H145" s="9"/>
      <c r="I145" s="9" t="s">
        <v>6061</v>
      </c>
      <c r="J145" s="9" t="s">
        <v>2941</v>
      </c>
      <c r="K145" t="s">
        <v>6062</v>
      </c>
      <c r="L145" t="s">
        <v>6063</v>
      </c>
      <c r="M145" s="3" t="str">
        <f>HYPERLINK(склад2въезд1319202122237[[#This Row],[RelativePath]])</f>
        <v>11 С ангара на базу\E33149364_4_20251213T130837Z.jpg</v>
      </c>
    </row>
    <row r="146" spans="1:13" x14ac:dyDescent="0.25">
      <c r="A146" s="2" t="s">
        <v>18</v>
      </c>
      <c r="B146" s="4">
        <v>46004</v>
      </c>
      <c r="C146" s="5">
        <v>0.54907407407407405</v>
      </c>
      <c r="D146" s="9" t="s">
        <v>262</v>
      </c>
      <c r="E146" s="9" t="s">
        <v>6088</v>
      </c>
      <c r="F146" s="9" t="s">
        <v>58</v>
      </c>
      <c r="H146" s="9"/>
      <c r="I146" s="9" t="s">
        <v>6064</v>
      </c>
      <c r="J146" s="9" t="s">
        <v>2941</v>
      </c>
      <c r="K146" t="s">
        <v>6065</v>
      </c>
      <c r="L146" t="s">
        <v>6066</v>
      </c>
      <c r="M146" s="3" t="str">
        <f>HYPERLINK(склад2въезд1319202122237[[#This Row],[RelativePath]])</f>
        <v>11 С ангара на базу\E33149364_4_20251213T131040Z.jpg</v>
      </c>
    </row>
    <row r="147" spans="1:13" x14ac:dyDescent="0.25">
      <c r="A147" s="2" t="s">
        <v>18</v>
      </c>
      <c r="B147" s="4">
        <v>46004</v>
      </c>
      <c r="C147" s="5">
        <v>0.549224537037037</v>
      </c>
      <c r="D147" s="9" t="s">
        <v>262</v>
      </c>
      <c r="E147" s="9" t="s">
        <v>6088</v>
      </c>
      <c r="F147" s="9" t="s">
        <v>58</v>
      </c>
      <c r="H147" s="9" t="s">
        <v>2891</v>
      </c>
      <c r="I147" s="9" t="s">
        <v>6067</v>
      </c>
      <c r="J147" s="9" t="s">
        <v>2941</v>
      </c>
      <c r="K147" t="s">
        <v>6068</v>
      </c>
      <c r="L147" t="s">
        <v>6069</v>
      </c>
      <c r="M147" s="3" t="str">
        <f>HYPERLINK(склад2въезд1319202122237[[#This Row],[RelativePath]])</f>
        <v>11 С ангара на базу\E33149364_4_20251213T131053Z.jpg</v>
      </c>
    </row>
    <row r="148" spans="1:13" x14ac:dyDescent="0.25">
      <c r="A148" s="2" t="s">
        <v>18</v>
      </c>
      <c r="B148" s="4">
        <v>46004</v>
      </c>
      <c r="C148" s="5">
        <v>0.55100694444444442</v>
      </c>
      <c r="D148" s="9" t="s">
        <v>262</v>
      </c>
      <c r="E148" s="9" t="s">
        <v>6088</v>
      </c>
      <c r="F148" s="9" t="s">
        <v>58</v>
      </c>
      <c r="H148" s="9" t="s">
        <v>2891</v>
      </c>
      <c r="I148" s="9" t="s">
        <v>6070</v>
      </c>
      <c r="J148" s="9" t="s">
        <v>2941</v>
      </c>
      <c r="K148" t="s">
        <v>6071</v>
      </c>
      <c r="L148" t="s">
        <v>6072</v>
      </c>
      <c r="M148" s="3" t="str">
        <f>HYPERLINK(склад2въезд1319202122237[[#This Row],[RelativePath]])</f>
        <v>11 С ангара на базу\E33149364_4_20251213T131327Z.jpg</v>
      </c>
    </row>
    <row r="149" spans="1:13" x14ac:dyDescent="0.25">
      <c r="A149" s="2" t="s">
        <v>18</v>
      </c>
      <c r="B149" s="4">
        <v>46004</v>
      </c>
      <c r="C149" s="5">
        <v>0.55111111111111111</v>
      </c>
      <c r="D149" s="9" t="s">
        <v>262</v>
      </c>
      <c r="E149" s="9" t="s">
        <v>6088</v>
      </c>
      <c r="F149" s="9" t="s">
        <v>58</v>
      </c>
      <c r="H149" s="9" t="s">
        <v>2891</v>
      </c>
      <c r="I149" s="9" t="s">
        <v>6073</v>
      </c>
      <c r="J149" s="9" t="s">
        <v>2941</v>
      </c>
      <c r="K149" t="s">
        <v>6074</v>
      </c>
      <c r="L149" t="s">
        <v>6075</v>
      </c>
      <c r="M149" s="3" t="str">
        <f>HYPERLINK(склад2въезд1319202122237[[#This Row],[RelativePath]])</f>
        <v>11 С ангара на базу\E33149364_4_20251213T131336Z.jpg</v>
      </c>
    </row>
    <row r="150" spans="1:13" x14ac:dyDescent="0.25">
      <c r="A150" s="2" t="s">
        <v>18</v>
      </c>
      <c r="B150" s="4">
        <v>46004</v>
      </c>
      <c r="C150" s="5">
        <v>0.55388888888888888</v>
      </c>
      <c r="D150" s="9" t="s">
        <v>622</v>
      </c>
      <c r="E150" s="9" t="s">
        <v>6088</v>
      </c>
      <c r="F150" s="9" t="s">
        <v>6110</v>
      </c>
      <c r="H150" s="9"/>
      <c r="I150" s="9" t="s">
        <v>6076</v>
      </c>
      <c r="J150" s="9" t="s">
        <v>2941</v>
      </c>
      <c r="K150" t="s">
        <v>6077</v>
      </c>
      <c r="L150" t="s">
        <v>6078</v>
      </c>
      <c r="M150" s="3" t="str">
        <f>HYPERLINK(склад2въезд1319202122237[[#This Row],[RelativePath]])</f>
        <v>11 С ангара на базу\E33149364_4_20251213T131736Z.jpg</v>
      </c>
    </row>
    <row r="151" spans="1:13" x14ac:dyDescent="0.25">
      <c r="A151" s="2" t="s">
        <v>18</v>
      </c>
      <c r="B151" s="4">
        <v>46004</v>
      </c>
      <c r="C151" s="5">
        <v>0.71561342592592592</v>
      </c>
      <c r="D151" s="9" t="s">
        <v>4</v>
      </c>
      <c r="E151" s="9" t="s">
        <v>8</v>
      </c>
      <c r="F151" s="9"/>
      <c r="H151" s="9"/>
      <c r="I151" s="9" t="s">
        <v>6079</v>
      </c>
      <c r="J151" s="9" t="s">
        <v>2941</v>
      </c>
      <c r="K151" t="s">
        <v>6080</v>
      </c>
      <c r="L151" t="s">
        <v>6081</v>
      </c>
      <c r="M151" s="3" t="str">
        <f>HYPERLINK(склад2въезд1319202122237[[#This Row],[RelativePath]])</f>
        <v>11 С ангара на базу\E33149364_4_20251213T171029Z.jpg</v>
      </c>
    </row>
    <row r="152" spans="1:13" x14ac:dyDescent="0.25">
      <c r="A152" s="2" t="s">
        <v>22</v>
      </c>
      <c r="B152" s="4">
        <v>46005</v>
      </c>
      <c r="C152" s="5">
        <v>0.7037268518518518</v>
      </c>
      <c r="D152" s="9" t="s">
        <v>1967</v>
      </c>
      <c r="E152" s="9" t="s">
        <v>8</v>
      </c>
      <c r="F152" s="9"/>
      <c r="H152" s="9"/>
      <c r="I152" s="9" t="s">
        <v>6178</v>
      </c>
      <c r="J152" s="9" t="s">
        <v>2941</v>
      </c>
      <c r="K152" t="s">
        <v>6179</v>
      </c>
      <c r="L152" t="s">
        <v>6180</v>
      </c>
      <c r="M152" s="3" t="str">
        <f>HYPERLINK(склад2въезд1319202122237[[#This Row],[RelativePath]])</f>
        <v>11 С ангара на базу\E33149364_4_20251214T165322Z.jpg</v>
      </c>
    </row>
    <row r="153" spans="1:13" x14ac:dyDescent="0.25">
      <c r="A153" s="2" t="s">
        <v>13</v>
      </c>
      <c r="B153" s="4">
        <v>46006</v>
      </c>
      <c r="C153" s="5">
        <v>0.46325231481481483</v>
      </c>
      <c r="D153" s="9" t="s">
        <v>159</v>
      </c>
      <c r="E153" s="9" t="s">
        <v>6248</v>
      </c>
      <c r="F153" s="9" t="s">
        <v>51</v>
      </c>
      <c r="H153" s="9"/>
      <c r="I153" s="9" t="s">
        <v>6425</v>
      </c>
      <c r="J153" s="9" t="s">
        <v>2941</v>
      </c>
      <c r="K153" t="s">
        <v>6426</v>
      </c>
      <c r="L153" t="s">
        <v>6427</v>
      </c>
      <c r="M153" s="3" t="str">
        <f>HYPERLINK(склад2въезд1319202122237[[#This Row],[RelativePath]])</f>
        <v>11 С ангара на базу\E33149364_4_20251215T110705Z.jpg</v>
      </c>
    </row>
    <row r="154" spans="1:13" x14ac:dyDescent="0.25">
      <c r="A154" s="2" t="s">
        <v>13</v>
      </c>
      <c r="B154" s="4">
        <v>46006</v>
      </c>
      <c r="C154" s="5">
        <v>0.47494212962962962</v>
      </c>
      <c r="D154" s="9" t="s">
        <v>159</v>
      </c>
      <c r="E154" s="9" t="s">
        <v>86</v>
      </c>
      <c r="F154" s="9" t="s">
        <v>58</v>
      </c>
      <c r="H154" s="9" t="s">
        <v>6451</v>
      </c>
      <c r="I154" s="9" t="s">
        <v>6428</v>
      </c>
      <c r="J154" s="9" t="s">
        <v>2941</v>
      </c>
      <c r="K154" t="s">
        <v>6429</v>
      </c>
      <c r="L154" t="s">
        <v>6430</v>
      </c>
      <c r="M154" s="3" t="str">
        <f>HYPERLINK(склад2въезд1319202122237[[#This Row],[RelativePath]])</f>
        <v>11 С ангара на базу\E33149364_4_20251215T112355Z.jpg</v>
      </c>
    </row>
    <row r="155" spans="1:13" x14ac:dyDescent="0.25">
      <c r="A155" s="2" t="s">
        <v>13</v>
      </c>
      <c r="B155" s="4">
        <v>46006</v>
      </c>
      <c r="C155" s="5">
        <v>0.67025462962962967</v>
      </c>
      <c r="D155" s="9" t="s">
        <v>4</v>
      </c>
      <c r="E155" s="9" t="s">
        <v>8</v>
      </c>
      <c r="F155" s="9"/>
      <c r="H155" s="9"/>
      <c r="I155" s="9" t="s">
        <v>6431</v>
      </c>
      <c r="J155" s="9" t="s">
        <v>2941</v>
      </c>
      <c r="K155" t="s">
        <v>6432</v>
      </c>
      <c r="L155" t="s">
        <v>6433</v>
      </c>
      <c r="M155" s="3" t="str">
        <f>HYPERLINK(склад2въезд1319202122237[[#This Row],[RelativePath]])</f>
        <v>11 С ангара на базу\E33149364_4_20251215T160510Z.jpg</v>
      </c>
    </row>
    <row r="156" spans="1:13" x14ac:dyDescent="0.25">
      <c r="A156" s="2" t="s">
        <v>14</v>
      </c>
      <c r="B156" s="4">
        <v>46007</v>
      </c>
      <c r="C156" s="5">
        <v>0.72393518518518518</v>
      </c>
      <c r="D156" s="9" t="s">
        <v>1967</v>
      </c>
      <c r="E156" s="9" t="s">
        <v>8</v>
      </c>
      <c r="F156" s="9"/>
      <c r="H156" s="9"/>
      <c r="I156" s="9" t="s">
        <v>6556</v>
      </c>
      <c r="J156" s="9" t="s">
        <v>2941</v>
      </c>
      <c r="K156" t="s">
        <v>6557</v>
      </c>
      <c r="L156" t="s">
        <v>6558</v>
      </c>
      <c r="M156" s="3" t="str">
        <f>HYPERLINK(склад2въезд1319202122237[[#This Row],[RelativePath]])</f>
        <v>11 С ангара на базу\E33149364_4_20251216T172228Z.jpg</v>
      </c>
    </row>
    <row r="157" spans="1:13" x14ac:dyDescent="0.25">
      <c r="A157" s="2" t="s">
        <v>15</v>
      </c>
      <c r="B157" s="4">
        <v>46008</v>
      </c>
      <c r="C157" s="5">
        <v>0.67031249999999998</v>
      </c>
      <c r="D157" s="9" t="s">
        <v>1967</v>
      </c>
      <c r="E157" s="9" t="s">
        <v>8</v>
      </c>
      <c r="F157" s="9"/>
      <c r="H157" s="9"/>
      <c r="I157" s="9" t="s">
        <v>6736</v>
      </c>
      <c r="J157" s="9" t="s">
        <v>2941</v>
      </c>
      <c r="K157" t="s">
        <v>6737</v>
      </c>
      <c r="L157" t="s">
        <v>6738</v>
      </c>
      <c r="M157" s="3" t="str">
        <f>HYPERLINK(склад2въезд1319202122237[[#This Row],[RelativePath]])</f>
        <v>11 С ангара на базу\E33149364_4_20251217T160515Z.jpg</v>
      </c>
    </row>
    <row r="158" spans="1:13" x14ac:dyDescent="0.25">
      <c r="A158" s="2" t="s">
        <v>16</v>
      </c>
      <c r="B158" s="4">
        <v>46009</v>
      </c>
      <c r="C158" s="5">
        <v>0.41395833333333332</v>
      </c>
      <c r="D158" s="9" t="s">
        <v>158</v>
      </c>
      <c r="E158" s="9" t="s">
        <v>5411</v>
      </c>
      <c r="F158" s="9" t="s">
        <v>2899</v>
      </c>
      <c r="H158" s="9" t="s">
        <v>2909</v>
      </c>
      <c r="I158" s="9" t="s">
        <v>7020</v>
      </c>
      <c r="J158" s="9" t="s">
        <v>2941</v>
      </c>
      <c r="K158" t="s">
        <v>7021</v>
      </c>
      <c r="L158" t="s">
        <v>7022</v>
      </c>
      <c r="M158" s="3" t="str">
        <f>HYPERLINK(склад2въезд1319202122237[[#This Row],[RelativePath]])</f>
        <v>11 С ангара на базу\E33149364_4_20251218T095606Z.jpg</v>
      </c>
    </row>
    <row r="159" spans="1:13" x14ac:dyDescent="0.25">
      <c r="A159" s="2" t="s">
        <v>16</v>
      </c>
      <c r="B159" s="4">
        <v>46009</v>
      </c>
      <c r="C159" s="5">
        <v>0.41430555555555554</v>
      </c>
      <c r="D159" s="9" t="s">
        <v>158</v>
      </c>
      <c r="E159" s="9" t="s">
        <v>5411</v>
      </c>
      <c r="F159" s="9" t="s">
        <v>2899</v>
      </c>
      <c r="H159" s="9" t="s">
        <v>2891</v>
      </c>
      <c r="I159" s="9" t="s">
        <v>7023</v>
      </c>
      <c r="J159" s="9" t="s">
        <v>2941</v>
      </c>
      <c r="K159" t="s">
        <v>7024</v>
      </c>
      <c r="L159" t="s">
        <v>7025</v>
      </c>
      <c r="M159" s="3" t="str">
        <f>HYPERLINK(склад2въезд1319202122237[[#This Row],[RelativePath]])</f>
        <v>11 С ангара на базу\E33149364_4_20251218T095636Z.jpg</v>
      </c>
    </row>
    <row r="160" spans="1:13" x14ac:dyDescent="0.25">
      <c r="A160" s="2" t="s">
        <v>16</v>
      </c>
      <c r="B160" s="4">
        <v>46009</v>
      </c>
      <c r="C160" s="5">
        <v>0.44475694444444447</v>
      </c>
      <c r="D160" s="9" t="s">
        <v>7085</v>
      </c>
      <c r="E160" s="9" t="s">
        <v>5411</v>
      </c>
      <c r="F160" s="9" t="s">
        <v>6788</v>
      </c>
      <c r="H160" s="9"/>
      <c r="I160" s="9" t="s">
        <v>7026</v>
      </c>
      <c r="J160" s="9" t="s">
        <v>2941</v>
      </c>
      <c r="K160" t="s">
        <v>7027</v>
      </c>
      <c r="L160" t="s">
        <v>7028</v>
      </c>
      <c r="M160" s="3" t="str">
        <f>HYPERLINK(склад2въезд1319202122237[[#This Row],[RelativePath]])</f>
        <v>11 С ангара на базу\E33149364_4_20251218T104027Z.jpg</v>
      </c>
    </row>
    <row r="161" spans="1:13" x14ac:dyDescent="0.25">
      <c r="A161" s="2" t="s">
        <v>16</v>
      </c>
      <c r="B161" s="4">
        <v>46009</v>
      </c>
      <c r="C161" s="5">
        <v>0.61519675925925921</v>
      </c>
      <c r="D161" s="9" t="s">
        <v>158</v>
      </c>
      <c r="E161" s="9" t="s">
        <v>5411</v>
      </c>
      <c r="F161" s="9" t="s">
        <v>2917</v>
      </c>
      <c r="H161" s="9" t="s">
        <v>2909</v>
      </c>
      <c r="I161" s="9" t="s">
        <v>7029</v>
      </c>
      <c r="J161" s="9" t="s">
        <v>2941</v>
      </c>
      <c r="K161" t="s">
        <v>7030</v>
      </c>
      <c r="L161" t="s">
        <v>7031</v>
      </c>
      <c r="M161" s="3" t="str">
        <f>HYPERLINK(склад2въезд1319202122237[[#This Row],[RelativePath]])</f>
        <v>11 С ангара на базу\E33149364_4_20251218T144553Z.jpg</v>
      </c>
    </row>
    <row r="162" spans="1:13" x14ac:dyDescent="0.25">
      <c r="A162" s="2" t="s">
        <v>16</v>
      </c>
      <c r="B162" s="4">
        <v>46009</v>
      </c>
      <c r="C162" s="5">
        <v>0.61546296296296299</v>
      </c>
      <c r="D162" s="9" t="s">
        <v>158</v>
      </c>
      <c r="E162" s="9" t="s">
        <v>5411</v>
      </c>
      <c r="F162" s="9" t="s">
        <v>2917</v>
      </c>
      <c r="H162" s="9" t="s">
        <v>2891</v>
      </c>
      <c r="I162" s="9" t="s">
        <v>7032</v>
      </c>
      <c r="J162" s="9" t="s">
        <v>2941</v>
      </c>
      <c r="K162" t="s">
        <v>7033</v>
      </c>
      <c r="L162" t="s">
        <v>7034</v>
      </c>
      <c r="M162" s="3" t="str">
        <f>HYPERLINK(склад2въезд1319202122237[[#This Row],[RelativePath]])</f>
        <v>11 С ангара на базу\E33149364_4_20251218T144616Z.jpg</v>
      </c>
    </row>
    <row r="163" spans="1:13" x14ac:dyDescent="0.25">
      <c r="A163" s="2" t="s">
        <v>17</v>
      </c>
      <c r="B163" s="4">
        <v>46010</v>
      </c>
      <c r="C163" s="5">
        <v>0.69856481481481481</v>
      </c>
      <c r="D163" s="9" t="s">
        <v>4</v>
      </c>
      <c r="E163" s="9" t="s">
        <v>8</v>
      </c>
      <c r="F163" s="9"/>
      <c r="H163" s="9"/>
      <c r="I163" s="9" t="s">
        <v>7035</v>
      </c>
      <c r="J163" s="9" t="s">
        <v>2941</v>
      </c>
      <c r="K163" t="s">
        <v>7036</v>
      </c>
      <c r="L163" t="s">
        <v>7037</v>
      </c>
      <c r="M163" s="3" t="str">
        <f>HYPERLINK(склад2въезд1319202122237[[#This Row],[RelativePath]])</f>
        <v>11 С ангара на базу\E33149364_4_20251219T164556Z.jpg</v>
      </c>
    </row>
    <row r="164" spans="1:13" x14ac:dyDescent="0.25">
      <c r="A164" s="2" t="s">
        <v>18</v>
      </c>
      <c r="B164" s="4">
        <v>46011</v>
      </c>
      <c r="C164" s="5">
        <v>0.68618055555555557</v>
      </c>
      <c r="D164" s="9" t="s">
        <v>1967</v>
      </c>
      <c r="E164" s="9" t="s">
        <v>8</v>
      </c>
      <c r="F164" s="9"/>
      <c r="H164" s="9"/>
      <c r="I164" s="9" t="s">
        <v>7038</v>
      </c>
      <c r="J164" s="9" t="s">
        <v>2941</v>
      </c>
      <c r="K164" t="s">
        <v>7039</v>
      </c>
      <c r="L164" t="s">
        <v>7040</v>
      </c>
      <c r="M164" s="3" t="str">
        <f>HYPERLINK(склад2въезд1319202122237[[#This Row],[RelativePath]])</f>
        <v>11 С ангара на базу\E33149364_4_20251220T162806Z.jpg</v>
      </c>
    </row>
    <row r="165" spans="1:13" x14ac:dyDescent="0.25">
      <c r="A165" s="2" t="s">
        <v>22</v>
      </c>
      <c r="B165" s="4">
        <v>46012</v>
      </c>
      <c r="C165" s="5">
        <v>0.70821759259259254</v>
      </c>
      <c r="D165" s="9" t="s">
        <v>1967</v>
      </c>
      <c r="E165" s="9" t="s">
        <v>8</v>
      </c>
      <c r="F165" s="9"/>
      <c r="H165" s="9"/>
      <c r="I165" s="9" t="s">
        <v>7118</v>
      </c>
      <c r="J165" s="9" t="s">
        <v>2941</v>
      </c>
      <c r="K165" t="s">
        <v>7119</v>
      </c>
      <c r="L165" t="s">
        <v>7120</v>
      </c>
      <c r="M165" s="3" t="str">
        <f>HYPERLINK(склад2въезд1319202122237[[#This Row],[RelativePath]])</f>
        <v>11 С ангара на базу\E33149364_4_20251221T165950Z.jpg</v>
      </c>
    </row>
    <row r="166" spans="1:13" x14ac:dyDescent="0.25">
      <c r="A166" s="2" t="s">
        <v>13</v>
      </c>
      <c r="B166" s="4">
        <v>46013</v>
      </c>
      <c r="C166" s="5">
        <v>0.71532407407407406</v>
      </c>
      <c r="D166" s="9" t="s">
        <v>1967</v>
      </c>
      <c r="E166" s="9" t="s">
        <v>8</v>
      </c>
      <c r="F166" s="9"/>
      <c r="H166" s="9"/>
      <c r="I166" s="9" t="s">
        <v>7215</v>
      </c>
      <c r="J166" s="9" t="s">
        <v>2941</v>
      </c>
      <c r="K166" t="s">
        <v>7216</v>
      </c>
      <c r="L166" t="s">
        <v>7217</v>
      </c>
      <c r="M166" s="3" t="str">
        <f>HYPERLINK(склад2въезд1319202122237[[#This Row],[RelativePath]])</f>
        <v>11 С ангара на базу\E33149364_4_20251222T171004Z.jpg</v>
      </c>
    </row>
    <row r="167" spans="1:13" x14ac:dyDescent="0.25">
      <c r="A167" s="2" t="s">
        <v>14</v>
      </c>
      <c r="B167" s="4">
        <v>46014</v>
      </c>
      <c r="C167" s="5">
        <v>0.7259606481481482</v>
      </c>
      <c r="D167" s="9" t="s">
        <v>1967</v>
      </c>
      <c r="E167" s="9" t="s">
        <v>8</v>
      </c>
      <c r="F167" s="9"/>
      <c r="H167" s="9"/>
      <c r="I167" s="9" t="s">
        <v>7218</v>
      </c>
      <c r="J167" s="9" t="s">
        <v>2941</v>
      </c>
      <c r="K167" t="s">
        <v>7219</v>
      </c>
      <c r="L167" t="s">
        <v>7220</v>
      </c>
      <c r="M167" s="3" t="str">
        <f>HYPERLINK(склад2въезд1319202122237[[#This Row],[RelativePath]])</f>
        <v>11 С ангара на базу\E33149364_4_20251223T172523Z.jpg</v>
      </c>
    </row>
    <row r="168" spans="1:13" x14ac:dyDescent="0.25">
      <c r="A168" s="2" t="s">
        <v>15</v>
      </c>
      <c r="B168" s="4">
        <v>46015</v>
      </c>
      <c r="C168" s="5">
        <v>0.63050925925925927</v>
      </c>
      <c r="D168" s="9" t="s">
        <v>262</v>
      </c>
      <c r="E168" s="9" t="s">
        <v>86</v>
      </c>
      <c r="F168" s="9" t="s">
        <v>60</v>
      </c>
      <c r="H168" s="9" t="s">
        <v>5038</v>
      </c>
      <c r="I168" s="9" t="s">
        <v>7444</v>
      </c>
      <c r="J168" s="9" t="s">
        <v>2941</v>
      </c>
      <c r="K168" t="s">
        <v>7445</v>
      </c>
      <c r="L168" t="s">
        <v>7446</v>
      </c>
      <c r="M168" s="3" t="str">
        <f>HYPERLINK(склад2въезд1319202122237[[#This Row],[RelativePath]])</f>
        <v>11 С ангара на базу\E33149364_4_20251224T150756Z.jpg</v>
      </c>
    </row>
    <row r="169" spans="1:13" x14ac:dyDescent="0.25">
      <c r="A169" s="2" t="s">
        <v>15</v>
      </c>
      <c r="B169" s="4">
        <v>46015</v>
      </c>
      <c r="C169" s="5">
        <v>0.64223379629629629</v>
      </c>
      <c r="D169" s="9" t="s">
        <v>262</v>
      </c>
      <c r="E169" s="9" t="s">
        <v>86</v>
      </c>
      <c r="F169" s="9" t="s">
        <v>60</v>
      </c>
      <c r="H169" s="9" t="s">
        <v>5038</v>
      </c>
      <c r="I169" s="9" t="s">
        <v>7447</v>
      </c>
      <c r="J169" s="9" t="s">
        <v>2941</v>
      </c>
      <c r="K169" t="s">
        <v>7448</v>
      </c>
      <c r="L169" t="s">
        <v>7449</v>
      </c>
      <c r="M169" s="3" t="str">
        <f>HYPERLINK(склад2въезд1319202122237[[#This Row],[RelativePath]])</f>
        <v>11 С ангара на базу\E33149364_4_20251224T152449Z.jpg</v>
      </c>
    </row>
    <row r="170" spans="1:13" x14ac:dyDescent="0.25">
      <c r="A170" s="2" t="s">
        <v>15</v>
      </c>
      <c r="B170" s="4">
        <v>46015</v>
      </c>
      <c r="C170" s="5">
        <v>0.68390046296296292</v>
      </c>
      <c r="D170" s="9" t="s">
        <v>262</v>
      </c>
      <c r="E170" s="9" t="s">
        <v>86</v>
      </c>
      <c r="F170" s="9" t="s">
        <v>60</v>
      </c>
      <c r="H170" s="9" t="s">
        <v>5038</v>
      </c>
      <c r="I170" s="9" t="s">
        <v>7450</v>
      </c>
      <c r="J170" s="9" t="s">
        <v>2941</v>
      </c>
      <c r="K170" t="s">
        <v>7451</v>
      </c>
      <c r="L170" t="s">
        <v>7452</v>
      </c>
      <c r="M170" s="3" t="str">
        <f>HYPERLINK(склад2въезд1319202122237[[#This Row],[RelativePath]])</f>
        <v>11 С ангара на базу\E33149364_4_20251224T162449Z.jpg</v>
      </c>
    </row>
    <row r="171" spans="1:13" x14ac:dyDescent="0.25">
      <c r="A171" s="2" t="s">
        <v>15</v>
      </c>
      <c r="B171" s="4">
        <v>46015</v>
      </c>
      <c r="C171" s="5">
        <v>0.70719907407407412</v>
      </c>
      <c r="D171" s="9" t="s">
        <v>4</v>
      </c>
      <c r="E171" s="9" t="s">
        <v>8</v>
      </c>
      <c r="F171" s="9"/>
      <c r="H171" s="9"/>
      <c r="I171" s="9" t="s">
        <v>7453</v>
      </c>
      <c r="J171" s="9" t="s">
        <v>2941</v>
      </c>
      <c r="K171" t="s">
        <v>7454</v>
      </c>
      <c r="L171" t="s">
        <v>7455</v>
      </c>
      <c r="M171" s="3" t="str">
        <f>HYPERLINK(склад2въезд1319202122237[[#This Row],[RelativePath]])</f>
        <v>11 С ангара на базу\E33149364_4_20251224T165822Z.jpg</v>
      </c>
    </row>
    <row r="172" spans="1:13" x14ac:dyDescent="0.25">
      <c r="A172" s="2" t="s">
        <v>16</v>
      </c>
      <c r="B172" s="4">
        <v>46016</v>
      </c>
      <c r="C172" s="5">
        <v>0.38935185185185184</v>
      </c>
      <c r="D172" s="9" t="s">
        <v>4</v>
      </c>
      <c r="E172" s="9" t="s">
        <v>86</v>
      </c>
      <c r="F172" s="9" t="s">
        <v>7619</v>
      </c>
      <c r="H172" s="9"/>
      <c r="I172" s="9" t="s">
        <v>7456</v>
      </c>
      <c r="J172" s="9" t="s">
        <v>2941</v>
      </c>
      <c r="K172" t="s">
        <v>7457</v>
      </c>
      <c r="L172" t="s">
        <v>7458</v>
      </c>
      <c r="M172" s="3" t="str">
        <f>HYPERLINK(склад2въезд1319202122237[[#This Row],[RelativePath]])</f>
        <v>11 С ангара на базу\E33149364_4_20251225T092040Z.jpg</v>
      </c>
    </row>
    <row r="173" spans="1:13" x14ac:dyDescent="0.25">
      <c r="A173" s="2" t="s">
        <v>16</v>
      </c>
      <c r="B173" s="4">
        <v>46016</v>
      </c>
      <c r="C173" s="5">
        <v>0.38967592592592593</v>
      </c>
      <c r="D173" s="9" t="s">
        <v>4</v>
      </c>
      <c r="E173" s="9" t="s">
        <v>86</v>
      </c>
      <c r="F173" s="9" t="s">
        <v>7619</v>
      </c>
      <c r="H173" s="9" t="s">
        <v>2891</v>
      </c>
      <c r="I173" s="9" t="s">
        <v>7459</v>
      </c>
      <c r="J173" s="9" t="s">
        <v>2941</v>
      </c>
      <c r="K173" t="s">
        <v>7460</v>
      </c>
      <c r="L173" t="s">
        <v>7461</v>
      </c>
      <c r="M173" s="3" t="str">
        <f>HYPERLINK(склад2въезд1319202122237[[#This Row],[RelativePath]])</f>
        <v>11 С ангара на базу\E33149364_4_20251225T092108Z.jpg</v>
      </c>
    </row>
    <row r="174" spans="1:13" x14ac:dyDescent="0.25">
      <c r="A174" s="2" t="s">
        <v>16</v>
      </c>
      <c r="B174" s="4">
        <v>46016</v>
      </c>
      <c r="C174" s="5">
        <v>0.52581018518518519</v>
      </c>
      <c r="D174" s="9" t="s">
        <v>4</v>
      </c>
      <c r="E174" s="9" t="s">
        <v>86</v>
      </c>
      <c r="F174" s="9" t="s">
        <v>7619</v>
      </c>
      <c r="H174" s="9"/>
      <c r="I174" s="9" t="s">
        <v>7462</v>
      </c>
      <c r="J174" s="9" t="s">
        <v>2941</v>
      </c>
      <c r="K174" t="s">
        <v>7463</v>
      </c>
      <c r="L174" t="s">
        <v>7464</v>
      </c>
      <c r="M174" s="3" t="str">
        <f>HYPERLINK(склад2въезд1319202122237[[#This Row],[RelativePath]])</f>
        <v>11 С ангара на базу\E33149364_4_20251225T123710Z.jpg</v>
      </c>
    </row>
    <row r="175" spans="1:13" x14ac:dyDescent="0.25">
      <c r="A175" s="2" t="s">
        <v>16</v>
      </c>
      <c r="B175" s="4">
        <v>46016</v>
      </c>
      <c r="C175" s="5">
        <v>0.54217592592592589</v>
      </c>
      <c r="D175" s="9" t="s">
        <v>4</v>
      </c>
      <c r="E175" s="9" t="s">
        <v>86</v>
      </c>
      <c r="F175" s="9" t="s">
        <v>7620</v>
      </c>
      <c r="H175" s="9"/>
      <c r="I175" s="9" t="s">
        <v>7465</v>
      </c>
      <c r="J175" s="9" t="s">
        <v>2941</v>
      </c>
      <c r="K175" t="s">
        <v>7466</v>
      </c>
      <c r="L175" t="s">
        <v>7467</v>
      </c>
      <c r="M175" s="3" t="str">
        <f>HYPERLINK(склад2въезд1319202122237[[#This Row],[RelativePath]])</f>
        <v>11 С ангара на базу\E33149364_4_20251225T130044Z.jpg</v>
      </c>
    </row>
    <row r="176" spans="1:13" x14ac:dyDescent="0.25">
      <c r="A176" s="2" t="s">
        <v>16</v>
      </c>
      <c r="B176" s="4">
        <v>46016</v>
      </c>
      <c r="C176" s="5">
        <v>0.61910879629629634</v>
      </c>
      <c r="D176" s="9" t="s">
        <v>4</v>
      </c>
      <c r="E176" s="9" t="s">
        <v>4134</v>
      </c>
      <c r="F176" s="9" t="s">
        <v>4181</v>
      </c>
      <c r="H176" s="9"/>
      <c r="I176" s="9" t="s">
        <v>7468</v>
      </c>
      <c r="J176" s="9" t="s">
        <v>2941</v>
      </c>
      <c r="K176" t="s">
        <v>7469</v>
      </c>
      <c r="L176" t="s">
        <v>7470</v>
      </c>
      <c r="M176" s="3" t="str">
        <f>HYPERLINK(склад2въезд1319202122237[[#This Row],[RelativePath]])</f>
        <v>11 С ангара на базу\E33149364_4_20251225T145131Z.jpg</v>
      </c>
    </row>
    <row r="177" spans="1:13" x14ac:dyDescent="0.25">
      <c r="A177" s="2" t="s">
        <v>16</v>
      </c>
      <c r="B177" s="4">
        <v>46016</v>
      </c>
      <c r="C177" s="5">
        <v>0.62233796296296295</v>
      </c>
      <c r="D177" s="9" t="s">
        <v>622</v>
      </c>
      <c r="E177" s="9" t="s">
        <v>4134</v>
      </c>
      <c r="F177" s="9" t="s">
        <v>4181</v>
      </c>
      <c r="H177" s="9"/>
      <c r="I177" s="9" t="s">
        <v>7471</v>
      </c>
      <c r="J177" s="9" t="s">
        <v>2941</v>
      </c>
      <c r="K177" t="s">
        <v>7472</v>
      </c>
      <c r="L177" t="s">
        <v>7473</v>
      </c>
      <c r="M177" s="3" t="str">
        <f>HYPERLINK(склад2въезд1319202122237[[#This Row],[RelativePath]])</f>
        <v>11 С ангара на базу\E33149364_4_20251225T145610Z.jpg</v>
      </c>
    </row>
    <row r="178" spans="1:13" x14ac:dyDescent="0.25">
      <c r="A178" s="2" t="s">
        <v>17</v>
      </c>
      <c r="B178" s="4">
        <v>46017</v>
      </c>
      <c r="C178" s="5">
        <v>0.40554398148148146</v>
      </c>
      <c r="D178" s="9" t="s">
        <v>261</v>
      </c>
      <c r="E178" s="9" t="s">
        <v>86</v>
      </c>
      <c r="F178" s="9" t="s">
        <v>7625</v>
      </c>
      <c r="H178" s="9"/>
      <c r="I178" s="9" t="s">
        <v>7653</v>
      </c>
      <c r="J178" s="9" t="s">
        <v>2941</v>
      </c>
      <c r="K178" t="s">
        <v>7654</v>
      </c>
      <c r="L178" t="s">
        <v>7655</v>
      </c>
      <c r="M178" s="3" t="str">
        <f>HYPERLINK(склад2въезд1319202122237[[#This Row],[RelativePath]])</f>
        <v>11 С ангара на базу\E33149364_4_20251226T094359Z.jpg</v>
      </c>
    </row>
    <row r="179" spans="1:13" x14ac:dyDescent="0.25">
      <c r="A179" s="2" t="s">
        <v>17</v>
      </c>
      <c r="B179" s="4">
        <v>46017</v>
      </c>
      <c r="C179" s="5">
        <v>0.41116898148148145</v>
      </c>
      <c r="D179" s="9" t="s">
        <v>158</v>
      </c>
      <c r="E179" s="9" t="s">
        <v>86</v>
      </c>
      <c r="F179" s="9" t="s">
        <v>7620</v>
      </c>
      <c r="H179" s="9"/>
      <c r="I179" s="9" t="s">
        <v>7656</v>
      </c>
      <c r="J179" s="9" t="s">
        <v>2941</v>
      </c>
      <c r="K179" t="s">
        <v>7657</v>
      </c>
      <c r="L179" t="s">
        <v>7658</v>
      </c>
      <c r="M179" s="3" t="str">
        <f>HYPERLINK(склад2въезд1319202122237[[#This Row],[RelativePath]])</f>
        <v>11 С ангара на базу\E33149364_4_20251226T095205Z.jpg</v>
      </c>
    </row>
    <row r="180" spans="1:13" x14ac:dyDescent="0.25">
      <c r="A180" s="2" t="s">
        <v>17</v>
      </c>
      <c r="B180" s="4">
        <v>46017</v>
      </c>
      <c r="C180" s="5">
        <v>0.41968749999999999</v>
      </c>
      <c r="D180" s="9" t="s">
        <v>1569</v>
      </c>
      <c r="E180" s="9" t="s">
        <v>4134</v>
      </c>
      <c r="F180" s="9" t="s">
        <v>5010</v>
      </c>
      <c r="H180" s="9"/>
      <c r="I180" s="9" t="s">
        <v>7659</v>
      </c>
      <c r="J180" s="9" t="s">
        <v>2941</v>
      </c>
      <c r="K180" t="s">
        <v>7660</v>
      </c>
      <c r="L180" t="s">
        <v>7661</v>
      </c>
      <c r="M180" s="3" t="str">
        <f>HYPERLINK(склад2въезд1319202122237[[#This Row],[RelativePath]])</f>
        <v>11 С ангара на базу\E33149364_4_20251226T100421Z.jpg</v>
      </c>
    </row>
    <row r="181" spans="1:13" x14ac:dyDescent="0.25">
      <c r="A181" s="2" t="s">
        <v>17</v>
      </c>
      <c r="B181" s="4">
        <v>46017</v>
      </c>
      <c r="C181" s="5">
        <v>0.42020833333333335</v>
      </c>
      <c r="D181" s="9" t="s">
        <v>1569</v>
      </c>
      <c r="E181" s="9" t="s">
        <v>4134</v>
      </c>
      <c r="F181" s="9" t="s">
        <v>5010</v>
      </c>
      <c r="H181" s="9" t="s">
        <v>2891</v>
      </c>
      <c r="I181" s="9" t="s">
        <v>7662</v>
      </c>
      <c r="J181" s="9" t="s">
        <v>2941</v>
      </c>
      <c r="K181" t="s">
        <v>7663</v>
      </c>
      <c r="L181" t="s">
        <v>7664</v>
      </c>
      <c r="M181" s="3" t="str">
        <f>HYPERLINK(склад2въезд1319202122237[[#This Row],[RelativePath]])</f>
        <v>11 С ангара на базу\E33149364_4_20251226T100506Z.jpg</v>
      </c>
    </row>
    <row r="182" spans="1:13" x14ac:dyDescent="0.25">
      <c r="A182" s="2" t="s">
        <v>17</v>
      </c>
      <c r="B182" s="4">
        <v>46017</v>
      </c>
      <c r="C182" s="5">
        <v>0.43497685185185186</v>
      </c>
      <c r="D182" s="9" t="s">
        <v>4164</v>
      </c>
      <c r="E182" s="9" t="s">
        <v>86</v>
      </c>
      <c r="F182" s="9" t="s">
        <v>500</v>
      </c>
      <c r="H182" s="9"/>
      <c r="I182" s="9" t="s">
        <v>7665</v>
      </c>
      <c r="J182" s="9" t="s">
        <v>2941</v>
      </c>
      <c r="K182" t="s">
        <v>7666</v>
      </c>
      <c r="L182" t="s">
        <v>7667</v>
      </c>
      <c r="M182" s="3" t="str">
        <f>HYPERLINK(склад2въезд1319202122237[[#This Row],[RelativePath]])</f>
        <v>11 С ангара на базу\E33149364_4_20251226T102622Z.jpg</v>
      </c>
    </row>
    <row r="183" spans="1:13" x14ac:dyDescent="0.25">
      <c r="A183" s="2" t="s">
        <v>17</v>
      </c>
      <c r="B183" s="4">
        <v>46017</v>
      </c>
      <c r="C183" s="5">
        <v>0.43549768518518517</v>
      </c>
      <c r="D183" s="9" t="s">
        <v>4164</v>
      </c>
      <c r="E183" s="9" t="s">
        <v>86</v>
      </c>
      <c r="F183" s="9" t="s">
        <v>500</v>
      </c>
      <c r="H183" s="9" t="s">
        <v>2891</v>
      </c>
      <c r="I183" s="9" t="s">
        <v>7668</v>
      </c>
      <c r="J183" s="9" t="s">
        <v>2941</v>
      </c>
      <c r="K183" t="s">
        <v>7669</v>
      </c>
      <c r="L183" t="s">
        <v>7670</v>
      </c>
      <c r="M183" s="3" t="str">
        <f>HYPERLINK(склад2въезд1319202122237[[#This Row],[RelativePath]])</f>
        <v>11 С ангара на базу\E33149364_4_20251226T102707Z.jpg</v>
      </c>
    </row>
    <row r="184" spans="1:13" x14ac:dyDescent="0.25">
      <c r="A184" s="2" t="s">
        <v>17</v>
      </c>
      <c r="B184" s="4">
        <v>46017</v>
      </c>
      <c r="C184" s="5">
        <v>0.44907407407407407</v>
      </c>
      <c r="D184" s="9" t="s">
        <v>7777</v>
      </c>
      <c r="E184" s="9" t="s">
        <v>503</v>
      </c>
      <c r="F184" s="9"/>
      <c r="H184" s="9"/>
      <c r="I184" s="9" t="s">
        <v>7671</v>
      </c>
      <c r="J184" s="9" t="s">
        <v>2941</v>
      </c>
      <c r="K184" t="s">
        <v>7672</v>
      </c>
      <c r="L184" t="s">
        <v>7673</v>
      </c>
      <c r="M184" s="3" t="str">
        <f>HYPERLINK(склад2въезд1319202122237[[#This Row],[RelativePath]])</f>
        <v>11 С ангара на базу\E33149364_4_20251226T104640Z.jpg</v>
      </c>
    </row>
    <row r="185" spans="1:13" x14ac:dyDescent="0.25">
      <c r="A185" s="2" t="s">
        <v>17</v>
      </c>
      <c r="B185" s="4">
        <v>46017</v>
      </c>
      <c r="C185" s="5">
        <v>0.49148148148148146</v>
      </c>
      <c r="D185" s="9" t="s">
        <v>622</v>
      </c>
      <c r="E185" s="9" t="s">
        <v>4134</v>
      </c>
      <c r="F185" s="9" t="s">
        <v>5010</v>
      </c>
      <c r="H185" s="9"/>
      <c r="I185" s="9" t="s">
        <v>7674</v>
      </c>
      <c r="J185" s="9" t="s">
        <v>2941</v>
      </c>
      <c r="K185" t="s">
        <v>7675</v>
      </c>
      <c r="L185" t="s">
        <v>7676</v>
      </c>
      <c r="M185" s="3" t="str">
        <f>HYPERLINK(склад2въезд1319202122237[[#This Row],[RelativePath]])</f>
        <v>11 С ангара на базу\E33149364_4_20251226T114744Z.jpg</v>
      </c>
    </row>
    <row r="186" spans="1:13" x14ac:dyDescent="0.25">
      <c r="A186" s="2" t="s">
        <v>17</v>
      </c>
      <c r="B186" s="4">
        <v>46017</v>
      </c>
      <c r="C186" s="5">
        <v>0.50893518518518521</v>
      </c>
      <c r="D186" s="9" t="s">
        <v>4164</v>
      </c>
      <c r="E186" s="9" t="s">
        <v>86</v>
      </c>
      <c r="F186" s="9" t="s">
        <v>500</v>
      </c>
      <c r="H186" s="9"/>
      <c r="I186" s="9" t="s">
        <v>7677</v>
      </c>
      <c r="J186" s="9" t="s">
        <v>2941</v>
      </c>
      <c r="K186" t="s">
        <v>7678</v>
      </c>
      <c r="L186" t="s">
        <v>7679</v>
      </c>
      <c r="M186" s="3" t="str">
        <f>HYPERLINK(склад2въезд1319202122237[[#This Row],[RelativePath]])</f>
        <v>11 С ангара на базу\E33149364_4_20251226T121252Z.jpg</v>
      </c>
    </row>
    <row r="187" spans="1:13" x14ac:dyDescent="0.25">
      <c r="A187" s="2" t="s">
        <v>17</v>
      </c>
      <c r="B187" s="4">
        <v>46017</v>
      </c>
      <c r="C187" s="5">
        <v>0.61464120370370368</v>
      </c>
      <c r="D187" s="9" t="s">
        <v>4</v>
      </c>
      <c r="E187" s="9" t="s">
        <v>8</v>
      </c>
      <c r="F187" s="9"/>
      <c r="H187" s="9"/>
      <c r="I187" s="9" t="s">
        <v>7680</v>
      </c>
      <c r="J187" s="9" t="s">
        <v>2941</v>
      </c>
      <c r="K187" t="s">
        <v>7681</v>
      </c>
      <c r="L187" t="s">
        <v>7682</v>
      </c>
      <c r="M187" s="3" t="str">
        <f>HYPERLINK(склад2въезд1319202122237[[#This Row],[RelativePath]])</f>
        <v>11 С ангара на базу\E33149364_4_20251226T144505Z.jpg</v>
      </c>
    </row>
    <row r="188" spans="1:13" x14ac:dyDescent="0.25">
      <c r="A188" s="2" t="s">
        <v>18</v>
      </c>
      <c r="B188" s="4">
        <v>46018</v>
      </c>
      <c r="C188" s="5">
        <v>0.6081481481481481</v>
      </c>
      <c r="D188" s="9" t="s">
        <v>7944</v>
      </c>
      <c r="E188" s="9" t="s">
        <v>6574</v>
      </c>
      <c r="F188" s="9" t="s">
        <v>5010</v>
      </c>
      <c r="H188" s="9"/>
      <c r="I188" s="9" t="s">
        <v>7864</v>
      </c>
      <c r="J188" s="9" t="s">
        <v>2941</v>
      </c>
      <c r="K188" t="s">
        <v>7865</v>
      </c>
      <c r="L188" t="s">
        <v>7866</v>
      </c>
      <c r="M188" s="3" t="str">
        <f>HYPERLINK(склад2въезд1319202122237[[#This Row],[RelativePath]])</f>
        <v>11 С ангара на базу\E33149364_4_20251227T143544Z.jpg</v>
      </c>
    </row>
    <row r="189" spans="1:13" x14ac:dyDescent="0.25">
      <c r="A189" s="2" t="s">
        <v>22</v>
      </c>
      <c r="B189" s="4">
        <v>46019</v>
      </c>
      <c r="C189" s="5">
        <v>0.66373842592592591</v>
      </c>
      <c r="D189" s="9" t="s">
        <v>4</v>
      </c>
      <c r="E189" s="9" t="s">
        <v>7947</v>
      </c>
      <c r="F189" s="9"/>
      <c r="H189" s="9"/>
      <c r="I189" s="9" t="s">
        <v>7867</v>
      </c>
      <c r="J189" s="9" t="s">
        <v>2941</v>
      </c>
      <c r="K189" t="s">
        <v>7868</v>
      </c>
      <c r="L189" t="s">
        <v>7869</v>
      </c>
      <c r="M189" s="3" t="str">
        <f>HYPERLINK(склад2въезд1319202122237[[#This Row],[RelativePath]])</f>
        <v>11 С ангара на базу\E33149364_4_20251228T155547Z.jpg</v>
      </c>
    </row>
    <row r="190" spans="1:13" x14ac:dyDescent="0.25">
      <c r="A190" s="2" t="s">
        <v>22</v>
      </c>
      <c r="B190" s="4">
        <v>46019</v>
      </c>
      <c r="C190" s="5">
        <v>0.72548611111111116</v>
      </c>
      <c r="D190" s="9" t="s">
        <v>4</v>
      </c>
      <c r="E190" s="9" t="s">
        <v>8</v>
      </c>
      <c r="F190" s="9"/>
      <c r="H190" s="9"/>
      <c r="I190" s="9" t="s">
        <v>7870</v>
      </c>
      <c r="J190" s="9" t="s">
        <v>2941</v>
      </c>
      <c r="K190" t="s">
        <v>7871</v>
      </c>
      <c r="L190" t="s">
        <v>7872</v>
      </c>
      <c r="M190" s="3" t="str">
        <f>HYPERLINK(склад2въезд1319202122237[[#This Row],[RelativePath]])</f>
        <v>11 С ангара на базу\E33149364_4_20251228T172442Z.jpg</v>
      </c>
    </row>
    <row r="191" spans="1:13" x14ac:dyDescent="0.25">
      <c r="A191" s="2" t="s">
        <v>13</v>
      </c>
      <c r="B191" s="4">
        <v>46020</v>
      </c>
      <c r="C191" s="5">
        <v>0.50361111111111112</v>
      </c>
      <c r="D191" s="9" t="s">
        <v>262</v>
      </c>
      <c r="E191" s="9" t="s">
        <v>70</v>
      </c>
      <c r="F191" s="9" t="s">
        <v>58</v>
      </c>
      <c r="H191" s="9" t="s">
        <v>8257</v>
      </c>
      <c r="I191" s="9" t="s">
        <v>8057</v>
      </c>
      <c r="J191" s="9" t="s">
        <v>2941</v>
      </c>
      <c r="K191" t="s">
        <v>8058</v>
      </c>
      <c r="L191" t="s">
        <v>8059</v>
      </c>
      <c r="M191" s="3" t="str">
        <f>HYPERLINK(склад2въезд1319202122237[[#This Row],[RelativePath]])</f>
        <v>11 С ангара на базу\E33149364_4_20251229T120512Z.jpg</v>
      </c>
    </row>
    <row r="192" spans="1:13" x14ac:dyDescent="0.25">
      <c r="A192" s="2" t="s">
        <v>13</v>
      </c>
      <c r="B192" s="4">
        <v>46020</v>
      </c>
      <c r="C192" s="5">
        <v>0.50914351851851847</v>
      </c>
      <c r="D192" s="9" t="s">
        <v>262</v>
      </c>
      <c r="E192" s="9" t="s">
        <v>70</v>
      </c>
      <c r="F192" s="9" t="s">
        <v>58</v>
      </c>
      <c r="H192" s="9" t="s">
        <v>2891</v>
      </c>
      <c r="I192" s="9" t="s">
        <v>8060</v>
      </c>
      <c r="J192" s="9" t="s">
        <v>2941</v>
      </c>
      <c r="K192" t="s">
        <v>8061</v>
      </c>
      <c r="L192" t="s">
        <v>8062</v>
      </c>
      <c r="M192" s="3" t="str">
        <f>HYPERLINK(склад2въезд1319202122237[[#This Row],[RelativePath]])</f>
        <v>11 С ангара на базу\E33149364_4_20251229T121310Z.jpg</v>
      </c>
    </row>
    <row r="193" spans="1:13" x14ac:dyDescent="0.25">
      <c r="A193" s="2" t="s">
        <v>13</v>
      </c>
      <c r="B193" s="4">
        <v>46020</v>
      </c>
      <c r="C193" s="5">
        <v>0.50972222222222219</v>
      </c>
      <c r="D193" s="9" t="s">
        <v>262</v>
      </c>
      <c r="E193" s="9" t="s">
        <v>70</v>
      </c>
      <c r="F193" s="9" t="s">
        <v>58</v>
      </c>
      <c r="H193" s="9" t="s">
        <v>2891</v>
      </c>
      <c r="I193" s="9" t="s">
        <v>8063</v>
      </c>
      <c r="J193" s="9" t="s">
        <v>2941</v>
      </c>
      <c r="K193" t="s">
        <v>8064</v>
      </c>
      <c r="L193" t="s">
        <v>8065</v>
      </c>
      <c r="M193" s="3" t="str">
        <f>HYPERLINK(склад2въезд1319202122237[[#This Row],[RelativePath]])</f>
        <v>11 С ангара на базу\E33149364_4_20251229T121400Z.jpg</v>
      </c>
    </row>
    <row r="194" spans="1:13" x14ac:dyDescent="0.25">
      <c r="A194" s="2" t="s">
        <v>13</v>
      </c>
      <c r="B194" s="4">
        <v>46020</v>
      </c>
      <c r="C194" s="5">
        <v>0.51461805555555551</v>
      </c>
      <c r="D194" s="9" t="s">
        <v>262</v>
      </c>
      <c r="E194" s="9" t="s">
        <v>70</v>
      </c>
      <c r="F194" s="9" t="s">
        <v>58</v>
      </c>
      <c r="H194" s="9" t="s">
        <v>2891</v>
      </c>
      <c r="I194" s="9" t="s">
        <v>8066</v>
      </c>
      <c r="J194" s="9" t="s">
        <v>2941</v>
      </c>
      <c r="K194" t="s">
        <v>8067</v>
      </c>
      <c r="L194" t="s">
        <v>8068</v>
      </c>
      <c r="M194" s="3" t="str">
        <f>HYPERLINK(склад2въезд1319202122237[[#This Row],[RelativePath]])</f>
        <v>11 С ангара на базу\E33149364_4_20251229T122103Z.jpg</v>
      </c>
    </row>
    <row r="195" spans="1:13" x14ac:dyDescent="0.25">
      <c r="A195" s="2" t="s">
        <v>13</v>
      </c>
      <c r="B195" s="4">
        <v>46020</v>
      </c>
      <c r="C195" s="5">
        <v>0.51518518518518519</v>
      </c>
      <c r="D195" s="9" t="s">
        <v>262</v>
      </c>
      <c r="E195" s="9" t="s">
        <v>70</v>
      </c>
      <c r="F195" s="9" t="s">
        <v>58</v>
      </c>
      <c r="H195" s="9" t="s">
        <v>2891</v>
      </c>
      <c r="I195" s="9" t="s">
        <v>8069</v>
      </c>
      <c r="J195" s="9" t="s">
        <v>2941</v>
      </c>
      <c r="K195" t="s">
        <v>8070</v>
      </c>
      <c r="L195" t="s">
        <v>8071</v>
      </c>
      <c r="M195" s="3" t="str">
        <f>HYPERLINK(склад2въезд1319202122237[[#This Row],[RelativePath]])</f>
        <v>11 С ангара на базу\E33149364_4_20251229T122152Z.jpg</v>
      </c>
    </row>
    <row r="196" spans="1:13" x14ac:dyDescent="0.25">
      <c r="A196" s="2" t="s">
        <v>13</v>
      </c>
      <c r="B196" s="4">
        <v>46020</v>
      </c>
      <c r="C196" s="5">
        <v>0.51549768518518524</v>
      </c>
      <c r="D196" s="9" t="s">
        <v>262</v>
      </c>
      <c r="E196" s="9" t="s">
        <v>70</v>
      </c>
      <c r="F196" s="9" t="s">
        <v>58</v>
      </c>
      <c r="H196" s="9" t="s">
        <v>2891</v>
      </c>
      <c r="I196" s="9" t="s">
        <v>8072</v>
      </c>
      <c r="J196" s="9" t="s">
        <v>2941</v>
      </c>
      <c r="K196" t="s">
        <v>8073</v>
      </c>
      <c r="L196" t="s">
        <v>8074</v>
      </c>
      <c r="M196" s="3" t="str">
        <f>HYPERLINK(склад2въезд1319202122237[[#This Row],[RelativePath]])</f>
        <v>11 С ангара на базу\E33149364_4_20251229T122219Z.jpg</v>
      </c>
    </row>
    <row r="197" spans="1:13" x14ac:dyDescent="0.25">
      <c r="A197" s="2" t="s">
        <v>13</v>
      </c>
      <c r="B197" s="4">
        <v>46020</v>
      </c>
      <c r="C197" s="5">
        <v>0.51731481481481478</v>
      </c>
      <c r="D197" s="9" t="s">
        <v>622</v>
      </c>
      <c r="E197" s="9" t="s">
        <v>70</v>
      </c>
      <c r="F197" s="9" t="s">
        <v>51</v>
      </c>
      <c r="H197" s="9"/>
      <c r="I197" s="9" t="s">
        <v>8075</v>
      </c>
      <c r="J197" s="9" t="s">
        <v>2941</v>
      </c>
      <c r="K197" t="s">
        <v>8076</v>
      </c>
      <c r="L197" t="s">
        <v>8077</v>
      </c>
      <c r="M197" s="3" t="str">
        <f>HYPERLINK(склад2въезд1319202122237[[#This Row],[RelativePath]])</f>
        <v>11 С ангара на базу\E33149364_4_20251229T122456Z.jpg</v>
      </c>
    </row>
    <row r="198" spans="1:13" x14ac:dyDescent="0.25">
      <c r="A198" s="2" t="s">
        <v>13</v>
      </c>
      <c r="B198" s="4">
        <v>46020</v>
      </c>
      <c r="C198" s="5">
        <v>0.64732638888888894</v>
      </c>
      <c r="D198" s="9" t="s">
        <v>622</v>
      </c>
      <c r="E198" s="9" t="s">
        <v>8258</v>
      </c>
      <c r="F198" s="9" t="s">
        <v>1584</v>
      </c>
      <c r="H198" s="9"/>
      <c r="I198" s="9" t="s">
        <v>8078</v>
      </c>
      <c r="J198" s="9" t="s">
        <v>2941</v>
      </c>
      <c r="K198" t="s">
        <v>8079</v>
      </c>
      <c r="L198" t="s">
        <v>8080</v>
      </c>
      <c r="M198" s="3" t="str">
        <f>HYPERLINK(склад2въезд1319202122237[[#This Row],[RelativePath]])</f>
        <v>11 С ангара на базу\E33149364_4_20251229T153209Z.jpg</v>
      </c>
    </row>
    <row r="199" spans="1:13" x14ac:dyDescent="0.25">
      <c r="A199" s="2" t="s">
        <v>14</v>
      </c>
      <c r="B199" s="4">
        <v>46021</v>
      </c>
      <c r="C199" s="5">
        <v>0.42348379629629629</v>
      </c>
      <c r="D199" s="9" t="s">
        <v>4</v>
      </c>
      <c r="E199" s="9" t="s">
        <v>7947</v>
      </c>
      <c r="F199" s="9"/>
      <c r="H199" s="9"/>
      <c r="I199" s="9" t="s">
        <v>8081</v>
      </c>
      <c r="J199" s="9" t="s">
        <v>2941</v>
      </c>
      <c r="K199" t="s">
        <v>8082</v>
      </c>
      <c r="L199" t="s">
        <v>8083</v>
      </c>
      <c r="M199" s="3" t="str">
        <f>HYPERLINK(склад2въезд1319202122237[[#This Row],[RelativePath]])</f>
        <v>11 С ангара на базу\E33149364_4_20251230T100949Z.jpg</v>
      </c>
    </row>
    <row r="200" spans="1:13" x14ac:dyDescent="0.25">
      <c r="A200" s="2" t="s">
        <v>14</v>
      </c>
      <c r="B200" s="4">
        <v>46021</v>
      </c>
      <c r="C200" s="5">
        <v>0.49765046296296295</v>
      </c>
      <c r="D200" s="9" t="s">
        <v>4</v>
      </c>
      <c r="E200" s="9" t="s">
        <v>7947</v>
      </c>
      <c r="F200" s="9"/>
      <c r="H200" s="9"/>
      <c r="I200" s="9" t="s">
        <v>8084</v>
      </c>
      <c r="J200" s="9" t="s">
        <v>2941</v>
      </c>
      <c r="K200" t="s">
        <v>8085</v>
      </c>
      <c r="L200" t="s">
        <v>8086</v>
      </c>
      <c r="M200" s="3" t="str">
        <f>HYPERLINK(склад2въезд1319202122237[[#This Row],[RelativePath]])</f>
        <v>11 С ангара на базу\E33149364_4_20251230T115637Z.jpg</v>
      </c>
    </row>
    <row r="201" spans="1:13" x14ac:dyDescent="0.25">
      <c r="A201" s="2" t="s">
        <v>15</v>
      </c>
      <c r="B201" s="4">
        <v>46022</v>
      </c>
      <c r="C201" s="5">
        <v>0.69421296296296298</v>
      </c>
      <c r="D201" s="9" t="s">
        <v>1967</v>
      </c>
      <c r="E201" s="9" t="s">
        <v>8</v>
      </c>
      <c r="F201" s="9"/>
      <c r="H201" s="9"/>
      <c r="I201" s="9" t="s">
        <v>8087</v>
      </c>
      <c r="J201" s="9" t="s">
        <v>2941</v>
      </c>
      <c r="K201" t="s">
        <v>8088</v>
      </c>
      <c r="L201" t="s">
        <v>8089</v>
      </c>
      <c r="M201" s="3" t="str">
        <f>HYPERLINK(склад2въезд1319202122237[[#This Row],[RelativePath]])</f>
        <v>11 С ангара на базу\E33149364_4_20251231T163940Z.jpg</v>
      </c>
    </row>
    <row r="202" spans="1:13" x14ac:dyDescent="0.25">
      <c r="A202" s="2" t="s">
        <v>16</v>
      </c>
      <c r="B202" s="4">
        <v>46023</v>
      </c>
      <c r="C202" s="5">
        <v>0.44069444444444444</v>
      </c>
      <c r="D202" s="9" t="s">
        <v>4</v>
      </c>
      <c r="E202" s="9" t="s">
        <v>7947</v>
      </c>
      <c r="F202" s="9"/>
      <c r="H202" s="9"/>
      <c r="I202" s="9" t="s">
        <v>8090</v>
      </c>
      <c r="J202" s="9" t="s">
        <v>2941</v>
      </c>
      <c r="K202" t="s">
        <v>8091</v>
      </c>
      <c r="L202" t="s">
        <v>8092</v>
      </c>
      <c r="M202" s="3" t="str">
        <f>HYPERLINK(склад2въезд1319202122237[[#This Row],[RelativePath]])</f>
        <v>11 С ангара на базу\E33149364_4_20260101T103436Z.jpg</v>
      </c>
    </row>
    <row r="203" spans="1:13" x14ac:dyDescent="0.25">
      <c r="A203" s="2" t="s">
        <v>16</v>
      </c>
      <c r="B203" s="4">
        <v>46023</v>
      </c>
      <c r="C203" s="5">
        <v>0.67825231481481485</v>
      </c>
      <c r="D203" s="9" t="s">
        <v>4</v>
      </c>
      <c r="E203" s="9" t="s">
        <v>7947</v>
      </c>
      <c r="F203" s="9"/>
      <c r="H203" s="9"/>
      <c r="I203" s="9" t="s">
        <v>8093</v>
      </c>
      <c r="J203" s="9" t="s">
        <v>2941</v>
      </c>
      <c r="K203" t="s">
        <v>8094</v>
      </c>
      <c r="L203" t="s">
        <v>8095</v>
      </c>
      <c r="M203" s="3" t="str">
        <f>HYPERLINK(склад2въезд1319202122237[[#This Row],[RelativePath]])</f>
        <v>11 С ангара на базу\E33149364_4_20260101T161641Z.jpg</v>
      </c>
    </row>
    <row r="204" spans="1:13" x14ac:dyDescent="0.25">
      <c r="A204" s="2" t="s">
        <v>17</v>
      </c>
      <c r="B204" s="4">
        <v>46024</v>
      </c>
      <c r="C204" s="5">
        <v>0.63831018518518523</v>
      </c>
      <c r="D204" s="9" t="s">
        <v>1967</v>
      </c>
      <c r="E204" s="9" t="s">
        <v>8</v>
      </c>
      <c r="F204" s="9"/>
      <c r="H204" s="9"/>
      <c r="I204" s="9" t="s">
        <v>8342</v>
      </c>
      <c r="J204" s="9" t="s">
        <v>2941</v>
      </c>
      <c r="K204" t="s">
        <v>8343</v>
      </c>
      <c r="L204" t="s">
        <v>8344</v>
      </c>
      <c r="M204" s="3" t="str">
        <f>HYPERLINK(склад2въезд1319202122237[[#This Row],[RelativePath]])</f>
        <v>11 С ангара на базу\E33149364_4_20260102T151910Z.jpg</v>
      </c>
    </row>
    <row r="205" spans="1:13" x14ac:dyDescent="0.25">
      <c r="A205" s="2" t="s">
        <v>18</v>
      </c>
      <c r="B205" s="4">
        <v>46025</v>
      </c>
      <c r="C205" s="5">
        <v>0.67575231481481479</v>
      </c>
      <c r="D205" s="9" t="s">
        <v>1967</v>
      </c>
      <c r="E205" s="9" t="s">
        <v>8</v>
      </c>
      <c r="F205" s="9"/>
      <c r="H205" s="9"/>
      <c r="I205" s="9" t="s">
        <v>8345</v>
      </c>
      <c r="J205" s="9" t="s">
        <v>2941</v>
      </c>
      <c r="K205" t="s">
        <v>8346</v>
      </c>
      <c r="L205" t="s">
        <v>8347</v>
      </c>
      <c r="M205" s="3" t="str">
        <f>HYPERLINK(склад2въезд1319202122237[[#This Row],[RelativePath]])</f>
        <v>11 С ангара на базу\E33149364_4_20260103T161305Z.jpg</v>
      </c>
    </row>
    <row r="206" spans="1:13" x14ac:dyDescent="0.25">
      <c r="A206" s="2" t="s">
        <v>22</v>
      </c>
      <c r="B206" s="4">
        <v>46026</v>
      </c>
      <c r="C206" s="5">
        <v>0.6702893518518519</v>
      </c>
      <c r="D206" s="9" t="s">
        <v>1967</v>
      </c>
      <c r="E206" s="9" t="s">
        <v>8</v>
      </c>
      <c r="F206" s="9"/>
      <c r="H206" s="9"/>
      <c r="I206" s="9" t="s">
        <v>8348</v>
      </c>
      <c r="J206" s="9" t="s">
        <v>2941</v>
      </c>
      <c r="K206" t="s">
        <v>8349</v>
      </c>
      <c r="L206" t="s">
        <v>8350</v>
      </c>
      <c r="M206" s="3" t="str">
        <f>HYPERLINK(склад2въезд1319202122237[[#This Row],[RelativePath]])</f>
        <v>11 С ангара на базу\E33149364_4_20260104T160513Z.jpg</v>
      </c>
    </row>
    <row r="207" spans="1:13" x14ac:dyDescent="0.25">
      <c r="A207" s="2" t="s">
        <v>13</v>
      </c>
      <c r="B207" s="4">
        <v>46027</v>
      </c>
      <c r="C207" s="5">
        <v>0.4211226851851852</v>
      </c>
      <c r="D207" s="9" t="s">
        <v>4</v>
      </c>
      <c r="E207" s="9" t="s">
        <v>7947</v>
      </c>
      <c r="F207" s="9"/>
      <c r="H207" s="9"/>
      <c r="I207" s="9" t="s">
        <v>8612</v>
      </c>
      <c r="J207" s="9" t="s">
        <v>2941</v>
      </c>
      <c r="K207" t="s">
        <v>8613</v>
      </c>
      <c r="L207" t="s">
        <v>8614</v>
      </c>
      <c r="M207" s="3" t="str">
        <f>HYPERLINK(склад2въезд1319202122237[[#This Row],[RelativePath]])</f>
        <v>11 С ангара на базу\E33149364_4_20260105T100625Z.jpg</v>
      </c>
    </row>
    <row r="208" spans="1:13" x14ac:dyDescent="0.25">
      <c r="A208" s="2" t="s">
        <v>13</v>
      </c>
      <c r="B208" s="4">
        <v>46027</v>
      </c>
      <c r="C208" s="5">
        <v>0.65682870370370372</v>
      </c>
      <c r="D208" s="9" t="s">
        <v>4</v>
      </c>
      <c r="E208" s="9" t="s">
        <v>7947</v>
      </c>
      <c r="F208" s="9"/>
      <c r="H208" s="9"/>
      <c r="I208" s="9" t="s">
        <v>8615</v>
      </c>
      <c r="J208" s="9" t="s">
        <v>2941</v>
      </c>
      <c r="K208" t="s">
        <v>8616</v>
      </c>
      <c r="L208" t="s">
        <v>8617</v>
      </c>
      <c r="M208" s="3" t="str">
        <f>HYPERLINK(склад2въезд1319202122237[[#This Row],[RelativePath]])</f>
        <v>11 С ангара на базу\E33149364_4_20260105T154550Z.jpg</v>
      </c>
    </row>
    <row r="209" spans="1:13" x14ac:dyDescent="0.25">
      <c r="A209" s="2" t="s">
        <v>14</v>
      </c>
      <c r="B209" s="4">
        <v>46028</v>
      </c>
      <c r="C209" s="5">
        <v>0.43730324074074073</v>
      </c>
      <c r="D209" s="9" t="s">
        <v>4</v>
      </c>
      <c r="E209" s="9" t="s">
        <v>7947</v>
      </c>
      <c r="F209" s="9"/>
      <c r="H209" s="9"/>
      <c r="I209" s="9" t="s">
        <v>8618</v>
      </c>
      <c r="J209" s="9" t="s">
        <v>2941</v>
      </c>
      <c r="K209" t="s">
        <v>8619</v>
      </c>
      <c r="L209" t="s">
        <v>8620</v>
      </c>
      <c r="M209" s="3" t="str">
        <f>HYPERLINK(склад2въезд1319202122237[[#This Row],[RelativePath]])</f>
        <v>11 С ангара на базу\E33149364_4_20260106T102943Z.jpg</v>
      </c>
    </row>
    <row r="210" spans="1:13" x14ac:dyDescent="0.25">
      <c r="A210" s="2" t="s">
        <v>14</v>
      </c>
      <c r="B210" s="4">
        <v>46028</v>
      </c>
      <c r="C210" s="5">
        <v>0.64818287037037037</v>
      </c>
      <c r="D210" s="9" t="s">
        <v>4</v>
      </c>
      <c r="E210" s="9" t="s">
        <v>7947</v>
      </c>
      <c r="F210" s="9"/>
      <c r="H210" s="9"/>
      <c r="I210" s="9" t="s">
        <v>8621</v>
      </c>
      <c r="J210" s="9" t="s">
        <v>2941</v>
      </c>
      <c r="K210" t="s">
        <v>8622</v>
      </c>
      <c r="L210" t="s">
        <v>8623</v>
      </c>
      <c r="M210" s="3" t="str">
        <f>HYPERLINK(склад2въезд1319202122237[[#This Row],[RelativePath]])</f>
        <v>11 С ангара на базу\E33149364_4_20260106T153323Z.jpg</v>
      </c>
    </row>
    <row r="211" spans="1:13" x14ac:dyDescent="0.25">
      <c r="A211" s="2" t="s">
        <v>15</v>
      </c>
      <c r="B211" s="4">
        <v>46029</v>
      </c>
      <c r="C211" s="5">
        <v>0.43583333333333335</v>
      </c>
      <c r="D211" s="9" t="s">
        <v>4</v>
      </c>
      <c r="E211" s="9" t="s">
        <v>7947</v>
      </c>
      <c r="F211" s="9"/>
      <c r="H211" s="9"/>
      <c r="I211" s="9" t="s">
        <v>8624</v>
      </c>
      <c r="J211" s="9" t="s">
        <v>2941</v>
      </c>
      <c r="K211" t="s">
        <v>8625</v>
      </c>
      <c r="L211" t="s">
        <v>8626</v>
      </c>
      <c r="M211" s="3" t="str">
        <f>HYPERLINK(склад2въезд1319202122237[[#This Row],[RelativePath]])</f>
        <v>11 С ангара на базу\E33149364_4_20260107T102736Z.jpg</v>
      </c>
    </row>
    <row r="212" spans="1:13" x14ac:dyDescent="0.25">
      <c r="A212" s="2" t="s">
        <v>15</v>
      </c>
      <c r="B212" s="4">
        <v>46029</v>
      </c>
      <c r="C212" s="5">
        <v>0.65261574074074069</v>
      </c>
      <c r="D212" s="9" t="s">
        <v>4</v>
      </c>
      <c r="E212" s="9" t="s">
        <v>7947</v>
      </c>
      <c r="F212" s="9"/>
      <c r="H212" s="9"/>
      <c r="I212" s="9" t="s">
        <v>8627</v>
      </c>
      <c r="J212" s="9" t="s">
        <v>2941</v>
      </c>
      <c r="K212" t="s">
        <v>8628</v>
      </c>
      <c r="L212" t="s">
        <v>8629</v>
      </c>
      <c r="M212" s="3" t="str">
        <f>HYPERLINK(склад2въезд1319202122237[[#This Row],[RelativePath]])</f>
        <v>11 С ангара на базу\E33149364_4_20260107T153946Z.jpg</v>
      </c>
    </row>
    <row r="213" spans="1:13" x14ac:dyDescent="0.25">
      <c r="A213" s="2" t="s">
        <v>16</v>
      </c>
      <c r="B213" s="4">
        <v>46030</v>
      </c>
      <c r="C213" s="5">
        <v>0.4849074074074074</v>
      </c>
      <c r="D213" s="9" t="s">
        <v>4</v>
      </c>
      <c r="E213" s="9" t="s">
        <v>7947</v>
      </c>
      <c r="F213" s="9"/>
      <c r="H213" s="9"/>
      <c r="I213" s="9" t="s">
        <v>8630</v>
      </c>
      <c r="J213" s="9" t="s">
        <v>2941</v>
      </c>
      <c r="K213" t="s">
        <v>8631</v>
      </c>
      <c r="L213" t="s">
        <v>8632</v>
      </c>
      <c r="M213" s="3" t="str">
        <f>HYPERLINK(склад2въезд1319202122237[[#This Row],[RelativePath]])</f>
        <v>11 С ангара на базу\E33149364_4_20260108T113816Z.jpg</v>
      </c>
    </row>
    <row r="214" spans="1:13" x14ac:dyDescent="0.25">
      <c r="A214" s="2" t="s">
        <v>16</v>
      </c>
      <c r="B214" s="4">
        <v>46030</v>
      </c>
      <c r="C214" s="5">
        <v>0.73052083333333329</v>
      </c>
      <c r="D214" s="9" t="s">
        <v>1967</v>
      </c>
      <c r="E214" s="9" t="s">
        <v>8</v>
      </c>
      <c r="F214" s="9"/>
      <c r="H214" s="9"/>
      <c r="I214" s="9" t="s">
        <v>8633</v>
      </c>
      <c r="J214" s="9" t="s">
        <v>2941</v>
      </c>
      <c r="K214" t="s">
        <v>8634</v>
      </c>
      <c r="L214" t="s">
        <v>8635</v>
      </c>
      <c r="M214" s="3" t="str">
        <f>HYPERLINK(склад2въезд1319202122237[[#This Row],[RelativePath]])</f>
        <v>11 С ангара на базу\E33149364_4_20260108T173157Z.jpg</v>
      </c>
    </row>
    <row r="215" spans="1:13" x14ac:dyDescent="0.25">
      <c r="A215" s="2" t="s">
        <v>17</v>
      </c>
      <c r="B215" s="4">
        <v>46031</v>
      </c>
      <c r="C215" s="5">
        <v>0.53684027777777776</v>
      </c>
      <c r="D215" s="9" t="s">
        <v>4</v>
      </c>
      <c r="E215" s="9" t="s">
        <v>7947</v>
      </c>
      <c r="F215" s="9"/>
      <c r="H215" s="9"/>
      <c r="I215" s="9" t="s">
        <v>8636</v>
      </c>
      <c r="J215" s="9" t="s">
        <v>2941</v>
      </c>
      <c r="K215" t="s">
        <v>8637</v>
      </c>
      <c r="L215" t="s">
        <v>8638</v>
      </c>
      <c r="M215" s="3" t="str">
        <f>HYPERLINK(склад2въезд1319202122237[[#This Row],[RelativePath]])</f>
        <v>11 С ангара на базу\E33149364_4_20260109T125303Z.jpg</v>
      </c>
    </row>
    <row r="216" spans="1:13" x14ac:dyDescent="0.25">
      <c r="A216" s="2" t="s">
        <v>18</v>
      </c>
      <c r="B216" s="4">
        <v>46032</v>
      </c>
      <c r="C216" s="5">
        <v>0.5581828703703704</v>
      </c>
      <c r="D216" s="9" t="s">
        <v>4</v>
      </c>
      <c r="E216" s="9" t="s">
        <v>8715</v>
      </c>
      <c r="F216" s="9"/>
      <c r="H216" s="9"/>
      <c r="I216" s="9" t="s">
        <v>8639</v>
      </c>
      <c r="J216" s="9" t="s">
        <v>2941</v>
      </c>
      <c r="K216" t="s">
        <v>8640</v>
      </c>
      <c r="L216" t="s">
        <v>8641</v>
      </c>
      <c r="M216" s="3" t="str">
        <f>HYPERLINK(склад2въезд1319202122237[[#This Row],[RelativePath]])</f>
        <v>11 С ангара на базу\E33149364_4_20260110T132347Z.jpg</v>
      </c>
    </row>
    <row r="217" spans="1:13" x14ac:dyDescent="0.25">
      <c r="A217" s="2" t="s">
        <v>22</v>
      </c>
      <c r="B217" s="4">
        <v>46033</v>
      </c>
      <c r="C217" s="5">
        <v>0.66547453703703707</v>
      </c>
      <c r="D217" s="9" t="s">
        <v>1967</v>
      </c>
      <c r="E217" s="9" t="s">
        <v>8</v>
      </c>
      <c r="F217" s="9"/>
      <c r="H217" s="9"/>
      <c r="I217" s="9" t="s">
        <v>8642</v>
      </c>
      <c r="J217" s="9" t="s">
        <v>2941</v>
      </c>
      <c r="K217" t="s">
        <v>8643</v>
      </c>
      <c r="L217" t="s">
        <v>8644</v>
      </c>
      <c r="M217" s="3" t="str">
        <f>HYPERLINK(склад2въезд1319202122237[[#This Row],[RelativePath]])</f>
        <v>11 С ангара на базу\E33149364_4_20260111T155817Z.jpg</v>
      </c>
    </row>
    <row r="218" spans="1:13" x14ac:dyDescent="0.25">
      <c r="A218" s="2" t="s">
        <v>13</v>
      </c>
      <c r="B218" s="4">
        <v>46034</v>
      </c>
      <c r="C218" s="5">
        <v>0.45126157407407408</v>
      </c>
      <c r="D218" s="9" t="s">
        <v>7085</v>
      </c>
      <c r="E218" s="9" t="s">
        <v>5411</v>
      </c>
      <c r="F218" s="9" t="s">
        <v>9076</v>
      </c>
      <c r="H218" s="9"/>
      <c r="I218" s="9" t="s">
        <v>9000</v>
      </c>
      <c r="J218" s="9" t="s">
        <v>2941</v>
      </c>
      <c r="K218" t="s">
        <v>9001</v>
      </c>
      <c r="L218" t="s">
        <v>9002</v>
      </c>
      <c r="M218" s="3" t="str">
        <f>HYPERLINK(склад2въезд1319202122237[[#This Row],[RelativePath]])</f>
        <v>11 С ангара на базу\E33149364_4_20260112T104949Z.jpg</v>
      </c>
    </row>
    <row r="219" spans="1:13" x14ac:dyDescent="0.25">
      <c r="A219" s="2" t="s">
        <v>13</v>
      </c>
      <c r="B219" s="4">
        <v>46034</v>
      </c>
      <c r="C219" s="5">
        <v>0.47479166666666667</v>
      </c>
      <c r="D219" s="9" t="s">
        <v>623</v>
      </c>
      <c r="E219" s="9" t="s">
        <v>5411</v>
      </c>
      <c r="F219" s="9"/>
      <c r="H219" s="9"/>
      <c r="I219" s="9" t="s">
        <v>9003</v>
      </c>
      <c r="J219" s="9" t="s">
        <v>2941</v>
      </c>
      <c r="K219" t="s">
        <v>9004</v>
      </c>
      <c r="L219" t="s">
        <v>9005</v>
      </c>
      <c r="M219" s="3" t="str">
        <f>HYPERLINK(склад2въезд1319202122237[[#This Row],[RelativePath]])</f>
        <v>11 С ангара на базу\E33149364_4_20260112T112342Z.jpg</v>
      </c>
    </row>
    <row r="220" spans="1:13" x14ac:dyDescent="0.25">
      <c r="A220" s="2" t="s">
        <v>13</v>
      </c>
      <c r="B220" s="4">
        <v>46034</v>
      </c>
      <c r="C220" s="5">
        <v>0.47493055555555558</v>
      </c>
      <c r="D220" s="9" t="s">
        <v>623</v>
      </c>
      <c r="E220" s="9" t="s">
        <v>5411</v>
      </c>
      <c r="F220" s="9"/>
      <c r="H220" s="9"/>
      <c r="I220" s="9" t="s">
        <v>9006</v>
      </c>
      <c r="J220" s="9" t="s">
        <v>2941</v>
      </c>
      <c r="K220" t="s">
        <v>9007</v>
      </c>
      <c r="L220" t="s">
        <v>9008</v>
      </c>
      <c r="M220" s="3" t="str">
        <f>HYPERLINK(склад2въезд1319202122237[[#This Row],[RelativePath]])</f>
        <v>11 С ангара на базу\E33149364_4_20260112T112354Z.jpg</v>
      </c>
    </row>
    <row r="221" spans="1:13" x14ac:dyDescent="0.25">
      <c r="A221" s="2" t="s">
        <v>13</v>
      </c>
      <c r="B221" s="4">
        <v>46034</v>
      </c>
      <c r="C221" s="5">
        <v>0.47684027777777777</v>
      </c>
      <c r="D221" s="9" t="s">
        <v>623</v>
      </c>
      <c r="E221" s="9" t="s">
        <v>5411</v>
      </c>
      <c r="F221" s="9"/>
      <c r="H221" s="9"/>
      <c r="I221" s="9" t="s">
        <v>9009</v>
      </c>
      <c r="J221" s="9" t="s">
        <v>2941</v>
      </c>
      <c r="K221" t="s">
        <v>9010</v>
      </c>
      <c r="L221" t="s">
        <v>9011</v>
      </c>
      <c r="M221" s="3" t="str">
        <f>HYPERLINK(склад2въезд1319202122237[[#This Row],[RelativePath]])</f>
        <v>11 С ангара на базу\E33149364_4_20260112T112639Z.jpg</v>
      </c>
    </row>
    <row r="222" spans="1:13" x14ac:dyDescent="0.25">
      <c r="A222" s="2" t="s">
        <v>13</v>
      </c>
      <c r="B222" s="4">
        <v>46034</v>
      </c>
      <c r="C222" s="5">
        <v>0.48555555555555557</v>
      </c>
      <c r="D222" s="9" t="s">
        <v>7085</v>
      </c>
      <c r="E222" s="9" t="s">
        <v>5411</v>
      </c>
      <c r="F222" s="9" t="s">
        <v>9088</v>
      </c>
      <c r="H222" s="9"/>
      <c r="I222" s="9" t="s">
        <v>9012</v>
      </c>
      <c r="J222" s="9" t="s">
        <v>2941</v>
      </c>
      <c r="K222" t="s">
        <v>9013</v>
      </c>
      <c r="L222" t="s">
        <v>9014</v>
      </c>
      <c r="M222" s="3" t="str">
        <f>HYPERLINK(склад2въезд1319202122237[[#This Row],[RelativePath]])</f>
        <v>11 С ангара на базу\E33149364_4_20260112T113912Z.jpg</v>
      </c>
    </row>
    <row r="223" spans="1:13" x14ac:dyDescent="0.25">
      <c r="A223" s="2" t="s">
        <v>13</v>
      </c>
      <c r="B223" s="4">
        <v>46034</v>
      </c>
      <c r="C223" s="5">
        <v>0.71916666666666662</v>
      </c>
      <c r="D223" s="9" t="s">
        <v>4</v>
      </c>
      <c r="E223" s="9" t="s">
        <v>8</v>
      </c>
      <c r="F223" s="9"/>
      <c r="H223" s="9"/>
      <c r="I223" s="9" t="s">
        <v>9015</v>
      </c>
      <c r="J223" s="9" t="s">
        <v>2941</v>
      </c>
      <c r="K223" t="s">
        <v>9016</v>
      </c>
      <c r="L223" t="s">
        <v>9017</v>
      </c>
      <c r="M223" s="3" t="str">
        <f>HYPERLINK(склад2въезд1319202122237[[#This Row],[RelativePath]])</f>
        <v>11 С ангара на базу\E33149364_4_20260112T171536Z.jpg</v>
      </c>
    </row>
    <row r="224" spans="1:13" x14ac:dyDescent="0.25">
      <c r="A224" s="2" t="s">
        <v>14</v>
      </c>
      <c r="B224" s="4">
        <v>46035</v>
      </c>
      <c r="C224" s="5">
        <v>0.46697916666666667</v>
      </c>
      <c r="D224" s="9" t="s">
        <v>623</v>
      </c>
      <c r="E224" s="9" t="s">
        <v>5411</v>
      </c>
      <c r="F224" s="9"/>
      <c r="H224" s="9"/>
      <c r="I224" s="9" t="s">
        <v>9018</v>
      </c>
      <c r="J224" s="9" t="s">
        <v>2941</v>
      </c>
      <c r="K224" t="s">
        <v>9019</v>
      </c>
      <c r="L224" t="s">
        <v>9020</v>
      </c>
      <c r="M224" s="3" t="str">
        <f>HYPERLINK(склад2въезд1319202122237[[#This Row],[RelativePath]])</f>
        <v>11 С ангара на базу\E33149364_4_20260113T111227Z.jpg</v>
      </c>
    </row>
    <row r="225" spans="1:13" x14ac:dyDescent="0.25">
      <c r="A225" s="2" t="s">
        <v>14</v>
      </c>
      <c r="B225" s="4">
        <v>46035</v>
      </c>
      <c r="C225" s="5">
        <v>0.47171296296296295</v>
      </c>
      <c r="D225" s="9" t="s">
        <v>623</v>
      </c>
      <c r="E225" s="9" t="s">
        <v>5411</v>
      </c>
      <c r="F225" s="9"/>
      <c r="H225" s="9"/>
      <c r="I225" s="9" t="s">
        <v>9021</v>
      </c>
      <c r="J225" s="9" t="s">
        <v>2941</v>
      </c>
      <c r="K225" t="s">
        <v>9022</v>
      </c>
      <c r="L225" t="s">
        <v>9023</v>
      </c>
      <c r="M225" s="3" t="str">
        <f>HYPERLINK(склад2въезд1319202122237[[#This Row],[RelativePath]])</f>
        <v>11 С ангара на базу\E33149364_4_20260113T111916Z.jpg</v>
      </c>
    </row>
    <row r="226" spans="1:13" x14ac:dyDescent="0.25">
      <c r="A226" s="2" t="s">
        <v>14</v>
      </c>
      <c r="B226" s="4">
        <v>46035</v>
      </c>
      <c r="C226" s="5">
        <v>0.47202546296296294</v>
      </c>
      <c r="D226" s="9" t="s">
        <v>623</v>
      </c>
      <c r="E226" s="9" t="s">
        <v>5411</v>
      </c>
      <c r="F226" s="9"/>
      <c r="H226" s="9"/>
      <c r="I226" s="9" t="s">
        <v>9024</v>
      </c>
      <c r="J226" s="9" t="s">
        <v>2941</v>
      </c>
      <c r="K226" t="s">
        <v>9025</v>
      </c>
      <c r="L226" t="s">
        <v>9026</v>
      </c>
      <c r="M226" s="3" t="str">
        <f>HYPERLINK(склад2въезд1319202122237[[#This Row],[RelativePath]])</f>
        <v>11 С ангара на базу\E33149364_4_20260113T111943Z.jpg</v>
      </c>
    </row>
    <row r="227" spans="1:13" x14ac:dyDescent="0.25">
      <c r="A227" s="2" t="s">
        <v>14</v>
      </c>
      <c r="B227" s="4">
        <v>46035</v>
      </c>
      <c r="C227" s="5">
        <v>0.47940972222222222</v>
      </c>
      <c r="D227" s="9" t="s">
        <v>623</v>
      </c>
      <c r="E227" s="9" t="s">
        <v>5411</v>
      </c>
      <c r="F227" s="9"/>
      <c r="H227" s="9"/>
      <c r="I227" s="9" t="s">
        <v>9027</v>
      </c>
      <c r="J227" s="9" t="s">
        <v>2941</v>
      </c>
      <c r="K227" t="s">
        <v>9028</v>
      </c>
      <c r="L227" t="s">
        <v>9029</v>
      </c>
      <c r="M227" s="3" t="str">
        <f>HYPERLINK(склад2въезд1319202122237[[#This Row],[RelativePath]])</f>
        <v>11 С ангара на базу\E33149364_4_20260113T113021Z.jpg</v>
      </c>
    </row>
    <row r="228" spans="1:13" x14ac:dyDescent="0.25">
      <c r="A228" s="2" t="s">
        <v>14</v>
      </c>
      <c r="B228" s="4">
        <v>46035</v>
      </c>
      <c r="C228" s="5">
        <v>0.71714120370370371</v>
      </c>
      <c r="D228" s="9" t="s">
        <v>4</v>
      </c>
      <c r="E228" s="9" t="s">
        <v>8</v>
      </c>
      <c r="F228" s="9"/>
      <c r="H228" s="9"/>
      <c r="I228" s="9" t="s">
        <v>9030</v>
      </c>
      <c r="J228" s="9" t="s">
        <v>2941</v>
      </c>
      <c r="K228" t="s">
        <v>9031</v>
      </c>
      <c r="L228" t="s">
        <v>9032</v>
      </c>
      <c r="M228" s="3" t="str">
        <f>HYPERLINK(склад2въезд1319202122237[[#This Row],[RelativePath]])</f>
        <v>11 С ангара на базу\E33149364_4_20260113T171241Z.jpg</v>
      </c>
    </row>
    <row r="229" spans="1:13" x14ac:dyDescent="0.25">
      <c r="A229" s="2" t="s">
        <v>15</v>
      </c>
      <c r="B229" s="4">
        <v>46036</v>
      </c>
      <c r="C229" s="5">
        <v>0.588287037037037</v>
      </c>
      <c r="D229" s="9" t="s">
        <v>1967</v>
      </c>
      <c r="E229" s="9" t="s">
        <v>8</v>
      </c>
      <c r="F229" s="9"/>
      <c r="H229" s="9"/>
      <c r="I229" s="9" t="s">
        <v>9197</v>
      </c>
      <c r="J229" s="9" t="s">
        <v>2941</v>
      </c>
      <c r="K229" t="s">
        <v>9198</v>
      </c>
      <c r="L229" t="s">
        <v>9199</v>
      </c>
      <c r="M229" s="3" t="str">
        <f>HYPERLINK(склад2въезд1319202122237[[#This Row],[RelativePath]])</f>
        <v>11 С ангара на базу\E33149364_4_20260114T140708Z.jpg</v>
      </c>
    </row>
    <row r="230" spans="1:13" x14ac:dyDescent="0.25">
      <c r="A230" s="2" t="s">
        <v>16</v>
      </c>
      <c r="B230" s="4">
        <v>46037</v>
      </c>
      <c r="C230" s="5">
        <v>0.70557870370370368</v>
      </c>
      <c r="D230" s="9" t="s">
        <v>4</v>
      </c>
      <c r="E230" s="9" t="s">
        <v>8</v>
      </c>
      <c r="F230" s="9"/>
      <c r="H230" s="9"/>
      <c r="I230" s="9" t="s">
        <v>9404</v>
      </c>
      <c r="J230" s="9" t="s">
        <v>2941</v>
      </c>
      <c r="K230" t="s">
        <v>9405</v>
      </c>
      <c r="L230" t="s">
        <v>9406</v>
      </c>
      <c r="M230" s="3" t="str">
        <f>HYPERLINK(склад2въезд1319202122237[[#This Row],[RelativePath]])</f>
        <v>11 С ангара на базу\E33149364_4_20260115T165602Z.jpg</v>
      </c>
    </row>
    <row r="231" spans="1:13" x14ac:dyDescent="0.25">
      <c r="A231" s="2" t="s">
        <v>17</v>
      </c>
      <c r="B231" s="4">
        <v>46038</v>
      </c>
      <c r="C231" s="5">
        <v>0.45959490740740738</v>
      </c>
      <c r="D231" s="9" t="s">
        <v>623</v>
      </c>
      <c r="E231" s="9" t="s">
        <v>5411</v>
      </c>
      <c r="F231" s="9"/>
      <c r="H231" s="9"/>
      <c r="I231" s="9" t="s">
        <v>9407</v>
      </c>
      <c r="J231" s="9" t="s">
        <v>2941</v>
      </c>
      <c r="K231" t="s">
        <v>9408</v>
      </c>
      <c r="L231" t="s">
        <v>9409</v>
      </c>
      <c r="M231" s="3" t="str">
        <f>HYPERLINK(склад2въезд1319202122237[[#This Row],[RelativePath]])</f>
        <v>11 С ангара на базу\E33149364_4_20260116T110149Z.jpg</v>
      </c>
    </row>
    <row r="232" spans="1:13" x14ac:dyDescent="0.25">
      <c r="A232" s="2" t="s">
        <v>17</v>
      </c>
      <c r="B232" s="4">
        <v>46038</v>
      </c>
      <c r="C232" s="5">
        <v>0.47541666666666665</v>
      </c>
      <c r="D232" s="9" t="s">
        <v>623</v>
      </c>
      <c r="E232" s="9" t="s">
        <v>5411</v>
      </c>
      <c r="F232" s="9"/>
      <c r="H232" s="9"/>
      <c r="I232" s="9" t="s">
        <v>9410</v>
      </c>
      <c r="J232" s="9" t="s">
        <v>2941</v>
      </c>
      <c r="K232" t="s">
        <v>9411</v>
      </c>
      <c r="L232" t="s">
        <v>9412</v>
      </c>
      <c r="M232" s="3" t="str">
        <f>HYPERLINK(склад2въезд1319202122237[[#This Row],[RelativePath]])</f>
        <v>11 С ангара на базу\E33149364_4_20260116T112436Z.jpg</v>
      </c>
    </row>
    <row r="233" spans="1:13" x14ac:dyDescent="0.25">
      <c r="A233" s="2" t="s">
        <v>17</v>
      </c>
      <c r="B233" s="4">
        <v>46038</v>
      </c>
      <c r="C233" s="5">
        <v>0.4836111111111111</v>
      </c>
      <c r="D233" s="9" t="s">
        <v>623</v>
      </c>
      <c r="E233" s="9" t="s">
        <v>5411</v>
      </c>
      <c r="F233" s="9"/>
      <c r="H233" s="9"/>
      <c r="I233" s="9" t="s">
        <v>9413</v>
      </c>
      <c r="J233" s="9" t="s">
        <v>2941</v>
      </c>
      <c r="K233" t="s">
        <v>9414</v>
      </c>
      <c r="L233" t="s">
        <v>9415</v>
      </c>
      <c r="M233" s="3" t="str">
        <f>HYPERLINK(склад2въезд1319202122237[[#This Row],[RelativePath]])</f>
        <v>11 С ангара на базу\E33149364_4_20260116T113624Z.jpg</v>
      </c>
    </row>
    <row r="234" spans="1:13" x14ac:dyDescent="0.25">
      <c r="A234" s="2" t="s">
        <v>17</v>
      </c>
      <c r="B234" s="4">
        <v>46038</v>
      </c>
      <c r="C234" s="5">
        <v>0.52399305555555553</v>
      </c>
      <c r="D234" s="9" t="s">
        <v>623</v>
      </c>
      <c r="E234" s="9" t="s">
        <v>5411</v>
      </c>
      <c r="F234" s="9"/>
      <c r="H234" s="9"/>
      <c r="I234" s="9" t="s">
        <v>9416</v>
      </c>
      <c r="J234" s="9" t="s">
        <v>2941</v>
      </c>
      <c r="K234" t="s">
        <v>9417</v>
      </c>
      <c r="L234" t="s">
        <v>9418</v>
      </c>
      <c r="M234" s="3" t="str">
        <f>HYPERLINK(склад2въезд1319202122237[[#This Row],[RelativePath]])</f>
        <v>11 С ангара на базу\E33149364_4_20260116T123433Z.jpg</v>
      </c>
    </row>
    <row r="235" spans="1:13" x14ac:dyDescent="0.25">
      <c r="A235" s="2" t="s">
        <v>17</v>
      </c>
      <c r="B235" s="4">
        <v>46038</v>
      </c>
      <c r="C235" s="5">
        <v>0.58841435185185187</v>
      </c>
      <c r="D235" s="9" t="s">
        <v>623</v>
      </c>
      <c r="E235" s="9" t="s">
        <v>5411</v>
      </c>
      <c r="F235" s="9"/>
      <c r="H235" s="9"/>
      <c r="I235" s="9" t="s">
        <v>9419</v>
      </c>
      <c r="J235" s="9" t="s">
        <v>2941</v>
      </c>
      <c r="K235" t="s">
        <v>9420</v>
      </c>
      <c r="L235" t="s">
        <v>9421</v>
      </c>
      <c r="M235" s="3" t="str">
        <f>HYPERLINK(склад2въезд1319202122237[[#This Row],[RelativePath]])</f>
        <v>11 С ангара на базу\E33149364_4_20260116T140719Z.jpg</v>
      </c>
    </row>
    <row r="236" spans="1:13" x14ac:dyDescent="0.25">
      <c r="A236" s="2" t="s">
        <v>17</v>
      </c>
      <c r="B236" s="4">
        <v>46038</v>
      </c>
      <c r="C236" s="5">
        <v>0.68454861111111109</v>
      </c>
      <c r="D236" s="9" t="s">
        <v>4</v>
      </c>
      <c r="E236" s="9" t="s">
        <v>8</v>
      </c>
      <c r="F236" s="9"/>
      <c r="H236" s="9"/>
      <c r="I236" s="9" t="s">
        <v>9422</v>
      </c>
      <c r="J236" s="9" t="s">
        <v>2941</v>
      </c>
      <c r="K236" t="s">
        <v>9423</v>
      </c>
      <c r="L236" t="s">
        <v>9424</v>
      </c>
      <c r="M236" s="3" t="str">
        <f>HYPERLINK(склад2въезд1319202122237[[#This Row],[RelativePath]])</f>
        <v>11 С ангара на базу\E33149364_4_20260116T162545Z.jpg</v>
      </c>
    </row>
    <row r="237" spans="1:13" x14ac:dyDescent="0.25">
      <c r="A237" s="2" t="s">
        <v>18</v>
      </c>
      <c r="B237" s="4">
        <v>46039</v>
      </c>
      <c r="C237" s="5">
        <v>0.65752314814814816</v>
      </c>
      <c r="D237" s="9" t="s">
        <v>1967</v>
      </c>
      <c r="E237" s="9" t="s">
        <v>8</v>
      </c>
      <c r="F237" s="9"/>
      <c r="H237" s="9"/>
      <c r="I237" s="9" t="s">
        <v>9546</v>
      </c>
      <c r="J237" s="9" t="s">
        <v>2941</v>
      </c>
      <c r="K237" t="s">
        <v>9547</v>
      </c>
      <c r="L237" t="s">
        <v>9542</v>
      </c>
      <c r="M237" s="3" t="str">
        <f>HYPERLINK(склад2въезд1319202122237[[#This Row],[RelativePath]])</f>
        <v>11 С ангара на базу\E33149364_4_20260117T154650Z.jpg</v>
      </c>
    </row>
    <row r="238" spans="1:13" x14ac:dyDescent="0.25">
      <c r="A238" s="2" t="s">
        <v>22</v>
      </c>
      <c r="B238" s="4">
        <v>46040</v>
      </c>
      <c r="C238" s="5">
        <v>0.694849537037037</v>
      </c>
      <c r="D238" s="9" t="s">
        <v>1967</v>
      </c>
      <c r="E238" s="9" t="s">
        <v>8</v>
      </c>
      <c r="F238" s="9"/>
      <c r="H238" s="9"/>
      <c r="I238" s="9" t="s">
        <v>9548</v>
      </c>
      <c r="J238" s="9" t="s">
        <v>2941</v>
      </c>
      <c r="K238" t="s">
        <v>9549</v>
      </c>
      <c r="L238" t="s">
        <v>9550</v>
      </c>
      <c r="M238" s="3" t="str">
        <f>HYPERLINK(склад2въезд1319202122237[[#This Row],[RelativePath]])</f>
        <v>11 С ангара на базу\E33149364_4_20260118T164035Z.jpg</v>
      </c>
    </row>
    <row r="239" spans="1:13" x14ac:dyDescent="0.25">
      <c r="A239" s="2" t="s">
        <v>13</v>
      </c>
      <c r="B239" s="4">
        <v>46041</v>
      </c>
      <c r="C239" s="5">
        <v>0.70084490740740746</v>
      </c>
      <c r="D239" s="9" t="s">
        <v>1967</v>
      </c>
      <c r="E239" s="9" t="s">
        <v>8</v>
      </c>
      <c r="F239" s="9"/>
      <c r="H239" s="9"/>
      <c r="I239" s="9" t="s">
        <v>9718</v>
      </c>
      <c r="J239" s="9" t="s">
        <v>2941</v>
      </c>
      <c r="K239" t="s">
        <v>9719</v>
      </c>
      <c r="L239" t="s">
        <v>9720</v>
      </c>
      <c r="M239" s="3" t="str">
        <f>HYPERLINK(склад2въезд1319202122237[[#This Row],[RelativePath]])</f>
        <v>11 С ангара на базу\E33149364_4_20260119T164913Z.jpg</v>
      </c>
    </row>
    <row r="240" spans="1:13" x14ac:dyDescent="0.25">
      <c r="A240" s="2" t="s">
        <v>14</v>
      </c>
      <c r="B240" s="4">
        <v>46042</v>
      </c>
      <c r="C240" s="5">
        <v>0.39550925925925928</v>
      </c>
      <c r="D240" s="9" t="s">
        <v>7085</v>
      </c>
      <c r="E240" s="9" t="s">
        <v>5411</v>
      </c>
      <c r="F240" s="9"/>
      <c r="H240" s="9"/>
      <c r="I240" s="9" t="s">
        <v>9721</v>
      </c>
      <c r="J240" s="9" t="s">
        <v>2941</v>
      </c>
      <c r="K240" t="s">
        <v>9722</v>
      </c>
      <c r="L240" t="s">
        <v>9723</v>
      </c>
      <c r="M240" s="3" t="str">
        <f>HYPERLINK(склад2въезд1319202122237[[#This Row],[RelativePath]])</f>
        <v>11 С ангара на базу\E33149364_4_20260120T092932Z.jpg</v>
      </c>
    </row>
    <row r="241" spans="1:13" x14ac:dyDescent="0.25">
      <c r="A241" s="2" t="s">
        <v>14</v>
      </c>
      <c r="B241" s="4">
        <v>46042</v>
      </c>
      <c r="C241" s="5">
        <v>0.3959259259259259</v>
      </c>
      <c r="D241" s="9" t="s">
        <v>7085</v>
      </c>
      <c r="E241" s="9" t="s">
        <v>5411</v>
      </c>
      <c r="F241" s="9"/>
      <c r="H241" s="9" t="s">
        <v>2891</v>
      </c>
      <c r="I241" s="9" t="s">
        <v>9724</v>
      </c>
      <c r="J241" s="9" t="s">
        <v>2941</v>
      </c>
      <c r="K241" t="s">
        <v>9725</v>
      </c>
      <c r="L241" t="s">
        <v>9726</v>
      </c>
      <c r="M241" s="3" t="str">
        <f>HYPERLINK(склад2въезд1319202122237[[#This Row],[RelativePath]])</f>
        <v>11 С ангара на базу\E33149364_4_20260120T093008Z.jpg</v>
      </c>
    </row>
    <row r="242" spans="1:13" x14ac:dyDescent="0.25">
      <c r="A242" s="2" t="s">
        <v>14</v>
      </c>
      <c r="B242" s="4">
        <v>46042</v>
      </c>
      <c r="C242" s="5">
        <v>0.42596064814814816</v>
      </c>
      <c r="D242" s="9" t="s">
        <v>7085</v>
      </c>
      <c r="E242" s="9" t="s">
        <v>5411</v>
      </c>
      <c r="F242" s="9" t="s">
        <v>9088</v>
      </c>
      <c r="H242" s="9"/>
      <c r="I242" s="9" t="s">
        <v>9727</v>
      </c>
      <c r="J242" s="9" t="s">
        <v>2941</v>
      </c>
      <c r="K242" t="s">
        <v>9728</v>
      </c>
      <c r="L242" t="s">
        <v>9729</v>
      </c>
      <c r="M242" s="3" t="str">
        <f>HYPERLINK(склад2въезд1319202122237[[#This Row],[RelativePath]])</f>
        <v>11 С ангара на базу\E33149364_4_20260120T101323Z.jpg</v>
      </c>
    </row>
    <row r="243" spans="1:13" x14ac:dyDescent="0.25">
      <c r="A243" s="2" t="s">
        <v>15</v>
      </c>
      <c r="B243" s="4">
        <v>46043</v>
      </c>
      <c r="C243" s="5">
        <v>0.69701388888888893</v>
      </c>
      <c r="D243" s="9" t="s">
        <v>4</v>
      </c>
      <c r="E243" s="9" t="s">
        <v>8</v>
      </c>
      <c r="F243" s="9"/>
      <c r="H243" s="9"/>
      <c r="I243" s="9" t="s">
        <v>9961</v>
      </c>
      <c r="J243" s="9" t="s">
        <v>2941</v>
      </c>
      <c r="K243" t="s">
        <v>9962</v>
      </c>
      <c r="L243" t="s">
        <v>9963</v>
      </c>
      <c r="M243" s="3" t="str">
        <f>HYPERLINK(склад2въезд1319202122237[[#This Row],[RelativePath]])</f>
        <v>11 С ангара на базу\E33149364_4_20260121T164342Z.jpg</v>
      </c>
    </row>
    <row r="244" spans="1:13" x14ac:dyDescent="0.25">
      <c r="A244" s="2" t="s">
        <v>16</v>
      </c>
      <c r="B244" s="4">
        <v>46044</v>
      </c>
      <c r="C244" s="5">
        <v>0.48275462962962962</v>
      </c>
      <c r="D244" s="9" t="s">
        <v>7085</v>
      </c>
      <c r="E244" s="9" t="s">
        <v>5411</v>
      </c>
      <c r="F244" s="9" t="s">
        <v>9088</v>
      </c>
      <c r="H244" s="9"/>
      <c r="I244" s="9" t="s">
        <v>9964</v>
      </c>
      <c r="J244" s="9" t="s">
        <v>2941</v>
      </c>
      <c r="K244" t="s">
        <v>9965</v>
      </c>
      <c r="L244" t="s">
        <v>9966</v>
      </c>
      <c r="M244" s="3" t="str">
        <f>HYPERLINK(склад2въезд1319202122237[[#This Row],[RelativePath]])</f>
        <v>11 С ангара на базу\E33149364_4_20260122T113510Z.jpg</v>
      </c>
    </row>
    <row r="245" spans="1:13" x14ac:dyDescent="0.25">
      <c r="A245" s="2" t="s">
        <v>16</v>
      </c>
      <c r="B245" s="4">
        <v>46044</v>
      </c>
      <c r="C245" s="5">
        <v>0.48798611111111112</v>
      </c>
      <c r="D245" s="9" t="s">
        <v>623</v>
      </c>
      <c r="E245" s="9" t="s">
        <v>5411</v>
      </c>
      <c r="F245" s="9"/>
      <c r="H245" s="9"/>
      <c r="I245" s="9" t="s">
        <v>9967</v>
      </c>
      <c r="J245" s="9" t="s">
        <v>2941</v>
      </c>
      <c r="K245" t="s">
        <v>9968</v>
      </c>
      <c r="L245" t="s">
        <v>9969</v>
      </c>
      <c r="M245" s="3" t="str">
        <f>HYPERLINK(склад2въезд1319202122237[[#This Row],[RelativePath]])</f>
        <v>11 С ангара на базу\E33149364_4_20260122T114242Z.jpg</v>
      </c>
    </row>
    <row r="246" spans="1:13" x14ac:dyDescent="0.25">
      <c r="A246" s="2" t="s">
        <v>16</v>
      </c>
      <c r="B246" s="4">
        <v>46044</v>
      </c>
      <c r="C246" s="5">
        <v>0.48834490740740738</v>
      </c>
      <c r="D246" s="9" t="s">
        <v>623</v>
      </c>
      <c r="E246" s="9" t="s">
        <v>5411</v>
      </c>
      <c r="F246" s="9"/>
      <c r="H246" s="9"/>
      <c r="I246" s="9" t="s">
        <v>9970</v>
      </c>
      <c r="J246" s="9" t="s">
        <v>2941</v>
      </c>
      <c r="K246" t="s">
        <v>9971</v>
      </c>
      <c r="L246" t="s">
        <v>9972</v>
      </c>
      <c r="M246" s="3" t="str">
        <f>HYPERLINK(склад2въезд1319202122237[[#This Row],[RelativePath]])</f>
        <v>11 С ангара на базу\E33149364_4_20260122T114313Z.jpg</v>
      </c>
    </row>
    <row r="247" spans="1:13" x14ac:dyDescent="0.25">
      <c r="A247" s="2" t="s">
        <v>16</v>
      </c>
      <c r="B247" s="4">
        <v>46044</v>
      </c>
      <c r="C247" s="5">
        <v>0.49125000000000002</v>
      </c>
      <c r="D247" s="9" t="s">
        <v>623</v>
      </c>
      <c r="E247" s="9" t="s">
        <v>5411</v>
      </c>
      <c r="F247" s="9"/>
      <c r="H247" s="9"/>
      <c r="I247" s="9" t="s">
        <v>9973</v>
      </c>
      <c r="J247" s="9" t="s">
        <v>2941</v>
      </c>
      <c r="K247" t="s">
        <v>9974</v>
      </c>
      <c r="L247" t="s">
        <v>9975</v>
      </c>
      <c r="M247" s="3" t="str">
        <f>HYPERLINK(склад2въезд1319202122237[[#This Row],[RelativePath]])</f>
        <v>11 С ангара на базу\E33149364_4_20260122T114724Z.jpg</v>
      </c>
    </row>
    <row r="248" spans="1:13" x14ac:dyDescent="0.25">
      <c r="A248" s="2" t="s">
        <v>16</v>
      </c>
      <c r="B248" s="4">
        <v>46044</v>
      </c>
      <c r="C248" s="5">
        <v>0.6136342592592593</v>
      </c>
      <c r="D248" s="9" t="s">
        <v>623</v>
      </c>
      <c r="E248" s="9" t="s">
        <v>5411</v>
      </c>
      <c r="F248" s="9"/>
      <c r="H248" s="9"/>
      <c r="I248" s="9" t="s">
        <v>9976</v>
      </c>
      <c r="J248" s="9" t="s">
        <v>2941</v>
      </c>
      <c r="K248" t="s">
        <v>9977</v>
      </c>
      <c r="L248" t="s">
        <v>9978</v>
      </c>
      <c r="M248" s="3" t="str">
        <f>HYPERLINK(склад2въезд1319202122237[[#This Row],[RelativePath]])</f>
        <v>11 С ангара на базу\E33149364_4_20260122T144338Z.jpg</v>
      </c>
    </row>
    <row r="249" spans="1:13" x14ac:dyDescent="0.25">
      <c r="A249" s="2" t="s">
        <v>17</v>
      </c>
      <c r="B249" s="4">
        <v>46045</v>
      </c>
      <c r="C249" s="5">
        <v>0.3956365740740741</v>
      </c>
      <c r="D249" s="9" t="s">
        <v>623</v>
      </c>
      <c r="E249" s="9" t="s">
        <v>5411</v>
      </c>
      <c r="F249" s="9"/>
      <c r="H249" s="9"/>
      <c r="I249" s="9" t="s">
        <v>10274</v>
      </c>
      <c r="J249" s="9" t="s">
        <v>2941</v>
      </c>
      <c r="K249" t="s">
        <v>10275</v>
      </c>
      <c r="L249" t="s">
        <v>10276</v>
      </c>
      <c r="M249" s="3" t="str">
        <f>HYPERLINK(склад2въезд1319202122237[[#This Row],[RelativePath]])</f>
        <v>11 С ангара на базу\E33149364_4_20260123T092943Z.jpg</v>
      </c>
    </row>
    <row r="250" spans="1:13" x14ac:dyDescent="0.25">
      <c r="A250" s="2" t="s">
        <v>17</v>
      </c>
      <c r="B250" s="4">
        <v>46045</v>
      </c>
      <c r="C250" s="5">
        <v>0.3958564814814815</v>
      </c>
      <c r="D250" s="9" t="s">
        <v>623</v>
      </c>
      <c r="E250" s="9" t="s">
        <v>5411</v>
      </c>
      <c r="F250" s="9"/>
      <c r="H250" s="9"/>
      <c r="I250" s="9" t="s">
        <v>10277</v>
      </c>
      <c r="J250" s="9" t="s">
        <v>2941</v>
      </c>
      <c r="K250" t="s">
        <v>10278</v>
      </c>
      <c r="L250" t="s">
        <v>10279</v>
      </c>
      <c r="M250" s="3" t="str">
        <f>HYPERLINK(склад2въезд1319202122237[[#This Row],[RelativePath]])</f>
        <v>11 С ангара на базу\E33149364_4_20260123T093002Z.jpg</v>
      </c>
    </row>
    <row r="251" spans="1:13" x14ac:dyDescent="0.25">
      <c r="A251" s="2" t="s">
        <v>17</v>
      </c>
      <c r="B251" s="4">
        <v>46045</v>
      </c>
      <c r="C251" s="5">
        <v>0.41076388888888887</v>
      </c>
      <c r="D251" s="9" t="s">
        <v>623</v>
      </c>
      <c r="E251" s="9" t="s">
        <v>5411</v>
      </c>
      <c r="F251" s="9"/>
      <c r="H251" s="9"/>
      <c r="I251" s="9" t="s">
        <v>10280</v>
      </c>
      <c r="J251" s="9" t="s">
        <v>2941</v>
      </c>
      <c r="K251" t="s">
        <v>10281</v>
      </c>
      <c r="L251" t="s">
        <v>10282</v>
      </c>
      <c r="M251" s="3" t="str">
        <f>HYPERLINK(склад2въезд1319202122237[[#This Row],[RelativePath]])</f>
        <v>11 С ангара на базу\E33149364_4_20260123T095130Z.jpg</v>
      </c>
    </row>
    <row r="252" spans="1:13" x14ac:dyDescent="0.25">
      <c r="A252" s="2" t="s">
        <v>17</v>
      </c>
      <c r="B252" s="4">
        <v>46045</v>
      </c>
      <c r="C252" s="5">
        <v>0.44011574074074072</v>
      </c>
      <c r="D252" s="9" t="s">
        <v>623</v>
      </c>
      <c r="E252" s="9" t="s">
        <v>5411</v>
      </c>
      <c r="F252" s="9"/>
      <c r="H252" s="9"/>
      <c r="I252" s="9" t="s">
        <v>10283</v>
      </c>
      <c r="J252" s="9" t="s">
        <v>2941</v>
      </c>
      <c r="K252" t="s">
        <v>10284</v>
      </c>
      <c r="L252" t="s">
        <v>10285</v>
      </c>
      <c r="M252" s="3" t="str">
        <f>HYPERLINK(склад2въезд1319202122237[[#This Row],[RelativePath]])</f>
        <v>11 С ангара на базу\E33149364_4_20260123T103346Z.jpg</v>
      </c>
    </row>
    <row r="253" spans="1:13" x14ac:dyDescent="0.25">
      <c r="A253" s="2" t="s">
        <v>17</v>
      </c>
      <c r="B253" s="4">
        <v>46045</v>
      </c>
      <c r="C253" s="5">
        <v>0.45118055555555553</v>
      </c>
      <c r="D253" s="9" t="s">
        <v>623</v>
      </c>
      <c r="E253" s="9" t="s">
        <v>5411</v>
      </c>
      <c r="F253" s="9"/>
      <c r="H253" s="9"/>
      <c r="I253" s="9" t="s">
        <v>10286</v>
      </c>
      <c r="J253" s="9" t="s">
        <v>2941</v>
      </c>
      <c r="K253" t="s">
        <v>10287</v>
      </c>
      <c r="L253" t="s">
        <v>10288</v>
      </c>
      <c r="M253" s="3" t="str">
        <f>HYPERLINK(склад2въезд1319202122237[[#This Row],[RelativePath]])</f>
        <v>11 С ангара на базу\E33149364_4_20260123T104942Z.jpg</v>
      </c>
    </row>
    <row r="254" spans="1:13" x14ac:dyDescent="0.25">
      <c r="A254" s="2" t="s">
        <v>17</v>
      </c>
      <c r="B254" s="4">
        <v>46045</v>
      </c>
      <c r="C254" s="5">
        <v>0.50037037037037035</v>
      </c>
      <c r="D254" s="9" t="s">
        <v>623</v>
      </c>
      <c r="E254" s="9" t="s">
        <v>5411</v>
      </c>
      <c r="F254" s="9"/>
      <c r="H254" s="9"/>
      <c r="I254" s="9" t="s">
        <v>10289</v>
      </c>
      <c r="J254" s="9" t="s">
        <v>2941</v>
      </c>
      <c r="K254" t="s">
        <v>10290</v>
      </c>
      <c r="L254" t="s">
        <v>10291</v>
      </c>
      <c r="M254" s="3" t="str">
        <f>HYPERLINK(склад2въезд1319202122237[[#This Row],[RelativePath]])</f>
        <v>11 С ангара на базу\E33149364_4_20260123T120032Z.jpg</v>
      </c>
    </row>
    <row r="255" spans="1:13" x14ac:dyDescent="0.25">
      <c r="A255" s="2" t="s">
        <v>17</v>
      </c>
      <c r="B255" s="4">
        <v>46045</v>
      </c>
      <c r="C255" s="5">
        <v>0.5022106481481482</v>
      </c>
      <c r="D255" s="9" t="s">
        <v>623</v>
      </c>
      <c r="E255" s="9" t="s">
        <v>5411</v>
      </c>
      <c r="F255" s="9"/>
      <c r="H255" s="9"/>
      <c r="I255" s="9" t="s">
        <v>10292</v>
      </c>
      <c r="J255" s="9" t="s">
        <v>2941</v>
      </c>
      <c r="K255" t="s">
        <v>10293</v>
      </c>
      <c r="L255" t="s">
        <v>10294</v>
      </c>
      <c r="M255" s="3" t="str">
        <f>HYPERLINK(склад2въезд1319202122237[[#This Row],[RelativePath]])</f>
        <v>11 С ангара на базу\E33149364_4_20260123T120311Z.jpg</v>
      </c>
    </row>
    <row r="256" spans="1:13" x14ac:dyDescent="0.25">
      <c r="A256" s="2" t="s">
        <v>17</v>
      </c>
      <c r="B256" s="4">
        <v>46045</v>
      </c>
      <c r="C256" s="5">
        <v>0.54934027777777783</v>
      </c>
      <c r="D256" s="9" t="s">
        <v>623</v>
      </c>
      <c r="E256" s="9" t="s">
        <v>5411</v>
      </c>
      <c r="F256" s="9"/>
      <c r="H256" s="9"/>
      <c r="I256" s="9" t="s">
        <v>10295</v>
      </c>
      <c r="J256" s="9" t="s">
        <v>2941</v>
      </c>
      <c r="K256" t="s">
        <v>10296</v>
      </c>
      <c r="L256" t="s">
        <v>10297</v>
      </c>
      <c r="M256" s="3" t="str">
        <f>HYPERLINK(склад2въезд1319202122237[[#This Row],[RelativePath]])</f>
        <v>11 С ангара на базу\E33149364_4_20260123T131103Z.jpg</v>
      </c>
    </row>
    <row r="257" spans="1:13" x14ac:dyDescent="0.25">
      <c r="A257" s="2" t="s">
        <v>18</v>
      </c>
      <c r="B257" s="4">
        <v>46046</v>
      </c>
      <c r="C257" s="5">
        <v>0.70934027777777775</v>
      </c>
      <c r="D257" s="9" t="s">
        <v>1967</v>
      </c>
      <c r="E257" s="9" t="s">
        <v>8</v>
      </c>
      <c r="F257" s="9"/>
      <c r="H257" s="9"/>
      <c r="I257" s="9" t="s">
        <v>10347</v>
      </c>
      <c r="J257" s="9" t="s">
        <v>2941</v>
      </c>
      <c r="K257" t="s">
        <v>10348</v>
      </c>
      <c r="L257" t="s">
        <v>10349</v>
      </c>
      <c r="M257" s="3" t="str">
        <f>HYPERLINK(склад2въезд1319202122237[[#This Row],[RelativePath]])</f>
        <v>11 С ангара на базу\E33149364_4_20260124T170127Z.jpg</v>
      </c>
    </row>
    <row r="258" spans="1:13" x14ac:dyDescent="0.25">
      <c r="A258" s="2" t="s">
        <v>22</v>
      </c>
      <c r="B258" s="4">
        <v>46047</v>
      </c>
      <c r="C258" s="5">
        <v>0.70616898148148144</v>
      </c>
      <c r="D258" s="9" t="s">
        <v>1967</v>
      </c>
      <c r="E258" s="9" t="s">
        <v>8</v>
      </c>
      <c r="F258" s="9"/>
      <c r="H258" s="9"/>
      <c r="I258" s="9" t="s">
        <v>10350</v>
      </c>
      <c r="J258" s="9" t="s">
        <v>2941</v>
      </c>
      <c r="K258" t="s">
        <v>10351</v>
      </c>
      <c r="L258" t="s">
        <v>10352</v>
      </c>
      <c r="M258" s="3" t="str">
        <f>HYPERLINK(склад2въезд1319202122237[[#This Row],[RelativePath]])</f>
        <v>11 С ангара на базу\E33149364_4_20260125T165653Z.jpg</v>
      </c>
    </row>
    <row r="259" spans="1:13" x14ac:dyDescent="0.25">
      <c r="A259" s="2" t="s">
        <v>13</v>
      </c>
      <c r="B259" s="4">
        <v>46048</v>
      </c>
      <c r="C259" s="5">
        <v>0.60037037037037033</v>
      </c>
      <c r="D259" s="9" t="s">
        <v>10509</v>
      </c>
      <c r="E259" s="9" t="s">
        <v>503</v>
      </c>
      <c r="F259" s="9"/>
      <c r="H259" s="9"/>
      <c r="I259" s="9" t="s">
        <v>10482</v>
      </c>
      <c r="J259" s="9" t="s">
        <v>2941</v>
      </c>
      <c r="K259" t="s">
        <v>10483</v>
      </c>
      <c r="L259" t="s">
        <v>10484</v>
      </c>
      <c r="M259" s="3" t="str">
        <f>HYPERLINK(склад2въезд1319202122237[[#This Row],[RelativePath]])</f>
        <v>11 С ангара на базу\E33149364_4_20260126T142432Z.jpg</v>
      </c>
    </row>
    <row r="260" spans="1:13" x14ac:dyDescent="0.25">
      <c r="A260" s="2" t="s">
        <v>14</v>
      </c>
      <c r="B260" s="4">
        <v>46049</v>
      </c>
      <c r="C260" s="5">
        <v>0.62215277777777778</v>
      </c>
      <c r="D260" s="9" t="s">
        <v>10510</v>
      </c>
      <c r="E260" s="9" t="s">
        <v>503</v>
      </c>
      <c r="F260" s="9"/>
      <c r="H260" s="9"/>
      <c r="I260" s="9" t="s">
        <v>10485</v>
      </c>
      <c r="J260" s="9" t="s">
        <v>2941</v>
      </c>
      <c r="K260" t="s">
        <v>10486</v>
      </c>
      <c r="L260" t="s">
        <v>10487</v>
      </c>
      <c r="M260" s="3" t="str">
        <f>HYPERLINK(склад2въезд1319202122237[[#This Row],[RelativePath]])</f>
        <v>11 С ангара на базу\E33149364_4_20260127T145554Z.jpg</v>
      </c>
    </row>
    <row r="261" spans="1:13" x14ac:dyDescent="0.25">
      <c r="A261" s="2" t="s">
        <v>15</v>
      </c>
      <c r="B261" s="4">
        <v>46050</v>
      </c>
      <c r="C261" s="5">
        <v>0.6525347222222222</v>
      </c>
      <c r="D261" s="9" t="s">
        <v>1967</v>
      </c>
      <c r="E261" s="9" t="s">
        <v>8</v>
      </c>
      <c r="F261" s="9"/>
      <c r="H261" s="9"/>
      <c r="I261" s="9" t="s">
        <v>10722</v>
      </c>
      <c r="J261" s="9" t="s">
        <v>2941</v>
      </c>
      <c r="K261" t="s">
        <v>10723</v>
      </c>
      <c r="L261" t="s">
        <v>10724</v>
      </c>
      <c r="M261" s="3" t="str">
        <f>HYPERLINK(склад2въезд1319202122237[[#This Row],[RelativePath]])</f>
        <v>11 С ангара на базу\E33149364_4_20260128T153939Z.jpg</v>
      </c>
    </row>
    <row r="262" spans="1:13" x14ac:dyDescent="0.25">
      <c r="A262" s="2" t="s">
        <v>16</v>
      </c>
      <c r="B262" s="4">
        <v>46051</v>
      </c>
      <c r="C262" s="5">
        <v>0.67479166666666668</v>
      </c>
      <c r="D262" s="9" t="s">
        <v>1967</v>
      </c>
      <c r="E262" s="9" t="s">
        <v>8</v>
      </c>
      <c r="F262" s="9"/>
      <c r="H262" s="9"/>
      <c r="I262" s="9" t="s">
        <v>10725</v>
      </c>
      <c r="J262" s="9" t="s">
        <v>2941</v>
      </c>
      <c r="K262" t="s">
        <v>10726</v>
      </c>
      <c r="L262" t="s">
        <v>10727</v>
      </c>
      <c r="M262" s="3" t="str">
        <f>HYPERLINK(склад2въезд1319202122237[[#This Row],[RelativePath]])</f>
        <v>11 С ангара на базу\E33149364_4_20260129T161142Z.jpg</v>
      </c>
    </row>
    <row r="263" spans="1:13" x14ac:dyDescent="0.25">
      <c r="A263" s="2" t="s">
        <v>17</v>
      </c>
      <c r="B263" s="4">
        <v>46052</v>
      </c>
      <c r="C263" s="5">
        <v>0.71368055555555554</v>
      </c>
      <c r="D263" s="9" t="s">
        <v>1967</v>
      </c>
      <c r="E263" s="9" t="s">
        <v>8</v>
      </c>
      <c r="F263" s="9"/>
      <c r="H263" s="9"/>
      <c r="I263" s="9" t="s">
        <v>10855</v>
      </c>
      <c r="J263" s="9" t="s">
        <v>2941</v>
      </c>
      <c r="K263" t="s">
        <v>10856</v>
      </c>
      <c r="L263" t="s">
        <v>10857</v>
      </c>
      <c r="M263" s="3" t="str">
        <f>HYPERLINK(склад2въезд1319202122237[[#This Row],[RelativePath]])</f>
        <v>11 С ангара на базу\E33149364_4_20260130T170742Z.jpg</v>
      </c>
    </row>
    <row r="264" spans="1:13" x14ac:dyDescent="0.25">
      <c r="A264" s="2" t="s">
        <v>17</v>
      </c>
      <c r="B264" s="4">
        <v>46052</v>
      </c>
      <c r="C264" s="5">
        <v>0.7257986111111111</v>
      </c>
      <c r="D264" s="9" t="s">
        <v>1967</v>
      </c>
      <c r="E264" s="9" t="s">
        <v>8</v>
      </c>
      <c r="F264" s="9"/>
      <c r="H264" s="9"/>
      <c r="I264" s="9" t="s">
        <v>10858</v>
      </c>
      <c r="J264" s="9" t="s">
        <v>2941</v>
      </c>
      <c r="K264" t="s">
        <v>10859</v>
      </c>
      <c r="L264" t="s">
        <v>10860</v>
      </c>
      <c r="M264" s="3" t="str">
        <f>HYPERLINK(склад2въезд1319202122237[[#This Row],[RelativePath]])</f>
        <v>11 С ангара на базу\E33149364_4_20260130T172509Z.jpg</v>
      </c>
    </row>
    <row r="265" spans="1:13" x14ac:dyDescent="0.25">
      <c r="A265" s="2" t="s">
        <v>18</v>
      </c>
      <c r="B265" s="4">
        <v>46053</v>
      </c>
      <c r="C265" s="5">
        <v>0.77195601851851847</v>
      </c>
      <c r="D265" s="9" t="s">
        <v>1967</v>
      </c>
      <c r="E265" s="9" t="s">
        <v>8</v>
      </c>
      <c r="F265" s="9"/>
      <c r="H265" s="9"/>
      <c r="I265" s="9" t="s">
        <v>10918</v>
      </c>
      <c r="J265" s="9" t="s">
        <v>2941</v>
      </c>
      <c r="K265" t="s">
        <v>10919</v>
      </c>
      <c r="L265" t="s">
        <v>10920</v>
      </c>
      <c r="M265" s="3" t="str">
        <f>HYPERLINK(склад2въезд1319202122237[[#This Row],[RelativePath]])</f>
        <v>11 С ангара на базу\E33149364_4_20260131T183137Z.jpg</v>
      </c>
    </row>
    <row r="266" spans="1:13" x14ac:dyDescent="0.25">
      <c r="A266" s="2" t="s">
        <v>22</v>
      </c>
      <c r="B266" s="4">
        <v>46054</v>
      </c>
      <c r="C266" s="5">
        <v>0.77195601851851847</v>
      </c>
      <c r="D266" s="9" t="s">
        <v>11002</v>
      </c>
      <c r="E266" s="9"/>
      <c r="F266" s="9"/>
      <c r="H266" s="9"/>
      <c r="I266" s="9" t="s">
        <v>10999</v>
      </c>
      <c r="J266" s="9" t="s">
        <v>2941</v>
      </c>
      <c r="K266" t="s">
        <v>11000</v>
      </c>
      <c r="L266" t="s">
        <v>11001</v>
      </c>
      <c r="M266" s="3" t="str">
        <f>HYPERLINK(склад2въезд1319202122237[[#This Row],[RelativePath]])</f>
        <v>11 С ангара на базу\E33149364_4_20260201T183137Z.jpg</v>
      </c>
    </row>
    <row r="267" spans="1:13" x14ac:dyDescent="0.25">
      <c r="A267" s="2" t="s">
        <v>13</v>
      </c>
      <c r="B267" s="4">
        <v>46055</v>
      </c>
      <c r="C267" s="5">
        <v>0.68052083333333335</v>
      </c>
      <c r="D267" s="9" t="s">
        <v>1967</v>
      </c>
      <c r="E267" s="9" t="s">
        <v>8</v>
      </c>
      <c r="F267" s="9"/>
      <c r="H267" s="9"/>
      <c r="I267" s="9" t="s">
        <v>11144</v>
      </c>
      <c r="J267" s="9" t="s">
        <v>2941</v>
      </c>
      <c r="K267" t="s">
        <v>11145</v>
      </c>
      <c r="L267" t="s">
        <v>11146</v>
      </c>
      <c r="M267" s="3" t="str">
        <f>HYPERLINK(склад2въезд1319202122237[[#This Row],[RelativePath]])</f>
        <v>11 С ангара на базу\E33149364_4_20260202T161957Z.jpg</v>
      </c>
    </row>
    <row r="268" spans="1:13" x14ac:dyDescent="0.25">
      <c r="A268" s="2" t="s">
        <v>14</v>
      </c>
      <c r="B268" s="4">
        <v>46056</v>
      </c>
      <c r="C268" s="5">
        <v>0.47658564814814813</v>
      </c>
      <c r="D268" s="9" t="s">
        <v>262</v>
      </c>
      <c r="E268" s="9" t="s">
        <v>11273</v>
      </c>
      <c r="F268" s="9" t="s">
        <v>60</v>
      </c>
      <c r="H268" s="9"/>
      <c r="I268" s="9" t="s">
        <v>11147</v>
      </c>
      <c r="J268" s="9" t="s">
        <v>2941</v>
      </c>
      <c r="K268" t="s">
        <v>11148</v>
      </c>
      <c r="L268" t="s">
        <v>11149</v>
      </c>
      <c r="M268" s="3" t="str">
        <f>HYPERLINK(склад2въезд1319202122237[[#This Row],[RelativePath]])</f>
        <v>11 С ангара на базу\E33149364_4_20260203T112617Z.jpg</v>
      </c>
    </row>
    <row r="269" spans="1:13" x14ac:dyDescent="0.25">
      <c r="A269" s="2" t="s">
        <v>14</v>
      </c>
      <c r="B269" s="4">
        <v>46056</v>
      </c>
      <c r="C269" s="5">
        <v>0.47879629629629628</v>
      </c>
      <c r="D269" s="9" t="s">
        <v>262</v>
      </c>
      <c r="E269" s="9" t="s">
        <v>11273</v>
      </c>
      <c r="F269" s="9" t="s">
        <v>60</v>
      </c>
      <c r="H269" s="9" t="s">
        <v>2891</v>
      </c>
      <c r="I269" s="9" t="s">
        <v>11150</v>
      </c>
      <c r="J269" s="9" t="s">
        <v>2941</v>
      </c>
      <c r="K269" t="s">
        <v>11151</v>
      </c>
      <c r="L269" t="s">
        <v>11152</v>
      </c>
      <c r="M269" s="3" t="str">
        <f>HYPERLINK(склад2въезд1319202122237[[#This Row],[RelativePath]])</f>
        <v>11 С ангара на базу\E33149364_4_20260203T112928Z.jpg</v>
      </c>
    </row>
    <row r="270" spans="1:13" x14ac:dyDescent="0.25">
      <c r="A270" s="2" t="s">
        <v>14</v>
      </c>
      <c r="B270" s="4">
        <v>46056</v>
      </c>
      <c r="C270" s="5">
        <v>0.48052083333333334</v>
      </c>
      <c r="D270" s="9" t="s">
        <v>262</v>
      </c>
      <c r="E270" s="9" t="s">
        <v>11273</v>
      </c>
      <c r="F270" s="9" t="s">
        <v>60</v>
      </c>
      <c r="H270" s="9" t="s">
        <v>2891</v>
      </c>
      <c r="I270" s="9" t="s">
        <v>11153</v>
      </c>
      <c r="J270" s="9" t="s">
        <v>2941</v>
      </c>
      <c r="K270" t="s">
        <v>11154</v>
      </c>
      <c r="L270" t="s">
        <v>11155</v>
      </c>
      <c r="M270" s="3" t="str">
        <f>HYPERLINK(склад2въезд1319202122237[[#This Row],[RelativePath]])</f>
        <v>11 С ангара на базу\E33149364_4_20260203T113157Z.jpg</v>
      </c>
    </row>
    <row r="271" spans="1:13" x14ac:dyDescent="0.25">
      <c r="A271" s="2" t="s">
        <v>14</v>
      </c>
      <c r="B271" s="4">
        <v>46056</v>
      </c>
      <c r="C271" s="5">
        <v>0.48226851851851854</v>
      </c>
      <c r="D271" s="9" t="s">
        <v>262</v>
      </c>
      <c r="E271" s="9" t="s">
        <v>11273</v>
      </c>
      <c r="F271" s="9" t="s">
        <v>60</v>
      </c>
      <c r="H271" s="9" t="s">
        <v>2891</v>
      </c>
      <c r="I271" s="9" t="s">
        <v>11156</v>
      </c>
      <c r="J271" s="9" t="s">
        <v>2941</v>
      </c>
      <c r="K271" t="s">
        <v>11157</v>
      </c>
      <c r="L271" t="s">
        <v>11158</v>
      </c>
      <c r="M271" s="3" t="str">
        <f>HYPERLINK(склад2въезд1319202122237[[#This Row],[RelativePath]])</f>
        <v>11 С ангара на базу\E33149364_4_20260203T113428Z.jpg</v>
      </c>
    </row>
    <row r="272" spans="1:13" x14ac:dyDescent="0.25">
      <c r="A272" s="2" t="s">
        <v>14</v>
      </c>
      <c r="B272" s="4">
        <v>46056</v>
      </c>
      <c r="C272" s="5">
        <v>0.48519675925925926</v>
      </c>
      <c r="D272" s="9" t="s">
        <v>262</v>
      </c>
      <c r="E272" s="9" t="s">
        <v>11273</v>
      </c>
      <c r="F272" s="9" t="s">
        <v>60</v>
      </c>
      <c r="H272" s="9" t="s">
        <v>2891</v>
      </c>
      <c r="I272" s="9" t="s">
        <v>11159</v>
      </c>
      <c r="J272" s="9" t="s">
        <v>2941</v>
      </c>
      <c r="K272" t="s">
        <v>11160</v>
      </c>
      <c r="L272" t="s">
        <v>11161</v>
      </c>
      <c r="M272" s="3" t="str">
        <f>HYPERLINK(склад2въезд1319202122237[[#This Row],[RelativePath]])</f>
        <v>11 С ангара на базу\E33149364_4_20260203T113841Z.jpg</v>
      </c>
    </row>
    <row r="273" spans="1:13" x14ac:dyDescent="0.25">
      <c r="A273" s="2" t="s">
        <v>14</v>
      </c>
      <c r="B273" s="4">
        <v>46056</v>
      </c>
      <c r="C273" s="5">
        <v>0.48715277777777777</v>
      </c>
      <c r="D273" s="9" t="s">
        <v>262</v>
      </c>
      <c r="E273" s="9" t="s">
        <v>11273</v>
      </c>
      <c r="F273" s="9" t="s">
        <v>60</v>
      </c>
      <c r="H273" s="9" t="s">
        <v>2891</v>
      </c>
      <c r="I273" s="9" t="s">
        <v>11162</v>
      </c>
      <c r="J273" s="9" t="s">
        <v>2941</v>
      </c>
      <c r="K273" t="s">
        <v>11163</v>
      </c>
      <c r="L273" t="s">
        <v>11164</v>
      </c>
      <c r="M273" s="3" t="str">
        <f>HYPERLINK(склад2въезд1319202122237[[#This Row],[RelativePath]])</f>
        <v>11 С ангара на базу\E33149364_4_20260203T114130Z.jpg</v>
      </c>
    </row>
    <row r="274" spans="1:13" x14ac:dyDescent="0.25">
      <c r="A274" s="2" t="s">
        <v>14</v>
      </c>
      <c r="B274" s="4">
        <v>46056</v>
      </c>
      <c r="C274" s="5">
        <v>0.49083333333333334</v>
      </c>
      <c r="D274" s="9" t="s">
        <v>262</v>
      </c>
      <c r="E274" s="9" t="s">
        <v>11273</v>
      </c>
      <c r="F274" s="9" t="s">
        <v>60</v>
      </c>
      <c r="H274" s="9" t="s">
        <v>2891</v>
      </c>
      <c r="I274" s="9" t="s">
        <v>11165</v>
      </c>
      <c r="J274" s="9" t="s">
        <v>2941</v>
      </c>
      <c r="K274" t="s">
        <v>11166</v>
      </c>
      <c r="L274" t="s">
        <v>11167</v>
      </c>
      <c r="M274" s="3" t="str">
        <f>HYPERLINK(склад2въезд1319202122237[[#This Row],[RelativePath]])</f>
        <v>11 С ангара на базу\E33149364_4_20260203T114648Z.jpg</v>
      </c>
    </row>
    <row r="275" spans="1:13" x14ac:dyDescent="0.25">
      <c r="A275" s="2" t="s">
        <v>14</v>
      </c>
      <c r="B275" s="4">
        <v>46056</v>
      </c>
      <c r="C275" s="5">
        <v>0.49300925925925926</v>
      </c>
      <c r="D275" s="9" t="s">
        <v>262</v>
      </c>
      <c r="E275" s="9" t="s">
        <v>11273</v>
      </c>
      <c r="F275" s="9" t="s">
        <v>60</v>
      </c>
      <c r="H275" s="9" t="s">
        <v>2891</v>
      </c>
      <c r="I275" s="9" t="s">
        <v>11168</v>
      </c>
      <c r="J275" s="9" t="s">
        <v>2941</v>
      </c>
      <c r="K275" t="s">
        <v>11169</v>
      </c>
      <c r="L275" t="s">
        <v>11170</v>
      </c>
      <c r="M275" s="3" t="str">
        <f>HYPERLINK(склад2въезд1319202122237[[#This Row],[RelativePath]])</f>
        <v>11 С ангара на базу\E33149364_4_20260203T114956Z.jpg</v>
      </c>
    </row>
    <row r="276" spans="1:13" x14ac:dyDescent="0.25">
      <c r="A276" s="2" t="s">
        <v>14</v>
      </c>
      <c r="B276" s="4">
        <v>46056</v>
      </c>
      <c r="C276" s="5">
        <v>0.4952199074074074</v>
      </c>
      <c r="D276" s="9" t="s">
        <v>262</v>
      </c>
      <c r="E276" s="9" t="s">
        <v>11273</v>
      </c>
      <c r="F276" s="9" t="s">
        <v>60</v>
      </c>
      <c r="H276" s="9" t="s">
        <v>2891</v>
      </c>
      <c r="I276" s="9" t="s">
        <v>11171</v>
      </c>
      <c r="J276" s="9" t="s">
        <v>2941</v>
      </c>
      <c r="K276" t="s">
        <v>11172</v>
      </c>
      <c r="L276" t="s">
        <v>11173</v>
      </c>
      <c r="M276" s="3" t="str">
        <f>HYPERLINK(склад2въезд1319202122237[[#This Row],[RelativePath]])</f>
        <v>11 С ангара на базу\E33149364_4_20260203T115307Z.jpg</v>
      </c>
    </row>
    <row r="277" spans="1:13" x14ac:dyDescent="0.25">
      <c r="A277" s="2" t="s">
        <v>14</v>
      </c>
      <c r="B277" s="4">
        <v>46056</v>
      </c>
      <c r="C277" s="5">
        <v>0.50091435185185185</v>
      </c>
      <c r="D277" s="9" t="s">
        <v>262</v>
      </c>
      <c r="E277" s="9" t="s">
        <v>11273</v>
      </c>
      <c r="F277" s="9" t="s">
        <v>60</v>
      </c>
      <c r="H277" s="9" t="s">
        <v>2891</v>
      </c>
      <c r="I277" s="9" t="s">
        <v>11174</v>
      </c>
      <c r="J277" s="9" t="s">
        <v>2941</v>
      </c>
      <c r="K277" t="s">
        <v>11175</v>
      </c>
      <c r="L277" t="s">
        <v>11176</v>
      </c>
      <c r="M277" s="3" t="str">
        <f>HYPERLINK(склад2въезд1319202122237[[#This Row],[RelativePath]])</f>
        <v>11 С ангара на базу\E33149364_4_20260203T120119Z.jpg</v>
      </c>
    </row>
    <row r="278" spans="1:13" x14ac:dyDescent="0.25">
      <c r="A278" s="2" t="s">
        <v>14</v>
      </c>
      <c r="B278" s="4">
        <v>46056</v>
      </c>
      <c r="C278" s="5">
        <v>0.50259259259259259</v>
      </c>
      <c r="D278" s="9" t="s">
        <v>262</v>
      </c>
      <c r="E278" s="9" t="s">
        <v>11273</v>
      </c>
      <c r="F278" s="9" t="s">
        <v>60</v>
      </c>
      <c r="H278" s="9" t="s">
        <v>2891</v>
      </c>
      <c r="I278" s="9" t="s">
        <v>11177</v>
      </c>
      <c r="J278" s="9" t="s">
        <v>2941</v>
      </c>
      <c r="K278" t="s">
        <v>11178</v>
      </c>
      <c r="L278" t="s">
        <v>11179</v>
      </c>
      <c r="M278" s="3" t="str">
        <f>HYPERLINK(склад2въезд1319202122237[[#This Row],[RelativePath]])</f>
        <v>11 С ангара на базу\E33149364_4_20260203T120344Z.jpg</v>
      </c>
    </row>
    <row r="279" spans="1:13" x14ac:dyDescent="0.25">
      <c r="A279" s="2" t="s">
        <v>14</v>
      </c>
      <c r="B279" s="4">
        <v>46056</v>
      </c>
      <c r="C279" s="5">
        <v>0.50442129629629628</v>
      </c>
      <c r="D279" s="9" t="s">
        <v>262</v>
      </c>
      <c r="E279" s="9" t="s">
        <v>11273</v>
      </c>
      <c r="F279" s="9" t="s">
        <v>60</v>
      </c>
      <c r="H279" s="9" t="s">
        <v>2891</v>
      </c>
      <c r="I279" s="9" t="s">
        <v>11180</v>
      </c>
      <c r="J279" s="9" t="s">
        <v>2941</v>
      </c>
      <c r="K279" t="s">
        <v>11181</v>
      </c>
      <c r="L279" t="s">
        <v>11182</v>
      </c>
      <c r="M279" s="3" t="str">
        <f>HYPERLINK(склад2въезд1319202122237[[#This Row],[RelativePath]])</f>
        <v>11 С ангара на базу\E33149364_4_20260203T120622Z.jpg</v>
      </c>
    </row>
    <row r="280" spans="1:13" x14ac:dyDescent="0.25">
      <c r="A280" s="2" t="s">
        <v>14</v>
      </c>
      <c r="B280" s="4">
        <v>46056</v>
      </c>
      <c r="C280" s="5">
        <v>0.51177083333333329</v>
      </c>
      <c r="D280" s="9" t="s">
        <v>11283</v>
      </c>
      <c r="E280" s="9" t="s">
        <v>11273</v>
      </c>
      <c r="F280" s="9"/>
      <c r="H280" s="9"/>
      <c r="I280" s="9" t="s">
        <v>11183</v>
      </c>
      <c r="J280" s="9" t="s">
        <v>2941</v>
      </c>
      <c r="K280" t="s">
        <v>11184</v>
      </c>
      <c r="L280" t="s">
        <v>11185</v>
      </c>
      <c r="M280" s="3" t="str">
        <f>HYPERLINK(склад2въезд1319202122237[[#This Row],[RelativePath]])</f>
        <v>11 С ангара на базу\E33149364_4_20260203T121657Z.jpg</v>
      </c>
    </row>
    <row r="281" spans="1:13" x14ac:dyDescent="0.25">
      <c r="A281" s="2" t="s">
        <v>14</v>
      </c>
      <c r="B281" s="4">
        <v>46056</v>
      </c>
      <c r="C281" s="5">
        <v>0.51491898148148152</v>
      </c>
      <c r="D281" s="9" t="s">
        <v>262</v>
      </c>
      <c r="E281" s="9" t="s">
        <v>11273</v>
      </c>
      <c r="F281" s="9" t="s">
        <v>60</v>
      </c>
      <c r="H281" s="9"/>
      <c r="I281" s="9" t="s">
        <v>11186</v>
      </c>
      <c r="J281" s="9" t="s">
        <v>2941</v>
      </c>
      <c r="K281" t="s">
        <v>11187</v>
      </c>
      <c r="L281" t="s">
        <v>11188</v>
      </c>
      <c r="M281" s="3" t="str">
        <f>HYPERLINK(склад2въезд1319202122237[[#This Row],[RelativePath]])</f>
        <v>11 С ангара на базу\E33149364_4_20260203T122129Z.jpg</v>
      </c>
    </row>
    <row r="282" spans="1:13" x14ac:dyDescent="0.25">
      <c r="A282" s="2" t="s">
        <v>14</v>
      </c>
      <c r="B282" s="4">
        <v>46056</v>
      </c>
      <c r="C282" s="5">
        <v>0.51747685185185188</v>
      </c>
      <c r="D282" s="9" t="s">
        <v>262</v>
      </c>
      <c r="E282" s="9" t="s">
        <v>11273</v>
      </c>
      <c r="F282" s="9" t="s">
        <v>60</v>
      </c>
      <c r="H282" s="9" t="s">
        <v>2891</v>
      </c>
      <c r="I282" s="9" t="s">
        <v>11189</v>
      </c>
      <c r="J282" s="9" t="s">
        <v>2941</v>
      </c>
      <c r="K282" t="s">
        <v>11190</v>
      </c>
      <c r="L282" t="s">
        <v>11191</v>
      </c>
      <c r="M282" s="3" t="str">
        <f>HYPERLINK(склад2въезд1319202122237[[#This Row],[RelativePath]])</f>
        <v>11 С ангара на базу\E33149364_4_20260203T122510Z.jpg</v>
      </c>
    </row>
    <row r="283" spans="1:13" x14ac:dyDescent="0.25">
      <c r="A283" s="2" t="s">
        <v>14</v>
      </c>
      <c r="B283" s="4">
        <v>46056</v>
      </c>
      <c r="C283" s="5">
        <v>0.51936342592592588</v>
      </c>
      <c r="D283" s="9" t="s">
        <v>262</v>
      </c>
      <c r="E283" s="9" t="s">
        <v>11273</v>
      </c>
      <c r="F283" s="9" t="s">
        <v>60</v>
      </c>
      <c r="H283" s="9" t="s">
        <v>2891</v>
      </c>
      <c r="I283" s="9" t="s">
        <v>11192</v>
      </c>
      <c r="J283" s="9" t="s">
        <v>2941</v>
      </c>
      <c r="K283" t="s">
        <v>11193</v>
      </c>
      <c r="L283" t="s">
        <v>11194</v>
      </c>
      <c r="M283" s="3" t="str">
        <f>HYPERLINK(склад2въезд1319202122237[[#This Row],[RelativePath]])</f>
        <v>11 С ангара на базу\E33149364_4_20260203T122753Z.jpg</v>
      </c>
    </row>
    <row r="284" spans="1:13" x14ac:dyDescent="0.25">
      <c r="A284" s="2" t="s">
        <v>14</v>
      </c>
      <c r="B284" s="4">
        <v>46056</v>
      </c>
      <c r="C284" s="5">
        <v>0.52197916666666666</v>
      </c>
      <c r="D284" s="9" t="s">
        <v>262</v>
      </c>
      <c r="E284" s="9" t="s">
        <v>11273</v>
      </c>
      <c r="F284" s="9" t="s">
        <v>60</v>
      </c>
      <c r="H284" s="9" t="s">
        <v>2891</v>
      </c>
      <c r="I284" s="9" t="s">
        <v>11195</v>
      </c>
      <c r="J284" s="9" t="s">
        <v>2941</v>
      </c>
      <c r="K284" t="s">
        <v>11196</v>
      </c>
      <c r="L284" t="s">
        <v>11197</v>
      </c>
      <c r="M284" s="3" t="str">
        <f>HYPERLINK(склад2въезд1319202122237[[#This Row],[RelativePath]])</f>
        <v>11 С ангара на базу\E33149364_4_20260203T123139Z.jpg</v>
      </c>
    </row>
    <row r="285" spans="1:13" x14ac:dyDescent="0.25">
      <c r="A285" s="2" t="s">
        <v>14</v>
      </c>
      <c r="B285" s="4">
        <v>46056</v>
      </c>
      <c r="C285" s="5">
        <v>0.52274305555555556</v>
      </c>
      <c r="D285" s="9" t="s">
        <v>262</v>
      </c>
      <c r="E285" s="9" t="s">
        <v>11273</v>
      </c>
      <c r="F285" s="9" t="s">
        <v>60</v>
      </c>
      <c r="H285" s="9" t="s">
        <v>2891</v>
      </c>
      <c r="I285" s="9" t="s">
        <v>11198</v>
      </c>
      <c r="J285" s="9" t="s">
        <v>2941</v>
      </c>
      <c r="K285" t="s">
        <v>11199</v>
      </c>
      <c r="L285" t="s">
        <v>11200</v>
      </c>
      <c r="M285" s="3" t="str">
        <f>HYPERLINK(склад2въезд1319202122237[[#This Row],[RelativePath]])</f>
        <v>11 С ангара на базу\E33149364_4_20260203T123245Z.jpg</v>
      </c>
    </row>
    <row r="286" spans="1:13" x14ac:dyDescent="0.25">
      <c r="A286" s="2" t="s">
        <v>14</v>
      </c>
      <c r="B286" s="4">
        <v>46056</v>
      </c>
      <c r="C286" s="5">
        <v>0.52563657407407405</v>
      </c>
      <c r="D286" s="9" t="s">
        <v>262</v>
      </c>
      <c r="E286" s="9" t="s">
        <v>11273</v>
      </c>
      <c r="F286" s="9" t="s">
        <v>60</v>
      </c>
      <c r="H286" s="9" t="s">
        <v>2891</v>
      </c>
      <c r="I286" s="9" t="s">
        <v>11201</v>
      </c>
      <c r="J286" s="9" t="s">
        <v>2941</v>
      </c>
      <c r="K286" t="s">
        <v>11202</v>
      </c>
      <c r="L286" t="s">
        <v>11203</v>
      </c>
      <c r="M286" s="3" t="str">
        <f>HYPERLINK(склад2въезд1319202122237[[#This Row],[RelativePath]])</f>
        <v>11 С ангара на базу\E33149364_4_20260203T123655Z.jpg</v>
      </c>
    </row>
    <row r="287" spans="1:13" x14ac:dyDescent="0.25">
      <c r="A287" s="2" t="s">
        <v>14</v>
      </c>
      <c r="B287" s="4">
        <v>46056</v>
      </c>
      <c r="C287" s="5">
        <v>0.52638888888888891</v>
      </c>
      <c r="D287" s="9" t="s">
        <v>262</v>
      </c>
      <c r="E287" s="9" t="s">
        <v>11273</v>
      </c>
      <c r="F287" s="9" t="s">
        <v>60</v>
      </c>
      <c r="H287" s="9" t="s">
        <v>2891</v>
      </c>
      <c r="I287" s="9" t="s">
        <v>11204</v>
      </c>
      <c r="J287" s="9" t="s">
        <v>2941</v>
      </c>
      <c r="K287" t="s">
        <v>11205</v>
      </c>
      <c r="L287" t="s">
        <v>11206</v>
      </c>
      <c r="M287" s="3" t="str">
        <f>HYPERLINK(склад2въезд1319202122237[[#This Row],[RelativePath]])</f>
        <v>11 С ангара на базу\E33149364_4_20260203T123800Z.jpg</v>
      </c>
    </row>
    <row r="288" spans="1:13" x14ac:dyDescent="0.25">
      <c r="A288" s="2" t="s">
        <v>14</v>
      </c>
      <c r="B288" s="4">
        <v>46056</v>
      </c>
      <c r="C288" s="5">
        <v>0.52846064814814819</v>
      </c>
      <c r="D288" s="9" t="s">
        <v>262</v>
      </c>
      <c r="E288" s="9" t="s">
        <v>11273</v>
      </c>
      <c r="F288" s="9" t="s">
        <v>60</v>
      </c>
      <c r="H288" s="9" t="s">
        <v>2891</v>
      </c>
      <c r="I288" s="9" t="s">
        <v>11207</v>
      </c>
      <c r="J288" s="9" t="s">
        <v>2941</v>
      </c>
      <c r="K288" t="s">
        <v>11208</v>
      </c>
      <c r="L288" t="s">
        <v>11209</v>
      </c>
      <c r="M288" s="3" t="str">
        <f>HYPERLINK(склад2въезд1319202122237[[#This Row],[RelativePath]])</f>
        <v>11 С ангара на базу\E33149364_4_20260203T124059Z.jpg</v>
      </c>
    </row>
    <row r="289" spans="1:13" x14ac:dyDescent="0.25">
      <c r="A289" s="2" t="s">
        <v>14</v>
      </c>
      <c r="B289" s="4">
        <v>46056</v>
      </c>
      <c r="C289" s="5">
        <v>0.53401620370370373</v>
      </c>
      <c r="D289" s="9" t="s">
        <v>262</v>
      </c>
      <c r="E289" s="9" t="s">
        <v>11273</v>
      </c>
      <c r="F289" s="9" t="s">
        <v>60</v>
      </c>
      <c r="H289" s="9" t="s">
        <v>2891</v>
      </c>
      <c r="I289" s="9" t="s">
        <v>11210</v>
      </c>
      <c r="J289" s="9" t="s">
        <v>2941</v>
      </c>
      <c r="K289" t="s">
        <v>11211</v>
      </c>
      <c r="L289" t="s">
        <v>11212</v>
      </c>
      <c r="M289" s="3" t="str">
        <f>HYPERLINK(склад2въезд1319202122237[[#This Row],[RelativePath]])</f>
        <v>11 С ангара на базу\E33149364_4_20260203T124859Z.jpg</v>
      </c>
    </row>
    <row r="290" spans="1:13" x14ac:dyDescent="0.25">
      <c r="A290" s="2" t="s">
        <v>14</v>
      </c>
      <c r="B290" s="4">
        <v>46056</v>
      </c>
      <c r="C290" s="5">
        <v>0.5352662037037037</v>
      </c>
      <c r="D290" s="9" t="s">
        <v>262</v>
      </c>
      <c r="E290" s="9" t="s">
        <v>11273</v>
      </c>
      <c r="F290" s="9" t="s">
        <v>60</v>
      </c>
      <c r="H290" s="9" t="s">
        <v>2891</v>
      </c>
      <c r="I290" s="9" t="s">
        <v>11213</v>
      </c>
      <c r="J290" s="9" t="s">
        <v>2941</v>
      </c>
      <c r="K290" t="s">
        <v>11214</v>
      </c>
      <c r="L290" t="s">
        <v>11215</v>
      </c>
      <c r="M290" s="3" t="str">
        <f>HYPERLINK(склад2въезд1319202122237[[#This Row],[RelativePath]])</f>
        <v>11 С ангара на базу\E33149364_4_20260203T125047Z.jpg</v>
      </c>
    </row>
    <row r="291" spans="1:13" x14ac:dyDescent="0.25">
      <c r="A291" s="2" t="s">
        <v>14</v>
      </c>
      <c r="B291" s="4">
        <v>46056</v>
      </c>
      <c r="C291" s="5">
        <v>0.53737268518518522</v>
      </c>
      <c r="D291" s="9" t="s">
        <v>262</v>
      </c>
      <c r="E291" s="9" t="s">
        <v>11273</v>
      </c>
      <c r="F291" s="9" t="s">
        <v>60</v>
      </c>
      <c r="H291" s="9" t="s">
        <v>2891</v>
      </c>
      <c r="I291" s="9" t="s">
        <v>11216</v>
      </c>
      <c r="J291" s="9" t="s">
        <v>2941</v>
      </c>
      <c r="K291" t="s">
        <v>11217</v>
      </c>
      <c r="L291" t="s">
        <v>11218</v>
      </c>
      <c r="M291" s="3" t="str">
        <f>HYPERLINK(склад2въезд1319202122237[[#This Row],[RelativePath]])</f>
        <v>11 С ангара на базу\E33149364_4_20260203T125349Z.jpg</v>
      </c>
    </row>
    <row r="292" spans="1:13" x14ac:dyDescent="0.25">
      <c r="A292" s="2" t="s">
        <v>14</v>
      </c>
      <c r="B292" s="4">
        <v>46056</v>
      </c>
      <c r="C292" s="5">
        <v>0.55482638888888891</v>
      </c>
      <c r="D292" s="9" t="s">
        <v>5039</v>
      </c>
      <c r="E292" s="9" t="s">
        <v>11273</v>
      </c>
      <c r="F292" s="9"/>
      <c r="H292" s="9"/>
      <c r="I292" s="9" t="s">
        <v>11219</v>
      </c>
      <c r="J292" s="9" t="s">
        <v>2941</v>
      </c>
      <c r="K292" t="s">
        <v>11220</v>
      </c>
      <c r="L292" t="s">
        <v>11221</v>
      </c>
      <c r="M292" s="3" t="str">
        <f>HYPERLINK(склад2въезд1319202122237[[#This Row],[RelativePath]])</f>
        <v>11 С ангара на базу\E33149364_4_20260203T131857Z.jpg</v>
      </c>
    </row>
    <row r="293" spans="1:13" x14ac:dyDescent="0.25">
      <c r="A293" s="2" t="s">
        <v>14</v>
      </c>
      <c r="B293" s="4">
        <v>46056</v>
      </c>
      <c r="C293" s="5">
        <v>0.62818287037037035</v>
      </c>
      <c r="D293" s="9" t="s">
        <v>623</v>
      </c>
      <c r="E293" s="9" t="s">
        <v>5411</v>
      </c>
      <c r="F293" s="9"/>
      <c r="H293" s="9"/>
      <c r="I293" s="9" t="s">
        <v>11222</v>
      </c>
      <c r="J293" s="9" t="s">
        <v>2941</v>
      </c>
      <c r="K293" t="s">
        <v>11223</v>
      </c>
      <c r="L293" t="s">
        <v>11224</v>
      </c>
      <c r="M293" s="3" t="str">
        <f>HYPERLINK(склад2въезд1319202122237[[#This Row],[RelativePath]])</f>
        <v>11 С ангара на базу\E33149364_4_20260203T150435Z.jpg</v>
      </c>
    </row>
    <row r="294" spans="1:13" x14ac:dyDescent="0.25">
      <c r="A294" s="2" t="s">
        <v>14</v>
      </c>
      <c r="B294" s="4">
        <v>46056</v>
      </c>
      <c r="C294" s="5">
        <v>0.63287037037037042</v>
      </c>
      <c r="D294" s="9" t="s">
        <v>623</v>
      </c>
      <c r="E294" s="9" t="s">
        <v>5411</v>
      </c>
      <c r="F294" s="9"/>
      <c r="H294" s="9"/>
      <c r="I294" s="9" t="s">
        <v>11225</v>
      </c>
      <c r="J294" s="9" t="s">
        <v>2941</v>
      </c>
      <c r="K294" t="s">
        <v>11226</v>
      </c>
      <c r="L294" t="s">
        <v>11227</v>
      </c>
      <c r="M294" s="3" t="str">
        <f>HYPERLINK(склад2въезд1319202122237[[#This Row],[RelativePath]])</f>
        <v>11 С ангара на базу\E33149364_4_20260203T151120Z.jpg</v>
      </c>
    </row>
    <row r="295" spans="1:13" x14ac:dyDescent="0.25">
      <c r="A295" s="2" t="s">
        <v>14</v>
      </c>
      <c r="B295" s="4">
        <v>46056</v>
      </c>
      <c r="C295" s="5">
        <v>0.64457175925925925</v>
      </c>
      <c r="D295" s="9" t="s">
        <v>623</v>
      </c>
      <c r="E295" s="9" t="s">
        <v>5411</v>
      </c>
      <c r="F295" s="9"/>
      <c r="H295" s="9"/>
      <c r="I295" s="9" t="s">
        <v>11228</v>
      </c>
      <c r="J295" s="9" t="s">
        <v>2941</v>
      </c>
      <c r="K295" t="s">
        <v>11229</v>
      </c>
      <c r="L295" t="s">
        <v>11230</v>
      </c>
      <c r="M295" s="3" t="str">
        <f>HYPERLINK(склад2въезд1319202122237[[#This Row],[RelativePath]])</f>
        <v>11 С ангара на базу\E33149364_4_20260203T152811Z.jpg</v>
      </c>
    </row>
    <row r="296" spans="1:13" x14ac:dyDescent="0.25">
      <c r="A296" s="2" t="s">
        <v>14</v>
      </c>
      <c r="B296" s="4">
        <v>46056</v>
      </c>
      <c r="C296" s="5">
        <v>0.65008101851851852</v>
      </c>
      <c r="D296" s="9" t="s">
        <v>623</v>
      </c>
      <c r="E296" s="9" t="s">
        <v>5411</v>
      </c>
      <c r="F296" s="9"/>
      <c r="H296" s="9"/>
      <c r="I296" s="9" t="s">
        <v>11231</v>
      </c>
      <c r="J296" s="9" t="s">
        <v>2941</v>
      </c>
      <c r="K296" t="s">
        <v>11232</v>
      </c>
      <c r="L296" t="s">
        <v>11233</v>
      </c>
      <c r="M296" s="3" t="str">
        <f>HYPERLINK(склад2въезд1319202122237[[#This Row],[RelativePath]])</f>
        <v>11 С ангара на базу\E33149364_4_20260203T153607Z.jpg</v>
      </c>
    </row>
    <row r="297" spans="1:13" x14ac:dyDescent="0.25">
      <c r="A297" s="2" t="s">
        <v>14</v>
      </c>
      <c r="B297" s="4">
        <v>46056</v>
      </c>
      <c r="C297" s="5">
        <v>0.6918981481481481</v>
      </c>
      <c r="D297" s="9" t="s">
        <v>623</v>
      </c>
      <c r="E297" s="9" t="s">
        <v>5411</v>
      </c>
      <c r="F297" s="9"/>
      <c r="H297" s="9"/>
      <c r="I297" s="9" t="s">
        <v>11234</v>
      </c>
      <c r="J297" s="9" t="s">
        <v>2941</v>
      </c>
      <c r="K297" t="s">
        <v>11235</v>
      </c>
      <c r="L297" t="s">
        <v>11236</v>
      </c>
      <c r="M297" s="3" t="str">
        <f>HYPERLINK(склад2въезд1319202122237[[#This Row],[RelativePath]])</f>
        <v>11 С ангара на базу\E33149364_4_20260203T163620Z.jpg</v>
      </c>
    </row>
    <row r="298" spans="1:13" x14ac:dyDescent="0.25">
      <c r="A298" s="2" t="s">
        <v>14</v>
      </c>
      <c r="B298" s="4">
        <v>46056</v>
      </c>
      <c r="C298" s="5">
        <v>0.71322916666666669</v>
      </c>
      <c r="D298" s="9" t="s">
        <v>4</v>
      </c>
      <c r="E298" s="9" t="s">
        <v>8</v>
      </c>
      <c r="F298" s="9"/>
      <c r="H298" s="9"/>
      <c r="I298" s="9" t="s">
        <v>11237</v>
      </c>
      <c r="J298" s="9" t="s">
        <v>2941</v>
      </c>
      <c r="K298" t="s">
        <v>11238</v>
      </c>
      <c r="L298" t="s">
        <v>11239</v>
      </c>
      <c r="M298" s="3" t="str">
        <f>HYPERLINK(склад2въезд1319202122237[[#This Row],[RelativePath]])</f>
        <v>11 С ангара на базу\E33149364_4_20260203T170703Z.jpg</v>
      </c>
    </row>
    <row r="299" spans="1:13" x14ac:dyDescent="0.25">
      <c r="A299" s="2" t="s">
        <v>15</v>
      </c>
      <c r="B299" s="4">
        <v>46057</v>
      </c>
      <c r="C299" s="5">
        <v>0.632349537037037</v>
      </c>
      <c r="D299" s="9" t="s">
        <v>4</v>
      </c>
      <c r="E299" s="9" t="s">
        <v>7947</v>
      </c>
      <c r="F299" s="9"/>
      <c r="H299" s="9"/>
      <c r="I299" s="9" t="s">
        <v>11399</v>
      </c>
      <c r="J299" s="9" t="s">
        <v>2941</v>
      </c>
      <c r="K299" t="s">
        <v>11400</v>
      </c>
      <c r="L299" t="s">
        <v>11401</v>
      </c>
      <c r="M299" s="3" t="str">
        <f>HYPERLINK(склад2въезд1319202122237[[#This Row],[RelativePath]])</f>
        <v>11 С ангара на базу\E33149364_4_20260204T151035Z.jpg</v>
      </c>
    </row>
    <row r="300" spans="1:13" x14ac:dyDescent="0.25">
      <c r="A300" s="2" t="s">
        <v>16</v>
      </c>
      <c r="B300" s="4">
        <v>46058</v>
      </c>
      <c r="C300" s="5">
        <v>0.69366898148148148</v>
      </c>
      <c r="D300" s="9" t="s">
        <v>1967</v>
      </c>
      <c r="E300" s="9" t="s">
        <v>8</v>
      </c>
      <c r="F300" s="9"/>
      <c r="H300" s="9"/>
      <c r="I300" s="9" t="s">
        <v>11402</v>
      </c>
      <c r="J300" s="9" t="s">
        <v>2941</v>
      </c>
      <c r="K300" t="s">
        <v>11403</v>
      </c>
      <c r="L300" t="s">
        <v>11404</v>
      </c>
      <c r="M300" s="3" t="str">
        <f>HYPERLINK(склад2въезд1319202122237[[#This Row],[RelativePath]])</f>
        <v>11 С ангара на базу\E33149364_4_20260205T163853Z.jpg</v>
      </c>
    </row>
    <row r="301" spans="1:13" x14ac:dyDescent="0.25">
      <c r="A301" s="2" t="s">
        <v>17</v>
      </c>
      <c r="B301" s="4">
        <v>46059</v>
      </c>
      <c r="C301" s="5">
        <v>0.70149305555555552</v>
      </c>
      <c r="D301" s="9" t="s">
        <v>4</v>
      </c>
      <c r="E301" s="9" t="s">
        <v>7947</v>
      </c>
      <c r="F301" s="9"/>
      <c r="H301" s="9"/>
      <c r="I301" s="9" t="s">
        <v>11405</v>
      </c>
      <c r="J301" s="9" t="s">
        <v>2941</v>
      </c>
      <c r="K301" t="s">
        <v>11406</v>
      </c>
      <c r="L301" t="s">
        <v>11407</v>
      </c>
      <c r="M301" s="3" t="str">
        <f>HYPERLINK(склад2въезд1319202122237[[#This Row],[RelativePath]])</f>
        <v>11 С ангара на базу\E33149364_4_20260206T165009Z.jpg</v>
      </c>
    </row>
    <row r="302" spans="1:13" x14ac:dyDescent="0.25">
      <c r="A302" s="2" t="s">
        <v>18</v>
      </c>
      <c r="B302" s="4">
        <v>46060</v>
      </c>
      <c r="C302" s="5">
        <v>0.65710648148148143</v>
      </c>
      <c r="D302" s="9" t="s">
        <v>1967</v>
      </c>
      <c r="E302" s="9" t="s">
        <v>8</v>
      </c>
      <c r="F302" s="9"/>
      <c r="H302" s="9"/>
      <c r="I302" s="9" t="s">
        <v>11598</v>
      </c>
      <c r="J302" s="9" t="s">
        <v>2941</v>
      </c>
      <c r="K302" t="s">
        <v>11599</v>
      </c>
      <c r="L302" t="s">
        <v>11600</v>
      </c>
      <c r="M302" s="3" t="str">
        <f>HYPERLINK(склад2въезд1319202122237[[#This Row],[RelativePath]])</f>
        <v>11 С ангара на базу\E33149364_4_20260207T154614Z.jpg</v>
      </c>
    </row>
    <row r="303" spans="1:13" x14ac:dyDescent="0.25">
      <c r="A303" s="2" t="s">
        <v>22</v>
      </c>
      <c r="B303" s="4">
        <v>46061</v>
      </c>
      <c r="C303" s="5">
        <v>0.7429513888888889</v>
      </c>
      <c r="D303" s="9" t="s">
        <v>1967</v>
      </c>
      <c r="E303" s="9" t="s">
        <v>8</v>
      </c>
      <c r="F303" s="9"/>
      <c r="H303" s="9"/>
      <c r="I303" s="9" t="s">
        <v>11601</v>
      </c>
      <c r="J303" s="9" t="s">
        <v>2941</v>
      </c>
      <c r="K303" t="s">
        <v>11602</v>
      </c>
      <c r="L303" t="s">
        <v>11603</v>
      </c>
      <c r="M303" s="3" t="str">
        <f>HYPERLINK(склад2въезд1319202122237[[#This Row],[RelativePath]])</f>
        <v>11 С ангара на базу\E33149364_4_20260208T174951Z.jpg</v>
      </c>
    </row>
    <row r="304" spans="1:13" x14ac:dyDescent="0.25">
      <c r="A304" s="2" t="s">
        <v>14</v>
      </c>
      <c r="B304" s="4">
        <v>46077</v>
      </c>
      <c r="C304" s="5">
        <v>0.3988888888888889</v>
      </c>
      <c r="D304" s="9"/>
      <c r="E304" s="9"/>
      <c r="F304" s="9"/>
      <c r="H304" s="9"/>
      <c r="I304" s="9" t="s">
        <v>13075</v>
      </c>
      <c r="J304" s="9" t="s">
        <v>5564</v>
      </c>
      <c r="K304" t="s">
        <v>13076</v>
      </c>
      <c r="L304" t="s">
        <v>13077</v>
      </c>
      <c r="M304" s="3" t="str">
        <f>HYPERLINK(склад2въезд1319202122237[[#This Row],[RelativePath]])</f>
        <v>11 С ангара на базу\GA3948333_5_20260224T093424Z.jpg</v>
      </c>
    </row>
    <row r="305" spans="1:13" x14ac:dyDescent="0.25">
      <c r="A305" s="2" t="s">
        <v>14</v>
      </c>
      <c r="B305" s="4">
        <v>46077</v>
      </c>
      <c r="C305" s="5">
        <v>0.39939814814814817</v>
      </c>
      <c r="D305" s="9"/>
      <c r="E305" s="9"/>
      <c r="F305" s="9"/>
      <c r="H305" s="9"/>
      <c r="I305" s="9" t="s">
        <v>13078</v>
      </c>
      <c r="J305" s="9" t="s">
        <v>5564</v>
      </c>
      <c r="K305" t="s">
        <v>13079</v>
      </c>
      <c r="L305" t="s">
        <v>13080</v>
      </c>
      <c r="M305" s="3" t="str">
        <f>HYPERLINK(склад2въезд1319202122237[[#This Row],[RelativePath]])</f>
        <v>11 С ангара на базу\GA3948333_5_20260224T093508Z.jpg</v>
      </c>
    </row>
    <row r="306" spans="1:13" x14ac:dyDescent="0.25">
      <c r="A306" s="2" t="s">
        <v>14</v>
      </c>
      <c r="B306" s="4">
        <v>46077</v>
      </c>
      <c r="C306" s="5">
        <v>0.40164351851851854</v>
      </c>
      <c r="D306" s="9"/>
      <c r="E306" s="9"/>
      <c r="F306" s="9"/>
      <c r="H306" s="9"/>
      <c r="I306" s="9" t="s">
        <v>13081</v>
      </c>
      <c r="J306" s="9" t="s">
        <v>5564</v>
      </c>
      <c r="K306" t="s">
        <v>13082</v>
      </c>
      <c r="L306" t="s">
        <v>13083</v>
      </c>
      <c r="M306" s="3" t="str">
        <f>HYPERLINK(склад2въезд1319202122237[[#This Row],[RelativePath]])</f>
        <v>11 С ангара на базу\GA3948333_5_20260224T093822Z.jpg</v>
      </c>
    </row>
    <row r="307" spans="1:13" x14ac:dyDescent="0.25">
      <c r="A307" s="2" t="s">
        <v>14</v>
      </c>
      <c r="B307" s="4">
        <v>46077</v>
      </c>
      <c r="C307" s="5">
        <v>0.40376157407407409</v>
      </c>
      <c r="D307" s="9"/>
      <c r="E307" s="9"/>
      <c r="F307" s="9"/>
      <c r="H307" s="9"/>
      <c r="I307" s="9" t="s">
        <v>13084</v>
      </c>
      <c r="J307" s="9" t="s">
        <v>5564</v>
      </c>
      <c r="K307" t="s">
        <v>13085</v>
      </c>
      <c r="L307" t="s">
        <v>13086</v>
      </c>
      <c r="M307" s="3" t="str">
        <f>HYPERLINK(склад2въезд1319202122237[[#This Row],[RelativePath]])</f>
        <v>11 С ангара на базу\GA3948333_5_20260224T094125Z.jpg</v>
      </c>
    </row>
    <row r="308" spans="1:13" x14ac:dyDescent="0.25">
      <c r="A308" s="2" t="s">
        <v>14</v>
      </c>
      <c r="B308" s="4">
        <v>46077</v>
      </c>
      <c r="C308" s="5">
        <v>0.40494212962962961</v>
      </c>
      <c r="D308" s="9"/>
      <c r="E308" s="9"/>
      <c r="F308" s="9"/>
      <c r="H308" s="9"/>
      <c r="I308" s="9" t="s">
        <v>13087</v>
      </c>
      <c r="J308" s="9" t="s">
        <v>5564</v>
      </c>
      <c r="K308" t="s">
        <v>13088</v>
      </c>
      <c r="L308" t="s">
        <v>13089</v>
      </c>
      <c r="M308" s="3" t="str">
        <f>HYPERLINK(склад2въезд1319202122237[[#This Row],[RelativePath]])</f>
        <v>11 С ангара на базу\GA3948333_5_20260224T094307Z.jpg</v>
      </c>
    </row>
    <row r="309" spans="1:13" x14ac:dyDescent="0.25">
      <c r="A309" s="2" t="s">
        <v>14</v>
      </c>
      <c r="B309" s="4">
        <v>46077</v>
      </c>
      <c r="C309" s="5">
        <v>0.79812499999999997</v>
      </c>
      <c r="D309" s="9"/>
      <c r="E309" s="9"/>
      <c r="F309" s="9"/>
      <c r="H309" s="9"/>
      <c r="I309" s="9" t="s">
        <v>13090</v>
      </c>
      <c r="J309" s="9" t="s">
        <v>5564</v>
      </c>
      <c r="K309" t="s">
        <v>13091</v>
      </c>
      <c r="L309" t="s">
        <v>13092</v>
      </c>
      <c r="M309" s="3" t="str">
        <f>HYPERLINK(склад2въезд1319202122237[[#This Row],[RelativePath]])</f>
        <v>11 С ангара на базу\GA3948333_5_20260224T190918Z.jpg</v>
      </c>
    </row>
    <row r="310" spans="1:13" x14ac:dyDescent="0.25">
      <c r="A310" s="2" t="s">
        <v>15</v>
      </c>
      <c r="B310" s="4">
        <v>46078</v>
      </c>
      <c r="C310" s="5">
        <v>0.36162037037037037</v>
      </c>
      <c r="D310" s="9"/>
      <c r="E310" s="9"/>
      <c r="F310" s="9"/>
      <c r="H310" s="9"/>
      <c r="I310" s="9" t="s">
        <v>13093</v>
      </c>
      <c r="J310" s="9" t="s">
        <v>5564</v>
      </c>
      <c r="K310" t="s">
        <v>13094</v>
      </c>
      <c r="L310" t="s">
        <v>13095</v>
      </c>
      <c r="M310" s="3" t="str">
        <f>HYPERLINK(склад2въезд1319202122237[[#This Row],[RelativePath]])</f>
        <v>11 С ангара на базу\GA3948333_5_20260225T084044Z.jpg</v>
      </c>
    </row>
    <row r="311" spans="1:13" x14ac:dyDescent="0.25">
      <c r="A311" s="2" t="s">
        <v>15</v>
      </c>
      <c r="B311" s="4">
        <v>46078</v>
      </c>
      <c r="C311" s="5">
        <v>0.37420138888888888</v>
      </c>
      <c r="D311" s="9"/>
      <c r="E311" s="9"/>
      <c r="F311" s="9"/>
      <c r="H311" s="9"/>
      <c r="I311" s="9" t="s">
        <v>13096</v>
      </c>
      <c r="J311" s="9" t="s">
        <v>5564</v>
      </c>
      <c r="K311" t="s">
        <v>13097</v>
      </c>
      <c r="L311" t="s">
        <v>13098</v>
      </c>
      <c r="M311" s="3" t="str">
        <f>HYPERLINK(склад2въезд1319202122237[[#This Row],[RelativePath]])</f>
        <v>11 С ангара на базу\GA3948333_5_20260225T085851Z.jpg</v>
      </c>
    </row>
    <row r="312" spans="1:13" x14ac:dyDescent="0.25">
      <c r="A312" s="2" t="s">
        <v>15</v>
      </c>
      <c r="B312" s="4">
        <v>46078</v>
      </c>
      <c r="C312" s="5">
        <v>0.38003472222222223</v>
      </c>
      <c r="D312" s="9"/>
      <c r="E312" s="9"/>
      <c r="F312" s="9"/>
      <c r="H312" s="9"/>
      <c r="I312" s="9" t="s">
        <v>13099</v>
      </c>
      <c r="J312" s="9" t="s">
        <v>5564</v>
      </c>
      <c r="K312" t="s">
        <v>13100</v>
      </c>
      <c r="L312" t="s">
        <v>13101</v>
      </c>
      <c r="M312" s="3" t="str">
        <f>HYPERLINK(склад2въезд1319202122237[[#This Row],[RelativePath]])</f>
        <v>11 С ангара на базу\GA3948333_5_20260225T090715Z.jpg</v>
      </c>
    </row>
    <row r="313" spans="1:13" x14ac:dyDescent="0.25">
      <c r="A313" s="2" t="s">
        <v>15</v>
      </c>
      <c r="B313" s="4">
        <v>46078</v>
      </c>
      <c r="C313" s="5">
        <v>0.39938657407407407</v>
      </c>
      <c r="D313" s="9"/>
      <c r="E313" s="9"/>
      <c r="F313" s="9"/>
      <c r="H313" s="9"/>
      <c r="I313" s="9" t="s">
        <v>13102</v>
      </c>
      <c r="J313" s="9" t="s">
        <v>5564</v>
      </c>
      <c r="K313" t="s">
        <v>13103</v>
      </c>
      <c r="L313" t="s">
        <v>13104</v>
      </c>
      <c r="M313" s="3" t="str">
        <f>HYPERLINK(склад2въезд1319202122237[[#This Row],[RelativePath]])</f>
        <v>11 С ангара на базу\GA3948333_5_20260225T093507Z.jpg</v>
      </c>
    </row>
    <row r="314" spans="1:13" x14ac:dyDescent="0.25">
      <c r="A314" s="2" t="s">
        <v>15</v>
      </c>
      <c r="B314" s="4">
        <v>46078</v>
      </c>
      <c r="C314" s="5">
        <v>0.75190972222222219</v>
      </c>
      <c r="D314" s="9"/>
      <c r="E314" s="9"/>
      <c r="F314" s="9"/>
      <c r="H314" s="9"/>
      <c r="I314" s="9" t="s">
        <v>13105</v>
      </c>
      <c r="J314" s="9" t="s">
        <v>5564</v>
      </c>
      <c r="K314" t="s">
        <v>13106</v>
      </c>
      <c r="L314" t="s">
        <v>12839</v>
      </c>
      <c r="M314" s="3" t="str">
        <f>HYPERLINK(склад2въезд1319202122237[[#This Row],[RelativePath]])</f>
        <v>11 С ангара на базу\GA3948333_5_20260225T180245Z.jpg</v>
      </c>
    </row>
  </sheetData>
  <conditionalFormatting sqref="D315:D325 E315:E328 G2:H314 D2:E314">
    <cfRule type="containsText" dxfId="262" priority="14" operator="containsText" text="Выезд с территории">
      <formula>NOT(ISERROR(SEARCH("Выезд с территории",D2)))</formula>
    </cfRule>
  </conditionalFormatting>
  <conditionalFormatting sqref="F2:F314">
    <cfRule type="notContainsText" dxfId="261" priority="13" operator="notContains" text="порожний">
      <formula>ISERROR(SEARCH("порожний",F2))</formula>
    </cfRule>
  </conditionalFormatting>
  <conditionalFormatting sqref="E2:E328">
    <cfRule type="containsText" dxfId="260" priority="11" operator="containsText" text="Газель базы">
      <formula>NOT(ISERROR(SEARCH("Газель базы",E2)))</formula>
    </cfRule>
    <cfRule type="containsText" dxfId="259" priority="12" operator="containsText" text="Погрузчик базы">
      <formula>NOT(ISERROR(SEARCH("Погрузчик базы",E2)))</formula>
    </cfRule>
  </conditionalFormatting>
  <conditionalFormatting sqref="E2:E328">
    <cfRule type="containsText" dxfId="258" priority="10" operator="containsText" text="Трактор базы">
      <formula>NOT(ISERROR(SEARCH("Трактор базы",E2)))</formula>
    </cfRule>
  </conditionalFormatting>
  <conditionalFormatting sqref="A2:C314">
    <cfRule type="expression" dxfId="257" priority="9">
      <formula>$A2="пн"</formula>
    </cfRule>
  </conditionalFormatting>
  <conditionalFormatting sqref="A2:C316">
    <cfRule type="expression" dxfId="256" priority="3">
      <formula>$A2="вс"</formula>
    </cfRule>
    <cfRule type="expression" dxfId="255" priority="4">
      <formula>$A2="сб"</formula>
    </cfRule>
    <cfRule type="expression" dxfId="254" priority="5">
      <formula>$A2="пт"</formula>
    </cfRule>
    <cfRule type="expression" dxfId="253" priority="6">
      <formula>$A2="чт"</formula>
    </cfRule>
    <cfRule type="expression" dxfId="252" priority="7">
      <formula>$A2="ср"</formula>
    </cfRule>
    <cfRule type="expression" dxfId="251" priority="8">
      <formula>$A2="вт"</formula>
    </cfRule>
  </conditionalFormatting>
  <conditionalFormatting sqref="D2:D325">
    <cfRule type="containsText" dxfId="250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325">
    <cfRule type="containsText" dxfId="249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35A57-F896-4BD2-970E-6829CAF82F37}">
  <sheetPr>
    <tabColor rgb="FF7030A0"/>
  </sheetPr>
  <dimension ref="A1:M248"/>
  <sheetViews>
    <sheetView zoomScale="90" zoomScaleNormal="90" workbookViewId="0">
      <pane ySplit="1" topLeftCell="A230" activePane="bottomLeft" state="frozen"/>
      <selection pane="bottomLeft" activeCell="I238" sqref="I238:I239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0.7109375" bestFit="1" customWidth="1"/>
    <col min="5" max="5" width="45.42578125" bestFit="1" customWidth="1"/>
    <col min="6" max="6" width="19.5703125" bestFit="1" customWidth="1"/>
    <col min="7" max="7" width="7.28515625" bestFit="1" customWidth="1"/>
    <col min="8" max="8" width="20.5703125" bestFit="1" customWidth="1"/>
    <col min="9" max="9" width="36.7109375" bestFit="1" customWidth="1"/>
    <col min="10" max="10" width="43.7109375" hidden="1" customWidth="1"/>
    <col min="11" max="11" width="56.7109375" hidden="1" customWidth="1"/>
    <col min="12" max="12" width="24.5703125" hidden="1" customWidth="1"/>
    <col min="13" max="13" width="56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0.33244212962962966</v>
      </c>
      <c r="D2" s="9" t="s">
        <v>4</v>
      </c>
      <c r="E2" s="9" t="s">
        <v>8</v>
      </c>
      <c r="F2" s="9"/>
      <c r="H2" s="9" t="s">
        <v>5</v>
      </c>
      <c r="I2" s="9" t="s">
        <v>1789</v>
      </c>
      <c r="J2" s="9" t="s">
        <v>2942</v>
      </c>
      <c r="K2" t="s">
        <v>1790</v>
      </c>
      <c r="L2" t="s">
        <v>1791</v>
      </c>
      <c r="M2" s="3" t="str">
        <f>HYPERLINK(склад2въезд13192021222378[[#This Row],[RelativePath]])</f>
        <v>12 Площадка 3 кран\K07156189_20_20251110T075843Z.jpg</v>
      </c>
    </row>
    <row r="3" spans="1:13" x14ac:dyDescent="0.25">
      <c r="A3" s="2" t="s">
        <v>13</v>
      </c>
      <c r="B3" s="4">
        <v>45971</v>
      </c>
      <c r="C3" s="5">
        <v>0.42346064814814816</v>
      </c>
      <c r="D3" s="9" t="s">
        <v>4</v>
      </c>
      <c r="E3" s="9" t="s">
        <v>8</v>
      </c>
      <c r="F3" s="9"/>
      <c r="H3" s="9"/>
      <c r="I3" s="9" t="s">
        <v>1792</v>
      </c>
      <c r="J3" s="9" t="s">
        <v>2942</v>
      </c>
      <c r="K3" t="s">
        <v>1793</v>
      </c>
      <c r="L3" t="s">
        <v>1794</v>
      </c>
      <c r="M3" s="3" t="str">
        <f>HYPERLINK(склад2въезд13192021222378[[#This Row],[RelativePath]])</f>
        <v>12 Площадка 3 кран\K07156189_20_20251110T100947Z.jpg</v>
      </c>
    </row>
    <row r="4" spans="1:13" x14ac:dyDescent="0.25">
      <c r="A4" s="2" t="s">
        <v>13</v>
      </c>
      <c r="B4" s="4">
        <v>45971</v>
      </c>
      <c r="C4" s="5">
        <v>0.43837962962962962</v>
      </c>
      <c r="D4" s="9" t="s">
        <v>4</v>
      </c>
      <c r="E4" s="9" t="s">
        <v>8</v>
      </c>
      <c r="F4" s="9"/>
      <c r="H4" s="9"/>
      <c r="I4" s="9" t="s">
        <v>1795</v>
      </c>
      <c r="J4" s="9" t="s">
        <v>2942</v>
      </c>
      <c r="K4" t="s">
        <v>1796</v>
      </c>
      <c r="L4" t="s">
        <v>1797</v>
      </c>
      <c r="M4" s="3" t="str">
        <f>HYPERLINK(склад2въезд13192021222378[[#This Row],[RelativePath]])</f>
        <v>12 Площадка 3 кран\K07156189_20_20251110T103116Z.jpg</v>
      </c>
    </row>
    <row r="5" spans="1:13" x14ac:dyDescent="0.25">
      <c r="A5" s="2" t="s">
        <v>13</v>
      </c>
      <c r="B5" s="4">
        <v>45971</v>
      </c>
      <c r="C5" s="5">
        <v>0.43984953703703705</v>
      </c>
      <c r="D5" s="9" t="s">
        <v>4</v>
      </c>
      <c r="E5" s="9" t="s">
        <v>1898</v>
      </c>
      <c r="F5" s="9"/>
      <c r="H5" s="9"/>
      <c r="I5" s="9" t="s">
        <v>1798</v>
      </c>
      <c r="J5" s="9" t="s">
        <v>2942</v>
      </c>
      <c r="K5" t="s">
        <v>1799</v>
      </c>
      <c r="L5" t="s">
        <v>1800</v>
      </c>
      <c r="M5" s="3" t="str">
        <f>HYPERLINK(склад2въезд13192021222378[[#This Row],[RelativePath]])</f>
        <v>12 Площадка 3 кран\K07156189_20_20251110T103323Z.jpg</v>
      </c>
    </row>
    <row r="6" spans="1:13" x14ac:dyDescent="0.25">
      <c r="A6" s="2" t="s">
        <v>13</v>
      </c>
      <c r="B6" s="4">
        <v>45971</v>
      </c>
      <c r="C6" s="5">
        <v>0.47875000000000001</v>
      </c>
      <c r="D6" s="9" t="s">
        <v>4</v>
      </c>
      <c r="E6" s="9" t="s">
        <v>8</v>
      </c>
      <c r="F6" s="9"/>
      <c r="H6" s="9"/>
      <c r="I6" s="9" t="s">
        <v>1801</v>
      </c>
      <c r="J6" s="9" t="s">
        <v>2942</v>
      </c>
      <c r="K6" t="s">
        <v>1802</v>
      </c>
      <c r="L6" t="s">
        <v>1803</v>
      </c>
      <c r="M6" s="3" t="str">
        <f>HYPERLINK(склад2въезд13192021222378[[#This Row],[RelativePath]])</f>
        <v>12 Площадка 3 кран\K07156189_20_20251110T112924Z.jpg</v>
      </c>
    </row>
    <row r="7" spans="1:13" x14ac:dyDescent="0.25">
      <c r="A7" s="2" t="s">
        <v>13</v>
      </c>
      <c r="B7" s="4">
        <v>45971</v>
      </c>
      <c r="C7" s="5">
        <v>0.51261574074074079</v>
      </c>
      <c r="D7" s="9" t="s">
        <v>4</v>
      </c>
      <c r="E7" s="9" t="s">
        <v>8</v>
      </c>
      <c r="F7" s="9"/>
      <c r="H7" s="9"/>
      <c r="I7" s="9" t="s">
        <v>1804</v>
      </c>
      <c r="J7" s="9" t="s">
        <v>2942</v>
      </c>
      <c r="K7" t="s">
        <v>1805</v>
      </c>
      <c r="L7" t="s">
        <v>1806</v>
      </c>
      <c r="M7" s="3" t="str">
        <f>HYPERLINK(склад2въезд13192021222378[[#This Row],[RelativePath]])</f>
        <v>12 Площадка 3 кран\K07156189_20_20251110T121810Z.jpg</v>
      </c>
    </row>
    <row r="8" spans="1:13" x14ac:dyDescent="0.25">
      <c r="A8" s="2" t="s">
        <v>13</v>
      </c>
      <c r="B8" s="4">
        <v>45971</v>
      </c>
      <c r="C8" s="5">
        <v>0.52328703703703705</v>
      </c>
      <c r="D8" s="9" t="s">
        <v>4</v>
      </c>
      <c r="E8" s="9" t="s">
        <v>21</v>
      </c>
      <c r="F8" s="9"/>
      <c r="H8" s="9"/>
      <c r="I8" s="9" t="s">
        <v>1807</v>
      </c>
      <c r="J8" s="9" t="s">
        <v>2942</v>
      </c>
      <c r="K8" t="s">
        <v>1808</v>
      </c>
      <c r="L8" t="s">
        <v>1809</v>
      </c>
      <c r="M8" s="3" t="str">
        <f>HYPERLINK(склад2въезд13192021222378[[#This Row],[RelativePath]])</f>
        <v>12 Площадка 3 кран\K07156189_20_20251110T123332Z.jpg</v>
      </c>
    </row>
    <row r="9" spans="1:13" x14ac:dyDescent="0.25">
      <c r="A9" s="2" t="s">
        <v>13</v>
      </c>
      <c r="B9" s="4">
        <v>45971</v>
      </c>
      <c r="C9" s="5">
        <v>0.55489583333333337</v>
      </c>
      <c r="D9" s="9" t="s">
        <v>4</v>
      </c>
      <c r="E9" s="9" t="s">
        <v>8</v>
      </c>
      <c r="F9" s="9"/>
      <c r="H9" s="9"/>
      <c r="I9" s="9" t="s">
        <v>1810</v>
      </c>
      <c r="J9" s="9" t="s">
        <v>2942</v>
      </c>
      <c r="K9" t="s">
        <v>1811</v>
      </c>
      <c r="L9" t="s">
        <v>1812</v>
      </c>
      <c r="M9" s="3" t="str">
        <f>HYPERLINK(склад2въезд13192021222378[[#This Row],[RelativePath]])</f>
        <v>12 Площадка 3 кран\K07156189_20_20251110T131903Z.jpg</v>
      </c>
    </row>
    <row r="10" spans="1:13" x14ac:dyDescent="0.25">
      <c r="A10" s="2" t="s">
        <v>13</v>
      </c>
      <c r="B10" s="4">
        <v>45971</v>
      </c>
      <c r="C10" s="5">
        <v>0.61379629629629628</v>
      </c>
      <c r="D10" s="9" t="s">
        <v>4</v>
      </c>
      <c r="E10" s="9" t="s">
        <v>8</v>
      </c>
      <c r="F10" s="9"/>
      <c r="H10" s="9"/>
      <c r="I10" s="9" t="s">
        <v>1813</v>
      </c>
      <c r="J10" s="9" t="s">
        <v>2942</v>
      </c>
      <c r="K10" t="s">
        <v>1814</v>
      </c>
      <c r="L10" t="s">
        <v>1815</v>
      </c>
      <c r="M10" s="3" t="str">
        <f>HYPERLINK(склад2въезд13192021222378[[#This Row],[RelativePath]])</f>
        <v>12 Площадка 3 кран\K07156189_20_20251110T144352Z.jpg</v>
      </c>
    </row>
    <row r="11" spans="1:13" x14ac:dyDescent="0.25">
      <c r="A11" s="2" t="s">
        <v>13</v>
      </c>
      <c r="B11" s="4">
        <v>45971</v>
      </c>
      <c r="C11" s="5">
        <v>0.73519675925925931</v>
      </c>
      <c r="D11" s="9" t="s">
        <v>4</v>
      </c>
      <c r="E11" s="9" t="s">
        <v>8</v>
      </c>
      <c r="F11" s="9"/>
      <c r="H11" s="9" t="s">
        <v>1588</v>
      </c>
      <c r="I11" s="9" t="s">
        <v>1816</v>
      </c>
      <c r="J11" s="9" t="s">
        <v>2942</v>
      </c>
      <c r="K11" t="s">
        <v>1817</v>
      </c>
      <c r="L11" t="s">
        <v>1818</v>
      </c>
      <c r="M11" s="3" t="str">
        <f>HYPERLINK(склад2въезд13192021222378[[#This Row],[RelativePath]])</f>
        <v>12 Площадка 3 кран\K07156189_20_20251110T173841Z.jpg</v>
      </c>
    </row>
    <row r="12" spans="1:13" x14ac:dyDescent="0.25">
      <c r="A12" s="2" t="s">
        <v>13</v>
      </c>
      <c r="B12" s="4">
        <v>45971</v>
      </c>
      <c r="C12" s="5">
        <v>0.74217592592592596</v>
      </c>
      <c r="D12" s="9" t="s">
        <v>4</v>
      </c>
      <c r="E12" s="9" t="s">
        <v>1899</v>
      </c>
      <c r="F12" s="9"/>
      <c r="H12" s="9"/>
      <c r="I12" s="9" t="s">
        <v>1819</v>
      </c>
      <c r="J12" s="9" t="s">
        <v>2942</v>
      </c>
      <c r="K12" t="s">
        <v>1820</v>
      </c>
      <c r="L12" t="s">
        <v>1821</v>
      </c>
      <c r="M12" s="3" t="str">
        <f>HYPERLINK(склад2въезд13192021222378[[#This Row],[RelativePath]])</f>
        <v>12 Площадка 3 кран\K07156189_20_20251110T174844Z.jpg</v>
      </c>
    </row>
    <row r="13" spans="1:13" x14ac:dyDescent="0.25">
      <c r="A13" s="2" t="s">
        <v>13</v>
      </c>
      <c r="B13" s="4">
        <v>45971</v>
      </c>
      <c r="C13" s="5">
        <v>0.75621527777777775</v>
      </c>
      <c r="D13" s="9" t="s">
        <v>4</v>
      </c>
      <c r="E13" s="9" t="s">
        <v>1899</v>
      </c>
      <c r="F13" s="9"/>
      <c r="H13" s="9"/>
      <c r="I13" s="9" t="s">
        <v>1822</v>
      </c>
      <c r="J13" s="9" t="s">
        <v>2942</v>
      </c>
      <c r="K13" t="s">
        <v>1823</v>
      </c>
      <c r="L13" t="s">
        <v>1824</v>
      </c>
      <c r="M13" s="3" t="str">
        <f>HYPERLINK(склад2въезд13192021222378[[#This Row],[RelativePath]])</f>
        <v>12 Площадка 3 кран\K07156189_20_20251110T180857Z.jpg</v>
      </c>
    </row>
    <row r="14" spans="1:13" x14ac:dyDescent="0.25">
      <c r="A14" s="2" t="s">
        <v>14</v>
      </c>
      <c r="B14" s="4">
        <v>45972</v>
      </c>
      <c r="C14" s="5">
        <v>0.33800925925925923</v>
      </c>
      <c r="D14" s="9" t="s">
        <v>4</v>
      </c>
      <c r="E14" s="9" t="s">
        <v>8</v>
      </c>
      <c r="F14" s="9"/>
      <c r="H14" s="9" t="s">
        <v>5</v>
      </c>
      <c r="I14" s="9" t="s">
        <v>1825</v>
      </c>
      <c r="J14" s="9" t="s">
        <v>2942</v>
      </c>
      <c r="K14" t="s">
        <v>1826</v>
      </c>
      <c r="L14" t="s">
        <v>1827</v>
      </c>
      <c r="M14" s="3" t="str">
        <f>HYPERLINK(склад2въезд13192021222378[[#This Row],[RelativePath]])</f>
        <v>12 Площадка 3 кран\K07156189_20_20251111T080644Z.jpg</v>
      </c>
    </row>
    <row r="15" spans="1:13" x14ac:dyDescent="0.25">
      <c r="A15" s="2" t="s">
        <v>14</v>
      </c>
      <c r="B15" s="4">
        <v>45972</v>
      </c>
      <c r="C15" s="5">
        <v>0.47002314814814816</v>
      </c>
      <c r="D15" s="9" t="s">
        <v>4</v>
      </c>
      <c r="E15" s="9" t="s">
        <v>8</v>
      </c>
      <c r="F15" s="9"/>
      <c r="H15" s="9"/>
      <c r="I15" s="9" t="s">
        <v>1828</v>
      </c>
      <c r="J15" s="9" t="s">
        <v>2942</v>
      </c>
      <c r="K15" t="s">
        <v>1829</v>
      </c>
      <c r="L15" t="s">
        <v>1830</v>
      </c>
      <c r="M15" s="3" t="str">
        <f>HYPERLINK(склад2въезд13192021222378[[#This Row],[RelativePath]])</f>
        <v>12 Площадка 3 кран\K07156189_20_20251111T111650Z.jpg</v>
      </c>
    </row>
    <row r="16" spans="1:13" x14ac:dyDescent="0.25">
      <c r="A16" s="2" t="s">
        <v>14</v>
      </c>
      <c r="B16" s="4">
        <v>45972</v>
      </c>
      <c r="C16" s="5">
        <v>0.64399305555555553</v>
      </c>
      <c r="D16" s="9" t="s">
        <v>4</v>
      </c>
      <c r="E16" s="9" t="s">
        <v>8</v>
      </c>
      <c r="F16" s="9"/>
      <c r="H16" s="9"/>
      <c r="I16" s="9" t="s">
        <v>1831</v>
      </c>
      <c r="J16" s="9" t="s">
        <v>2942</v>
      </c>
      <c r="K16" t="s">
        <v>1832</v>
      </c>
      <c r="L16" t="s">
        <v>1833</v>
      </c>
      <c r="M16" s="3" t="str">
        <f>HYPERLINK(склад2въезд13192021222378[[#This Row],[RelativePath]])</f>
        <v>12 Площадка 3 кран\K07156189_20_20251111T152721Z.jpg</v>
      </c>
    </row>
    <row r="17" spans="1:13" x14ac:dyDescent="0.25">
      <c r="A17" s="2" t="s">
        <v>14</v>
      </c>
      <c r="B17" s="4">
        <v>45972</v>
      </c>
      <c r="C17" s="5">
        <v>0.68483796296296295</v>
      </c>
      <c r="D17" s="9" t="s">
        <v>4</v>
      </c>
      <c r="E17" s="9" t="s">
        <v>8</v>
      </c>
      <c r="F17" s="9"/>
      <c r="H17" s="9"/>
      <c r="I17" s="9" t="s">
        <v>1834</v>
      </c>
      <c r="J17" s="9" t="s">
        <v>2942</v>
      </c>
      <c r="K17" t="s">
        <v>1835</v>
      </c>
      <c r="L17" t="s">
        <v>1836</v>
      </c>
      <c r="M17" s="3" t="str">
        <f>HYPERLINK(склад2въезд13192021222378[[#This Row],[RelativePath]])</f>
        <v>12 Площадка 3 кран\K07156189_20_20251111T162610Z.jpg</v>
      </c>
    </row>
    <row r="18" spans="1:13" x14ac:dyDescent="0.25">
      <c r="A18" s="2" t="s">
        <v>14</v>
      </c>
      <c r="B18" s="4">
        <v>45972</v>
      </c>
      <c r="C18" s="5">
        <v>0.74226851851851849</v>
      </c>
      <c r="D18" s="9" t="s">
        <v>4</v>
      </c>
      <c r="E18" s="9" t="s">
        <v>8</v>
      </c>
      <c r="F18" s="9"/>
      <c r="H18" s="9" t="s">
        <v>1588</v>
      </c>
      <c r="I18" s="9" t="s">
        <v>1837</v>
      </c>
      <c r="J18" s="9" t="s">
        <v>2942</v>
      </c>
      <c r="K18" t="s">
        <v>1838</v>
      </c>
      <c r="L18" t="s">
        <v>1839</v>
      </c>
      <c r="M18" s="3" t="str">
        <f>HYPERLINK(склад2въезд13192021222378[[#This Row],[RelativePath]])</f>
        <v>12 Площадка 3 кран\K07156189_20_20251111T174852Z.jpg</v>
      </c>
    </row>
    <row r="19" spans="1:13" x14ac:dyDescent="0.25">
      <c r="A19" s="2" t="s">
        <v>15</v>
      </c>
      <c r="B19" s="4">
        <v>45973</v>
      </c>
      <c r="C19" s="5">
        <v>0.42266203703703703</v>
      </c>
      <c r="D19" s="9" t="s">
        <v>4</v>
      </c>
      <c r="E19" s="9" t="s">
        <v>8</v>
      </c>
      <c r="F19" s="9"/>
      <c r="H19" s="9"/>
      <c r="I19" s="9" t="s">
        <v>1840</v>
      </c>
      <c r="J19" s="9" t="s">
        <v>2942</v>
      </c>
      <c r="K19" t="s">
        <v>1841</v>
      </c>
      <c r="L19" t="s">
        <v>1842</v>
      </c>
      <c r="M19" s="3" t="str">
        <f>HYPERLINK(склад2въезд13192021222378[[#This Row],[RelativePath]])</f>
        <v>12 Площадка 3 кран\K07156189_20_20251112T100838Z.jpg</v>
      </c>
    </row>
    <row r="20" spans="1:13" x14ac:dyDescent="0.25">
      <c r="A20" s="2" t="s">
        <v>15</v>
      </c>
      <c r="B20" s="4">
        <v>45973</v>
      </c>
      <c r="C20" s="5">
        <v>0.55339120370370365</v>
      </c>
      <c r="D20" s="9" t="s">
        <v>4</v>
      </c>
      <c r="E20" s="9" t="s">
        <v>8</v>
      </c>
      <c r="F20" s="9"/>
      <c r="H20" s="9"/>
      <c r="I20" s="9" t="s">
        <v>1843</v>
      </c>
      <c r="J20" s="9" t="s">
        <v>2942</v>
      </c>
      <c r="K20" t="s">
        <v>1844</v>
      </c>
      <c r="L20" t="s">
        <v>1845</v>
      </c>
      <c r="M20" s="3" t="str">
        <f>HYPERLINK(склад2въезд13192021222378[[#This Row],[RelativePath]])</f>
        <v>12 Площадка 3 кран\K07156189_20_20251112T131653Z.jpg</v>
      </c>
    </row>
    <row r="21" spans="1:13" x14ac:dyDescent="0.25">
      <c r="A21" s="2" t="s">
        <v>15</v>
      </c>
      <c r="B21" s="4">
        <v>45973</v>
      </c>
      <c r="C21" s="5">
        <v>0.66186342592592595</v>
      </c>
      <c r="D21" s="9" t="s">
        <v>4</v>
      </c>
      <c r="E21" s="9" t="s">
        <v>21</v>
      </c>
      <c r="F21" s="9"/>
      <c r="H21" s="9"/>
      <c r="I21" s="9" t="s">
        <v>1846</v>
      </c>
      <c r="J21" s="9" t="s">
        <v>2942</v>
      </c>
      <c r="K21" t="s">
        <v>1847</v>
      </c>
      <c r="L21" t="s">
        <v>1848</v>
      </c>
      <c r="M21" s="3" t="str">
        <f>HYPERLINK(склад2въезд13192021222378[[#This Row],[RelativePath]])</f>
        <v>12 Площадка 3 кран\K07156189_20_20251112T155305Z.jpg</v>
      </c>
    </row>
    <row r="22" spans="1:13" x14ac:dyDescent="0.25">
      <c r="A22" s="2" t="s">
        <v>15</v>
      </c>
      <c r="B22" s="4">
        <v>45973</v>
      </c>
      <c r="C22" s="5">
        <v>0.68379629629629635</v>
      </c>
      <c r="D22" s="9" t="s">
        <v>4</v>
      </c>
      <c r="E22" s="9" t="s">
        <v>8</v>
      </c>
      <c r="F22" s="9"/>
      <c r="H22" s="9"/>
      <c r="I22" s="9" t="s">
        <v>1849</v>
      </c>
      <c r="J22" s="9" t="s">
        <v>2942</v>
      </c>
      <c r="K22" t="s">
        <v>1850</v>
      </c>
      <c r="L22" t="s">
        <v>1851</v>
      </c>
      <c r="M22" s="3" t="str">
        <f>HYPERLINK(склад2въезд13192021222378[[#This Row],[RelativePath]])</f>
        <v>12 Площадка 3 кран\K07156189_20_20251112T162440Z.jpg</v>
      </c>
    </row>
    <row r="23" spans="1:13" x14ac:dyDescent="0.25">
      <c r="A23" s="2" t="s">
        <v>16</v>
      </c>
      <c r="B23" s="4">
        <v>45974</v>
      </c>
      <c r="C23" s="5">
        <v>0.40057870370370369</v>
      </c>
      <c r="D23" s="9" t="s">
        <v>4</v>
      </c>
      <c r="E23" s="9" t="s">
        <v>21</v>
      </c>
      <c r="F23" s="9"/>
      <c r="H23" s="9"/>
      <c r="I23" s="9" t="s">
        <v>1852</v>
      </c>
      <c r="J23" s="9" t="s">
        <v>2942</v>
      </c>
      <c r="K23" t="s">
        <v>1853</v>
      </c>
      <c r="L23" t="s">
        <v>1854</v>
      </c>
      <c r="M23" s="3" t="str">
        <f>HYPERLINK(склад2въезд13192021222378[[#This Row],[RelativePath]])</f>
        <v>12 Площадка 3 кран\K07156189_20_20251113T093650Z.jpg</v>
      </c>
    </row>
    <row r="24" spans="1:13" x14ac:dyDescent="0.25">
      <c r="A24" s="2" t="s">
        <v>16</v>
      </c>
      <c r="B24" s="4">
        <v>45974</v>
      </c>
      <c r="C24" s="5">
        <v>0.41251157407407407</v>
      </c>
      <c r="D24" s="9" t="s">
        <v>4</v>
      </c>
      <c r="E24" s="9" t="s">
        <v>8</v>
      </c>
      <c r="F24" s="9"/>
      <c r="H24" s="9"/>
      <c r="I24" s="9" t="s">
        <v>1855</v>
      </c>
      <c r="J24" s="9" t="s">
        <v>2942</v>
      </c>
      <c r="K24" t="s">
        <v>1856</v>
      </c>
      <c r="L24" t="s">
        <v>1857</v>
      </c>
      <c r="M24" s="3" t="str">
        <f>HYPERLINK(склад2въезд13192021222378[[#This Row],[RelativePath]])</f>
        <v>12 Площадка 3 кран\K07156189_20_20251113T095401Z.jpg</v>
      </c>
    </row>
    <row r="25" spans="1:13" x14ac:dyDescent="0.25">
      <c r="A25" s="2" t="s">
        <v>16</v>
      </c>
      <c r="B25" s="4">
        <v>45974</v>
      </c>
      <c r="C25" s="5">
        <v>0.60263888888888884</v>
      </c>
      <c r="D25" s="9" t="s">
        <v>4</v>
      </c>
      <c r="E25" s="9" t="s">
        <v>21</v>
      </c>
      <c r="F25" s="9"/>
      <c r="H25" s="9"/>
      <c r="I25" s="9" t="s">
        <v>1858</v>
      </c>
      <c r="J25" s="9" t="s">
        <v>2942</v>
      </c>
      <c r="K25" t="s">
        <v>1859</v>
      </c>
      <c r="L25" t="s">
        <v>1860</v>
      </c>
      <c r="M25" s="3" t="str">
        <f>HYPERLINK(склад2въезд13192021222378[[#This Row],[RelativePath]])</f>
        <v>12 Площадка 3 кран\K07156189_20_20251113T142748Z.jpg</v>
      </c>
    </row>
    <row r="26" spans="1:13" x14ac:dyDescent="0.25">
      <c r="A26" s="2" t="s">
        <v>16</v>
      </c>
      <c r="B26" s="4">
        <v>45974</v>
      </c>
      <c r="C26" s="5">
        <v>0.75300925925925921</v>
      </c>
      <c r="D26" s="9" t="s">
        <v>4</v>
      </c>
      <c r="E26" s="9" t="s">
        <v>8</v>
      </c>
      <c r="F26" s="9"/>
      <c r="H26" s="9" t="s">
        <v>1588</v>
      </c>
      <c r="I26" s="9" t="s">
        <v>1861</v>
      </c>
      <c r="J26" s="9" t="s">
        <v>2942</v>
      </c>
      <c r="K26" t="s">
        <v>1862</v>
      </c>
      <c r="L26" t="s">
        <v>1863</v>
      </c>
      <c r="M26" s="3" t="str">
        <f>HYPERLINK(склад2въезд13192021222378[[#This Row],[RelativePath]])</f>
        <v>12 Площадка 3 кран\K07156189_20_20251113T180420Z.jpg</v>
      </c>
    </row>
    <row r="27" spans="1:13" x14ac:dyDescent="0.25">
      <c r="A27" s="2" t="s">
        <v>17</v>
      </c>
      <c r="B27" s="4">
        <v>45975</v>
      </c>
      <c r="C27" s="5">
        <v>0.39696759259259257</v>
      </c>
      <c r="D27" s="9" t="s">
        <v>4</v>
      </c>
      <c r="E27" s="9" t="s">
        <v>8</v>
      </c>
      <c r="F27" s="9"/>
      <c r="H27" s="9"/>
      <c r="I27" s="9" t="s">
        <v>1864</v>
      </c>
      <c r="J27" s="9" t="s">
        <v>2942</v>
      </c>
      <c r="K27" t="s">
        <v>1865</v>
      </c>
      <c r="L27" t="s">
        <v>1866</v>
      </c>
      <c r="M27" s="3" t="str">
        <f>HYPERLINK(склад2въезд13192021222378[[#This Row],[RelativePath]])</f>
        <v>12 Площадка 3 кран\K07156189_20_20251114T093138Z.jpg</v>
      </c>
    </row>
    <row r="28" spans="1:13" x14ac:dyDescent="0.25">
      <c r="A28" s="2" t="s">
        <v>17</v>
      </c>
      <c r="B28" s="4">
        <v>45975</v>
      </c>
      <c r="C28" s="5">
        <v>0.47791666666666666</v>
      </c>
      <c r="D28" s="9" t="s">
        <v>261</v>
      </c>
      <c r="E28" s="9" t="s">
        <v>86</v>
      </c>
      <c r="F28" s="9" t="s">
        <v>200</v>
      </c>
      <c r="H28" s="9"/>
      <c r="I28" s="9" t="s">
        <v>1867</v>
      </c>
      <c r="J28" s="9" t="s">
        <v>2942</v>
      </c>
      <c r="K28" t="s">
        <v>1868</v>
      </c>
      <c r="L28" t="s">
        <v>1869</v>
      </c>
      <c r="M28" s="3" t="str">
        <f>HYPERLINK(склад2въезд13192021222378[[#This Row],[RelativePath]])</f>
        <v>12 Площадка 3 кран\K07156189_20_20251114T112812Z.jpg</v>
      </c>
    </row>
    <row r="29" spans="1:13" x14ac:dyDescent="0.25">
      <c r="A29" s="2" t="s">
        <v>17</v>
      </c>
      <c r="B29" s="4">
        <v>45975</v>
      </c>
      <c r="C29" s="5">
        <v>0.47864583333333333</v>
      </c>
      <c r="D29" s="9" t="s">
        <v>261</v>
      </c>
      <c r="E29" s="9" t="s">
        <v>86</v>
      </c>
      <c r="F29" s="9" t="s">
        <v>200</v>
      </c>
      <c r="H29" s="9"/>
      <c r="I29" s="9" t="s">
        <v>1870</v>
      </c>
      <c r="J29" s="9" t="s">
        <v>2942</v>
      </c>
      <c r="K29" t="s">
        <v>1871</v>
      </c>
      <c r="L29" t="s">
        <v>1872</v>
      </c>
      <c r="M29" s="3" t="str">
        <f>HYPERLINK(склад2въезд13192021222378[[#This Row],[RelativePath]])</f>
        <v>12 Площадка 3 кран\K07156189_20_20251114T112915Z.jpg</v>
      </c>
    </row>
    <row r="30" spans="1:13" x14ac:dyDescent="0.25">
      <c r="A30" s="2" t="s">
        <v>17</v>
      </c>
      <c r="B30" s="4">
        <v>45975</v>
      </c>
      <c r="C30" s="5">
        <v>0.48515046296296294</v>
      </c>
      <c r="D30" s="9" t="s">
        <v>261</v>
      </c>
      <c r="E30" s="9" t="s">
        <v>86</v>
      </c>
      <c r="F30" s="9" t="s">
        <v>200</v>
      </c>
      <c r="H30" s="9"/>
      <c r="I30" s="9" t="s">
        <v>1873</v>
      </c>
      <c r="J30" s="9" t="s">
        <v>2942</v>
      </c>
      <c r="K30" t="s">
        <v>1874</v>
      </c>
      <c r="L30" t="s">
        <v>1875</v>
      </c>
      <c r="M30" s="3" t="str">
        <f>HYPERLINK(склад2въезд13192021222378[[#This Row],[RelativePath]])</f>
        <v>12 Площадка 3 кран\K07156189_20_20251114T113837Z.jpg</v>
      </c>
    </row>
    <row r="31" spans="1:13" x14ac:dyDescent="0.25">
      <c r="A31" s="2" t="s">
        <v>17</v>
      </c>
      <c r="B31" s="4">
        <v>45975</v>
      </c>
      <c r="C31" s="5">
        <v>0.48562499999999997</v>
      </c>
      <c r="D31" s="9" t="s">
        <v>261</v>
      </c>
      <c r="E31" s="9" t="s">
        <v>86</v>
      </c>
      <c r="F31" s="9" t="s">
        <v>200</v>
      </c>
      <c r="H31" s="9"/>
      <c r="I31" s="9" t="s">
        <v>1876</v>
      </c>
      <c r="J31" s="9" t="s">
        <v>2942</v>
      </c>
      <c r="K31" t="s">
        <v>1877</v>
      </c>
      <c r="L31" t="s">
        <v>1878</v>
      </c>
      <c r="M31" s="3" t="str">
        <f>HYPERLINK(склад2въезд13192021222378[[#This Row],[RelativePath]])</f>
        <v>12 Площадка 3 кран\K07156189_20_20251114T113918Z.jpg</v>
      </c>
    </row>
    <row r="32" spans="1:13" x14ac:dyDescent="0.25">
      <c r="A32" s="2" t="s">
        <v>17</v>
      </c>
      <c r="B32" s="4">
        <v>45975</v>
      </c>
      <c r="C32" s="5">
        <v>0.76092592592592589</v>
      </c>
      <c r="D32" s="9" t="s">
        <v>4</v>
      </c>
      <c r="E32" s="9" t="s">
        <v>8</v>
      </c>
      <c r="F32" s="9"/>
      <c r="H32" s="9" t="s">
        <v>1588</v>
      </c>
      <c r="I32" s="9" t="s">
        <v>1879</v>
      </c>
      <c r="J32" s="9" t="s">
        <v>2942</v>
      </c>
      <c r="K32" t="s">
        <v>1880</v>
      </c>
      <c r="L32" t="s">
        <v>1881</v>
      </c>
      <c r="M32" s="3" t="str">
        <f>HYPERLINK(склад2въезд13192021222378[[#This Row],[RelativePath]])</f>
        <v>12 Площадка 3 кран\K07156189_20_20251114T181544Z.jpg</v>
      </c>
    </row>
    <row r="33" spans="1:13" x14ac:dyDescent="0.25">
      <c r="A33" s="2" t="s">
        <v>18</v>
      </c>
      <c r="B33" s="4">
        <v>45976</v>
      </c>
      <c r="C33" s="5">
        <v>0.34</v>
      </c>
      <c r="D33" s="9" t="s">
        <v>4</v>
      </c>
      <c r="E33" s="9" t="s">
        <v>8</v>
      </c>
      <c r="F33" s="9"/>
      <c r="H33" s="9" t="s">
        <v>5</v>
      </c>
      <c r="I33" s="9" t="s">
        <v>1882</v>
      </c>
      <c r="J33" s="9" t="s">
        <v>2942</v>
      </c>
      <c r="K33" t="s">
        <v>1883</v>
      </c>
      <c r="L33" t="s">
        <v>1884</v>
      </c>
      <c r="M33" s="3" t="str">
        <f>HYPERLINK(склад2въезд13192021222378[[#This Row],[RelativePath]])</f>
        <v>12 Площадка 3 кран\K07156189_20_20251115T080936Z.jpg</v>
      </c>
    </row>
    <row r="34" spans="1:13" x14ac:dyDescent="0.25">
      <c r="A34" s="2" t="s">
        <v>18</v>
      </c>
      <c r="B34" s="4">
        <v>45976</v>
      </c>
      <c r="C34" s="5">
        <v>0.74664351851851851</v>
      </c>
      <c r="D34" s="9" t="s">
        <v>4</v>
      </c>
      <c r="E34" s="9" t="s">
        <v>8</v>
      </c>
      <c r="F34" s="9"/>
      <c r="H34" s="9" t="s">
        <v>1588</v>
      </c>
      <c r="I34" s="9" t="s">
        <v>1885</v>
      </c>
      <c r="J34" s="9" t="s">
        <v>2942</v>
      </c>
      <c r="K34" t="s">
        <v>1886</v>
      </c>
      <c r="L34" t="s">
        <v>1887</v>
      </c>
      <c r="M34" s="3" t="str">
        <f>HYPERLINK(склад2въезд13192021222378[[#This Row],[RelativePath]])</f>
        <v>12 Площадка 3 кран\K07156189_20_20251115T175510Z.jpg</v>
      </c>
    </row>
    <row r="35" spans="1:13" x14ac:dyDescent="0.25">
      <c r="A35" s="2" t="s">
        <v>22</v>
      </c>
      <c r="B35" s="4">
        <v>45977</v>
      </c>
      <c r="C35" s="5">
        <v>0.3742361111111111</v>
      </c>
      <c r="D35" s="9" t="s">
        <v>4</v>
      </c>
      <c r="E35" s="9" t="s">
        <v>8</v>
      </c>
      <c r="F35" s="9"/>
      <c r="H35" s="9" t="s">
        <v>5</v>
      </c>
      <c r="I35" s="9" t="s">
        <v>1888</v>
      </c>
      <c r="J35" s="9" t="s">
        <v>2942</v>
      </c>
      <c r="K35" t="s">
        <v>1889</v>
      </c>
      <c r="L35" t="s">
        <v>1890</v>
      </c>
      <c r="M35" s="3" t="str">
        <f>HYPERLINK(склад2въезд13192021222378[[#This Row],[RelativePath]])</f>
        <v>12 Площадка 3 кран\K07156189_20_20251116T085854Z.jpg</v>
      </c>
    </row>
    <row r="36" spans="1:13" x14ac:dyDescent="0.25">
      <c r="A36" s="2" t="s">
        <v>22</v>
      </c>
      <c r="B36" s="4">
        <v>45977</v>
      </c>
      <c r="C36" s="5">
        <v>0.4861111111111111</v>
      </c>
      <c r="D36" s="9" t="s">
        <v>4</v>
      </c>
      <c r="E36" s="9" t="s">
        <v>8</v>
      </c>
      <c r="F36" s="9"/>
      <c r="H36" s="9"/>
      <c r="I36" s="9" t="s">
        <v>1891</v>
      </c>
      <c r="J36" s="9" t="s">
        <v>2942</v>
      </c>
      <c r="K36" t="s">
        <v>1892</v>
      </c>
      <c r="L36" t="s">
        <v>1893</v>
      </c>
      <c r="M36" s="3" t="str">
        <f>HYPERLINK(склад2въезд13192021222378[[#This Row],[RelativePath]])</f>
        <v>12 Площадка 3 кран\K07156189_20_20251116T114000Z.jpg</v>
      </c>
    </row>
    <row r="37" spans="1:13" x14ac:dyDescent="0.25">
      <c r="A37" s="2" t="s">
        <v>22</v>
      </c>
      <c r="B37" s="4">
        <v>45977</v>
      </c>
      <c r="C37" s="5">
        <v>0.53043981481481484</v>
      </c>
      <c r="D37" s="9" t="s">
        <v>4</v>
      </c>
      <c r="E37" s="9" t="s">
        <v>8</v>
      </c>
      <c r="F37" s="9"/>
      <c r="H37" s="9"/>
      <c r="I37" s="9" t="s">
        <v>1894</v>
      </c>
      <c r="J37" s="9" t="s">
        <v>2942</v>
      </c>
      <c r="K37" t="s">
        <v>1895</v>
      </c>
      <c r="L37" t="s">
        <v>1896</v>
      </c>
      <c r="M37" s="3" t="str">
        <f>HYPERLINK(склад2въезд13192021222378[[#This Row],[RelativePath]])</f>
        <v>12 Площадка 3 кран\K07156189_20_20251116T124350Z.jpg</v>
      </c>
    </row>
    <row r="38" spans="1:13" x14ac:dyDescent="0.25">
      <c r="A38" s="2" t="s">
        <v>13</v>
      </c>
      <c r="B38" s="4">
        <v>45978</v>
      </c>
      <c r="C38" s="5">
        <v>0.48810185185185184</v>
      </c>
      <c r="D38" s="9" t="s">
        <v>4</v>
      </c>
      <c r="E38" s="9" t="s">
        <v>8</v>
      </c>
      <c r="F38" s="9"/>
      <c r="H38" s="9"/>
      <c r="I38" s="9" t="s">
        <v>2544</v>
      </c>
      <c r="J38" s="9" t="s">
        <v>2942</v>
      </c>
      <c r="K38" t="s">
        <v>2545</v>
      </c>
      <c r="L38" t="s">
        <v>2546</v>
      </c>
      <c r="M38" s="3" t="str">
        <f>HYPERLINK(склад2въезд13192021222378[[#This Row],[RelativePath]])</f>
        <v>12 Площадка 3 кран\K07156189_20_20251117T114252Z.jpg</v>
      </c>
    </row>
    <row r="39" spans="1:13" x14ac:dyDescent="0.25">
      <c r="A39" s="2" t="s">
        <v>14</v>
      </c>
      <c r="B39" s="4">
        <v>45979</v>
      </c>
      <c r="C39" s="5">
        <v>0.40424768518518517</v>
      </c>
      <c r="D39" s="9" t="s">
        <v>7</v>
      </c>
      <c r="E39" s="9"/>
      <c r="F39" s="9"/>
      <c r="H39" s="9"/>
      <c r="I39" s="9" t="s">
        <v>2547</v>
      </c>
      <c r="J39" s="9" t="s">
        <v>2942</v>
      </c>
      <c r="K39" t="s">
        <v>2548</v>
      </c>
      <c r="L39" t="s">
        <v>2549</v>
      </c>
      <c r="M39" s="3" t="str">
        <f>HYPERLINK(склад2въезд13192021222378[[#This Row],[RelativePath]])</f>
        <v>12 Площадка 3 кран\K07156189_20_20251118T094207Z.jpg</v>
      </c>
    </row>
    <row r="40" spans="1:13" x14ac:dyDescent="0.25">
      <c r="A40" s="2" t="s">
        <v>14</v>
      </c>
      <c r="B40" s="4">
        <v>45979</v>
      </c>
      <c r="C40" s="5">
        <v>0.47641203703703705</v>
      </c>
      <c r="D40" s="9" t="s">
        <v>4</v>
      </c>
      <c r="E40" s="9" t="s">
        <v>8</v>
      </c>
      <c r="F40" s="9"/>
      <c r="H40" s="9"/>
      <c r="I40" s="9" t="s">
        <v>2550</v>
      </c>
      <c r="J40" s="9" t="s">
        <v>2942</v>
      </c>
      <c r="K40" t="s">
        <v>2551</v>
      </c>
      <c r="L40" t="s">
        <v>2552</v>
      </c>
      <c r="M40" s="3" t="str">
        <f>HYPERLINK(склад2въезд13192021222378[[#This Row],[RelativePath]])</f>
        <v>12 Площадка 3 кран\K07156189_20_20251118T112602Z.jpg</v>
      </c>
    </row>
    <row r="41" spans="1:13" x14ac:dyDescent="0.25">
      <c r="A41" s="2" t="s">
        <v>14</v>
      </c>
      <c r="B41" s="4">
        <v>45979</v>
      </c>
      <c r="C41" s="5">
        <v>0.4768634259259259</v>
      </c>
      <c r="D41" s="9" t="s">
        <v>11</v>
      </c>
      <c r="E41" s="9"/>
      <c r="F41" s="9"/>
      <c r="H41" s="9"/>
      <c r="I41" s="9" t="s">
        <v>2553</v>
      </c>
      <c r="J41" s="9" t="s">
        <v>2942</v>
      </c>
      <c r="K41" t="s">
        <v>2554</v>
      </c>
      <c r="L41" t="s">
        <v>2555</v>
      </c>
      <c r="M41" s="3" t="str">
        <f>HYPERLINK(склад2въезд13192021222378[[#This Row],[RelativePath]])</f>
        <v>12 Площадка 3 кран\K07156189_20_20251118T112641Z.jpg</v>
      </c>
    </row>
    <row r="42" spans="1:13" x14ac:dyDescent="0.25">
      <c r="A42" s="2" t="s">
        <v>14</v>
      </c>
      <c r="B42" s="4">
        <v>45979</v>
      </c>
      <c r="C42" s="5">
        <v>0.59925925925925927</v>
      </c>
      <c r="D42" s="9" t="s">
        <v>4</v>
      </c>
      <c r="E42" s="9" t="s">
        <v>8</v>
      </c>
      <c r="F42" s="9"/>
      <c r="H42" s="9"/>
      <c r="I42" s="9" t="s">
        <v>2556</v>
      </c>
      <c r="J42" s="9" t="s">
        <v>2942</v>
      </c>
      <c r="K42" t="s">
        <v>2557</v>
      </c>
      <c r="L42" t="s">
        <v>2558</v>
      </c>
      <c r="M42" s="3" t="str">
        <f>HYPERLINK(склад2въезд13192021222378[[#This Row],[RelativePath]])</f>
        <v>12 Площадка 3 кран\K07156189_20_20251118T142256Z.jpg</v>
      </c>
    </row>
    <row r="43" spans="1:13" x14ac:dyDescent="0.25">
      <c r="A43" s="2" t="s">
        <v>15</v>
      </c>
      <c r="B43" s="4">
        <v>45980</v>
      </c>
      <c r="C43" s="5">
        <v>0.43459490740740742</v>
      </c>
      <c r="D43" s="9" t="s">
        <v>1967</v>
      </c>
      <c r="E43" s="9"/>
      <c r="F43" s="9"/>
      <c r="H43" s="9"/>
      <c r="I43" s="9" t="s">
        <v>2559</v>
      </c>
      <c r="J43" s="9" t="s">
        <v>2942</v>
      </c>
      <c r="K43" t="s">
        <v>2560</v>
      </c>
      <c r="L43" t="s">
        <v>2561</v>
      </c>
      <c r="M43" s="3" t="str">
        <f>HYPERLINK(склад2въезд13192021222378[[#This Row],[RelativePath]])</f>
        <v>12 Площадка 3 кран\K07156189_20_20251119T102549Z.jpg</v>
      </c>
    </row>
    <row r="44" spans="1:13" x14ac:dyDescent="0.25">
      <c r="A44" s="2" t="s">
        <v>16</v>
      </c>
      <c r="B44" s="4">
        <v>45981</v>
      </c>
      <c r="C44" s="5">
        <v>0.42752314814814812</v>
      </c>
      <c r="D44" s="9" t="s">
        <v>4</v>
      </c>
      <c r="E44" s="9" t="s">
        <v>8</v>
      </c>
      <c r="F44" s="9"/>
      <c r="H44" s="9"/>
      <c r="I44" s="9" t="s">
        <v>2562</v>
      </c>
      <c r="J44" s="9" t="s">
        <v>2942</v>
      </c>
      <c r="K44" t="s">
        <v>2563</v>
      </c>
      <c r="L44" t="s">
        <v>2564</v>
      </c>
      <c r="M44" s="3" t="str">
        <f>HYPERLINK(склад2въезд13192021222378[[#This Row],[RelativePath]])</f>
        <v>12 Площадка 3 кран\K07156189_20_20251120T101538Z.jpg</v>
      </c>
    </row>
    <row r="45" spans="1:13" x14ac:dyDescent="0.25">
      <c r="A45" s="2" t="s">
        <v>16</v>
      </c>
      <c r="B45" s="4">
        <v>45981</v>
      </c>
      <c r="C45" s="5">
        <v>0.56873842592592594</v>
      </c>
      <c r="D45" s="9" t="s">
        <v>1967</v>
      </c>
      <c r="E45" s="9"/>
      <c r="F45" s="9"/>
      <c r="H45" s="9"/>
      <c r="I45" s="9" t="s">
        <v>2565</v>
      </c>
      <c r="J45" s="9" t="s">
        <v>2942</v>
      </c>
      <c r="K45" t="s">
        <v>2566</v>
      </c>
      <c r="L45" t="s">
        <v>2567</v>
      </c>
      <c r="M45" s="3" t="str">
        <f>HYPERLINK(склад2въезд13192021222378[[#This Row],[RelativePath]])</f>
        <v>12 Площадка 3 кран\K07156189_20_20251120T133859Z.jpg</v>
      </c>
    </row>
    <row r="46" spans="1:13" x14ac:dyDescent="0.25">
      <c r="A46" s="2" t="s">
        <v>17</v>
      </c>
      <c r="B46" s="4">
        <v>45982</v>
      </c>
      <c r="C46" s="5">
        <v>0.34553240740740743</v>
      </c>
      <c r="D46" s="9" t="s">
        <v>4</v>
      </c>
      <c r="E46" s="9" t="s">
        <v>8</v>
      </c>
      <c r="F46" s="9"/>
      <c r="H46" s="9"/>
      <c r="I46" s="9" t="s">
        <v>2568</v>
      </c>
      <c r="J46" s="9" t="s">
        <v>2942</v>
      </c>
      <c r="K46" t="s">
        <v>2569</v>
      </c>
      <c r="L46" t="s">
        <v>2570</v>
      </c>
      <c r="M46" s="3" t="str">
        <f>HYPERLINK(склад2въезд13192021222378[[#This Row],[RelativePath]])</f>
        <v>12 Площадка 3 кран\K07156189_20_20251121T081734Z.jpg</v>
      </c>
    </row>
    <row r="47" spans="1:13" x14ac:dyDescent="0.25">
      <c r="A47" s="2" t="s">
        <v>17</v>
      </c>
      <c r="B47" s="4">
        <v>45982</v>
      </c>
      <c r="C47" s="5">
        <v>0.74643518518518515</v>
      </c>
      <c r="D47" s="9" t="s">
        <v>1967</v>
      </c>
      <c r="E47" s="9"/>
      <c r="F47" s="9"/>
      <c r="H47" s="9"/>
      <c r="I47" s="9" t="s">
        <v>2571</v>
      </c>
      <c r="J47" s="9" t="s">
        <v>2942</v>
      </c>
      <c r="K47" t="s">
        <v>2572</v>
      </c>
      <c r="L47" t="s">
        <v>2573</v>
      </c>
      <c r="M47" s="3" t="str">
        <f>HYPERLINK(склад2въезд13192021222378[[#This Row],[RelativePath]])</f>
        <v>12 Площадка 3 кран\K07156189_20_20251121T175452Z.jpg</v>
      </c>
    </row>
    <row r="48" spans="1:13" x14ac:dyDescent="0.25">
      <c r="A48" s="2" t="s">
        <v>18</v>
      </c>
      <c r="B48" s="4">
        <v>45983</v>
      </c>
      <c r="C48" s="5">
        <v>0.4045138888888889</v>
      </c>
      <c r="D48" s="9" t="s">
        <v>4</v>
      </c>
      <c r="E48" s="9" t="s">
        <v>8</v>
      </c>
      <c r="F48" s="9"/>
      <c r="H48" s="9"/>
      <c r="I48" s="9" t="s">
        <v>2574</v>
      </c>
      <c r="J48" s="9" t="s">
        <v>2942</v>
      </c>
      <c r="K48" t="s">
        <v>2575</v>
      </c>
      <c r="L48" t="s">
        <v>2576</v>
      </c>
      <c r="M48" s="3" t="str">
        <f>HYPERLINK(склад2въезд13192021222378[[#This Row],[RelativePath]])</f>
        <v>12 Площадка 3 кран\K07156189_20_20251122T094230Z.jpg</v>
      </c>
    </row>
    <row r="49" spans="1:13" x14ac:dyDescent="0.25">
      <c r="A49" s="2" t="s">
        <v>18</v>
      </c>
      <c r="B49" s="4">
        <v>45983</v>
      </c>
      <c r="C49" s="5">
        <v>0.74136574074074069</v>
      </c>
      <c r="D49" s="9" t="s">
        <v>1967</v>
      </c>
      <c r="E49" s="9"/>
      <c r="F49" s="9"/>
      <c r="H49" s="9"/>
      <c r="I49" s="9" t="s">
        <v>2577</v>
      </c>
      <c r="J49" s="9" t="s">
        <v>2942</v>
      </c>
      <c r="K49" t="s">
        <v>2578</v>
      </c>
      <c r="L49" t="s">
        <v>2579</v>
      </c>
      <c r="M49" s="3" t="str">
        <f>HYPERLINK(склад2въезд13192021222378[[#This Row],[RelativePath]])</f>
        <v>12 Площадка 3 кран\K07156189_20_20251122T174734Z.jpg</v>
      </c>
    </row>
    <row r="50" spans="1:13" x14ac:dyDescent="0.25">
      <c r="A50" s="2" t="s">
        <v>22</v>
      </c>
      <c r="B50" s="4">
        <v>45984</v>
      </c>
      <c r="C50" s="5">
        <v>0.39945601851851853</v>
      </c>
      <c r="D50" s="9" t="s">
        <v>4</v>
      </c>
      <c r="E50" s="9" t="s">
        <v>8</v>
      </c>
      <c r="F50" s="9"/>
      <c r="H50" s="9"/>
      <c r="I50" s="9" t="s">
        <v>2580</v>
      </c>
      <c r="J50" s="9" t="s">
        <v>2942</v>
      </c>
      <c r="K50" t="s">
        <v>2581</v>
      </c>
      <c r="L50" t="s">
        <v>2582</v>
      </c>
      <c r="M50" s="3" t="str">
        <f>HYPERLINK(склад2въезд13192021222378[[#This Row],[RelativePath]])</f>
        <v>12 Площадка 3 кран\K07156189_20_20251123T093513Z.jpg</v>
      </c>
    </row>
    <row r="51" spans="1:13" x14ac:dyDescent="0.25">
      <c r="A51" s="2" t="s">
        <v>22</v>
      </c>
      <c r="B51" s="4">
        <v>45984</v>
      </c>
      <c r="C51" s="5">
        <v>0.72593750000000001</v>
      </c>
      <c r="D51" s="9" t="s">
        <v>1967</v>
      </c>
      <c r="E51" s="9"/>
      <c r="F51" s="9"/>
      <c r="H51" s="9"/>
      <c r="I51" s="9" t="s">
        <v>2583</v>
      </c>
      <c r="J51" s="9" t="s">
        <v>2942</v>
      </c>
      <c r="K51" t="s">
        <v>2584</v>
      </c>
      <c r="L51" t="s">
        <v>2585</v>
      </c>
      <c r="M51" s="3" t="str">
        <f>HYPERLINK(склад2въезд13192021222378[[#This Row],[RelativePath]])</f>
        <v>12 Площадка 3 кран\K07156189_20_20251123T172521Z.jpg</v>
      </c>
    </row>
    <row r="52" spans="1:13" x14ac:dyDescent="0.25">
      <c r="A52" s="2" t="s">
        <v>13</v>
      </c>
      <c r="B52" s="4">
        <v>45985</v>
      </c>
      <c r="C52" s="5">
        <v>0.70083333333333331</v>
      </c>
      <c r="D52" s="9" t="s">
        <v>7</v>
      </c>
      <c r="E52" s="9"/>
      <c r="F52" s="9"/>
      <c r="H52" s="9"/>
      <c r="I52" s="9" t="s">
        <v>4068</v>
      </c>
      <c r="J52" s="9" t="s">
        <v>2942</v>
      </c>
      <c r="K52" t="s">
        <v>4069</v>
      </c>
      <c r="L52" t="s">
        <v>4070</v>
      </c>
      <c r="M52" s="3" t="str">
        <f>HYPERLINK(склад2въезд13192021222378[[#This Row],[RelativePath]])</f>
        <v>12 Площадка 3 кран\K07156189_20_20251124T164912Z.jpg</v>
      </c>
    </row>
    <row r="53" spans="1:13" x14ac:dyDescent="0.25">
      <c r="A53" s="2" t="s">
        <v>14</v>
      </c>
      <c r="B53" s="4">
        <v>45986</v>
      </c>
      <c r="C53" s="5">
        <v>0.40252314814814816</v>
      </c>
      <c r="D53" s="9" t="s">
        <v>4187</v>
      </c>
      <c r="E53" s="9" t="s">
        <v>4188</v>
      </c>
      <c r="F53" s="9"/>
      <c r="H53" s="9"/>
      <c r="I53" s="9" t="s">
        <v>4071</v>
      </c>
      <c r="J53" s="9" t="s">
        <v>2942</v>
      </c>
      <c r="K53" t="s">
        <v>4072</v>
      </c>
      <c r="L53" t="s">
        <v>4073</v>
      </c>
      <c r="M53" s="3" t="str">
        <f>HYPERLINK(склад2въезд13192021222378[[#This Row],[RelativePath]])</f>
        <v>12 Площадка 3 кран\K07156189_20_20251125T093938Z.jpg</v>
      </c>
    </row>
    <row r="54" spans="1:13" x14ac:dyDescent="0.25">
      <c r="A54" s="2" t="s">
        <v>14</v>
      </c>
      <c r="B54" s="4">
        <v>45986</v>
      </c>
      <c r="C54" s="5">
        <v>0.80796296296296299</v>
      </c>
      <c r="D54" s="9" t="s">
        <v>4187</v>
      </c>
      <c r="E54" s="9" t="s">
        <v>4188</v>
      </c>
      <c r="F54" s="9"/>
      <c r="H54" s="9"/>
      <c r="I54" s="9" t="s">
        <v>4074</v>
      </c>
      <c r="J54" s="9" t="s">
        <v>2942</v>
      </c>
      <c r="K54" t="s">
        <v>4075</v>
      </c>
      <c r="L54" t="s">
        <v>4076</v>
      </c>
      <c r="M54" s="3" t="str">
        <f>HYPERLINK(склад2въезд13192021222378[[#This Row],[RelativePath]])</f>
        <v>12 Площадка 3 кран\K07156189_20_20251125T192328Z.jpg</v>
      </c>
    </row>
    <row r="55" spans="1:13" x14ac:dyDescent="0.25">
      <c r="A55" s="2" t="s">
        <v>15</v>
      </c>
      <c r="B55" s="4">
        <v>45987</v>
      </c>
      <c r="C55" s="5">
        <v>0.41631944444444446</v>
      </c>
      <c r="D55" s="9" t="s">
        <v>4187</v>
      </c>
      <c r="E55" s="9" t="s">
        <v>4188</v>
      </c>
      <c r="F55" s="9"/>
      <c r="H55" s="9"/>
      <c r="I55" s="9" t="s">
        <v>4077</v>
      </c>
      <c r="J55" s="9" t="s">
        <v>2942</v>
      </c>
      <c r="K55" t="s">
        <v>4078</v>
      </c>
      <c r="L55" t="s">
        <v>4079</v>
      </c>
      <c r="M55" s="3" t="str">
        <f>HYPERLINK(склад2въезд13192021222378[[#This Row],[RelativePath]])</f>
        <v>12 Площадка 3 кран\K07156189_20_20251126T095930Z.jpg</v>
      </c>
    </row>
    <row r="56" spans="1:13" x14ac:dyDescent="0.25">
      <c r="A56" s="2" t="s">
        <v>16</v>
      </c>
      <c r="B56" s="4">
        <v>45988</v>
      </c>
      <c r="C56" s="5">
        <v>0.43282407407407408</v>
      </c>
      <c r="D56" s="9" t="s">
        <v>4187</v>
      </c>
      <c r="E56" s="9" t="s">
        <v>4188</v>
      </c>
      <c r="F56" s="9"/>
      <c r="H56" s="9"/>
      <c r="I56" s="9" t="s">
        <v>4080</v>
      </c>
      <c r="J56" s="9" t="s">
        <v>2942</v>
      </c>
      <c r="K56" t="s">
        <v>4081</v>
      </c>
      <c r="L56" t="s">
        <v>4082</v>
      </c>
      <c r="M56" s="3" t="str">
        <f>HYPERLINK(склад2въезд13192021222378[[#This Row],[RelativePath]])</f>
        <v>12 Площадка 3 кран\K07156189_20_20251127T102316Z.jpg</v>
      </c>
    </row>
    <row r="57" spans="1:13" x14ac:dyDescent="0.25">
      <c r="A57" s="2" t="s">
        <v>16</v>
      </c>
      <c r="B57" s="4">
        <v>45988</v>
      </c>
      <c r="C57" s="5">
        <v>0.47539351851851852</v>
      </c>
      <c r="D57" s="9" t="s">
        <v>4187</v>
      </c>
      <c r="E57" s="9" t="s">
        <v>4188</v>
      </c>
      <c r="F57" s="9"/>
      <c r="H57" s="9"/>
      <c r="I57" s="9" t="s">
        <v>4083</v>
      </c>
      <c r="J57" s="9" t="s">
        <v>2942</v>
      </c>
      <c r="K57" t="s">
        <v>4084</v>
      </c>
      <c r="L57" t="s">
        <v>4085</v>
      </c>
      <c r="M57" s="3" t="str">
        <f>HYPERLINK(склад2въезд13192021222378[[#This Row],[RelativePath]])</f>
        <v>12 Площадка 3 кран\K07156189_20_20251127T112434Z.jpg</v>
      </c>
    </row>
    <row r="58" spans="1:13" x14ac:dyDescent="0.25">
      <c r="A58" s="2" t="s">
        <v>16</v>
      </c>
      <c r="B58" s="4">
        <v>45988</v>
      </c>
      <c r="C58" s="5">
        <v>0.79962962962962958</v>
      </c>
      <c r="D58" s="9" t="s">
        <v>7</v>
      </c>
      <c r="E58" s="9" t="s">
        <v>4189</v>
      </c>
      <c r="F58" s="9"/>
      <c r="H58" s="9"/>
      <c r="I58" s="9" t="s">
        <v>4086</v>
      </c>
      <c r="J58" s="9" t="s">
        <v>2942</v>
      </c>
      <c r="K58" t="s">
        <v>4087</v>
      </c>
      <c r="L58" t="s">
        <v>4088</v>
      </c>
      <c r="M58" s="3" t="str">
        <f>HYPERLINK(склад2въезд13192021222378[[#This Row],[RelativePath]])</f>
        <v>12 Площадка 3 кран\K07156189_20_20251127T191128Z.jpg</v>
      </c>
    </row>
    <row r="59" spans="1:13" x14ac:dyDescent="0.25">
      <c r="A59" s="2" t="s">
        <v>17</v>
      </c>
      <c r="B59" s="4">
        <v>45989</v>
      </c>
      <c r="C59" s="5">
        <v>0.39568287037037037</v>
      </c>
      <c r="D59" s="9" t="s">
        <v>7</v>
      </c>
      <c r="E59" s="9" t="s">
        <v>4189</v>
      </c>
      <c r="F59" s="9"/>
      <c r="H59" s="9"/>
      <c r="I59" s="9" t="s">
        <v>4089</v>
      </c>
      <c r="J59" s="9" t="s">
        <v>2942</v>
      </c>
      <c r="K59" t="s">
        <v>4090</v>
      </c>
      <c r="L59" t="s">
        <v>4091</v>
      </c>
      <c r="M59" s="3" t="str">
        <f>HYPERLINK(склад2въезд13192021222378[[#This Row],[RelativePath]])</f>
        <v>12 Площадка 3 кран\K07156189_20_20251128T092947Z.jpg</v>
      </c>
    </row>
    <row r="60" spans="1:13" x14ac:dyDescent="0.25">
      <c r="A60" s="2" t="s">
        <v>17</v>
      </c>
      <c r="B60" s="4">
        <v>45989</v>
      </c>
      <c r="C60" s="5">
        <v>0.49561342592592594</v>
      </c>
      <c r="D60" s="9" t="s">
        <v>7</v>
      </c>
      <c r="E60" s="9" t="s">
        <v>4189</v>
      </c>
      <c r="F60" s="9"/>
      <c r="H60" s="9"/>
      <c r="I60" s="9" t="s">
        <v>4092</v>
      </c>
      <c r="J60" s="9" t="s">
        <v>2942</v>
      </c>
      <c r="K60" t="s">
        <v>4093</v>
      </c>
      <c r="L60" t="s">
        <v>4094</v>
      </c>
      <c r="M60" s="3" t="str">
        <f>HYPERLINK(склад2въезд13192021222378[[#This Row],[RelativePath]])</f>
        <v>12 Площадка 3 кран\K07156189_20_20251128T115341Z.jpg</v>
      </c>
    </row>
    <row r="61" spans="1:13" x14ac:dyDescent="0.25">
      <c r="A61" s="2" t="s">
        <v>17</v>
      </c>
      <c r="B61" s="4">
        <v>45989</v>
      </c>
      <c r="C61" s="5">
        <v>0.64461805555555551</v>
      </c>
      <c r="D61" s="9" t="s">
        <v>7</v>
      </c>
      <c r="E61" s="9" t="s">
        <v>4189</v>
      </c>
      <c r="F61" s="9"/>
      <c r="H61" s="9"/>
      <c r="I61" s="9" t="s">
        <v>4095</v>
      </c>
      <c r="J61" s="9" t="s">
        <v>2942</v>
      </c>
      <c r="K61" t="s">
        <v>4096</v>
      </c>
      <c r="L61" t="s">
        <v>4097</v>
      </c>
      <c r="M61" s="3" t="str">
        <f>HYPERLINK(склад2въезд13192021222378[[#This Row],[RelativePath]])</f>
        <v>12 Площадка 3 кран\K07156189_20_20251128T152815Z.jpg</v>
      </c>
    </row>
    <row r="62" spans="1:13" x14ac:dyDescent="0.25">
      <c r="A62" s="2" t="s">
        <v>17</v>
      </c>
      <c r="B62" s="4">
        <v>45989</v>
      </c>
      <c r="C62" s="5">
        <v>0.74853009259259262</v>
      </c>
      <c r="D62" s="9" t="s">
        <v>7</v>
      </c>
      <c r="E62" s="9" t="s">
        <v>4189</v>
      </c>
      <c r="F62" s="9"/>
      <c r="H62" s="9"/>
      <c r="I62" s="9" t="s">
        <v>4098</v>
      </c>
      <c r="J62" s="9" t="s">
        <v>2942</v>
      </c>
      <c r="K62" t="s">
        <v>4099</v>
      </c>
      <c r="L62" t="s">
        <v>4100</v>
      </c>
      <c r="M62" s="3" t="str">
        <f>HYPERLINK(склад2въезд13192021222378[[#This Row],[RelativePath]])</f>
        <v>12 Площадка 3 кран\K07156189_20_20251128T175753Z.jpg</v>
      </c>
    </row>
    <row r="63" spans="1:13" x14ac:dyDescent="0.25">
      <c r="A63" s="2" t="s">
        <v>17</v>
      </c>
      <c r="B63" s="4">
        <v>45989</v>
      </c>
      <c r="C63" s="5">
        <v>0.78932870370370367</v>
      </c>
      <c r="D63" s="9" t="s">
        <v>7</v>
      </c>
      <c r="E63" s="9" t="s">
        <v>4189</v>
      </c>
      <c r="F63" s="9"/>
      <c r="H63" s="9"/>
      <c r="I63" s="9" t="s">
        <v>4101</v>
      </c>
      <c r="J63" s="9" t="s">
        <v>2942</v>
      </c>
      <c r="K63" t="s">
        <v>4102</v>
      </c>
      <c r="L63" t="s">
        <v>4103</v>
      </c>
      <c r="M63" s="3" t="str">
        <f>HYPERLINK(склад2въезд13192021222378[[#This Row],[RelativePath]])</f>
        <v>12 Площадка 3 кран\K07156189_20_20251128T185638Z.jpg</v>
      </c>
    </row>
    <row r="64" spans="1:13" x14ac:dyDescent="0.25">
      <c r="A64" s="2" t="s">
        <v>18</v>
      </c>
      <c r="B64" s="4">
        <v>45990</v>
      </c>
      <c r="C64" s="5">
        <v>0.54959490740740746</v>
      </c>
      <c r="D64" s="9" t="s">
        <v>4</v>
      </c>
      <c r="E64" s="9" t="s">
        <v>8</v>
      </c>
      <c r="F64" s="9"/>
      <c r="H64" s="9"/>
      <c r="I64" s="9" t="s">
        <v>4104</v>
      </c>
      <c r="J64" s="9" t="s">
        <v>2942</v>
      </c>
      <c r="K64" t="s">
        <v>4105</v>
      </c>
      <c r="L64" t="s">
        <v>4106</v>
      </c>
      <c r="M64" s="3" t="str">
        <f>HYPERLINK(склад2въезд13192021222378[[#This Row],[RelativePath]])</f>
        <v>12 Площадка 3 кран\K07156189_20_20251129T131125Z.jpg</v>
      </c>
    </row>
    <row r="65" spans="1:13" x14ac:dyDescent="0.25">
      <c r="A65" s="2" t="s">
        <v>22</v>
      </c>
      <c r="B65" s="4">
        <v>45991</v>
      </c>
      <c r="C65" s="5">
        <v>0.74640046296296292</v>
      </c>
      <c r="D65" s="9" t="s">
        <v>1967</v>
      </c>
      <c r="E65" s="9"/>
      <c r="F65" s="9"/>
      <c r="H65" s="9"/>
      <c r="I65" s="9" t="s">
        <v>4231</v>
      </c>
      <c r="J65" s="9" t="s">
        <v>2942</v>
      </c>
      <c r="K65" t="s">
        <v>4232</v>
      </c>
      <c r="L65" t="s">
        <v>4233</v>
      </c>
      <c r="M65" s="3" t="str">
        <f>HYPERLINK(склад2въезд13192021222378[[#This Row],[RelativePath]])</f>
        <v>12 Площадка 3 кран\K07156189_20_20251130T175449Z.jpg</v>
      </c>
    </row>
    <row r="66" spans="1:13" x14ac:dyDescent="0.25">
      <c r="A66" s="2" t="s">
        <v>13</v>
      </c>
      <c r="B66" s="4">
        <v>45992</v>
      </c>
      <c r="C66" s="5">
        <v>0.42208333333333331</v>
      </c>
      <c r="D66" s="9" t="s">
        <v>4</v>
      </c>
      <c r="E66" s="9" t="s">
        <v>8</v>
      </c>
      <c r="F66" s="9"/>
      <c r="H66" s="9"/>
      <c r="I66" s="9" t="s">
        <v>4855</v>
      </c>
      <c r="J66" s="9" t="s">
        <v>2942</v>
      </c>
      <c r="K66" t="s">
        <v>4856</v>
      </c>
      <c r="L66" t="s">
        <v>4857</v>
      </c>
      <c r="M66" s="3" t="str">
        <f>HYPERLINK(склад2въезд13192021222378[[#This Row],[RelativePath]])</f>
        <v>12 Площадка 3 кран\K07156189_20_20251201T100748Z.jpg</v>
      </c>
    </row>
    <row r="67" spans="1:13" x14ac:dyDescent="0.25">
      <c r="A67" s="2" t="s">
        <v>13</v>
      </c>
      <c r="B67" s="4">
        <v>45992</v>
      </c>
      <c r="C67" s="5">
        <v>0.42554398148148148</v>
      </c>
      <c r="D67" s="9" t="s">
        <v>4</v>
      </c>
      <c r="E67" s="9" t="s">
        <v>8</v>
      </c>
      <c r="F67" s="9"/>
      <c r="H67" s="9" t="s">
        <v>2891</v>
      </c>
      <c r="I67" s="9" t="s">
        <v>4858</v>
      </c>
      <c r="J67" s="9" t="s">
        <v>2942</v>
      </c>
      <c r="K67" t="s">
        <v>4859</v>
      </c>
      <c r="L67" t="s">
        <v>4860</v>
      </c>
      <c r="M67" s="3" t="str">
        <f>HYPERLINK(склад2въезд13192021222378[[#This Row],[RelativePath]])</f>
        <v>12 Площадка 3 кран\K07156189_20_20251201T101247Z.jpg</v>
      </c>
    </row>
    <row r="68" spans="1:13" x14ac:dyDescent="0.25">
      <c r="A68" s="2" t="s">
        <v>13</v>
      </c>
      <c r="B68" s="4">
        <v>45992</v>
      </c>
      <c r="C68" s="5">
        <v>0.48402777777777778</v>
      </c>
      <c r="D68" s="9" t="s">
        <v>4</v>
      </c>
      <c r="E68" s="9" t="s">
        <v>8</v>
      </c>
      <c r="F68" s="9"/>
      <c r="H68" s="9" t="s">
        <v>2891</v>
      </c>
      <c r="I68" s="9" t="s">
        <v>4861</v>
      </c>
      <c r="J68" s="9" t="s">
        <v>2942</v>
      </c>
      <c r="K68" t="s">
        <v>4862</v>
      </c>
      <c r="L68" t="s">
        <v>4863</v>
      </c>
      <c r="M68" s="3" t="str">
        <f>HYPERLINK(склад2въезд13192021222378[[#This Row],[RelativePath]])</f>
        <v>12 Площадка 3 кран\K07156189_20_20251201T113700Z.jpg</v>
      </c>
    </row>
    <row r="69" spans="1:13" x14ac:dyDescent="0.25">
      <c r="A69" s="2" t="s">
        <v>13</v>
      </c>
      <c r="B69" s="4">
        <v>45992</v>
      </c>
      <c r="C69" s="5">
        <v>0.5902546296296296</v>
      </c>
      <c r="D69" s="9" t="s">
        <v>4</v>
      </c>
      <c r="E69" s="9" t="s">
        <v>8</v>
      </c>
      <c r="F69" s="9"/>
      <c r="H69" s="9" t="s">
        <v>2891</v>
      </c>
      <c r="I69" s="9" t="s">
        <v>4864</v>
      </c>
      <c r="J69" s="9" t="s">
        <v>2942</v>
      </c>
      <c r="K69" t="s">
        <v>4865</v>
      </c>
      <c r="L69" t="s">
        <v>4866</v>
      </c>
      <c r="M69" s="3" t="str">
        <f>HYPERLINK(склад2въезд13192021222378[[#This Row],[RelativePath]])</f>
        <v>12 Площадка 3 кран\K07156189_20_20251201T140958Z.jpg</v>
      </c>
    </row>
    <row r="70" spans="1:13" x14ac:dyDescent="0.25">
      <c r="A70" s="2" t="s">
        <v>13</v>
      </c>
      <c r="B70" s="4">
        <v>45992</v>
      </c>
      <c r="C70" s="5">
        <v>0.64156250000000004</v>
      </c>
      <c r="D70" s="9" t="s">
        <v>4</v>
      </c>
      <c r="E70" s="9" t="s">
        <v>8</v>
      </c>
      <c r="F70" s="9"/>
      <c r="H70" s="9" t="s">
        <v>2891</v>
      </c>
      <c r="I70" s="9" t="s">
        <v>4867</v>
      </c>
      <c r="J70" s="9" t="s">
        <v>2942</v>
      </c>
      <c r="K70" t="s">
        <v>4868</v>
      </c>
      <c r="L70" t="s">
        <v>4869</v>
      </c>
      <c r="M70" s="3" t="str">
        <f>HYPERLINK(склад2въезд13192021222378[[#This Row],[RelativePath]])</f>
        <v>12 Площадка 3 кран\K07156189_20_20251201T152351Z.jpg</v>
      </c>
    </row>
    <row r="71" spans="1:13" x14ac:dyDescent="0.25">
      <c r="A71" s="2" t="s">
        <v>13</v>
      </c>
      <c r="B71" s="4">
        <v>45992</v>
      </c>
      <c r="C71" s="5">
        <v>0.64270833333333333</v>
      </c>
      <c r="D71" s="9" t="s">
        <v>4</v>
      </c>
      <c r="E71" s="9" t="s">
        <v>8</v>
      </c>
      <c r="F71" s="9"/>
      <c r="H71" s="9" t="s">
        <v>2891</v>
      </c>
      <c r="I71" s="9" t="s">
        <v>4870</v>
      </c>
      <c r="J71" s="9" t="s">
        <v>2942</v>
      </c>
      <c r="K71" t="s">
        <v>4871</v>
      </c>
      <c r="L71" t="s">
        <v>4872</v>
      </c>
      <c r="M71" s="3" t="str">
        <f>HYPERLINK(склад2въезд13192021222378[[#This Row],[RelativePath]])</f>
        <v>12 Площадка 3 кран\K07156189_20_20251201T152530Z.jpg</v>
      </c>
    </row>
    <row r="72" spans="1:13" x14ac:dyDescent="0.25">
      <c r="A72" s="2" t="s">
        <v>13</v>
      </c>
      <c r="B72" s="4">
        <v>45992</v>
      </c>
      <c r="C72" s="5">
        <v>0.72781249999999997</v>
      </c>
      <c r="D72" s="9" t="s">
        <v>4</v>
      </c>
      <c r="E72" s="9" t="s">
        <v>8</v>
      </c>
      <c r="F72" s="9"/>
      <c r="H72" s="9" t="s">
        <v>2891</v>
      </c>
      <c r="I72" s="9" t="s">
        <v>4873</v>
      </c>
      <c r="J72" s="9" t="s">
        <v>2942</v>
      </c>
      <c r="K72" t="s">
        <v>4874</v>
      </c>
      <c r="L72" t="s">
        <v>4875</v>
      </c>
      <c r="M72" s="3" t="str">
        <f>HYPERLINK(склад2въезд13192021222378[[#This Row],[RelativePath]])</f>
        <v>12 Площадка 3 кран\K07156189_20_20251201T172803Z.jpg</v>
      </c>
    </row>
    <row r="73" spans="1:13" x14ac:dyDescent="0.25">
      <c r="A73" s="2" t="s">
        <v>14</v>
      </c>
      <c r="B73" s="4">
        <v>45993</v>
      </c>
      <c r="C73" s="5">
        <v>0.51583333333333337</v>
      </c>
      <c r="D73" s="9" t="s">
        <v>4</v>
      </c>
      <c r="E73" s="9" t="s">
        <v>8</v>
      </c>
      <c r="F73" s="9"/>
      <c r="H73" s="9" t="s">
        <v>2891</v>
      </c>
      <c r="I73" s="9" t="s">
        <v>4876</v>
      </c>
      <c r="J73" s="9" t="s">
        <v>2942</v>
      </c>
      <c r="K73" t="s">
        <v>4877</v>
      </c>
      <c r="L73" t="s">
        <v>4878</v>
      </c>
      <c r="M73" s="3" t="str">
        <f>HYPERLINK(склад2въезд13192021222378[[#This Row],[RelativePath]])</f>
        <v>12 Площадка 3 кран\K07156189_20_20251202T122248Z.jpg</v>
      </c>
    </row>
    <row r="74" spans="1:13" x14ac:dyDescent="0.25">
      <c r="A74" s="2" t="s">
        <v>14</v>
      </c>
      <c r="B74" s="4">
        <v>45993</v>
      </c>
      <c r="C74" s="5">
        <v>0.64215277777777779</v>
      </c>
      <c r="D74" s="9" t="s">
        <v>4</v>
      </c>
      <c r="E74" s="9" t="s">
        <v>8</v>
      </c>
      <c r="F74" s="9"/>
      <c r="H74" s="9" t="s">
        <v>2891</v>
      </c>
      <c r="I74" s="9" t="s">
        <v>4879</v>
      </c>
      <c r="J74" s="9" t="s">
        <v>2942</v>
      </c>
      <c r="K74" t="s">
        <v>4880</v>
      </c>
      <c r="L74" t="s">
        <v>4881</v>
      </c>
      <c r="M74" s="3" t="str">
        <f>HYPERLINK(склад2въезд13192021222378[[#This Row],[RelativePath]])</f>
        <v>12 Площадка 3 кран\K07156189_20_20251202T152442Z.jpg</v>
      </c>
    </row>
    <row r="75" spans="1:13" x14ac:dyDescent="0.25">
      <c r="A75" s="2" t="s">
        <v>14</v>
      </c>
      <c r="B75" s="4">
        <v>45993</v>
      </c>
      <c r="C75" s="5">
        <v>0.73615740740740743</v>
      </c>
      <c r="D75" s="9" t="s">
        <v>4</v>
      </c>
      <c r="E75" s="9" t="s">
        <v>8</v>
      </c>
      <c r="F75" s="9"/>
      <c r="H75" s="9" t="s">
        <v>2891</v>
      </c>
      <c r="I75" s="9" t="s">
        <v>4882</v>
      </c>
      <c r="J75" s="9" t="s">
        <v>2942</v>
      </c>
      <c r="K75" t="s">
        <v>4883</v>
      </c>
      <c r="L75" t="s">
        <v>4884</v>
      </c>
      <c r="M75" s="3" t="str">
        <f>HYPERLINK(склад2въезд13192021222378[[#This Row],[RelativePath]])</f>
        <v>12 Площадка 3 кран\K07156189_20_20251202T174004Z.jpg</v>
      </c>
    </row>
    <row r="76" spans="1:13" x14ac:dyDescent="0.25">
      <c r="A76" s="2" t="s">
        <v>15</v>
      </c>
      <c r="B76" s="4">
        <v>45994</v>
      </c>
      <c r="C76" s="5">
        <v>0.39524305555555556</v>
      </c>
      <c r="D76" s="9" t="s">
        <v>4</v>
      </c>
      <c r="E76" s="9" t="s">
        <v>8</v>
      </c>
      <c r="F76" s="9"/>
      <c r="H76" s="9" t="s">
        <v>2891</v>
      </c>
      <c r="I76" s="9" t="s">
        <v>4885</v>
      </c>
      <c r="J76" s="9" t="s">
        <v>2942</v>
      </c>
      <c r="K76" t="s">
        <v>4886</v>
      </c>
      <c r="L76" t="s">
        <v>4887</v>
      </c>
      <c r="M76" s="3" t="str">
        <f>HYPERLINK(склад2въезд13192021222378[[#This Row],[RelativePath]])</f>
        <v>12 Площадка 3 кран\K07156189_20_20251203T092909Z.jpg</v>
      </c>
    </row>
    <row r="77" spans="1:13" x14ac:dyDescent="0.25">
      <c r="A77" s="2" t="s">
        <v>15</v>
      </c>
      <c r="B77" s="4">
        <v>45994</v>
      </c>
      <c r="C77" s="5">
        <v>0.43937500000000002</v>
      </c>
      <c r="D77" s="9" t="s">
        <v>4</v>
      </c>
      <c r="E77" s="9" t="s">
        <v>8</v>
      </c>
      <c r="F77" s="9"/>
      <c r="H77" s="9" t="s">
        <v>2891</v>
      </c>
      <c r="I77" s="9" t="s">
        <v>4888</v>
      </c>
      <c r="J77" s="9" t="s">
        <v>2942</v>
      </c>
      <c r="K77" t="s">
        <v>4889</v>
      </c>
      <c r="L77" t="s">
        <v>4890</v>
      </c>
      <c r="M77" s="3" t="str">
        <f>HYPERLINK(склад2въезд13192021222378[[#This Row],[RelativePath]])</f>
        <v>12 Площадка 3 кран\K07156189_20_20251203T103242Z.jpg</v>
      </c>
    </row>
    <row r="78" spans="1:13" x14ac:dyDescent="0.25">
      <c r="A78" s="2" t="s">
        <v>15</v>
      </c>
      <c r="B78" s="4">
        <v>45994</v>
      </c>
      <c r="C78" s="5">
        <v>0.47871527777777778</v>
      </c>
      <c r="D78" s="9" t="s">
        <v>4</v>
      </c>
      <c r="E78" s="9" t="s">
        <v>8</v>
      </c>
      <c r="F78" s="9"/>
      <c r="H78" s="9" t="s">
        <v>2891</v>
      </c>
      <c r="I78" s="9" t="s">
        <v>4891</v>
      </c>
      <c r="J78" s="9" t="s">
        <v>2942</v>
      </c>
      <c r="K78" t="s">
        <v>4892</v>
      </c>
      <c r="L78" t="s">
        <v>4893</v>
      </c>
      <c r="M78" s="3" t="str">
        <f>HYPERLINK(склад2въезд13192021222378[[#This Row],[RelativePath]])</f>
        <v>12 Площадка 3 кран\K07156189_20_20251203T112921Z.jpg</v>
      </c>
    </row>
    <row r="79" spans="1:13" x14ac:dyDescent="0.25">
      <c r="A79" s="2" t="s">
        <v>15</v>
      </c>
      <c r="B79" s="4">
        <v>45994</v>
      </c>
      <c r="C79" s="5">
        <v>0.53697916666666667</v>
      </c>
      <c r="D79" s="9" t="s">
        <v>4</v>
      </c>
      <c r="E79" s="9" t="s">
        <v>8</v>
      </c>
      <c r="F79" s="9"/>
      <c r="H79" s="9" t="s">
        <v>2891</v>
      </c>
      <c r="I79" s="9" t="s">
        <v>4894</v>
      </c>
      <c r="J79" s="9" t="s">
        <v>2942</v>
      </c>
      <c r="K79" t="s">
        <v>4895</v>
      </c>
      <c r="L79" t="s">
        <v>4896</v>
      </c>
      <c r="M79" s="3" t="str">
        <f>HYPERLINK(склад2въезд13192021222378[[#This Row],[RelativePath]])</f>
        <v>12 Площадка 3 кран\K07156189_20_20251203T125315Z.jpg</v>
      </c>
    </row>
    <row r="80" spans="1:13" x14ac:dyDescent="0.25">
      <c r="A80" s="2" t="s">
        <v>15</v>
      </c>
      <c r="B80" s="4">
        <v>45994</v>
      </c>
      <c r="C80" s="5">
        <v>0.72813657407407406</v>
      </c>
      <c r="D80" s="9" t="s">
        <v>4</v>
      </c>
      <c r="E80" s="9" t="s">
        <v>8</v>
      </c>
      <c r="F80" s="9"/>
      <c r="H80" s="9" t="s">
        <v>2891</v>
      </c>
      <c r="I80" s="9" t="s">
        <v>4897</v>
      </c>
      <c r="J80" s="9" t="s">
        <v>2942</v>
      </c>
      <c r="K80" t="s">
        <v>4898</v>
      </c>
      <c r="L80" t="s">
        <v>4899</v>
      </c>
      <c r="M80" s="3" t="str">
        <f>HYPERLINK(склад2въезд13192021222378[[#This Row],[RelativePath]])</f>
        <v>12 Площадка 3 кран\K07156189_20_20251203T172831Z.jpg</v>
      </c>
    </row>
    <row r="81" spans="1:13" x14ac:dyDescent="0.25">
      <c r="A81" s="2" t="s">
        <v>16</v>
      </c>
      <c r="B81" s="4">
        <v>45995</v>
      </c>
      <c r="C81" s="5">
        <v>0.7222453703703704</v>
      </c>
      <c r="D81" s="9" t="s">
        <v>4</v>
      </c>
      <c r="E81" s="9" t="s">
        <v>8</v>
      </c>
      <c r="F81" s="9"/>
      <c r="H81" s="9" t="s">
        <v>2891</v>
      </c>
      <c r="I81" s="9" t="s">
        <v>4900</v>
      </c>
      <c r="J81" s="9" t="s">
        <v>2942</v>
      </c>
      <c r="K81" t="s">
        <v>4901</v>
      </c>
      <c r="L81" t="s">
        <v>4902</v>
      </c>
      <c r="M81" s="3" t="str">
        <f>HYPERLINK(склад2въезд13192021222378[[#This Row],[RelativePath]])</f>
        <v>12 Площадка 3 кран\K07156189_20_20251204T172002Z.jpg</v>
      </c>
    </row>
    <row r="82" spans="1:13" x14ac:dyDescent="0.25">
      <c r="A82" s="2" t="s">
        <v>17</v>
      </c>
      <c r="B82" s="4">
        <v>45996</v>
      </c>
      <c r="C82" s="5">
        <v>0.59208333333333329</v>
      </c>
      <c r="D82" s="9" t="s">
        <v>4</v>
      </c>
      <c r="E82" s="9" t="s">
        <v>8</v>
      </c>
      <c r="F82" s="9"/>
      <c r="H82" s="9" t="s">
        <v>2891</v>
      </c>
      <c r="I82" s="9" t="s">
        <v>4903</v>
      </c>
      <c r="J82" s="9" t="s">
        <v>2942</v>
      </c>
      <c r="K82" t="s">
        <v>4904</v>
      </c>
      <c r="L82" t="s">
        <v>4905</v>
      </c>
      <c r="M82" s="3" t="str">
        <f>HYPERLINK(склад2въезд13192021222378[[#This Row],[RelativePath]])</f>
        <v>12 Площадка 3 кран\K07156189_20_20251205T141236Z.jpg</v>
      </c>
    </row>
    <row r="83" spans="1:13" x14ac:dyDescent="0.25">
      <c r="A83" s="2" t="s">
        <v>17</v>
      </c>
      <c r="B83" s="4">
        <v>45996</v>
      </c>
      <c r="C83" s="5">
        <v>0.61332175925925925</v>
      </c>
      <c r="D83" s="9" t="s">
        <v>4</v>
      </c>
      <c r="E83" s="9" t="s">
        <v>8</v>
      </c>
      <c r="F83" s="9"/>
      <c r="H83" s="9" t="s">
        <v>2891</v>
      </c>
      <c r="I83" s="9" t="s">
        <v>4906</v>
      </c>
      <c r="J83" s="9" t="s">
        <v>2942</v>
      </c>
      <c r="K83" t="s">
        <v>4907</v>
      </c>
      <c r="L83" t="s">
        <v>4908</v>
      </c>
      <c r="M83" s="3" t="str">
        <f>HYPERLINK(склад2въезд13192021222378[[#This Row],[RelativePath]])</f>
        <v>12 Площадка 3 кран\K07156189_20_20251205T144311Z.jpg</v>
      </c>
    </row>
    <row r="84" spans="1:13" x14ac:dyDescent="0.25">
      <c r="A84" s="2" t="s">
        <v>17</v>
      </c>
      <c r="B84" s="4">
        <v>45996</v>
      </c>
      <c r="C84" s="5">
        <v>0.72387731481481477</v>
      </c>
      <c r="D84" s="9" t="s">
        <v>4</v>
      </c>
      <c r="E84" s="9" t="s">
        <v>8</v>
      </c>
      <c r="F84" s="9"/>
      <c r="H84" s="9" t="s">
        <v>2891</v>
      </c>
      <c r="I84" s="9" t="s">
        <v>4909</v>
      </c>
      <c r="J84" s="9" t="s">
        <v>2942</v>
      </c>
      <c r="K84" t="s">
        <v>4910</v>
      </c>
      <c r="L84" t="s">
        <v>4911</v>
      </c>
      <c r="M84" s="3" t="str">
        <f>HYPERLINK(склад2въезд13192021222378[[#This Row],[RelativePath]])</f>
        <v>12 Площадка 3 кран\K07156189_20_20251205T172223Z.jpg</v>
      </c>
    </row>
    <row r="85" spans="1:13" x14ac:dyDescent="0.25">
      <c r="A85" s="2" t="s">
        <v>18</v>
      </c>
      <c r="B85" s="4">
        <v>45997</v>
      </c>
      <c r="C85" s="5">
        <v>0.65930555555555559</v>
      </c>
      <c r="D85" s="9" t="s">
        <v>1967</v>
      </c>
      <c r="E85" s="9" t="s">
        <v>8</v>
      </c>
      <c r="F85" s="9"/>
      <c r="H85" s="9"/>
      <c r="I85" s="9" t="s">
        <v>4912</v>
      </c>
      <c r="J85" s="9" t="s">
        <v>2942</v>
      </c>
      <c r="K85" t="s">
        <v>4913</v>
      </c>
      <c r="L85" t="s">
        <v>4914</v>
      </c>
      <c r="M85" s="3" t="str">
        <f>HYPERLINK(склад2въезд13192021222378[[#This Row],[RelativePath]])</f>
        <v>12 Площадка 3 кран\K07156189_20_20251206T154924Z.jpg</v>
      </c>
    </row>
    <row r="86" spans="1:13" x14ac:dyDescent="0.25">
      <c r="A86" s="2" t="s">
        <v>22</v>
      </c>
      <c r="B86" s="4">
        <v>45998</v>
      </c>
      <c r="C86" s="5">
        <v>0.64473379629629635</v>
      </c>
      <c r="D86" s="9" t="s">
        <v>1967</v>
      </c>
      <c r="E86" s="9" t="s">
        <v>8</v>
      </c>
      <c r="F86" s="9"/>
      <c r="H86" s="9"/>
      <c r="I86" s="9" t="s">
        <v>5150</v>
      </c>
      <c r="J86" s="9" t="s">
        <v>2942</v>
      </c>
      <c r="K86" t="s">
        <v>5151</v>
      </c>
      <c r="L86" t="s">
        <v>5152</v>
      </c>
      <c r="M86" s="3" t="str">
        <f>HYPERLINK(склад2въезд13192021222378[[#This Row],[RelativePath]])</f>
        <v>12 Площадка 3 кран\K07156189_20_20251207T152825Z.jpg</v>
      </c>
    </row>
    <row r="87" spans="1:13" x14ac:dyDescent="0.25">
      <c r="A87" s="2" t="s">
        <v>13</v>
      </c>
      <c r="B87" s="4">
        <v>45999</v>
      </c>
      <c r="C87" s="5">
        <v>0.36081018518518521</v>
      </c>
      <c r="D87" s="9" t="s">
        <v>4</v>
      </c>
      <c r="E87" s="9" t="s">
        <v>5409</v>
      </c>
      <c r="F87" s="9"/>
      <c r="H87" s="9"/>
      <c r="I87" s="9" t="s">
        <v>5390</v>
      </c>
      <c r="J87" s="9" t="s">
        <v>2942</v>
      </c>
      <c r="K87" t="s">
        <v>5391</v>
      </c>
      <c r="L87" t="s">
        <v>5392</v>
      </c>
      <c r="M87" s="3" t="str">
        <f>HYPERLINK(склад2въезд13192021222378[[#This Row],[RelativePath]])</f>
        <v>12 Площадка 3 кран\K07156189_20_20251208T083934Z.jpg</v>
      </c>
    </row>
    <row r="88" spans="1:13" x14ac:dyDescent="0.25">
      <c r="A88" s="2" t="s">
        <v>13</v>
      </c>
      <c r="B88" s="4">
        <v>45999</v>
      </c>
      <c r="C88" s="5">
        <v>0.43312499999999998</v>
      </c>
      <c r="D88" s="9" t="s">
        <v>4</v>
      </c>
      <c r="E88" s="9" t="s">
        <v>8</v>
      </c>
      <c r="F88" s="9"/>
      <c r="H88" s="9"/>
      <c r="I88" s="9" t="s">
        <v>5393</v>
      </c>
      <c r="J88" s="9" t="s">
        <v>2942</v>
      </c>
      <c r="K88" t="s">
        <v>5394</v>
      </c>
      <c r="L88" t="s">
        <v>5395</v>
      </c>
      <c r="M88" s="3" t="str">
        <f>HYPERLINK(склад2въезд13192021222378[[#This Row],[RelativePath]])</f>
        <v>12 Площадка 3 кран\K07156189_20_20251208T102342Z.jpg</v>
      </c>
    </row>
    <row r="89" spans="1:13" x14ac:dyDescent="0.25">
      <c r="A89" s="2" t="s">
        <v>13</v>
      </c>
      <c r="B89" s="4">
        <v>45999</v>
      </c>
      <c r="C89" s="5">
        <v>0.71733796296296293</v>
      </c>
      <c r="D89" s="9" t="s">
        <v>4</v>
      </c>
      <c r="E89" s="9" t="s">
        <v>5409</v>
      </c>
      <c r="F89" s="9"/>
      <c r="H89" s="9" t="s">
        <v>5410</v>
      </c>
      <c r="I89" s="9" t="s">
        <v>5396</v>
      </c>
      <c r="J89" s="9" t="s">
        <v>2942</v>
      </c>
      <c r="K89" t="s">
        <v>5397</v>
      </c>
      <c r="L89" t="s">
        <v>5398</v>
      </c>
      <c r="M89" s="3" t="str">
        <f>HYPERLINK(склад2въезд13192021222378[[#This Row],[RelativePath]])</f>
        <v>12 Площадка 3 кран\K07156189_20_20251208T171258Z.jpg</v>
      </c>
    </row>
    <row r="90" spans="1:13" x14ac:dyDescent="0.25">
      <c r="A90" s="2" t="s">
        <v>14</v>
      </c>
      <c r="B90" s="4">
        <v>46000</v>
      </c>
      <c r="C90" s="5">
        <v>0.74582175925925931</v>
      </c>
      <c r="D90" s="9" t="s">
        <v>1967</v>
      </c>
      <c r="E90" s="9" t="s">
        <v>8</v>
      </c>
      <c r="F90" s="9"/>
      <c r="H90" s="9"/>
      <c r="I90" s="9" t="s">
        <v>5588</v>
      </c>
      <c r="J90" s="9" t="s">
        <v>2942</v>
      </c>
      <c r="K90" t="s">
        <v>5589</v>
      </c>
      <c r="L90" t="s">
        <v>5590</v>
      </c>
      <c r="M90" s="3" t="str">
        <f>HYPERLINK(склад2въезд13192021222378[[#This Row],[RelativePath]])</f>
        <v>12 Площадка 3 кран\K07156189_20_20251209T175359Z.jpg</v>
      </c>
    </row>
    <row r="91" spans="1:13" x14ac:dyDescent="0.25">
      <c r="A91" s="2" t="s">
        <v>15</v>
      </c>
      <c r="B91" s="4">
        <v>46001</v>
      </c>
      <c r="C91" s="5">
        <v>0.66309027777777774</v>
      </c>
      <c r="D91" s="9" t="s">
        <v>1967</v>
      </c>
      <c r="E91" s="9" t="s">
        <v>8</v>
      </c>
      <c r="F91" s="9"/>
      <c r="H91" s="9"/>
      <c r="I91" s="9" t="s">
        <v>5591</v>
      </c>
      <c r="J91" s="9" t="s">
        <v>2942</v>
      </c>
      <c r="K91" t="s">
        <v>5592</v>
      </c>
      <c r="L91" t="s">
        <v>5593</v>
      </c>
      <c r="M91" s="3" t="str">
        <f>HYPERLINK(склад2въезд13192021222378[[#This Row],[RelativePath]])</f>
        <v>12 Площадка 3 кран\K07156189_20_20251210T155451Z.jpg</v>
      </c>
    </row>
    <row r="92" spans="1:13" x14ac:dyDescent="0.25">
      <c r="A92" s="2" t="s">
        <v>16</v>
      </c>
      <c r="B92" s="4">
        <v>46002</v>
      </c>
      <c r="C92" s="5">
        <v>0.43224537037037036</v>
      </c>
      <c r="D92" s="9" t="s">
        <v>1967</v>
      </c>
      <c r="E92" s="9" t="s">
        <v>8</v>
      </c>
      <c r="F92" s="9"/>
      <c r="H92" s="9"/>
      <c r="I92" s="9" t="s">
        <v>5594</v>
      </c>
      <c r="J92" s="9" t="s">
        <v>2942</v>
      </c>
      <c r="K92" t="s">
        <v>5595</v>
      </c>
      <c r="L92" t="s">
        <v>5596</v>
      </c>
      <c r="M92" s="3" t="str">
        <f>HYPERLINK(склад2въезд13192021222378[[#This Row],[RelativePath]])</f>
        <v>12 Площадка 3 кран\K07156189_20_20251211T102226Z.jpg</v>
      </c>
    </row>
    <row r="93" spans="1:13" x14ac:dyDescent="0.25">
      <c r="A93" s="2" t="s">
        <v>17</v>
      </c>
      <c r="B93" s="4">
        <v>46003</v>
      </c>
      <c r="C93" s="5">
        <v>0.4026851851851852</v>
      </c>
      <c r="D93" s="9" t="s">
        <v>4</v>
      </c>
      <c r="E93" s="9" t="s">
        <v>8</v>
      </c>
      <c r="F93" s="9"/>
      <c r="H93" s="9"/>
      <c r="I93" s="9" t="s">
        <v>5929</v>
      </c>
      <c r="J93" s="9" t="s">
        <v>2942</v>
      </c>
      <c r="K93" t="s">
        <v>5930</v>
      </c>
      <c r="L93" t="s">
        <v>5931</v>
      </c>
      <c r="M93" s="3" t="str">
        <f>HYPERLINK(склад2въезд13192021222378[[#This Row],[RelativePath]])</f>
        <v>12 Площадка 3 кран\K07156189_20_20251212T093952Z.jpg</v>
      </c>
    </row>
    <row r="94" spans="1:13" x14ac:dyDescent="0.25">
      <c r="A94" s="2" t="s">
        <v>17</v>
      </c>
      <c r="B94" s="4">
        <v>46003</v>
      </c>
      <c r="C94" s="5">
        <v>0.44226851851851851</v>
      </c>
      <c r="D94" s="9" t="s">
        <v>622</v>
      </c>
      <c r="E94" s="9" t="s">
        <v>6111</v>
      </c>
      <c r="F94" s="9"/>
      <c r="H94" s="9"/>
      <c r="I94" s="9" t="s">
        <v>5932</v>
      </c>
      <c r="J94" s="9" t="s">
        <v>2942</v>
      </c>
      <c r="K94" t="s">
        <v>5933</v>
      </c>
      <c r="L94" t="s">
        <v>5934</v>
      </c>
      <c r="M94" s="3" t="str">
        <f>HYPERLINK(склад2въезд13192021222378[[#This Row],[RelativePath]])</f>
        <v>12 Площадка 3 кран\K07156189_20_20251212T103652Z.jpg</v>
      </c>
    </row>
    <row r="95" spans="1:13" x14ac:dyDescent="0.25">
      <c r="A95" s="2" t="s">
        <v>17</v>
      </c>
      <c r="B95" s="4">
        <v>46003</v>
      </c>
      <c r="C95" s="5">
        <v>0.44238425925925928</v>
      </c>
      <c r="D95" s="9" t="s">
        <v>622</v>
      </c>
      <c r="E95" s="9" t="s">
        <v>6111</v>
      </c>
      <c r="F95" s="9"/>
      <c r="H95" s="9" t="s">
        <v>2891</v>
      </c>
      <c r="I95" s="9" t="s">
        <v>5935</v>
      </c>
      <c r="J95" s="9" t="s">
        <v>2942</v>
      </c>
      <c r="K95" t="s">
        <v>5936</v>
      </c>
      <c r="L95" t="s">
        <v>5937</v>
      </c>
      <c r="M95" s="3" t="str">
        <f>HYPERLINK(склад2въезд13192021222378[[#This Row],[RelativePath]])</f>
        <v>12 Площадка 3 кран\K07156189_20_20251212T103702Z.jpg</v>
      </c>
    </row>
    <row r="96" spans="1:13" x14ac:dyDescent="0.25">
      <c r="A96" s="2" t="s">
        <v>17</v>
      </c>
      <c r="B96" s="4">
        <v>46003</v>
      </c>
      <c r="C96" s="5">
        <v>0.73417824074074078</v>
      </c>
      <c r="D96" s="9" t="s">
        <v>4</v>
      </c>
      <c r="E96" s="9" t="s">
        <v>8</v>
      </c>
      <c r="F96" s="9"/>
      <c r="H96" s="9"/>
      <c r="I96" s="9" t="s">
        <v>5938</v>
      </c>
      <c r="J96" s="9" t="s">
        <v>2942</v>
      </c>
      <c r="K96" t="s">
        <v>5939</v>
      </c>
      <c r="L96" t="s">
        <v>5940</v>
      </c>
      <c r="M96" s="3" t="str">
        <f>HYPERLINK(склад2въезд13192021222378[[#This Row],[RelativePath]])</f>
        <v>12 Площадка 3 кран\K07156189_20_20251212T173713Z.jpg</v>
      </c>
    </row>
    <row r="97" spans="1:13" x14ac:dyDescent="0.25">
      <c r="A97" s="2" t="s">
        <v>18</v>
      </c>
      <c r="B97" s="4">
        <v>46004</v>
      </c>
      <c r="C97" s="5">
        <v>0.7330902777777778</v>
      </c>
      <c r="D97" s="9" t="s">
        <v>1967</v>
      </c>
      <c r="E97" s="9" t="s">
        <v>8</v>
      </c>
      <c r="F97" s="9"/>
      <c r="H97" s="9"/>
      <c r="I97" s="9" t="s">
        <v>5941</v>
      </c>
      <c r="J97" s="9" t="s">
        <v>2942</v>
      </c>
      <c r="K97" t="s">
        <v>5942</v>
      </c>
      <c r="L97" t="s">
        <v>5943</v>
      </c>
      <c r="M97" s="3" t="str">
        <f>HYPERLINK(склад2въезд13192021222378[[#This Row],[RelativePath]])</f>
        <v>12 Площадка 3 кран\K07156189_20_20251213T173539Z.jpg</v>
      </c>
    </row>
    <row r="98" spans="1:13" x14ac:dyDescent="0.25">
      <c r="A98" s="2" t="s">
        <v>22</v>
      </c>
      <c r="B98" s="4">
        <v>46005</v>
      </c>
      <c r="C98" s="5">
        <v>0.75581018518518517</v>
      </c>
      <c r="D98" s="9" t="s">
        <v>1967</v>
      </c>
      <c r="E98" s="9" t="s">
        <v>8</v>
      </c>
      <c r="F98" s="9"/>
      <c r="H98" s="9"/>
      <c r="I98" s="9" t="s">
        <v>6172</v>
      </c>
      <c r="J98" s="9" t="s">
        <v>2942</v>
      </c>
      <c r="K98" t="s">
        <v>6173</v>
      </c>
      <c r="L98" t="s">
        <v>6174</v>
      </c>
      <c r="M98" s="3" t="str">
        <f>HYPERLINK(склад2въезд13192021222378[[#This Row],[RelativePath]])</f>
        <v>12 Площадка 3 кран\K07156189_20_20251214T180822Z.jpg</v>
      </c>
    </row>
    <row r="99" spans="1:13" x14ac:dyDescent="0.25">
      <c r="A99" s="2" t="s">
        <v>13</v>
      </c>
      <c r="B99" s="4">
        <v>46006</v>
      </c>
      <c r="C99" s="5">
        <v>0.5390625</v>
      </c>
      <c r="D99" s="9" t="s">
        <v>4</v>
      </c>
      <c r="E99" s="9" t="s">
        <v>8</v>
      </c>
      <c r="F99" s="9"/>
      <c r="H99" s="9"/>
      <c r="I99" s="9" t="s">
        <v>6419</v>
      </c>
      <c r="J99" s="9" t="s">
        <v>2942</v>
      </c>
      <c r="K99" t="s">
        <v>6420</v>
      </c>
      <c r="L99" t="s">
        <v>6421</v>
      </c>
      <c r="M99" s="3" t="str">
        <f>HYPERLINK(склад2въезд13192021222378[[#This Row],[RelativePath]])</f>
        <v>12 Площадка 3 кран\K07156189_20_20251215T125615Z.jpg</v>
      </c>
    </row>
    <row r="100" spans="1:13" x14ac:dyDescent="0.25">
      <c r="A100" s="2" t="s">
        <v>13</v>
      </c>
      <c r="B100" s="4">
        <v>46006</v>
      </c>
      <c r="C100" s="5">
        <v>0.73729166666666668</v>
      </c>
      <c r="D100" s="9" t="s">
        <v>4</v>
      </c>
      <c r="E100" s="9" t="s">
        <v>8</v>
      </c>
      <c r="F100" s="9"/>
      <c r="H100" s="9"/>
      <c r="I100" s="9" t="s">
        <v>6422</v>
      </c>
      <c r="J100" s="9" t="s">
        <v>2942</v>
      </c>
      <c r="K100" t="s">
        <v>6423</v>
      </c>
      <c r="L100" t="s">
        <v>6424</v>
      </c>
      <c r="M100" s="3" t="str">
        <f>HYPERLINK(склад2въезд13192021222378[[#This Row],[RelativePath]])</f>
        <v>12 Площадка 3 кран\K07156189_20_20251215T174142Z.jpg</v>
      </c>
    </row>
    <row r="101" spans="1:13" x14ac:dyDescent="0.25">
      <c r="A101" s="2" t="s">
        <v>14</v>
      </c>
      <c r="B101" s="4">
        <v>46007</v>
      </c>
      <c r="C101" s="5">
        <v>0.71712962962962967</v>
      </c>
      <c r="D101" s="9" t="s">
        <v>1967</v>
      </c>
      <c r="E101" s="9" t="s">
        <v>8</v>
      </c>
      <c r="F101" s="9"/>
      <c r="H101" s="9"/>
      <c r="I101" s="9" t="s">
        <v>6559</v>
      </c>
      <c r="J101" s="9" t="s">
        <v>2942</v>
      </c>
      <c r="K101" t="s">
        <v>6560</v>
      </c>
      <c r="L101" t="s">
        <v>6561</v>
      </c>
      <c r="M101" s="3" t="str">
        <f>HYPERLINK(склад2въезд13192021222378[[#This Row],[RelativePath]])</f>
        <v>12 Площадка 3 кран\K07156189_20_20251216T171240Z.jpg</v>
      </c>
    </row>
    <row r="102" spans="1:13" x14ac:dyDescent="0.25">
      <c r="A102" s="2" t="s">
        <v>15</v>
      </c>
      <c r="B102" s="4">
        <v>46008</v>
      </c>
      <c r="C102" s="5">
        <v>0.61549768518518522</v>
      </c>
      <c r="D102" s="9" t="s">
        <v>4</v>
      </c>
      <c r="E102" s="9" t="s">
        <v>8</v>
      </c>
      <c r="F102" s="9"/>
      <c r="H102" s="9"/>
      <c r="I102" s="9" t="s">
        <v>6739</v>
      </c>
      <c r="J102" s="9" t="s">
        <v>2942</v>
      </c>
      <c r="K102" t="s">
        <v>6740</v>
      </c>
      <c r="L102" t="s">
        <v>6741</v>
      </c>
      <c r="M102" s="3" t="str">
        <f>HYPERLINK(склад2въезд13192021222378[[#This Row],[RelativePath]])</f>
        <v>12 Площадка 3 кран\K07156189_20_20251217T144619Z.jpg</v>
      </c>
    </row>
    <row r="103" spans="1:13" x14ac:dyDescent="0.25">
      <c r="A103" s="2" t="s">
        <v>15</v>
      </c>
      <c r="B103" s="4">
        <v>46008</v>
      </c>
      <c r="C103" s="5">
        <v>0.73685185185185187</v>
      </c>
      <c r="D103" s="9" t="s">
        <v>4</v>
      </c>
      <c r="E103" s="9" t="s">
        <v>8</v>
      </c>
      <c r="F103" s="9"/>
      <c r="H103" s="9" t="s">
        <v>2891</v>
      </c>
      <c r="I103" s="9" t="s">
        <v>6742</v>
      </c>
      <c r="J103" s="9" t="s">
        <v>2942</v>
      </c>
      <c r="K103" t="s">
        <v>6743</v>
      </c>
      <c r="L103" t="s">
        <v>6744</v>
      </c>
      <c r="M103" s="3" t="str">
        <f>HYPERLINK(склад2въезд13192021222378[[#This Row],[RelativePath]])</f>
        <v>12 Площадка 3 кран\K07156189_20_20251217T174104Z.jpg</v>
      </c>
    </row>
    <row r="104" spans="1:13" x14ac:dyDescent="0.25">
      <c r="A104" s="2" t="s">
        <v>16</v>
      </c>
      <c r="B104" s="4">
        <v>46009</v>
      </c>
      <c r="C104" s="5">
        <v>0.42410879629629628</v>
      </c>
      <c r="D104" s="9" t="s">
        <v>4</v>
      </c>
      <c r="E104" s="9" t="s">
        <v>8</v>
      </c>
      <c r="F104" s="9"/>
      <c r="H104" s="9"/>
      <c r="I104" s="9" t="s">
        <v>7041</v>
      </c>
      <c r="J104" s="9" t="s">
        <v>2942</v>
      </c>
      <c r="K104" t="s">
        <v>7042</v>
      </c>
      <c r="L104" t="s">
        <v>7043</v>
      </c>
      <c r="M104" s="3" t="str">
        <f>HYPERLINK(склад2въезд13192021222378[[#This Row],[RelativePath]])</f>
        <v>12 Площадка 3 кран\K07156189_20_20251218T101043Z.jpg</v>
      </c>
    </row>
    <row r="105" spans="1:13" x14ac:dyDescent="0.25">
      <c r="A105" s="2" t="s">
        <v>16</v>
      </c>
      <c r="B105" s="4">
        <v>46009</v>
      </c>
      <c r="C105" s="5">
        <v>0.59636574074074078</v>
      </c>
      <c r="D105" s="9" t="s">
        <v>4</v>
      </c>
      <c r="E105" s="9" t="s">
        <v>8</v>
      </c>
      <c r="F105" s="9"/>
      <c r="H105" s="9" t="s">
        <v>2891</v>
      </c>
      <c r="I105" s="9" t="s">
        <v>7044</v>
      </c>
      <c r="J105" s="9" t="s">
        <v>2942</v>
      </c>
      <c r="K105" t="s">
        <v>7045</v>
      </c>
      <c r="L105" t="s">
        <v>7046</v>
      </c>
      <c r="M105" s="3" t="str">
        <f>HYPERLINK(склад2въезд13192021222378[[#This Row],[RelativePath]])</f>
        <v>12 Площадка 3 кран\K07156189_20_20251218T141846Z.jpg</v>
      </c>
    </row>
    <row r="106" spans="1:13" x14ac:dyDescent="0.25">
      <c r="A106" s="2" t="s">
        <v>17</v>
      </c>
      <c r="B106" s="4">
        <v>46010</v>
      </c>
      <c r="C106" s="5">
        <v>0.6337962962962963</v>
      </c>
      <c r="D106" s="9" t="s">
        <v>1967</v>
      </c>
      <c r="E106" s="9" t="s">
        <v>8</v>
      </c>
      <c r="F106" s="9"/>
      <c r="H106" s="9"/>
      <c r="I106" s="9" t="s">
        <v>7047</v>
      </c>
      <c r="J106" s="9" t="s">
        <v>2942</v>
      </c>
      <c r="K106" t="s">
        <v>7048</v>
      </c>
      <c r="L106" t="s">
        <v>7049</v>
      </c>
      <c r="M106" s="3" t="str">
        <f>HYPERLINK(склад2въезд13192021222378[[#This Row],[RelativePath]])</f>
        <v>12 Площадка 3 кран\K07156189_20_20251219T151240Z.jpg</v>
      </c>
    </row>
    <row r="107" spans="1:13" x14ac:dyDescent="0.25">
      <c r="A107" s="2" t="s">
        <v>18</v>
      </c>
      <c r="B107" s="4">
        <v>46011</v>
      </c>
      <c r="C107" s="5">
        <v>0.75217592592592597</v>
      </c>
      <c r="D107" s="9" t="s">
        <v>1967</v>
      </c>
      <c r="E107" s="9" t="s">
        <v>8</v>
      </c>
      <c r="F107" s="9"/>
      <c r="H107" s="9" t="s">
        <v>1977</v>
      </c>
      <c r="I107" s="9" t="s">
        <v>7050</v>
      </c>
      <c r="J107" s="9" t="s">
        <v>2942</v>
      </c>
      <c r="K107" t="s">
        <v>7051</v>
      </c>
      <c r="L107" t="s">
        <v>7052</v>
      </c>
      <c r="M107" s="3" t="str">
        <f>HYPERLINK(склад2въезд13192021222378[[#This Row],[RelativePath]])</f>
        <v>12 Площадка 3 кран\K07156189_20_20251220T180308Z.jpg</v>
      </c>
    </row>
    <row r="108" spans="1:13" x14ac:dyDescent="0.25">
      <c r="A108" s="2" t="s">
        <v>22</v>
      </c>
      <c r="B108" s="4">
        <v>46012</v>
      </c>
      <c r="C108" s="5">
        <v>0.73879629629629628</v>
      </c>
      <c r="D108" s="9" t="s">
        <v>1967</v>
      </c>
      <c r="E108" s="9" t="s">
        <v>8</v>
      </c>
      <c r="F108" s="9"/>
      <c r="H108" s="9"/>
      <c r="I108" s="9" t="s">
        <v>7121</v>
      </c>
      <c r="J108" s="9" t="s">
        <v>2942</v>
      </c>
      <c r="K108" t="s">
        <v>7122</v>
      </c>
      <c r="L108" t="s">
        <v>7123</v>
      </c>
      <c r="M108" s="3" t="str">
        <f>HYPERLINK(склад2въезд13192021222378[[#This Row],[RelativePath]])</f>
        <v>12 Площадка 3 кран\K07156189_20_20251221T174352Z.jpg</v>
      </c>
    </row>
    <row r="109" spans="1:13" x14ac:dyDescent="0.25">
      <c r="A109" s="2" t="s">
        <v>13</v>
      </c>
      <c r="B109" s="4">
        <v>46013</v>
      </c>
      <c r="C109" s="5">
        <v>0.7368055555555556</v>
      </c>
      <c r="D109" s="9" t="s">
        <v>1967</v>
      </c>
      <c r="E109" s="9" t="s">
        <v>8</v>
      </c>
      <c r="F109" s="9"/>
      <c r="H109" s="9"/>
      <c r="I109" s="9" t="s">
        <v>7311</v>
      </c>
      <c r="J109" s="9" t="s">
        <v>2942</v>
      </c>
      <c r="K109" t="s">
        <v>7312</v>
      </c>
      <c r="L109" t="s">
        <v>7313</v>
      </c>
      <c r="M109" s="3" t="str">
        <f>HYPERLINK(склад2въезд13192021222378[[#This Row],[RelativePath]])</f>
        <v>12 Площадка 3 кран\K07156189_20_20251222T174100Z.jpg</v>
      </c>
    </row>
    <row r="110" spans="1:13" x14ac:dyDescent="0.25">
      <c r="A110" s="2" t="s">
        <v>14</v>
      </c>
      <c r="B110" s="4">
        <v>46014</v>
      </c>
      <c r="C110" s="5">
        <v>0.4264236111111111</v>
      </c>
      <c r="D110" s="9" t="s">
        <v>1967</v>
      </c>
      <c r="E110" s="9" t="s">
        <v>8</v>
      </c>
      <c r="F110" s="9"/>
      <c r="H110" s="9"/>
      <c r="I110" s="9" t="s">
        <v>7314</v>
      </c>
      <c r="J110" s="9" t="s">
        <v>2942</v>
      </c>
      <c r="K110" t="s">
        <v>7315</v>
      </c>
      <c r="L110" t="s">
        <v>7316</v>
      </c>
      <c r="M110" s="3" t="str">
        <f>HYPERLINK(склад2въезд13192021222378[[#This Row],[RelativePath]])</f>
        <v>12 Площадка 3 кран\K07156189_20_20251223T101403Z.jpg</v>
      </c>
    </row>
    <row r="111" spans="1:13" x14ac:dyDescent="0.25">
      <c r="A111" s="2" t="s">
        <v>14</v>
      </c>
      <c r="B111" s="4">
        <v>46014</v>
      </c>
      <c r="C111" s="5">
        <v>0.81357638888888884</v>
      </c>
      <c r="D111" s="9" t="s">
        <v>4</v>
      </c>
      <c r="E111" s="9" t="s">
        <v>7327</v>
      </c>
      <c r="F111" s="9"/>
      <c r="H111" s="9"/>
      <c r="I111" s="9" t="s">
        <v>7317</v>
      </c>
      <c r="J111" s="9" t="s">
        <v>2942</v>
      </c>
      <c r="K111" t="s">
        <v>7318</v>
      </c>
      <c r="L111" t="s">
        <v>7319</v>
      </c>
      <c r="M111" s="3" t="str">
        <f>HYPERLINK(склад2въезд13192021222378[[#This Row],[RelativePath]])</f>
        <v>12 Площадка 3 кран\K07156189_20_20251223T193133Z.jpg</v>
      </c>
    </row>
    <row r="112" spans="1:13" x14ac:dyDescent="0.25">
      <c r="A112" s="2" t="s">
        <v>15</v>
      </c>
      <c r="B112" s="4">
        <v>46015</v>
      </c>
      <c r="C112" s="5">
        <v>0.49182870370370368</v>
      </c>
      <c r="D112" s="9" t="s">
        <v>4</v>
      </c>
      <c r="E112" s="9" t="s">
        <v>7621</v>
      </c>
      <c r="F112" s="9"/>
      <c r="H112" s="9"/>
      <c r="I112" s="9" t="s">
        <v>7489</v>
      </c>
      <c r="J112" s="9" t="s">
        <v>2942</v>
      </c>
      <c r="K112" t="s">
        <v>7490</v>
      </c>
      <c r="L112" t="s">
        <v>7491</v>
      </c>
      <c r="M112" s="3" t="str">
        <f>HYPERLINK(склад2въезд13192021222378[[#This Row],[RelativePath]])</f>
        <v>12 Площадка 3 кран\K07156189_20_20251224T114814Z.jpg</v>
      </c>
    </row>
    <row r="113" spans="1:13" x14ac:dyDescent="0.25">
      <c r="A113" s="2" t="s">
        <v>15</v>
      </c>
      <c r="B113" s="4">
        <v>46015</v>
      </c>
      <c r="C113" s="5">
        <v>0.74520833333333336</v>
      </c>
      <c r="D113" s="9" t="s">
        <v>4</v>
      </c>
      <c r="E113" s="9" t="s">
        <v>7622</v>
      </c>
      <c r="F113" s="9"/>
      <c r="H113" s="9" t="s">
        <v>2891</v>
      </c>
      <c r="I113" s="9" t="s">
        <v>7492</v>
      </c>
      <c r="J113" s="9" t="s">
        <v>2942</v>
      </c>
      <c r="K113" t="s">
        <v>7493</v>
      </c>
      <c r="L113" t="s">
        <v>7494</v>
      </c>
      <c r="M113" s="3" t="str">
        <f>HYPERLINK(склад2въезд13192021222378[[#This Row],[RelativePath]])</f>
        <v>12 Площадка 3 кран\K07156189_20_20251224T175306Z.jpg</v>
      </c>
    </row>
    <row r="114" spans="1:13" x14ac:dyDescent="0.25">
      <c r="A114" s="2" t="s">
        <v>16</v>
      </c>
      <c r="B114" s="4">
        <v>46016</v>
      </c>
      <c r="C114" s="5">
        <v>0.49467592592592591</v>
      </c>
      <c r="D114" s="9" t="s">
        <v>4</v>
      </c>
      <c r="E114" s="9" t="s">
        <v>8</v>
      </c>
      <c r="F114" s="9"/>
      <c r="H114" s="9" t="s">
        <v>7623</v>
      </c>
      <c r="I114" s="9" t="s">
        <v>7495</v>
      </c>
      <c r="J114" s="9" t="s">
        <v>2942</v>
      </c>
      <c r="K114" t="s">
        <v>7496</v>
      </c>
      <c r="L114" t="s">
        <v>7497</v>
      </c>
      <c r="M114" s="3" t="str">
        <f>HYPERLINK(склад2въезд13192021222378[[#This Row],[RelativePath]])</f>
        <v>12 Площадка 3 кран\K07156189_20_20251225T115220Z.jpg</v>
      </c>
    </row>
    <row r="115" spans="1:13" x14ac:dyDescent="0.25">
      <c r="A115" s="2" t="s">
        <v>16</v>
      </c>
      <c r="B115" s="4">
        <v>46016</v>
      </c>
      <c r="C115" s="5">
        <v>0.73883101851851851</v>
      </c>
      <c r="D115" s="9" t="s">
        <v>4</v>
      </c>
      <c r="E115" s="9" t="s">
        <v>8</v>
      </c>
      <c r="F115" s="9"/>
      <c r="H115" s="9" t="s">
        <v>3033</v>
      </c>
      <c r="I115" s="9" t="s">
        <v>7498</v>
      </c>
      <c r="J115" s="9" t="s">
        <v>2942</v>
      </c>
      <c r="K115" t="s">
        <v>7499</v>
      </c>
      <c r="L115" t="s">
        <v>7500</v>
      </c>
      <c r="M115" s="3" t="str">
        <f>HYPERLINK(склад2въезд13192021222378[[#This Row],[RelativePath]])</f>
        <v>12 Площадка 3 кран\K07156189_20_20251225T174355Z.jpg</v>
      </c>
    </row>
    <row r="116" spans="1:13" x14ac:dyDescent="0.25">
      <c r="A116" s="2" t="s">
        <v>17</v>
      </c>
      <c r="B116" s="4">
        <v>46017</v>
      </c>
      <c r="C116" s="5">
        <v>0.42072916666666665</v>
      </c>
      <c r="D116" s="9" t="s">
        <v>4</v>
      </c>
      <c r="E116" s="9" t="s">
        <v>8</v>
      </c>
      <c r="F116" s="9"/>
      <c r="H116" s="9"/>
      <c r="I116" s="9" t="s">
        <v>7683</v>
      </c>
      <c r="J116" s="9" t="s">
        <v>2942</v>
      </c>
      <c r="K116" t="s">
        <v>7684</v>
      </c>
      <c r="L116" t="s">
        <v>7685</v>
      </c>
      <c r="M116" s="3" t="str">
        <f>HYPERLINK(склад2въезд13192021222378[[#This Row],[RelativePath]])</f>
        <v>12 Площадка 3 кран\K07156189_20_20251226T100551Z.jpg</v>
      </c>
    </row>
    <row r="117" spans="1:13" x14ac:dyDescent="0.25">
      <c r="A117" s="2" t="s">
        <v>17</v>
      </c>
      <c r="B117" s="4">
        <v>46017</v>
      </c>
      <c r="C117" s="5">
        <v>0.43453703703703705</v>
      </c>
      <c r="D117" s="9" t="s">
        <v>4</v>
      </c>
      <c r="E117" s="9" t="s">
        <v>8</v>
      </c>
      <c r="F117" s="9"/>
      <c r="H117" s="9" t="s">
        <v>2891</v>
      </c>
      <c r="I117" s="9" t="s">
        <v>7686</v>
      </c>
      <c r="J117" s="9" t="s">
        <v>2942</v>
      </c>
      <c r="K117" t="s">
        <v>7687</v>
      </c>
      <c r="L117" t="s">
        <v>7688</v>
      </c>
      <c r="M117" s="3" t="str">
        <f>HYPERLINK(склад2въезд13192021222378[[#This Row],[RelativePath]])</f>
        <v>12 Площадка 3 кран\K07156189_20_20251226T102544Z.jpg</v>
      </c>
    </row>
    <row r="118" spans="1:13" x14ac:dyDescent="0.25">
      <c r="A118" s="2" t="s">
        <v>17</v>
      </c>
      <c r="B118" s="4">
        <v>46017</v>
      </c>
      <c r="C118" s="5">
        <v>0.50521990740740741</v>
      </c>
      <c r="D118" s="9" t="s">
        <v>4</v>
      </c>
      <c r="E118" s="9" t="s">
        <v>8</v>
      </c>
      <c r="F118" s="9"/>
      <c r="H118" s="9" t="s">
        <v>2891</v>
      </c>
      <c r="I118" s="9" t="s">
        <v>7689</v>
      </c>
      <c r="J118" s="9" t="s">
        <v>2942</v>
      </c>
      <c r="K118" t="s">
        <v>7690</v>
      </c>
      <c r="L118" t="s">
        <v>7691</v>
      </c>
      <c r="M118" s="3" t="str">
        <f>HYPERLINK(склад2въезд13192021222378[[#This Row],[RelativePath]])</f>
        <v>12 Площадка 3 кран\K07156189_20_20251226T120731Z.jpg</v>
      </c>
    </row>
    <row r="119" spans="1:13" x14ac:dyDescent="0.25">
      <c r="A119" s="2" t="s">
        <v>17</v>
      </c>
      <c r="B119" s="4">
        <v>46017</v>
      </c>
      <c r="C119" s="5">
        <v>0.58668981481481486</v>
      </c>
      <c r="D119" s="9" t="s">
        <v>4</v>
      </c>
      <c r="E119" s="9" t="s">
        <v>8</v>
      </c>
      <c r="F119" s="9"/>
      <c r="H119" s="9" t="s">
        <v>2891</v>
      </c>
      <c r="I119" s="9" t="s">
        <v>7692</v>
      </c>
      <c r="J119" s="9" t="s">
        <v>2942</v>
      </c>
      <c r="K119" t="s">
        <v>7693</v>
      </c>
      <c r="L119" t="s">
        <v>7694</v>
      </c>
      <c r="M119" s="3" t="str">
        <f>HYPERLINK(склад2въезд13192021222378[[#This Row],[RelativePath]])</f>
        <v>12 Площадка 3 кран\K07156189_20_20251226T140450Z.jpg</v>
      </c>
    </row>
    <row r="120" spans="1:13" x14ac:dyDescent="0.25">
      <c r="A120" s="2" t="s">
        <v>17</v>
      </c>
      <c r="B120" s="4">
        <v>46017</v>
      </c>
      <c r="C120" s="5">
        <v>0.74047453703703703</v>
      </c>
      <c r="D120" s="9" t="s">
        <v>4</v>
      </c>
      <c r="E120" s="9" t="s">
        <v>8</v>
      </c>
      <c r="F120" s="9"/>
      <c r="H120" s="9" t="s">
        <v>2891</v>
      </c>
      <c r="I120" s="9" t="s">
        <v>7695</v>
      </c>
      <c r="J120" s="9" t="s">
        <v>2942</v>
      </c>
      <c r="K120" t="s">
        <v>7696</v>
      </c>
      <c r="L120" t="s">
        <v>7697</v>
      </c>
      <c r="M120" s="3" t="str">
        <f>HYPERLINK(склад2въезд13192021222378[[#This Row],[RelativePath]])</f>
        <v>12 Площадка 3 кран\K07156189_20_20251226T174617Z.jpg</v>
      </c>
    </row>
    <row r="121" spans="1:13" x14ac:dyDescent="0.25">
      <c r="A121" s="2" t="s">
        <v>18</v>
      </c>
      <c r="B121" s="4">
        <v>46018</v>
      </c>
      <c r="C121" s="5">
        <v>0.41244212962962962</v>
      </c>
      <c r="D121" s="9" t="s">
        <v>4</v>
      </c>
      <c r="E121" s="9" t="s">
        <v>8</v>
      </c>
      <c r="F121" s="9"/>
      <c r="H121" s="9"/>
      <c r="I121" s="9" t="s">
        <v>7873</v>
      </c>
      <c r="J121" s="9" t="s">
        <v>2942</v>
      </c>
      <c r="K121" t="s">
        <v>7874</v>
      </c>
      <c r="L121" t="s">
        <v>7875</v>
      </c>
      <c r="M121" s="3" t="str">
        <f>HYPERLINK(склад2въезд13192021222378[[#This Row],[RelativePath]])</f>
        <v>12 Площадка 3 кран\K07156189_20_20251227T095355Z.jpg</v>
      </c>
    </row>
    <row r="122" spans="1:13" x14ac:dyDescent="0.25">
      <c r="A122" s="2" t="s">
        <v>18</v>
      </c>
      <c r="B122" s="4">
        <v>46018</v>
      </c>
      <c r="C122" s="5">
        <v>0.6647453703703704</v>
      </c>
      <c r="D122" s="9" t="s">
        <v>4</v>
      </c>
      <c r="E122" s="9" t="s">
        <v>12</v>
      </c>
      <c r="F122" s="9"/>
      <c r="H122" s="9"/>
      <c r="I122" s="9" t="s">
        <v>7876</v>
      </c>
      <c r="J122" s="9" t="s">
        <v>2942</v>
      </c>
      <c r="K122" t="s">
        <v>7877</v>
      </c>
      <c r="L122" t="s">
        <v>7878</v>
      </c>
      <c r="M122" s="3" t="str">
        <f>HYPERLINK(склад2въезд13192021222378[[#This Row],[RelativePath]])</f>
        <v>12 Площадка 3 кран\K07156189_20_20251227T155714Z.jpg</v>
      </c>
    </row>
    <row r="123" spans="1:13" x14ac:dyDescent="0.25">
      <c r="A123" s="2" t="s">
        <v>22</v>
      </c>
      <c r="B123" s="4">
        <v>46019</v>
      </c>
      <c r="C123" s="5">
        <v>0.42016203703703703</v>
      </c>
      <c r="D123" s="9" t="s">
        <v>4</v>
      </c>
      <c r="E123" s="9" t="s">
        <v>8</v>
      </c>
      <c r="F123" s="9"/>
      <c r="H123" s="9"/>
      <c r="I123" s="9" t="s">
        <v>7879</v>
      </c>
      <c r="J123" s="9" t="s">
        <v>2942</v>
      </c>
      <c r="K123" t="s">
        <v>7880</v>
      </c>
      <c r="L123" t="s">
        <v>7881</v>
      </c>
      <c r="M123" s="3" t="str">
        <f>HYPERLINK(склад2въезд13192021222378[[#This Row],[RelativePath]])</f>
        <v>12 Площадка 3 кран\K07156189_20_20251228T100502Z.jpg</v>
      </c>
    </row>
    <row r="124" spans="1:13" x14ac:dyDescent="0.25">
      <c r="A124" s="2" t="s">
        <v>22</v>
      </c>
      <c r="B124" s="4">
        <v>46019</v>
      </c>
      <c r="C124" s="5">
        <v>0.59362268518518524</v>
      </c>
      <c r="D124" s="9" t="s">
        <v>4</v>
      </c>
      <c r="E124" s="9" t="s">
        <v>12</v>
      </c>
      <c r="F124" s="9"/>
      <c r="H124" s="9"/>
      <c r="I124" s="9" t="s">
        <v>7882</v>
      </c>
      <c r="J124" s="9" t="s">
        <v>2942</v>
      </c>
      <c r="K124" t="s">
        <v>7883</v>
      </c>
      <c r="L124" t="s">
        <v>7884</v>
      </c>
      <c r="M124" s="3" t="str">
        <f>HYPERLINK(склад2въезд13192021222378[[#This Row],[RelativePath]])</f>
        <v>12 Площадка 3 кран\K07156189_20_20251228T141449Z.jpg</v>
      </c>
    </row>
    <row r="125" spans="1:13" x14ac:dyDescent="0.25">
      <c r="A125" s="2" t="s">
        <v>13</v>
      </c>
      <c r="B125" s="4">
        <v>46020</v>
      </c>
      <c r="C125" s="5">
        <v>0.59993055555555552</v>
      </c>
      <c r="D125" s="9" t="s">
        <v>1967</v>
      </c>
      <c r="E125" s="9" t="s">
        <v>8</v>
      </c>
      <c r="F125" s="9"/>
      <c r="H125" s="9"/>
      <c r="I125" s="9" t="s">
        <v>8213</v>
      </c>
      <c r="J125" s="9" t="s">
        <v>2942</v>
      </c>
      <c r="K125" t="s">
        <v>8214</v>
      </c>
      <c r="L125" t="s">
        <v>8215</v>
      </c>
      <c r="M125" s="3" t="str">
        <f>HYPERLINK(склад2въезд13192021222378[[#This Row],[RelativePath]])</f>
        <v>12 Площадка 3 кран\K07156189_20_20251229T142354Z.jpg</v>
      </c>
    </row>
    <row r="126" spans="1:13" x14ac:dyDescent="0.25">
      <c r="A126" s="2" t="s">
        <v>14</v>
      </c>
      <c r="B126" s="4">
        <v>46021</v>
      </c>
      <c r="C126" s="5">
        <v>0.58385416666666667</v>
      </c>
      <c r="D126" s="9" t="s">
        <v>1967</v>
      </c>
      <c r="E126" s="9" t="s">
        <v>8</v>
      </c>
      <c r="F126" s="9"/>
      <c r="H126" s="9"/>
      <c r="I126" s="9" t="s">
        <v>8216</v>
      </c>
      <c r="J126" s="9" t="s">
        <v>2942</v>
      </c>
      <c r="K126" t="s">
        <v>8217</v>
      </c>
      <c r="L126" t="s">
        <v>8218</v>
      </c>
      <c r="M126" s="3" t="str">
        <f>HYPERLINK(склад2въезд13192021222378[[#This Row],[RelativePath]])</f>
        <v>12 Площадка 3 кран\K07156189_20_20251230T140045Z.jpg</v>
      </c>
    </row>
    <row r="127" spans="1:13" x14ac:dyDescent="0.25">
      <c r="A127" s="2" t="s">
        <v>15</v>
      </c>
      <c r="B127" s="4">
        <v>46022</v>
      </c>
      <c r="C127" s="5">
        <v>0.54982638888888891</v>
      </c>
      <c r="D127" s="9" t="s">
        <v>1967</v>
      </c>
      <c r="E127" s="9" t="s">
        <v>8</v>
      </c>
      <c r="F127" s="9"/>
      <c r="H127" s="9"/>
      <c r="I127" s="9" t="s">
        <v>8219</v>
      </c>
      <c r="J127" s="9" t="s">
        <v>2942</v>
      </c>
      <c r="K127" t="s">
        <v>8220</v>
      </c>
      <c r="L127" t="s">
        <v>8221</v>
      </c>
      <c r="M127" s="3" t="str">
        <f>HYPERLINK(склад2въезд13192021222378[[#This Row],[RelativePath]])</f>
        <v>12 Площадка 3 кран\K07156189_20_20251231T131145Z.jpg</v>
      </c>
    </row>
    <row r="128" spans="1:13" x14ac:dyDescent="0.25">
      <c r="A128" s="2" t="s">
        <v>16</v>
      </c>
      <c r="B128" s="4">
        <v>46023</v>
      </c>
      <c r="C128" s="5">
        <v>0.46509259259259261</v>
      </c>
      <c r="D128" s="9" t="s">
        <v>1967</v>
      </c>
      <c r="E128" s="9" t="s">
        <v>8</v>
      </c>
      <c r="F128" s="9"/>
      <c r="H128" s="9"/>
      <c r="I128" s="9" t="s">
        <v>8222</v>
      </c>
      <c r="J128" s="9" t="s">
        <v>2942</v>
      </c>
      <c r="K128" t="s">
        <v>8223</v>
      </c>
      <c r="L128" t="s">
        <v>8224</v>
      </c>
      <c r="M128" s="3" t="str">
        <f>HYPERLINK(склад2въезд13192021222378[[#This Row],[RelativePath]])</f>
        <v>12 Площадка 3 кран\K07156189_20_20260101T110944Z.jpg</v>
      </c>
    </row>
    <row r="129" spans="1:13" x14ac:dyDescent="0.25">
      <c r="A129" s="2" t="s">
        <v>16</v>
      </c>
      <c r="B129" s="4">
        <v>46023</v>
      </c>
      <c r="C129" s="5">
        <v>0.68612268518518515</v>
      </c>
      <c r="D129" s="9" t="s">
        <v>1967</v>
      </c>
      <c r="E129" s="9" t="s">
        <v>8</v>
      </c>
      <c r="F129" s="9"/>
      <c r="H129" s="9"/>
      <c r="I129" s="9" t="s">
        <v>8225</v>
      </c>
      <c r="J129" s="9" t="s">
        <v>2942</v>
      </c>
      <c r="K129" t="s">
        <v>8226</v>
      </c>
      <c r="L129" t="s">
        <v>8227</v>
      </c>
      <c r="M129" s="3" t="str">
        <f>HYPERLINK(склад2въезд13192021222378[[#This Row],[RelativePath]])</f>
        <v>12 Площадка 3 кран\K07156189_20_20260101T162801Z.jpg</v>
      </c>
    </row>
    <row r="130" spans="1:13" x14ac:dyDescent="0.25">
      <c r="A130" s="2" t="s">
        <v>17</v>
      </c>
      <c r="B130" s="4">
        <v>46024</v>
      </c>
      <c r="C130" s="5">
        <v>0.69896990740740739</v>
      </c>
      <c r="D130" s="9" t="s">
        <v>1967</v>
      </c>
      <c r="E130" s="9" t="s">
        <v>8</v>
      </c>
      <c r="F130" s="9"/>
      <c r="H130" s="9"/>
      <c r="I130" s="9" t="s">
        <v>8351</v>
      </c>
      <c r="J130" s="9" t="s">
        <v>2942</v>
      </c>
      <c r="K130" t="s">
        <v>8352</v>
      </c>
      <c r="L130" t="s">
        <v>8353</v>
      </c>
      <c r="M130" s="3" t="str">
        <f>HYPERLINK(склад2въезд13192021222378[[#This Row],[RelativePath]])</f>
        <v>12 Площадка 3 кран\K07156189_20_20260102T164631Z.jpg</v>
      </c>
    </row>
    <row r="131" spans="1:13" x14ac:dyDescent="0.25">
      <c r="A131" s="2" t="s">
        <v>18</v>
      </c>
      <c r="B131" s="4">
        <v>46025</v>
      </c>
      <c r="C131" s="5">
        <v>0.74777777777777776</v>
      </c>
      <c r="D131" s="9" t="s">
        <v>1967</v>
      </c>
      <c r="E131" s="9" t="s">
        <v>8</v>
      </c>
      <c r="F131" s="9"/>
      <c r="H131" s="9"/>
      <c r="I131" s="9" t="s">
        <v>8354</v>
      </c>
      <c r="J131" s="9" t="s">
        <v>2942</v>
      </c>
      <c r="K131" t="s">
        <v>8355</v>
      </c>
      <c r="L131" t="s">
        <v>8356</v>
      </c>
      <c r="M131" s="3" t="str">
        <f>HYPERLINK(склад2въезд13192021222378[[#This Row],[RelativePath]])</f>
        <v>12 Площадка 3 кран\K07156189_20_20260103T175648Z.jpg</v>
      </c>
    </row>
    <row r="132" spans="1:13" x14ac:dyDescent="0.25">
      <c r="A132" s="2" t="s">
        <v>22</v>
      </c>
      <c r="B132" s="4">
        <v>46026</v>
      </c>
      <c r="C132" s="5">
        <v>0.34827546296296297</v>
      </c>
      <c r="D132" s="9" t="s">
        <v>1967</v>
      </c>
      <c r="E132" s="9" t="s">
        <v>8</v>
      </c>
      <c r="F132" s="9"/>
      <c r="H132" s="9"/>
      <c r="I132" s="9" t="s">
        <v>8357</v>
      </c>
      <c r="J132" s="9" t="s">
        <v>2942</v>
      </c>
      <c r="K132" t="s">
        <v>8358</v>
      </c>
      <c r="L132" t="s">
        <v>8359</v>
      </c>
      <c r="M132" s="3" t="str">
        <f>HYPERLINK(склад2въезд13192021222378[[#This Row],[RelativePath]])</f>
        <v>12 Площадка 3 кран\K07156189_20_20260104T082131Z.jpg</v>
      </c>
    </row>
    <row r="133" spans="1:13" x14ac:dyDescent="0.25">
      <c r="A133" s="2" t="s">
        <v>13</v>
      </c>
      <c r="B133" s="4">
        <v>46027</v>
      </c>
      <c r="C133" s="5">
        <v>0.70246527777777779</v>
      </c>
      <c r="D133" s="9" t="s">
        <v>1967</v>
      </c>
      <c r="E133" s="9" t="s">
        <v>8</v>
      </c>
      <c r="F133" s="9"/>
      <c r="H133" s="9"/>
      <c r="I133" s="9" t="s">
        <v>8645</v>
      </c>
      <c r="J133" s="9" t="s">
        <v>2942</v>
      </c>
      <c r="K133" t="s">
        <v>8646</v>
      </c>
      <c r="L133" t="s">
        <v>8647</v>
      </c>
      <c r="M133" s="3" t="str">
        <f>HYPERLINK(склад2въезд13192021222378[[#This Row],[RelativePath]])</f>
        <v>12 Площадка 3 кран\K07156189_20_20260105T165133Z.jpg</v>
      </c>
    </row>
    <row r="134" spans="1:13" x14ac:dyDescent="0.25">
      <c r="A134" s="2" t="s">
        <v>14</v>
      </c>
      <c r="B134" s="4">
        <v>46028</v>
      </c>
      <c r="C134" s="5">
        <v>0.68702546296296296</v>
      </c>
      <c r="D134" s="9" t="s">
        <v>1967</v>
      </c>
      <c r="E134" s="9" t="s">
        <v>8</v>
      </c>
      <c r="F134" s="9"/>
      <c r="H134" s="9"/>
      <c r="I134" s="9" t="s">
        <v>8648</v>
      </c>
      <c r="J134" s="9" t="s">
        <v>2942</v>
      </c>
      <c r="K134" t="s">
        <v>8649</v>
      </c>
      <c r="L134" t="s">
        <v>8650</v>
      </c>
      <c r="M134" s="3" t="str">
        <f>HYPERLINK(склад2въезд13192021222378[[#This Row],[RelativePath]])</f>
        <v>12 Площадка 3 кран\K07156189_20_20260106T162919Z.jpg</v>
      </c>
    </row>
    <row r="135" spans="1:13" x14ac:dyDescent="0.25">
      <c r="A135" s="2" t="s">
        <v>15</v>
      </c>
      <c r="B135" s="4">
        <v>46029</v>
      </c>
      <c r="C135" s="5">
        <v>0.75293981481481487</v>
      </c>
      <c r="D135" s="9" t="s">
        <v>1967</v>
      </c>
      <c r="E135" s="9" t="s">
        <v>8</v>
      </c>
      <c r="F135" s="9"/>
      <c r="H135" s="9"/>
      <c r="I135" s="9" t="s">
        <v>8651</v>
      </c>
      <c r="J135" s="9" t="s">
        <v>2942</v>
      </c>
      <c r="K135" t="s">
        <v>8652</v>
      </c>
      <c r="L135" t="s">
        <v>8653</v>
      </c>
      <c r="M135" s="3" t="str">
        <f>HYPERLINK(склад2въезд13192021222378[[#This Row],[RelativePath]])</f>
        <v>12 Площадка 3 кран\K07156189_20_20260107T180414Z.jpg</v>
      </c>
    </row>
    <row r="136" spans="1:13" x14ac:dyDescent="0.25">
      <c r="A136" s="2" t="s">
        <v>16</v>
      </c>
      <c r="B136" s="4">
        <v>46030</v>
      </c>
      <c r="C136" s="5">
        <v>0.76821759259259259</v>
      </c>
      <c r="D136" s="9" t="s">
        <v>1967</v>
      </c>
      <c r="E136" s="9" t="s">
        <v>8</v>
      </c>
      <c r="F136" s="9"/>
      <c r="H136" s="9"/>
      <c r="I136" s="9" t="s">
        <v>8654</v>
      </c>
      <c r="J136" s="9" t="s">
        <v>2942</v>
      </c>
      <c r="K136" t="s">
        <v>8655</v>
      </c>
      <c r="L136" t="s">
        <v>8656</v>
      </c>
      <c r="M136" s="3" t="str">
        <f>HYPERLINK(склад2въезд13192021222378[[#This Row],[RelativePath]])</f>
        <v>12 Площадка 3 кран\K07156189_20_20260108T182614Z.jpg</v>
      </c>
    </row>
    <row r="137" spans="1:13" x14ac:dyDescent="0.25">
      <c r="A137" s="2" t="s">
        <v>17</v>
      </c>
      <c r="B137" s="4">
        <v>46031</v>
      </c>
      <c r="C137" s="5">
        <v>0.7603819444444444</v>
      </c>
      <c r="D137" s="9" t="s">
        <v>1967</v>
      </c>
      <c r="E137" s="9" t="s">
        <v>8</v>
      </c>
      <c r="F137" s="9"/>
      <c r="H137" s="9"/>
      <c r="I137" s="9" t="s">
        <v>8657</v>
      </c>
      <c r="J137" s="9" t="s">
        <v>2942</v>
      </c>
      <c r="K137" t="s">
        <v>8658</v>
      </c>
      <c r="L137" t="s">
        <v>8659</v>
      </c>
      <c r="M137" s="3" t="str">
        <f>HYPERLINK(склад2въезд13192021222378[[#This Row],[RelativePath]])</f>
        <v>12 Площадка 3 кран\K07156189_20_20260109T181457Z.jpg</v>
      </c>
    </row>
    <row r="138" spans="1:13" x14ac:dyDescent="0.25">
      <c r="A138" s="2" t="s">
        <v>18</v>
      </c>
      <c r="B138" s="4">
        <v>46032</v>
      </c>
      <c r="C138" s="5">
        <v>0.6454050925925926</v>
      </c>
      <c r="D138" s="9" t="s">
        <v>1967</v>
      </c>
      <c r="E138" s="9" t="s">
        <v>8</v>
      </c>
      <c r="F138" s="9"/>
      <c r="H138" s="9"/>
      <c r="I138" s="9" t="s">
        <v>8660</v>
      </c>
      <c r="J138" s="9" t="s">
        <v>2942</v>
      </c>
      <c r="K138" t="s">
        <v>8661</v>
      </c>
      <c r="L138" t="s">
        <v>8662</v>
      </c>
      <c r="M138" s="3" t="str">
        <f>HYPERLINK(склад2въезд13192021222378[[#This Row],[RelativePath]])</f>
        <v>12 Площадка 3 кран\K07156189_20_20260110T152923Z.jpg</v>
      </c>
    </row>
    <row r="139" spans="1:13" x14ac:dyDescent="0.25">
      <c r="A139" s="2" t="s">
        <v>22</v>
      </c>
      <c r="B139" s="4">
        <v>46033</v>
      </c>
      <c r="C139" s="5">
        <v>0.42637731481481483</v>
      </c>
      <c r="D139" s="9" t="s">
        <v>1967</v>
      </c>
      <c r="E139" s="9" t="s">
        <v>8</v>
      </c>
      <c r="F139" s="9"/>
      <c r="H139" s="9"/>
      <c r="I139" s="9" t="s">
        <v>8663</v>
      </c>
      <c r="J139" s="9" t="s">
        <v>2942</v>
      </c>
      <c r="K139" t="s">
        <v>8664</v>
      </c>
      <c r="L139" t="s">
        <v>8665</v>
      </c>
      <c r="M139" s="3" t="str">
        <f>HYPERLINK(склад2въезд13192021222378[[#This Row],[RelativePath]])</f>
        <v>12 Площадка 3 кран\K07156189_20_20260111T101359Z.jpg</v>
      </c>
    </row>
    <row r="140" spans="1:13" x14ac:dyDescent="0.25">
      <c r="A140" s="2" t="s">
        <v>13</v>
      </c>
      <c r="B140" s="4">
        <v>46034</v>
      </c>
      <c r="C140" s="5">
        <v>0.45658564814814817</v>
      </c>
      <c r="D140" s="9" t="s">
        <v>4</v>
      </c>
      <c r="E140" s="9" t="s">
        <v>5411</v>
      </c>
      <c r="F140" s="9" t="s">
        <v>9076</v>
      </c>
      <c r="H140" s="9"/>
      <c r="I140" s="9" t="s">
        <v>9033</v>
      </c>
      <c r="J140" s="9" t="s">
        <v>2942</v>
      </c>
      <c r="K140" t="s">
        <v>9034</v>
      </c>
      <c r="L140" t="s">
        <v>9035</v>
      </c>
      <c r="M140" s="3" t="str">
        <f>HYPERLINK(склад2въезд13192021222378[[#This Row],[RelativePath]])</f>
        <v>12 Площадка 3 кран\K07156189_20_20260112T105729Z.jpg</v>
      </c>
    </row>
    <row r="141" spans="1:13" x14ac:dyDescent="0.25">
      <c r="A141" s="2" t="s">
        <v>13</v>
      </c>
      <c r="B141" s="4">
        <v>46034</v>
      </c>
      <c r="C141" s="5">
        <v>0.66592592592592592</v>
      </c>
      <c r="D141" s="9" t="s">
        <v>4</v>
      </c>
      <c r="E141" s="9" t="s">
        <v>8</v>
      </c>
      <c r="F141" s="9"/>
      <c r="H141" s="9"/>
      <c r="I141" s="9" t="s">
        <v>9036</v>
      </c>
      <c r="J141" s="9" t="s">
        <v>2942</v>
      </c>
      <c r="K141" t="s">
        <v>9037</v>
      </c>
      <c r="L141" t="s">
        <v>9038</v>
      </c>
      <c r="M141" s="3" t="str">
        <f>HYPERLINK(склад2въезд13192021222378[[#This Row],[RelativePath]])</f>
        <v>12 Площадка 3 кран\K07156189_20_20260112T155856Z.jpg</v>
      </c>
    </row>
    <row r="142" spans="1:13" x14ac:dyDescent="0.25">
      <c r="A142" s="2" t="s">
        <v>13</v>
      </c>
      <c r="B142" s="4">
        <v>46034</v>
      </c>
      <c r="C142" s="5">
        <v>0.67175925925925928</v>
      </c>
      <c r="D142" s="9" t="s">
        <v>4</v>
      </c>
      <c r="E142" s="9" t="s">
        <v>12</v>
      </c>
      <c r="F142" s="9"/>
      <c r="H142" s="9"/>
      <c r="I142" s="9" t="s">
        <v>9039</v>
      </c>
      <c r="J142" s="9" t="s">
        <v>2942</v>
      </c>
      <c r="K142" t="s">
        <v>9040</v>
      </c>
      <c r="L142" t="s">
        <v>9041</v>
      </c>
      <c r="M142" s="3" t="str">
        <f>HYPERLINK(склад2въезд13192021222378[[#This Row],[RelativePath]])</f>
        <v>12 Площадка 3 кран\K07156189_20_20260112T160720Z.jpg</v>
      </c>
    </row>
    <row r="143" spans="1:13" x14ac:dyDescent="0.25">
      <c r="A143" s="2" t="s">
        <v>14</v>
      </c>
      <c r="B143" s="4">
        <v>46035</v>
      </c>
      <c r="C143" s="5">
        <v>0.48305555555555557</v>
      </c>
      <c r="D143" s="9" t="s">
        <v>4</v>
      </c>
      <c r="E143" s="9" t="s">
        <v>9097</v>
      </c>
      <c r="F143" s="9"/>
      <c r="H143" s="9"/>
      <c r="I143" s="9" t="s">
        <v>9042</v>
      </c>
      <c r="J143" s="9" t="s">
        <v>2942</v>
      </c>
      <c r="K143" t="s">
        <v>9043</v>
      </c>
      <c r="L143" t="s">
        <v>9044</v>
      </c>
      <c r="M143" s="3" t="str">
        <f>HYPERLINK(склад2въезд13192021222378[[#This Row],[RelativePath]])</f>
        <v>12 Площадка 3 кран\K07156189_20_20260113T113536Z.jpg</v>
      </c>
    </row>
    <row r="144" spans="1:13" x14ac:dyDescent="0.25">
      <c r="A144" s="2" t="s">
        <v>14</v>
      </c>
      <c r="B144" s="4">
        <v>46035</v>
      </c>
      <c r="C144" s="5">
        <v>0.61968749999999995</v>
      </c>
      <c r="D144" s="9" t="s">
        <v>4</v>
      </c>
      <c r="E144" s="9" t="s">
        <v>8</v>
      </c>
      <c r="F144" s="9"/>
      <c r="H144" s="9"/>
      <c r="I144" s="9" t="s">
        <v>9045</v>
      </c>
      <c r="J144" s="9" t="s">
        <v>2942</v>
      </c>
      <c r="K144" t="s">
        <v>9046</v>
      </c>
      <c r="L144" t="s">
        <v>9047</v>
      </c>
      <c r="M144" s="3" t="str">
        <f>HYPERLINK(склад2въезд13192021222378[[#This Row],[RelativePath]])</f>
        <v>12 Площадка 3 кран\K07156189_20_20260113T145221Z.jpg</v>
      </c>
    </row>
    <row r="145" spans="1:13" x14ac:dyDescent="0.25">
      <c r="A145" s="2" t="s">
        <v>14</v>
      </c>
      <c r="B145" s="4">
        <v>46035</v>
      </c>
      <c r="C145" s="5">
        <v>0.67158564814814814</v>
      </c>
      <c r="D145" s="9" t="s">
        <v>4</v>
      </c>
      <c r="E145" s="9" t="s">
        <v>12</v>
      </c>
      <c r="F145" s="9"/>
      <c r="H145" s="9"/>
      <c r="I145" s="9" t="s">
        <v>9048</v>
      </c>
      <c r="J145" s="9" t="s">
        <v>2942</v>
      </c>
      <c r="K145" t="s">
        <v>9049</v>
      </c>
      <c r="L145" t="s">
        <v>9050</v>
      </c>
      <c r="M145" s="3" t="str">
        <f>HYPERLINK(склад2въезд13192021222378[[#This Row],[RelativePath]])</f>
        <v>12 Площадка 3 кран\K07156189_20_20260113T160705Z.jpg</v>
      </c>
    </row>
    <row r="146" spans="1:13" x14ac:dyDescent="0.25">
      <c r="A146" s="2" t="s">
        <v>14</v>
      </c>
      <c r="B146" s="4">
        <v>46035</v>
      </c>
      <c r="C146" s="5">
        <v>0.68877314814814816</v>
      </c>
      <c r="D146" s="9" t="s">
        <v>4</v>
      </c>
      <c r="E146" s="9" t="s">
        <v>12</v>
      </c>
      <c r="F146" s="9"/>
      <c r="H146" s="9"/>
      <c r="I146" s="9" t="s">
        <v>9051</v>
      </c>
      <c r="J146" s="9" t="s">
        <v>2942</v>
      </c>
      <c r="K146" t="s">
        <v>9052</v>
      </c>
      <c r="L146" t="s">
        <v>9053</v>
      </c>
      <c r="M146" s="3" t="str">
        <f>HYPERLINK(склад2въезд13192021222378[[#This Row],[RelativePath]])</f>
        <v>12 Площадка 3 кран\K07156189_20_20260113T163150Z.jpg</v>
      </c>
    </row>
    <row r="147" spans="1:13" x14ac:dyDescent="0.25">
      <c r="A147" s="2" t="s">
        <v>15</v>
      </c>
      <c r="B147" s="4">
        <v>46036</v>
      </c>
      <c r="C147" s="5">
        <v>0.448125</v>
      </c>
      <c r="D147" s="9" t="s">
        <v>4</v>
      </c>
      <c r="E147" s="9" t="s">
        <v>8</v>
      </c>
      <c r="F147" s="9"/>
      <c r="H147" s="9"/>
      <c r="I147" s="9" t="s">
        <v>9200</v>
      </c>
      <c r="J147" s="9" t="s">
        <v>2942</v>
      </c>
      <c r="K147" t="s">
        <v>9201</v>
      </c>
      <c r="L147" t="s">
        <v>9202</v>
      </c>
      <c r="M147" s="3" t="str">
        <f>HYPERLINK(склад2въезд13192021222378[[#This Row],[RelativePath]])</f>
        <v>12 Площадка 3 кран\K07156189_20_20260114T104518Z.jpg</v>
      </c>
    </row>
    <row r="148" spans="1:13" x14ac:dyDescent="0.25">
      <c r="A148" s="2" t="s">
        <v>15</v>
      </c>
      <c r="B148" s="4">
        <v>46036</v>
      </c>
      <c r="C148" s="5">
        <v>0.58484953703703701</v>
      </c>
      <c r="D148" s="9" t="s">
        <v>4</v>
      </c>
      <c r="E148" s="9" t="s">
        <v>12</v>
      </c>
      <c r="F148" s="9"/>
      <c r="H148" s="9"/>
      <c r="I148" s="9" t="s">
        <v>9203</v>
      </c>
      <c r="J148" s="9" t="s">
        <v>2942</v>
      </c>
      <c r="K148" t="s">
        <v>9204</v>
      </c>
      <c r="L148" t="s">
        <v>9205</v>
      </c>
      <c r="M148" s="3" t="str">
        <f>HYPERLINK(склад2въезд13192021222378[[#This Row],[RelativePath]])</f>
        <v>12 Площадка 3 кран\K07156189_20_20260114T140211Z.jpg</v>
      </c>
    </row>
    <row r="149" spans="1:13" x14ac:dyDescent="0.25">
      <c r="A149" s="2" t="s">
        <v>15</v>
      </c>
      <c r="B149" s="4">
        <v>46036</v>
      </c>
      <c r="C149" s="5">
        <v>0.75828703703703704</v>
      </c>
      <c r="D149" s="9" t="s">
        <v>4</v>
      </c>
      <c r="E149" s="9" t="s">
        <v>8</v>
      </c>
      <c r="F149" s="9"/>
      <c r="H149" s="9"/>
      <c r="I149" s="9" t="s">
        <v>9206</v>
      </c>
      <c r="J149" s="9" t="s">
        <v>2942</v>
      </c>
      <c r="K149" t="s">
        <v>9207</v>
      </c>
      <c r="L149" t="s">
        <v>9208</v>
      </c>
      <c r="M149" s="3" t="str">
        <f>HYPERLINK(склад2въезд13192021222378[[#This Row],[RelativePath]])</f>
        <v>12 Площадка 3 кран\K07156189_20_20260114T181156Z.jpg</v>
      </c>
    </row>
    <row r="150" spans="1:13" x14ac:dyDescent="0.25">
      <c r="A150" s="2" t="s">
        <v>16</v>
      </c>
      <c r="B150" s="4">
        <v>46037</v>
      </c>
      <c r="C150" s="5">
        <v>0.4435648148148148</v>
      </c>
      <c r="D150" s="9" t="s">
        <v>4</v>
      </c>
      <c r="E150" s="9" t="s">
        <v>12</v>
      </c>
      <c r="F150" s="9"/>
      <c r="H150" s="9"/>
      <c r="I150" s="9" t="s">
        <v>9425</v>
      </c>
      <c r="J150" s="9" t="s">
        <v>2942</v>
      </c>
      <c r="K150" t="s">
        <v>9426</v>
      </c>
      <c r="L150" t="s">
        <v>9427</v>
      </c>
      <c r="M150" s="3" t="str">
        <f>HYPERLINK(склад2въезд13192021222378[[#This Row],[RelativePath]])</f>
        <v>12 Площадка 3 кран\K07156189_20_20260115T103844Z.jpg</v>
      </c>
    </row>
    <row r="151" spans="1:13" x14ac:dyDescent="0.25">
      <c r="A151" s="2" t="s">
        <v>17</v>
      </c>
      <c r="B151" s="4">
        <v>46038</v>
      </c>
      <c r="C151" s="5">
        <v>0.51842592592592596</v>
      </c>
      <c r="D151" s="9" t="s">
        <v>4</v>
      </c>
      <c r="E151" s="9" t="s">
        <v>12</v>
      </c>
      <c r="F151" s="9"/>
      <c r="H151" s="9"/>
      <c r="I151" s="9" t="s">
        <v>9428</v>
      </c>
      <c r="J151" s="9" t="s">
        <v>2942</v>
      </c>
      <c r="K151" t="s">
        <v>9429</v>
      </c>
      <c r="L151" t="s">
        <v>9430</v>
      </c>
      <c r="M151" s="3" t="str">
        <f>HYPERLINK(склад2въезд13192021222378[[#This Row],[RelativePath]])</f>
        <v>12 Площадка 3 кран\K07156189_20_20260116T122632Z.jpg</v>
      </c>
    </row>
    <row r="152" spans="1:13" x14ac:dyDescent="0.25">
      <c r="A152" s="2" t="s">
        <v>18</v>
      </c>
      <c r="B152" s="4">
        <v>46039</v>
      </c>
      <c r="C152" s="5">
        <v>0.36177083333333332</v>
      </c>
      <c r="D152" s="9" t="s">
        <v>1967</v>
      </c>
      <c r="E152" s="9" t="s">
        <v>8</v>
      </c>
      <c r="F152" s="9"/>
      <c r="H152" s="9"/>
      <c r="I152" s="9" t="s">
        <v>9551</v>
      </c>
      <c r="J152" s="9" t="s">
        <v>2942</v>
      </c>
      <c r="K152" t="s">
        <v>9552</v>
      </c>
      <c r="L152" t="s">
        <v>9553</v>
      </c>
      <c r="M152" s="3" t="str">
        <f>HYPERLINK(склад2въезд13192021222378[[#This Row],[RelativePath]])</f>
        <v>12 Площадка 3 кран\K07156189_20_20260117T084057Z.jpg</v>
      </c>
    </row>
    <row r="153" spans="1:13" x14ac:dyDescent="0.25">
      <c r="A153" s="2" t="s">
        <v>22</v>
      </c>
      <c r="B153" s="4">
        <v>46040</v>
      </c>
      <c r="C153" s="5">
        <v>0.76291666666666669</v>
      </c>
      <c r="D153" s="9" t="s">
        <v>1967</v>
      </c>
      <c r="E153" s="9" t="s">
        <v>8</v>
      </c>
      <c r="F153" s="9"/>
      <c r="H153" s="9"/>
      <c r="I153" s="9" t="s">
        <v>9554</v>
      </c>
      <c r="J153" s="9" t="s">
        <v>2942</v>
      </c>
      <c r="K153" t="s">
        <v>9555</v>
      </c>
      <c r="L153" t="s">
        <v>9556</v>
      </c>
      <c r="M153" s="3" t="str">
        <f>HYPERLINK(склад2въезд13192021222378[[#This Row],[RelativePath]])</f>
        <v>12 Площадка 3 кран\K07156189_20_20260118T181836Z.jpg</v>
      </c>
    </row>
    <row r="154" spans="1:13" x14ac:dyDescent="0.25">
      <c r="A154" s="2" t="s">
        <v>13</v>
      </c>
      <c r="B154" s="4">
        <v>46041</v>
      </c>
      <c r="C154" s="5">
        <v>0.43837962962962962</v>
      </c>
      <c r="D154" s="9" t="s">
        <v>9754</v>
      </c>
      <c r="E154" s="9" t="s">
        <v>9087</v>
      </c>
      <c r="F154" s="9"/>
      <c r="H154" s="9"/>
      <c r="I154" s="9" t="s">
        <v>9730</v>
      </c>
      <c r="J154" s="9" t="s">
        <v>2942</v>
      </c>
      <c r="K154" t="s">
        <v>9731</v>
      </c>
      <c r="L154" t="s">
        <v>9732</v>
      </c>
      <c r="M154" s="3" t="str">
        <f>HYPERLINK(склад2въезд13192021222378[[#This Row],[RelativePath]])</f>
        <v>12 Площадка 3 кран\K07156189_20_20260119T103116Z.jpg</v>
      </c>
    </row>
    <row r="155" spans="1:13" x14ac:dyDescent="0.25">
      <c r="A155" s="2" t="s">
        <v>13</v>
      </c>
      <c r="B155" s="4">
        <v>46041</v>
      </c>
      <c r="C155" s="5">
        <v>0.51071759259259264</v>
      </c>
      <c r="D155" s="9" t="s">
        <v>9754</v>
      </c>
      <c r="E155" s="9" t="s">
        <v>9087</v>
      </c>
      <c r="F155" s="9"/>
      <c r="H155" s="9" t="s">
        <v>2891</v>
      </c>
      <c r="I155" s="9" t="s">
        <v>9733</v>
      </c>
      <c r="J155" s="9" t="s">
        <v>2942</v>
      </c>
      <c r="K155" t="s">
        <v>9734</v>
      </c>
      <c r="L155" t="s">
        <v>9735</v>
      </c>
      <c r="M155" s="3" t="str">
        <f>HYPERLINK(склад2въезд13192021222378[[#This Row],[RelativePath]])</f>
        <v>12 Площадка 3 кран\K07156189_20_20260119T121526Z.jpg</v>
      </c>
    </row>
    <row r="156" spans="1:13" x14ac:dyDescent="0.25">
      <c r="A156" s="2" t="s">
        <v>13</v>
      </c>
      <c r="B156" s="4">
        <v>46041</v>
      </c>
      <c r="C156" s="5">
        <v>0.70841435185185186</v>
      </c>
      <c r="D156" s="9" t="s">
        <v>9754</v>
      </c>
      <c r="E156" s="9" t="s">
        <v>9087</v>
      </c>
      <c r="F156" s="9"/>
      <c r="H156" s="9" t="s">
        <v>2891</v>
      </c>
      <c r="I156" s="9" t="s">
        <v>9736</v>
      </c>
      <c r="J156" s="9" t="s">
        <v>2942</v>
      </c>
      <c r="K156" t="s">
        <v>9737</v>
      </c>
      <c r="L156" t="s">
        <v>9738</v>
      </c>
      <c r="M156" s="3" t="str">
        <f>HYPERLINK(склад2въезд13192021222378[[#This Row],[RelativePath]])</f>
        <v>12 Площадка 3 кран\K07156189_20_20260119T170007Z.jpg</v>
      </c>
    </row>
    <row r="157" spans="1:13" x14ac:dyDescent="0.25">
      <c r="A157" s="2" t="s">
        <v>14</v>
      </c>
      <c r="B157" s="4">
        <v>46042</v>
      </c>
      <c r="C157" s="5">
        <v>0.43672453703703706</v>
      </c>
      <c r="D157" s="9" t="s">
        <v>9792</v>
      </c>
      <c r="E157" s="9" t="s">
        <v>4188</v>
      </c>
      <c r="F157" s="9"/>
      <c r="H157" s="9" t="s">
        <v>2891</v>
      </c>
      <c r="I157" s="9" t="s">
        <v>9739</v>
      </c>
      <c r="J157" s="9" t="s">
        <v>2942</v>
      </c>
      <c r="K157" t="s">
        <v>9740</v>
      </c>
      <c r="L157" t="s">
        <v>9741</v>
      </c>
      <c r="M157" s="3" t="str">
        <f>HYPERLINK(склад2въезд13192021222378[[#This Row],[RelativePath]])</f>
        <v>12 Площадка 3 кран\K07156189_20_20260120T102853Z.jpg</v>
      </c>
    </row>
    <row r="158" spans="1:13" x14ac:dyDescent="0.25">
      <c r="A158" s="2" t="s">
        <v>14</v>
      </c>
      <c r="B158" s="4">
        <v>46042</v>
      </c>
      <c r="C158" s="5">
        <v>0.60986111111111108</v>
      </c>
      <c r="D158" s="9" t="s">
        <v>9754</v>
      </c>
      <c r="E158" s="9" t="s">
        <v>9087</v>
      </c>
      <c r="F158" s="9"/>
      <c r="H158" s="9" t="s">
        <v>2891</v>
      </c>
      <c r="I158" s="9" t="s">
        <v>9742</v>
      </c>
      <c r="J158" s="9" t="s">
        <v>2942</v>
      </c>
      <c r="K158" t="s">
        <v>9743</v>
      </c>
      <c r="L158" t="s">
        <v>9744</v>
      </c>
      <c r="M158" s="3" t="str">
        <f>HYPERLINK(склад2въезд13192021222378[[#This Row],[RelativePath]])</f>
        <v>12 Площадка 3 кран\K07156189_20_20260120T143812Z.jpg</v>
      </c>
    </row>
    <row r="159" spans="1:13" x14ac:dyDescent="0.25">
      <c r="A159" s="2" t="s">
        <v>14</v>
      </c>
      <c r="B159" s="4">
        <v>46042</v>
      </c>
      <c r="C159" s="5">
        <v>0.71561342592592592</v>
      </c>
      <c r="D159" s="9" t="s">
        <v>4</v>
      </c>
      <c r="E159" s="9" t="s">
        <v>8</v>
      </c>
      <c r="F159" s="9"/>
      <c r="H159" s="9"/>
      <c r="I159" s="9" t="s">
        <v>9745</v>
      </c>
      <c r="J159" s="9" t="s">
        <v>2942</v>
      </c>
      <c r="K159" t="s">
        <v>9746</v>
      </c>
      <c r="L159" t="s">
        <v>9747</v>
      </c>
      <c r="M159" s="3" t="str">
        <f>HYPERLINK(склад2въезд13192021222378[[#This Row],[RelativePath]])</f>
        <v>12 Площадка 3 кран\K07156189_20_20260120T171029Z.jpg</v>
      </c>
    </row>
    <row r="160" spans="1:13" x14ac:dyDescent="0.25">
      <c r="A160" s="2" t="s">
        <v>15</v>
      </c>
      <c r="B160" s="4">
        <v>46043</v>
      </c>
      <c r="C160" s="5">
        <v>0.47843750000000002</v>
      </c>
      <c r="D160" s="9" t="s">
        <v>4</v>
      </c>
      <c r="E160" s="9" t="s">
        <v>8</v>
      </c>
      <c r="F160" s="9"/>
      <c r="H160" s="9"/>
      <c r="I160" s="9" t="s">
        <v>9979</v>
      </c>
      <c r="J160" s="9" t="s">
        <v>2942</v>
      </c>
      <c r="K160" t="s">
        <v>9980</v>
      </c>
      <c r="L160" t="s">
        <v>9981</v>
      </c>
      <c r="M160" s="3" t="str">
        <f>HYPERLINK(склад2въезд13192021222378[[#This Row],[RelativePath]])</f>
        <v>12 Площадка 3 кран\K07156189_20_20260121T112857Z.jpg</v>
      </c>
    </row>
    <row r="161" spans="1:13" x14ac:dyDescent="0.25">
      <c r="A161" s="2" t="s">
        <v>15</v>
      </c>
      <c r="B161" s="4">
        <v>46043</v>
      </c>
      <c r="C161" s="5">
        <v>0.66670138888888886</v>
      </c>
      <c r="D161" s="9" t="s">
        <v>9754</v>
      </c>
      <c r="E161" s="9" t="s">
        <v>9087</v>
      </c>
      <c r="F161" s="9"/>
      <c r="H161" s="9"/>
      <c r="I161" s="9" t="s">
        <v>9982</v>
      </c>
      <c r="J161" s="9" t="s">
        <v>2942</v>
      </c>
      <c r="K161" t="s">
        <v>9983</v>
      </c>
      <c r="L161" t="s">
        <v>9984</v>
      </c>
      <c r="M161" s="3" t="str">
        <f>HYPERLINK(склад2въезд13192021222378[[#This Row],[RelativePath]])</f>
        <v>12 Площадка 3 кран\K07156189_20_20260121T160003Z.jpg</v>
      </c>
    </row>
    <row r="162" spans="1:13" x14ac:dyDescent="0.25">
      <c r="A162" s="2" t="s">
        <v>16</v>
      </c>
      <c r="B162" s="4">
        <v>46044</v>
      </c>
      <c r="C162" s="5">
        <v>0.4568402777777778</v>
      </c>
      <c r="D162" s="9" t="s">
        <v>9754</v>
      </c>
      <c r="E162" s="9" t="s">
        <v>9087</v>
      </c>
      <c r="F162" s="9"/>
      <c r="H162" s="9"/>
      <c r="I162" s="9" t="s">
        <v>9985</v>
      </c>
      <c r="J162" s="9" t="s">
        <v>2942</v>
      </c>
      <c r="K162" t="s">
        <v>9986</v>
      </c>
      <c r="L162" t="s">
        <v>9987</v>
      </c>
      <c r="M162" s="3" t="str">
        <f>HYPERLINK(склад2въезд13192021222378[[#This Row],[RelativePath]])</f>
        <v>12 Площадка 3 кран\K07156189_20_20260122T105751Z.jpg</v>
      </c>
    </row>
    <row r="163" spans="1:13" x14ac:dyDescent="0.25">
      <c r="A163" s="2" t="s">
        <v>17</v>
      </c>
      <c r="B163" s="4">
        <v>46045</v>
      </c>
      <c r="C163" s="5">
        <v>0.39613425925925927</v>
      </c>
      <c r="D163" s="9" t="s">
        <v>4</v>
      </c>
      <c r="E163" s="9" t="s">
        <v>8</v>
      </c>
      <c r="F163" s="9"/>
      <c r="H163" s="9"/>
      <c r="I163" s="9" t="s">
        <v>10298</v>
      </c>
      <c r="J163" s="9" t="s">
        <v>2942</v>
      </c>
      <c r="K163" t="s">
        <v>10299</v>
      </c>
      <c r="L163" t="s">
        <v>10300</v>
      </c>
      <c r="M163" s="3" t="str">
        <f>HYPERLINK(склад2въезд13192021222378[[#This Row],[RelativePath]])</f>
        <v>12 Площадка 3 кран\K07156189_20_20260123T093026Z.jpg</v>
      </c>
    </row>
    <row r="164" spans="1:13" x14ac:dyDescent="0.25">
      <c r="A164" s="2" t="s">
        <v>17</v>
      </c>
      <c r="B164" s="4">
        <v>46045</v>
      </c>
      <c r="C164" s="5">
        <v>0.49734953703703705</v>
      </c>
      <c r="D164" s="9" t="s">
        <v>4</v>
      </c>
      <c r="E164" s="9" t="s">
        <v>8</v>
      </c>
      <c r="F164" s="9"/>
      <c r="H164" s="9" t="s">
        <v>2891</v>
      </c>
      <c r="I164" s="9" t="s">
        <v>10301</v>
      </c>
      <c r="J164" s="9" t="s">
        <v>2942</v>
      </c>
      <c r="K164" t="s">
        <v>10302</v>
      </c>
      <c r="L164" t="s">
        <v>10303</v>
      </c>
      <c r="M164" s="3" t="str">
        <f>HYPERLINK(склад2въезд13192021222378[[#This Row],[RelativePath]])</f>
        <v>12 Площадка 3 кран\K07156189_20_20260123T115611Z.jpg</v>
      </c>
    </row>
    <row r="165" spans="1:13" x14ac:dyDescent="0.25">
      <c r="A165" s="2" t="s">
        <v>17</v>
      </c>
      <c r="B165" s="4">
        <v>46045</v>
      </c>
      <c r="C165" s="5">
        <v>0.58601851851851849</v>
      </c>
      <c r="D165" s="9" t="s">
        <v>4</v>
      </c>
      <c r="E165" s="9" t="s">
        <v>8</v>
      </c>
      <c r="F165" s="9"/>
      <c r="H165" s="9" t="s">
        <v>2891</v>
      </c>
      <c r="I165" s="9" t="s">
        <v>10304</v>
      </c>
      <c r="J165" s="9" t="s">
        <v>2942</v>
      </c>
      <c r="K165" t="s">
        <v>10305</v>
      </c>
      <c r="L165" t="s">
        <v>10306</v>
      </c>
      <c r="M165" s="3" t="str">
        <f>HYPERLINK(склад2въезд13192021222378[[#This Row],[RelativePath]])</f>
        <v>12 Площадка 3 кран\K07156189_20_20260123T140352Z.jpg</v>
      </c>
    </row>
    <row r="166" spans="1:13" x14ac:dyDescent="0.25">
      <c r="A166" s="2" t="s">
        <v>18</v>
      </c>
      <c r="B166" s="4">
        <v>46046</v>
      </c>
      <c r="C166" s="5">
        <v>0.76857638888888891</v>
      </c>
      <c r="D166" s="9" t="s">
        <v>1967</v>
      </c>
      <c r="E166" s="9" t="s">
        <v>8</v>
      </c>
      <c r="F166" s="9"/>
      <c r="H166" s="9"/>
      <c r="I166" s="9" t="s">
        <v>10353</v>
      </c>
      <c r="J166" s="9" t="s">
        <v>2942</v>
      </c>
      <c r="K166" t="s">
        <v>10354</v>
      </c>
      <c r="L166" t="s">
        <v>10355</v>
      </c>
      <c r="M166" s="3" t="str">
        <f>HYPERLINK(склад2въезд13192021222378[[#This Row],[RelativePath]])</f>
        <v>12 Площадка 3 кран\K07156189_20_20260124T182645Z.jpg</v>
      </c>
    </row>
    <row r="167" spans="1:13" x14ac:dyDescent="0.25">
      <c r="A167" s="2" t="s">
        <v>22</v>
      </c>
      <c r="B167" s="4">
        <v>46047</v>
      </c>
      <c r="C167" s="5">
        <v>0.77228009259259256</v>
      </c>
      <c r="D167" s="9" t="s">
        <v>1967</v>
      </c>
      <c r="E167" s="9" t="s">
        <v>8</v>
      </c>
      <c r="F167" s="9"/>
      <c r="H167" s="9"/>
      <c r="I167" s="9" t="s">
        <v>10356</v>
      </c>
      <c r="J167" s="9" t="s">
        <v>2942</v>
      </c>
      <c r="K167" t="s">
        <v>10357</v>
      </c>
      <c r="L167" t="s">
        <v>10358</v>
      </c>
      <c r="M167" s="3" t="str">
        <f>HYPERLINK(склад2въезд13192021222378[[#This Row],[RelativePath]])</f>
        <v>12 Площадка 3 кран\K07156189_20_20260125T183205Z.jpg</v>
      </c>
    </row>
    <row r="168" spans="1:13" x14ac:dyDescent="0.25">
      <c r="A168" s="2" t="s">
        <v>13</v>
      </c>
      <c r="B168" s="4">
        <v>46048</v>
      </c>
      <c r="C168" s="5">
        <v>0.3555902777777778</v>
      </c>
      <c r="D168" s="9" t="s">
        <v>1967</v>
      </c>
      <c r="E168" s="9" t="s">
        <v>8</v>
      </c>
      <c r="F168" s="9"/>
      <c r="H168" s="9"/>
      <c r="I168" s="9" t="s">
        <v>10488</v>
      </c>
      <c r="J168" s="9" t="s">
        <v>2942</v>
      </c>
      <c r="K168" t="s">
        <v>10489</v>
      </c>
      <c r="L168" t="s">
        <v>10490</v>
      </c>
      <c r="M168" s="3" t="str">
        <f>HYPERLINK(склад2въезд13192021222378[[#This Row],[RelativePath]])</f>
        <v>12 Площадка 3 кран\K07156189_20_20260126T083203Z.jpg</v>
      </c>
    </row>
    <row r="169" spans="1:13" x14ac:dyDescent="0.25">
      <c r="A169" s="2" t="s">
        <v>14</v>
      </c>
      <c r="B169" s="4">
        <v>46049</v>
      </c>
      <c r="C169" s="5">
        <v>0.5244212962962963</v>
      </c>
      <c r="D169" s="9" t="s">
        <v>9792</v>
      </c>
      <c r="E169" s="9" t="s">
        <v>4188</v>
      </c>
      <c r="F169" s="9"/>
      <c r="H169" s="9"/>
      <c r="I169" s="9" t="s">
        <v>10491</v>
      </c>
      <c r="J169" s="9" t="s">
        <v>2942</v>
      </c>
      <c r="K169" t="s">
        <v>10492</v>
      </c>
      <c r="L169" t="s">
        <v>10493</v>
      </c>
      <c r="M169" s="3" t="str">
        <f>HYPERLINK(склад2въезд13192021222378[[#This Row],[RelativePath]])</f>
        <v>12 Площадка 3 кран\K07156189_20_20260127T123510Z.jpg</v>
      </c>
    </row>
    <row r="170" spans="1:13" x14ac:dyDescent="0.25">
      <c r="A170" s="2" t="s">
        <v>15</v>
      </c>
      <c r="B170" s="4">
        <v>46050</v>
      </c>
      <c r="C170" s="5">
        <v>0.4213425925925926</v>
      </c>
      <c r="D170" s="9" t="s">
        <v>9754</v>
      </c>
      <c r="E170" s="9" t="s">
        <v>9087</v>
      </c>
      <c r="F170" s="9"/>
      <c r="H170" s="9"/>
      <c r="I170" s="9" t="s">
        <v>10728</v>
      </c>
      <c r="J170" s="9" t="s">
        <v>2942</v>
      </c>
      <c r="K170" t="s">
        <v>10729</v>
      </c>
      <c r="L170" t="s">
        <v>10730</v>
      </c>
      <c r="M170" s="3" t="str">
        <f>HYPERLINK(склад2въезд13192021222378[[#This Row],[RelativePath]])</f>
        <v>12 Площадка 3 кран\K07156189_20_20260128T100644Z.jpg</v>
      </c>
    </row>
    <row r="171" spans="1:13" x14ac:dyDescent="0.25">
      <c r="A171" s="2" t="s">
        <v>15</v>
      </c>
      <c r="B171" s="4">
        <v>46050</v>
      </c>
      <c r="C171" s="5">
        <v>0.75557870370370372</v>
      </c>
      <c r="D171" s="9" t="s">
        <v>9754</v>
      </c>
      <c r="E171" s="9" t="s">
        <v>9087</v>
      </c>
      <c r="F171" s="9"/>
      <c r="H171" s="9" t="s">
        <v>2891</v>
      </c>
      <c r="I171" s="9" t="s">
        <v>10731</v>
      </c>
      <c r="J171" s="9" t="s">
        <v>2942</v>
      </c>
      <c r="K171" t="s">
        <v>10732</v>
      </c>
      <c r="L171" t="s">
        <v>10733</v>
      </c>
      <c r="M171" s="3" t="str">
        <f>HYPERLINK(склад2въезд13192021222378[[#This Row],[RelativePath]])</f>
        <v>12 Площадка 3 кран\K07156189_20_20260128T180802Z.jpg</v>
      </c>
    </row>
    <row r="172" spans="1:13" x14ac:dyDescent="0.25">
      <c r="A172" s="2" t="s">
        <v>16</v>
      </c>
      <c r="B172" s="4">
        <v>46051</v>
      </c>
      <c r="C172" s="5">
        <v>0.43981481481481483</v>
      </c>
      <c r="D172" s="9" t="s">
        <v>9754</v>
      </c>
      <c r="E172" s="9" t="s">
        <v>9087</v>
      </c>
      <c r="F172" s="9"/>
      <c r="H172" s="9" t="s">
        <v>2891</v>
      </c>
      <c r="I172" s="9" t="s">
        <v>10734</v>
      </c>
      <c r="J172" s="9" t="s">
        <v>2942</v>
      </c>
      <c r="K172" t="s">
        <v>10735</v>
      </c>
      <c r="L172" t="s">
        <v>10736</v>
      </c>
      <c r="M172" s="3" t="str">
        <f>HYPERLINK(склад2въезд13192021222378[[#This Row],[RelativePath]])</f>
        <v>12 Площадка 3 кран\K07156189_20_20260129T103320Z.jpg</v>
      </c>
    </row>
    <row r="173" spans="1:13" x14ac:dyDescent="0.25">
      <c r="A173" s="2" t="s">
        <v>16</v>
      </c>
      <c r="B173" s="4">
        <v>46051</v>
      </c>
      <c r="C173" s="5">
        <v>0.53135416666666668</v>
      </c>
      <c r="D173" s="9" t="s">
        <v>9754</v>
      </c>
      <c r="E173" s="9" t="s">
        <v>9087</v>
      </c>
      <c r="F173" s="9"/>
      <c r="H173" s="9" t="s">
        <v>2891</v>
      </c>
      <c r="I173" s="9" t="s">
        <v>10737</v>
      </c>
      <c r="J173" s="9" t="s">
        <v>2942</v>
      </c>
      <c r="K173" t="s">
        <v>10738</v>
      </c>
      <c r="L173" t="s">
        <v>10739</v>
      </c>
      <c r="M173" s="3" t="str">
        <f>HYPERLINK(склад2въезд13192021222378[[#This Row],[RelativePath]])</f>
        <v>12 Площадка 3 кран\K07156189_20_20260129T124509Z.jpg</v>
      </c>
    </row>
    <row r="174" spans="1:13" x14ac:dyDescent="0.25">
      <c r="A174" s="2" t="s">
        <v>17</v>
      </c>
      <c r="B174" s="4">
        <v>46052</v>
      </c>
      <c r="C174" s="5">
        <v>0.48168981481481482</v>
      </c>
      <c r="D174" s="9" t="s">
        <v>10875</v>
      </c>
      <c r="E174" s="9" t="s">
        <v>9087</v>
      </c>
      <c r="F174" s="9"/>
      <c r="H174" s="9"/>
      <c r="I174" s="9" t="s">
        <v>10861</v>
      </c>
      <c r="J174" s="9" t="s">
        <v>2942</v>
      </c>
      <c r="K174" t="s">
        <v>10862</v>
      </c>
      <c r="L174" t="s">
        <v>10863</v>
      </c>
      <c r="M174" s="3" t="str">
        <f>HYPERLINK(склад2въезд13192021222378[[#This Row],[RelativePath]])</f>
        <v>12 Площадка 3 кран\K07156189_20_20260130T113338Z.jpg</v>
      </c>
    </row>
    <row r="175" spans="1:13" x14ac:dyDescent="0.25">
      <c r="A175" s="2" t="s">
        <v>17</v>
      </c>
      <c r="B175" s="4">
        <v>46052</v>
      </c>
      <c r="C175" s="5">
        <v>0.56170138888888888</v>
      </c>
      <c r="D175" s="9" t="s">
        <v>4</v>
      </c>
      <c r="E175" s="9" t="s">
        <v>8</v>
      </c>
      <c r="F175" s="9"/>
      <c r="H175" s="9"/>
      <c r="I175" s="9" t="s">
        <v>10864</v>
      </c>
      <c r="J175" s="9" t="s">
        <v>2942</v>
      </c>
      <c r="K175" t="s">
        <v>10865</v>
      </c>
      <c r="L175" t="s">
        <v>10866</v>
      </c>
      <c r="M175" s="3" t="str">
        <f>HYPERLINK(склад2въезд13192021222378[[#This Row],[RelativePath]])</f>
        <v>12 Площадка 3 кран\K07156189_20_20260130T132851Z.jpg</v>
      </c>
    </row>
    <row r="176" spans="1:13" x14ac:dyDescent="0.25">
      <c r="A176" s="2" t="s">
        <v>18</v>
      </c>
      <c r="B176" s="4">
        <v>46053</v>
      </c>
      <c r="C176" s="5">
        <v>0.77572916666666669</v>
      </c>
      <c r="D176" s="9" t="s">
        <v>1967</v>
      </c>
      <c r="E176" s="9" t="s">
        <v>8</v>
      </c>
      <c r="F176" s="9"/>
      <c r="H176" s="9" t="s">
        <v>1977</v>
      </c>
      <c r="I176" s="9" t="s">
        <v>10982</v>
      </c>
      <c r="J176" s="9" t="s">
        <v>2942</v>
      </c>
      <c r="K176" t="s">
        <v>10983</v>
      </c>
      <c r="L176" t="s">
        <v>10984</v>
      </c>
      <c r="M176" s="3" t="str">
        <f>HYPERLINK(склад2въезд13192021222378[[#This Row],[RelativePath]])</f>
        <v>12 Площадка 3 кран\K07156189_20_20260131T183703Z.jpg</v>
      </c>
    </row>
    <row r="177" spans="1:13" x14ac:dyDescent="0.25">
      <c r="A177" s="2" t="s">
        <v>22</v>
      </c>
      <c r="B177" s="4">
        <v>46054</v>
      </c>
      <c r="C177" s="5">
        <v>0.33914351851851854</v>
      </c>
      <c r="D177" s="9" t="s">
        <v>1967</v>
      </c>
      <c r="E177" s="9" t="s">
        <v>8</v>
      </c>
      <c r="F177" s="9"/>
      <c r="H177" s="9" t="s">
        <v>1977</v>
      </c>
      <c r="I177" s="9" t="s">
        <v>10985</v>
      </c>
      <c r="J177" s="9" t="s">
        <v>2942</v>
      </c>
      <c r="K177" t="s">
        <v>10986</v>
      </c>
      <c r="L177" t="s">
        <v>10987</v>
      </c>
      <c r="M177" s="3" t="str">
        <f>HYPERLINK(склад2въезд13192021222378[[#This Row],[RelativePath]])</f>
        <v>12 Площадка 3 кран\K07156189_20_20260201T080822Z.jpg</v>
      </c>
    </row>
    <row r="178" spans="1:13" x14ac:dyDescent="0.25">
      <c r="A178" s="2" t="s">
        <v>13</v>
      </c>
      <c r="B178" s="4">
        <v>46055</v>
      </c>
      <c r="C178" s="5">
        <v>0.46619212962962964</v>
      </c>
      <c r="D178" s="9" t="s">
        <v>4</v>
      </c>
      <c r="E178" s="9" t="s">
        <v>8</v>
      </c>
      <c r="F178" s="9"/>
      <c r="H178" s="9"/>
      <c r="I178" s="9" t="s">
        <v>11240</v>
      </c>
      <c r="J178" s="9" t="s">
        <v>2942</v>
      </c>
      <c r="K178" t="s">
        <v>11241</v>
      </c>
      <c r="L178" t="s">
        <v>11242</v>
      </c>
      <c r="M178" s="3" t="str">
        <f>HYPERLINK(склад2въезд13192021222378[[#This Row],[RelativePath]])</f>
        <v>12 Площадка 3 кран\K07156189_20_20260202T111119Z.jpg</v>
      </c>
    </row>
    <row r="179" spans="1:13" x14ac:dyDescent="0.25">
      <c r="A179" s="2" t="s">
        <v>13</v>
      </c>
      <c r="B179" s="4">
        <v>46055</v>
      </c>
      <c r="C179" s="5">
        <v>0.69478009259259255</v>
      </c>
      <c r="D179" s="9" t="s">
        <v>9754</v>
      </c>
      <c r="E179" s="9" t="s">
        <v>5071</v>
      </c>
      <c r="F179" s="9"/>
      <c r="H179" s="9"/>
      <c r="I179" s="9" t="s">
        <v>11243</v>
      </c>
      <c r="J179" s="9" t="s">
        <v>2942</v>
      </c>
      <c r="K179" t="s">
        <v>11244</v>
      </c>
      <c r="L179" t="s">
        <v>11245</v>
      </c>
      <c r="M179" s="3" t="str">
        <f>HYPERLINK(склад2въезд13192021222378[[#This Row],[RelativePath]])</f>
        <v>12 Площадка 3 кран\K07156189_20_20260202T164029Z.jpg</v>
      </c>
    </row>
    <row r="180" spans="1:13" x14ac:dyDescent="0.25">
      <c r="A180" s="2" t="s">
        <v>14</v>
      </c>
      <c r="B180" s="4">
        <v>46056</v>
      </c>
      <c r="C180" s="5">
        <v>0.41587962962962965</v>
      </c>
      <c r="D180" s="9" t="s">
        <v>9754</v>
      </c>
      <c r="E180" s="9" t="s">
        <v>5071</v>
      </c>
      <c r="F180" s="9"/>
      <c r="H180" s="9"/>
      <c r="I180" s="9" t="s">
        <v>11246</v>
      </c>
      <c r="J180" s="9" t="s">
        <v>2942</v>
      </c>
      <c r="K180" t="s">
        <v>11247</v>
      </c>
      <c r="L180" t="s">
        <v>11248</v>
      </c>
      <c r="M180" s="3" t="str">
        <f>HYPERLINK(склад2въезд13192021222378[[#This Row],[RelativePath]])</f>
        <v>12 Площадка 3 кран\K07156189_20_20260203T095852Z.jpg</v>
      </c>
    </row>
    <row r="181" spans="1:13" x14ac:dyDescent="0.25">
      <c r="A181" s="2" t="s">
        <v>14</v>
      </c>
      <c r="B181" s="4">
        <v>46056</v>
      </c>
      <c r="C181" s="5">
        <v>0.62693287037037038</v>
      </c>
      <c r="D181" s="9" t="s">
        <v>9754</v>
      </c>
      <c r="E181" s="9" t="s">
        <v>5071</v>
      </c>
      <c r="F181" s="9"/>
      <c r="H181" s="9"/>
      <c r="I181" s="9" t="s">
        <v>11249</v>
      </c>
      <c r="J181" s="9" t="s">
        <v>2942</v>
      </c>
      <c r="K181" t="s">
        <v>11250</v>
      </c>
      <c r="L181" t="s">
        <v>11251</v>
      </c>
      <c r="M181" s="3" t="str">
        <f>HYPERLINK(склад2въезд13192021222378[[#This Row],[RelativePath]])</f>
        <v>12 Площадка 3 кран\K07156189_20_20260203T150247Z.jpg</v>
      </c>
    </row>
    <row r="182" spans="1:13" x14ac:dyDescent="0.25">
      <c r="A182" s="2" t="s">
        <v>15</v>
      </c>
      <c r="B182" s="4">
        <v>46057</v>
      </c>
      <c r="C182" s="5">
        <v>0.60813657407407407</v>
      </c>
      <c r="D182" s="9" t="s">
        <v>9792</v>
      </c>
      <c r="E182" s="9" t="s">
        <v>4188</v>
      </c>
      <c r="F182" s="9"/>
      <c r="H182" s="9"/>
      <c r="I182" s="9" t="s">
        <v>11408</v>
      </c>
      <c r="J182" s="9" t="s">
        <v>2942</v>
      </c>
      <c r="K182" t="s">
        <v>11409</v>
      </c>
      <c r="L182" t="s">
        <v>11410</v>
      </c>
      <c r="M182" s="3" t="str">
        <f>HYPERLINK(склад2въезд13192021222378[[#This Row],[RelativePath]])</f>
        <v>12 Площадка 3 кран\K07156189_20_20260204T143543Z.jpg</v>
      </c>
    </row>
    <row r="183" spans="1:13" x14ac:dyDescent="0.25">
      <c r="A183" s="2" t="s">
        <v>16</v>
      </c>
      <c r="B183" s="4">
        <v>46058</v>
      </c>
      <c r="C183" s="5">
        <v>0.71260416666666671</v>
      </c>
      <c r="D183" s="9" t="s">
        <v>1967</v>
      </c>
      <c r="E183" s="9" t="s">
        <v>8</v>
      </c>
      <c r="F183" s="9"/>
      <c r="H183" s="9"/>
      <c r="I183" s="9" t="s">
        <v>11411</v>
      </c>
      <c r="J183" s="9" t="s">
        <v>2942</v>
      </c>
      <c r="K183" t="s">
        <v>11412</v>
      </c>
      <c r="L183" t="s">
        <v>11413</v>
      </c>
      <c r="M183" s="3" t="str">
        <f>HYPERLINK(склад2въезд13192021222378[[#This Row],[RelativePath]])</f>
        <v>12 Площадка 3 кран\K07156189_20_20260205T170609Z.jpg</v>
      </c>
    </row>
    <row r="184" spans="1:13" x14ac:dyDescent="0.25">
      <c r="A184" s="2" t="s">
        <v>17</v>
      </c>
      <c r="B184" s="4">
        <v>46059</v>
      </c>
      <c r="C184" s="5">
        <v>0.49523148148148149</v>
      </c>
      <c r="D184" s="9" t="s">
        <v>4</v>
      </c>
      <c r="E184" s="9" t="s">
        <v>8</v>
      </c>
      <c r="F184" s="9"/>
      <c r="H184" s="9"/>
      <c r="I184" s="9" t="s">
        <v>11414</v>
      </c>
      <c r="J184" s="9" t="s">
        <v>2942</v>
      </c>
      <c r="K184" t="s">
        <v>11415</v>
      </c>
      <c r="L184" t="s">
        <v>11416</v>
      </c>
      <c r="M184" s="3" t="str">
        <f>HYPERLINK(склад2въезд13192021222378[[#This Row],[RelativePath]])</f>
        <v>12 Площадка 3 кран\K07156189_20_20260206T115308Z.jpg</v>
      </c>
    </row>
    <row r="185" spans="1:13" x14ac:dyDescent="0.25">
      <c r="A185" s="2" t="s">
        <v>17</v>
      </c>
      <c r="B185" s="4">
        <v>46059</v>
      </c>
      <c r="C185" s="5">
        <v>0.50211805555555555</v>
      </c>
      <c r="D185" s="9" t="s">
        <v>9754</v>
      </c>
      <c r="E185" s="9" t="s">
        <v>5071</v>
      </c>
      <c r="F185" s="9"/>
      <c r="H185" s="9"/>
      <c r="I185" s="9" t="s">
        <v>11417</v>
      </c>
      <c r="J185" s="9" t="s">
        <v>2942</v>
      </c>
      <c r="K185" t="s">
        <v>11418</v>
      </c>
      <c r="L185" t="s">
        <v>11419</v>
      </c>
      <c r="M185" s="3" t="str">
        <f>HYPERLINK(склад2въезд13192021222378[[#This Row],[RelativePath]])</f>
        <v>12 Площадка 3 кран\K07156189_20_20260206T120303Z.jpg</v>
      </c>
    </row>
    <row r="186" spans="1:13" x14ac:dyDescent="0.25">
      <c r="A186" s="2" t="s">
        <v>17</v>
      </c>
      <c r="B186" s="4">
        <v>46059</v>
      </c>
      <c r="C186" s="5">
        <v>0.69060185185185186</v>
      </c>
      <c r="D186" s="9" t="s">
        <v>4</v>
      </c>
      <c r="E186" s="9" t="s">
        <v>8</v>
      </c>
      <c r="F186" s="9"/>
      <c r="H186" s="9"/>
      <c r="I186" s="9" t="s">
        <v>11420</v>
      </c>
      <c r="J186" s="9" t="s">
        <v>2942</v>
      </c>
      <c r="K186" t="s">
        <v>11421</v>
      </c>
      <c r="L186" t="s">
        <v>11422</v>
      </c>
      <c r="M186" s="3" t="str">
        <f>HYPERLINK(склад2въезд13192021222378[[#This Row],[RelativePath]])</f>
        <v>12 Площадка 3 кран\K07156189_20_20260206T163428Z.jpg</v>
      </c>
    </row>
    <row r="187" spans="1:13" x14ac:dyDescent="0.25">
      <c r="A187" s="2" t="s">
        <v>18</v>
      </c>
      <c r="B187" s="4">
        <v>46060</v>
      </c>
      <c r="C187" s="5">
        <v>0.34230324074074076</v>
      </c>
      <c r="D187" s="9" t="s">
        <v>1967</v>
      </c>
      <c r="E187" s="9" t="s">
        <v>8</v>
      </c>
      <c r="F187" s="9"/>
      <c r="H187" s="9"/>
      <c r="I187" s="9" t="s">
        <v>11604</v>
      </c>
      <c r="J187" s="9" t="s">
        <v>2942</v>
      </c>
      <c r="K187" t="s">
        <v>11605</v>
      </c>
      <c r="L187" t="s">
        <v>11606</v>
      </c>
      <c r="M187" s="3" t="str">
        <f>HYPERLINK(склад2въезд13192021222378[[#This Row],[RelativePath]])</f>
        <v>12 Площадка 3 кран\K07156189_20_20260207T081255Z.jpg</v>
      </c>
    </row>
    <row r="188" spans="1:13" x14ac:dyDescent="0.25">
      <c r="A188" s="2" t="s">
        <v>22</v>
      </c>
      <c r="B188" s="4">
        <v>46061</v>
      </c>
      <c r="C188" s="5">
        <v>0.67795138888888884</v>
      </c>
      <c r="D188" s="9" t="s">
        <v>9754</v>
      </c>
      <c r="E188" s="9" t="s">
        <v>5071</v>
      </c>
      <c r="F188" s="9"/>
      <c r="H188" s="9"/>
      <c r="I188" s="9" t="s">
        <v>11607</v>
      </c>
      <c r="J188" s="9" t="s">
        <v>2942</v>
      </c>
      <c r="K188" t="s">
        <v>11608</v>
      </c>
      <c r="L188" t="s">
        <v>11609</v>
      </c>
      <c r="M188" s="3" t="str">
        <f>HYPERLINK(склад2въезд13192021222378[[#This Row],[RelativePath]])</f>
        <v>12 Площадка 3 кран\K07156189_20_20260208T161615Z.jpg</v>
      </c>
    </row>
    <row r="189" spans="1:13" x14ac:dyDescent="0.25">
      <c r="A189" s="2" t="s">
        <v>22</v>
      </c>
      <c r="B189" s="4">
        <v>46061</v>
      </c>
      <c r="C189" s="5">
        <v>0.70753472222222225</v>
      </c>
      <c r="D189" s="9" t="s">
        <v>9754</v>
      </c>
      <c r="E189" s="9" t="s">
        <v>5071</v>
      </c>
      <c r="F189" s="9"/>
      <c r="H189" s="9"/>
      <c r="I189" s="9" t="s">
        <v>11610</v>
      </c>
      <c r="J189" s="9" t="s">
        <v>2942</v>
      </c>
      <c r="K189" t="s">
        <v>11611</v>
      </c>
      <c r="L189" t="s">
        <v>11612</v>
      </c>
      <c r="M189" s="3" t="str">
        <f>HYPERLINK(склад2въезд13192021222378[[#This Row],[RelativePath]])</f>
        <v>12 Площадка 3 кран\K07156189_20_20260208T165851Z.jpg</v>
      </c>
    </row>
    <row r="190" spans="1:13" x14ac:dyDescent="0.25">
      <c r="A190" s="2" t="s">
        <v>22</v>
      </c>
      <c r="B190" s="4">
        <v>46061</v>
      </c>
      <c r="C190" s="5">
        <v>0.72619212962962965</v>
      </c>
      <c r="D190" s="9" t="s">
        <v>4</v>
      </c>
      <c r="E190" s="9" t="s">
        <v>8</v>
      </c>
      <c r="F190" s="9"/>
      <c r="H190" s="9"/>
      <c r="I190" s="9" t="s">
        <v>11613</v>
      </c>
      <c r="J190" s="9" t="s">
        <v>2942</v>
      </c>
      <c r="K190" t="s">
        <v>11614</v>
      </c>
      <c r="L190" t="s">
        <v>11615</v>
      </c>
      <c r="M190" s="3" t="str">
        <f>HYPERLINK(склад2въезд13192021222378[[#This Row],[RelativePath]])</f>
        <v>12 Площадка 3 кран\K07156189_20_20260208T172543Z.jpg</v>
      </c>
    </row>
    <row r="191" spans="1:13" x14ac:dyDescent="0.25">
      <c r="A191" s="2" t="s">
        <v>13</v>
      </c>
      <c r="B191" s="4">
        <v>46062</v>
      </c>
      <c r="C191" s="5">
        <v>0.38157407407407407</v>
      </c>
      <c r="D191" s="9" t="s">
        <v>4</v>
      </c>
      <c r="E191" s="9" t="s">
        <v>8</v>
      </c>
      <c r="F191" s="9"/>
      <c r="H191" s="9"/>
      <c r="I191" s="9" t="s">
        <v>11670</v>
      </c>
      <c r="J191" s="9" t="s">
        <v>2942</v>
      </c>
      <c r="K191" t="s">
        <v>11671</v>
      </c>
      <c r="L191" t="s">
        <v>11672</v>
      </c>
      <c r="M191" s="3" t="str">
        <f>HYPERLINK(склад2въезд13192021222378[[#This Row],[RelativePath]])</f>
        <v>12 Площадка 3 кран\K07156189_20_20260209T090928Z.jpg</v>
      </c>
    </row>
    <row r="192" spans="1:13" x14ac:dyDescent="0.25">
      <c r="A192" s="2" t="s">
        <v>13</v>
      </c>
      <c r="B192" s="4">
        <v>46062</v>
      </c>
      <c r="C192" s="5">
        <v>0.72150462962962958</v>
      </c>
      <c r="D192" s="9" t="s">
        <v>4</v>
      </c>
      <c r="E192" s="9" t="s">
        <v>8</v>
      </c>
      <c r="F192" s="9"/>
      <c r="H192" s="9" t="s">
        <v>2891</v>
      </c>
      <c r="I192" s="9" t="s">
        <v>11673</v>
      </c>
      <c r="J192" s="9" t="s">
        <v>2942</v>
      </c>
      <c r="K192" t="s">
        <v>11674</v>
      </c>
      <c r="L192" t="s">
        <v>11675</v>
      </c>
      <c r="M192" s="3" t="str">
        <f>HYPERLINK(склад2въезд13192021222378[[#This Row],[RelativePath]])</f>
        <v>12 Площадка 3 кран\K07156189_20_20260209T171858Z.jpg</v>
      </c>
    </row>
    <row r="193" spans="1:13" x14ac:dyDescent="0.25">
      <c r="A193" s="2" t="s">
        <v>14</v>
      </c>
      <c r="B193" s="4">
        <v>46063</v>
      </c>
      <c r="C193" s="5">
        <v>0.48109953703703706</v>
      </c>
      <c r="D193" s="9" t="s">
        <v>4</v>
      </c>
      <c r="E193" s="9" t="s">
        <v>2887</v>
      </c>
      <c r="F193" s="9"/>
      <c r="H193" s="9"/>
      <c r="I193" s="9" t="s">
        <v>11676</v>
      </c>
      <c r="J193" s="9" t="s">
        <v>2942</v>
      </c>
      <c r="K193" t="s">
        <v>11677</v>
      </c>
      <c r="L193" t="s">
        <v>11678</v>
      </c>
      <c r="M193" s="3" t="str">
        <f>HYPERLINK(склад2въезд13192021222378[[#This Row],[RelativePath]])</f>
        <v>12 Площадка 3 кран\K07156189_20_20260210T113247Z.jpg</v>
      </c>
    </row>
    <row r="194" spans="1:13" x14ac:dyDescent="0.25">
      <c r="A194" s="2" t="s">
        <v>14</v>
      </c>
      <c r="B194" s="4">
        <v>46063</v>
      </c>
      <c r="C194" s="5">
        <v>0.50216435185185182</v>
      </c>
      <c r="D194" s="9" t="s">
        <v>4</v>
      </c>
      <c r="E194" s="9" t="s">
        <v>2887</v>
      </c>
      <c r="F194" s="9"/>
      <c r="H194" s="9"/>
      <c r="I194" s="9" t="s">
        <v>11679</v>
      </c>
      <c r="J194" s="9" t="s">
        <v>2942</v>
      </c>
      <c r="K194" t="s">
        <v>11680</v>
      </c>
      <c r="L194" t="s">
        <v>11681</v>
      </c>
      <c r="M194" s="3" t="str">
        <f>HYPERLINK(склад2въезд13192021222378[[#This Row],[RelativePath]])</f>
        <v>12 Площадка 3 кран\K07156189_20_20260210T120307Z.jpg</v>
      </c>
    </row>
    <row r="195" spans="1:13" x14ac:dyDescent="0.25">
      <c r="A195" s="2" t="s">
        <v>14</v>
      </c>
      <c r="B195" s="4">
        <v>46063</v>
      </c>
      <c r="C195" s="5">
        <v>0.76939814814814811</v>
      </c>
      <c r="D195" s="9" t="s">
        <v>11811</v>
      </c>
      <c r="E195" s="9"/>
      <c r="F195" s="9"/>
      <c r="H195" s="9"/>
      <c r="I195" s="9" t="s">
        <v>11682</v>
      </c>
      <c r="J195" s="9" t="s">
        <v>2942</v>
      </c>
      <c r="K195" t="s">
        <v>11683</v>
      </c>
      <c r="L195" t="s">
        <v>11684</v>
      </c>
      <c r="M195" s="3" t="str">
        <f>HYPERLINK(склад2въезд13192021222378[[#This Row],[RelativePath]])</f>
        <v>12 Площадка 3 кран\K07156189_20_20260210T182756Z.jpg</v>
      </c>
    </row>
    <row r="196" spans="1:13" x14ac:dyDescent="0.25">
      <c r="A196" s="2" t="s">
        <v>14</v>
      </c>
      <c r="B196" s="4">
        <v>46063</v>
      </c>
      <c r="C196" s="5">
        <v>0.77378472222222228</v>
      </c>
      <c r="D196" s="9" t="s">
        <v>4</v>
      </c>
      <c r="E196" s="9" t="s">
        <v>8</v>
      </c>
      <c r="F196" s="9"/>
      <c r="H196" s="9"/>
      <c r="I196" s="9" t="s">
        <v>11685</v>
      </c>
      <c r="J196" s="9" t="s">
        <v>2942</v>
      </c>
      <c r="K196" t="s">
        <v>11686</v>
      </c>
      <c r="L196" t="s">
        <v>11687</v>
      </c>
      <c r="M196" s="3" t="str">
        <f>HYPERLINK(склад2въезд13192021222378[[#This Row],[RelativePath]])</f>
        <v>12 Площадка 3 кран\K07156189_20_20260210T183415Z.jpg</v>
      </c>
    </row>
    <row r="197" spans="1:13" x14ac:dyDescent="0.25">
      <c r="A197" s="2" t="s">
        <v>15</v>
      </c>
      <c r="B197" s="4">
        <v>46064</v>
      </c>
      <c r="C197" s="5">
        <v>0.36252314814814812</v>
      </c>
      <c r="D197" s="9" t="s">
        <v>1967</v>
      </c>
      <c r="E197" s="9" t="s">
        <v>8</v>
      </c>
      <c r="F197" s="9"/>
      <c r="H197" s="9"/>
      <c r="I197" s="9" t="s">
        <v>11688</v>
      </c>
      <c r="J197" s="9" t="s">
        <v>2942</v>
      </c>
      <c r="K197" t="s">
        <v>11689</v>
      </c>
      <c r="L197" t="s">
        <v>11690</v>
      </c>
      <c r="M197" s="3" t="str">
        <f>HYPERLINK(склад2въезд13192021222378[[#This Row],[RelativePath]])</f>
        <v>12 Площадка 3 кран\K07156189_20_20260211T084202Z.jpg</v>
      </c>
    </row>
    <row r="198" spans="1:13" x14ac:dyDescent="0.25">
      <c r="A198" s="2" t="s">
        <v>16</v>
      </c>
      <c r="B198" s="4">
        <v>46065</v>
      </c>
      <c r="C198" s="5">
        <v>0.46089120370370368</v>
      </c>
      <c r="D198" s="9" t="s">
        <v>4</v>
      </c>
      <c r="E198" s="9" t="s">
        <v>11813</v>
      </c>
      <c r="F198" s="9"/>
      <c r="H198" s="9"/>
      <c r="I198" s="9" t="s">
        <v>11691</v>
      </c>
      <c r="J198" s="9" t="s">
        <v>2942</v>
      </c>
      <c r="K198" t="s">
        <v>11692</v>
      </c>
      <c r="L198" t="s">
        <v>11693</v>
      </c>
      <c r="M198" s="3" t="str">
        <f>HYPERLINK(склад2въезд13192021222378[[#This Row],[RelativePath]])</f>
        <v>12 Площадка 3 кран\K07156189_20_20260212T110341Z.jpg</v>
      </c>
    </row>
    <row r="199" spans="1:13" x14ac:dyDescent="0.25">
      <c r="A199" s="2" t="s">
        <v>16</v>
      </c>
      <c r="B199" s="4">
        <v>46065</v>
      </c>
      <c r="C199" s="5">
        <v>0.7011574074074074</v>
      </c>
      <c r="D199" s="9" t="s">
        <v>4</v>
      </c>
      <c r="E199" s="9" t="s">
        <v>11813</v>
      </c>
      <c r="F199" s="9"/>
      <c r="H199" s="9" t="s">
        <v>2891</v>
      </c>
      <c r="I199" s="9" t="s">
        <v>11694</v>
      </c>
      <c r="J199" s="9" t="s">
        <v>2942</v>
      </c>
      <c r="K199" t="s">
        <v>11695</v>
      </c>
      <c r="L199" t="s">
        <v>11696</v>
      </c>
      <c r="M199" s="3" t="str">
        <f>HYPERLINK(склад2въезд13192021222378[[#This Row],[RelativePath]])</f>
        <v>12 Площадка 3 кран\K07156189_20_20260212T164940Z.jpg</v>
      </c>
    </row>
    <row r="200" spans="1:13" x14ac:dyDescent="0.25">
      <c r="A200" s="2" t="s">
        <v>17</v>
      </c>
      <c r="B200" s="4">
        <v>46066</v>
      </c>
      <c r="C200" s="5">
        <v>0.57718749999999996</v>
      </c>
      <c r="D200" s="9" t="s">
        <v>4</v>
      </c>
      <c r="E200" s="9" t="s">
        <v>11877</v>
      </c>
      <c r="F200" s="9"/>
      <c r="H200" s="9"/>
      <c r="I200" s="9" t="s">
        <v>11815</v>
      </c>
      <c r="J200" s="9" t="s">
        <v>2942</v>
      </c>
      <c r="K200" t="s">
        <v>11816</v>
      </c>
      <c r="L200" t="s">
        <v>11817</v>
      </c>
      <c r="M200" s="3" t="str">
        <f>HYPERLINK(склад2въезд13192021222378[[#This Row],[RelativePath]])</f>
        <v>12 Площадка 3 кран\K07156189_20_20260213T135109Z.jpg</v>
      </c>
    </row>
    <row r="201" spans="1:13" x14ac:dyDescent="0.25">
      <c r="A201" s="2" t="s">
        <v>18</v>
      </c>
      <c r="B201" s="4">
        <v>46067</v>
      </c>
      <c r="C201" s="5">
        <v>0.64011574074074074</v>
      </c>
      <c r="D201" s="9" t="s">
        <v>1967</v>
      </c>
      <c r="E201" s="9" t="s">
        <v>8</v>
      </c>
      <c r="F201" s="9"/>
      <c r="H201" s="9"/>
      <c r="I201" s="9" t="s">
        <v>11818</v>
      </c>
      <c r="J201" s="9" t="s">
        <v>2942</v>
      </c>
      <c r="K201" t="s">
        <v>11819</v>
      </c>
      <c r="L201" t="s">
        <v>11820</v>
      </c>
      <c r="M201" s="3" t="str">
        <f>HYPERLINK(склад2въезд13192021222378[[#This Row],[RelativePath]])</f>
        <v>12 Площадка 3 кран\K07156189_20_20260214T152146Z.jpg</v>
      </c>
    </row>
    <row r="202" spans="1:13" x14ac:dyDescent="0.25">
      <c r="A202" s="2" t="s">
        <v>22</v>
      </c>
      <c r="B202" s="4">
        <v>46068</v>
      </c>
      <c r="C202" s="5">
        <v>0.5012268518518519</v>
      </c>
      <c r="D202" s="9" t="s">
        <v>4</v>
      </c>
      <c r="E202" s="9" t="s">
        <v>10508</v>
      </c>
      <c r="F202" s="9"/>
      <c r="H202" s="9"/>
      <c r="I202" s="9" t="s">
        <v>11893</v>
      </c>
      <c r="J202" s="9" t="s">
        <v>2942</v>
      </c>
      <c r="K202" t="s">
        <v>11894</v>
      </c>
      <c r="L202" t="s">
        <v>11895</v>
      </c>
      <c r="M202" s="3" t="str">
        <f>HYPERLINK(склад2въезд13192021222378[[#This Row],[RelativePath]])</f>
        <v>12 Площадка 3 кран\K07156189_20_20260215T120146Z.jpg</v>
      </c>
    </row>
    <row r="203" spans="1:13" x14ac:dyDescent="0.25">
      <c r="A203" s="2" t="s">
        <v>22</v>
      </c>
      <c r="B203" s="4">
        <v>46068</v>
      </c>
      <c r="C203" s="5">
        <v>0.50148148148148153</v>
      </c>
      <c r="D203" s="9" t="s">
        <v>4</v>
      </c>
      <c r="E203" s="9" t="s">
        <v>11911</v>
      </c>
      <c r="F203" s="9"/>
      <c r="H203" s="9" t="s">
        <v>2891</v>
      </c>
      <c r="I203" s="9" t="s">
        <v>11896</v>
      </c>
      <c r="J203" s="9" t="s">
        <v>2942</v>
      </c>
      <c r="K203" t="s">
        <v>11897</v>
      </c>
      <c r="L203" t="s">
        <v>11898</v>
      </c>
      <c r="M203" s="3" t="str">
        <f>HYPERLINK(склад2въезд13192021222378[[#This Row],[RelativePath]])</f>
        <v>12 Площадка 3 кран\K07156189_20_20260215T120208Z.jpg</v>
      </c>
    </row>
    <row r="204" spans="1:13" x14ac:dyDescent="0.25">
      <c r="A204" s="2" t="s">
        <v>22</v>
      </c>
      <c r="B204" s="4">
        <v>46068</v>
      </c>
      <c r="C204" s="5">
        <v>0.57620370370370366</v>
      </c>
      <c r="D204" s="9" t="s">
        <v>12</v>
      </c>
      <c r="E204" s="9"/>
      <c r="F204" s="9"/>
      <c r="H204" s="9"/>
      <c r="I204" s="9" t="s">
        <v>11899</v>
      </c>
      <c r="J204" s="9" t="s">
        <v>2942</v>
      </c>
      <c r="K204" t="s">
        <v>11900</v>
      </c>
      <c r="L204" t="s">
        <v>11901</v>
      </c>
      <c r="M204" s="3" t="str">
        <f>HYPERLINK(склад2въезд13192021222378[[#This Row],[RelativePath]])</f>
        <v>12 Площадка 3 кран\K07156189_20_20260215T134944Z.jpg</v>
      </c>
    </row>
    <row r="205" spans="1:13" x14ac:dyDescent="0.25">
      <c r="A205" s="2" t="s">
        <v>22</v>
      </c>
      <c r="B205" s="4">
        <v>46068</v>
      </c>
      <c r="C205" s="5">
        <v>0.74337962962962967</v>
      </c>
      <c r="D205" s="9" t="s">
        <v>4</v>
      </c>
      <c r="E205" s="9" t="s">
        <v>8</v>
      </c>
      <c r="F205" s="9"/>
      <c r="H205" s="9" t="s">
        <v>2891</v>
      </c>
      <c r="I205" s="9" t="s">
        <v>11902</v>
      </c>
      <c r="J205" s="9" t="s">
        <v>2942</v>
      </c>
      <c r="K205" t="s">
        <v>11903</v>
      </c>
      <c r="L205" t="s">
        <v>11904</v>
      </c>
      <c r="M205" s="3" t="str">
        <f>HYPERLINK(склад2въезд13192021222378[[#This Row],[RelativePath]])</f>
        <v>12 Площадка 3 кран\K07156189_20_20260215T175028Z.jpg</v>
      </c>
    </row>
    <row r="206" spans="1:13" x14ac:dyDescent="0.25">
      <c r="A206" s="2" t="s">
        <v>13</v>
      </c>
      <c r="B206" s="4">
        <v>46069</v>
      </c>
      <c r="C206" s="5">
        <v>0.39932870370370371</v>
      </c>
      <c r="D206" s="9" t="s">
        <v>12</v>
      </c>
      <c r="E206" s="9" t="s">
        <v>1570</v>
      </c>
      <c r="F206" s="9"/>
      <c r="H206" s="9"/>
      <c r="I206" s="9" t="s">
        <v>12083</v>
      </c>
      <c r="J206" s="9" t="s">
        <v>2942</v>
      </c>
      <c r="K206" t="s">
        <v>12084</v>
      </c>
      <c r="L206" t="s">
        <v>12085</v>
      </c>
      <c r="M206" s="3" t="str">
        <f>HYPERLINK(склад2въезд13192021222378[[#This Row],[RelativePath]])</f>
        <v>12 Площадка 3 кран\K07156189_20_20260216T093502Z.jpg</v>
      </c>
    </row>
    <row r="207" spans="1:13" x14ac:dyDescent="0.25">
      <c r="A207" s="2" t="s">
        <v>13</v>
      </c>
      <c r="B207" s="4">
        <v>46069</v>
      </c>
      <c r="C207" s="5">
        <v>0.62368055555555557</v>
      </c>
      <c r="D207" s="9" t="s">
        <v>9097</v>
      </c>
      <c r="E207" s="9" t="s">
        <v>86</v>
      </c>
      <c r="F207" s="9"/>
      <c r="H207" s="9"/>
      <c r="I207" s="9" t="s">
        <v>12086</v>
      </c>
      <c r="J207" s="9" t="s">
        <v>2942</v>
      </c>
      <c r="K207" t="s">
        <v>12087</v>
      </c>
      <c r="L207" t="s">
        <v>12088</v>
      </c>
      <c r="M207" s="3" t="str">
        <f>HYPERLINK(склад2въезд13192021222378[[#This Row],[RelativePath]])</f>
        <v>12 Площадка 3 кран\K07156189_20_20260216T145806Z.jpg</v>
      </c>
    </row>
    <row r="208" spans="1:13" x14ac:dyDescent="0.25">
      <c r="A208" s="2" t="s">
        <v>13</v>
      </c>
      <c r="B208" s="4">
        <v>46069</v>
      </c>
      <c r="C208" s="5">
        <v>0.70622685185185186</v>
      </c>
      <c r="D208" s="9" t="s">
        <v>12</v>
      </c>
      <c r="E208" s="9" t="s">
        <v>1570</v>
      </c>
      <c r="F208" s="9"/>
      <c r="H208" s="9"/>
      <c r="I208" s="9" t="s">
        <v>12089</v>
      </c>
      <c r="J208" s="9" t="s">
        <v>2942</v>
      </c>
      <c r="K208" t="s">
        <v>12090</v>
      </c>
      <c r="L208" t="s">
        <v>12091</v>
      </c>
      <c r="M208" s="3" t="str">
        <f>HYPERLINK(склад2въезд13192021222378[[#This Row],[RelativePath]])</f>
        <v>12 Площадка 3 кран\K07156189_20_20260216T165658Z.jpg</v>
      </c>
    </row>
    <row r="209" spans="1:13" x14ac:dyDescent="0.25">
      <c r="A209" s="2" t="s">
        <v>14</v>
      </c>
      <c r="B209" s="4">
        <v>46070</v>
      </c>
      <c r="C209" s="5">
        <v>0.46946759259259258</v>
      </c>
      <c r="D209" s="9" t="s">
        <v>7</v>
      </c>
      <c r="E209" s="9"/>
      <c r="F209" s="9"/>
      <c r="H209" s="9"/>
      <c r="I209" s="9" t="s">
        <v>12092</v>
      </c>
      <c r="J209" s="9" t="s">
        <v>2942</v>
      </c>
      <c r="K209" t="s">
        <v>12093</v>
      </c>
      <c r="L209" t="s">
        <v>12094</v>
      </c>
      <c r="M209" s="3" t="str">
        <f>HYPERLINK(склад2въезд13192021222378[[#This Row],[RelativePath]])</f>
        <v>12 Площадка 3 кран\K07156189_20_20260217T111602Z.jpg</v>
      </c>
    </row>
    <row r="210" spans="1:13" x14ac:dyDescent="0.25">
      <c r="A210" s="2" t="s">
        <v>14</v>
      </c>
      <c r="B210" s="4">
        <v>46070</v>
      </c>
      <c r="C210" s="5">
        <v>0.53052083333333333</v>
      </c>
      <c r="D210" s="9" t="s">
        <v>12231</v>
      </c>
      <c r="E210" s="9" t="s">
        <v>1570</v>
      </c>
      <c r="F210" s="9"/>
      <c r="H210" s="9"/>
      <c r="I210" s="9" t="s">
        <v>12095</v>
      </c>
      <c r="J210" s="9" t="s">
        <v>2942</v>
      </c>
      <c r="K210" t="s">
        <v>12096</v>
      </c>
      <c r="L210" t="s">
        <v>12097</v>
      </c>
      <c r="M210" s="3" t="str">
        <f>HYPERLINK(склад2въезд13192021222378[[#This Row],[RelativePath]])</f>
        <v>12 Площадка 3 кран\K07156189_20_20260217T124357Z.jpg</v>
      </c>
    </row>
    <row r="211" spans="1:13" x14ac:dyDescent="0.25">
      <c r="A211" s="2" t="s">
        <v>14</v>
      </c>
      <c r="B211" s="4">
        <v>46070</v>
      </c>
      <c r="C211" s="5">
        <v>0.76012731481481477</v>
      </c>
      <c r="D211" s="9" t="s">
        <v>4</v>
      </c>
      <c r="E211" s="9" t="s">
        <v>8</v>
      </c>
      <c r="F211" s="9"/>
      <c r="H211" s="9"/>
      <c r="I211" s="9" t="s">
        <v>12098</v>
      </c>
      <c r="J211" s="9" t="s">
        <v>2942</v>
      </c>
      <c r="K211" t="s">
        <v>12099</v>
      </c>
      <c r="L211" t="s">
        <v>12100</v>
      </c>
      <c r="M211" s="3" t="str">
        <f>HYPERLINK(склад2въезд13192021222378[[#This Row],[RelativePath]])</f>
        <v>12 Площадка 3 кран\K07156189_20_20260217T181435Z.jpg</v>
      </c>
    </row>
    <row r="212" spans="1:13" x14ac:dyDescent="0.25">
      <c r="A212" s="2" t="s">
        <v>15</v>
      </c>
      <c r="B212" s="4">
        <v>46071</v>
      </c>
      <c r="C212" s="5">
        <v>0.50296296296296295</v>
      </c>
      <c r="D212" s="9" t="s">
        <v>9097</v>
      </c>
      <c r="E212" s="9" t="s">
        <v>86</v>
      </c>
      <c r="F212" s="9"/>
      <c r="H212" s="9"/>
      <c r="I212" s="9" t="s">
        <v>12101</v>
      </c>
      <c r="J212" s="9" t="s">
        <v>2942</v>
      </c>
      <c r="K212" t="s">
        <v>12102</v>
      </c>
      <c r="L212" t="s">
        <v>12103</v>
      </c>
      <c r="M212" s="3" t="str">
        <f>HYPERLINK(склад2въезд13192021222378[[#This Row],[RelativePath]])</f>
        <v>12 Площадка 3 кран\K07156189_20_20260218T120416Z.jpg</v>
      </c>
    </row>
    <row r="213" spans="1:13" x14ac:dyDescent="0.25">
      <c r="A213" s="2" t="s">
        <v>15</v>
      </c>
      <c r="B213" s="4">
        <v>46071</v>
      </c>
      <c r="C213" s="5">
        <v>0.74914351851851857</v>
      </c>
      <c r="D213" s="9" t="s">
        <v>4</v>
      </c>
      <c r="E213" s="9" t="s">
        <v>8</v>
      </c>
      <c r="F213" s="9"/>
      <c r="H213" s="9"/>
      <c r="I213" s="9" t="s">
        <v>12104</v>
      </c>
      <c r="J213" s="9" t="s">
        <v>2942</v>
      </c>
      <c r="K213" t="s">
        <v>12105</v>
      </c>
      <c r="L213" t="s">
        <v>12106</v>
      </c>
      <c r="M213" s="3" t="str">
        <f>HYPERLINK(склад2въезд13192021222378[[#This Row],[RelativePath]])</f>
        <v>12 Площадка 3 кран\K07156189_20_20260218T175846Z.jpg</v>
      </c>
    </row>
    <row r="214" spans="1:13" x14ac:dyDescent="0.25">
      <c r="A214" s="2" t="s">
        <v>16</v>
      </c>
      <c r="B214" s="4">
        <v>46072</v>
      </c>
      <c r="C214" s="5">
        <v>0.40037037037037038</v>
      </c>
      <c r="D214" s="9" t="s">
        <v>12231</v>
      </c>
      <c r="E214" s="9"/>
      <c r="F214" s="9"/>
      <c r="H214" s="9"/>
      <c r="I214" s="9" t="s">
        <v>12235</v>
      </c>
      <c r="J214" s="9" t="s">
        <v>2942</v>
      </c>
      <c r="K214" t="s">
        <v>12236</v>
      </c>
      <c r="L214" t="s">
        <v>12237</v>
      </c>
      <c r="M214" s="3" t="str">
        <f>HYPERLINK(склад2въезд13192021222378[[#This Row],[RelativePath]])</f>
        <v>12 Площадка 3 кран\K07156189_20_20260219T093632Z.jpg</v>
      </c>
    </row>
    <row r="215" spans="1:13" x14ac:dyDescent="0.25">
      <c r="A215" s="2" t="s">
        <v>16</v>
      </c>
      <c r="B215" s="4">
        <v>46072</v>
      </c>
      <c r="C215" s="5">
        <v>0.41289351851851852</v>
      </c>
      <c r="D215" s="9" t="s">
        <v>9097</v>
      </c>
      <c r="E215" s="9" t="s">
        <v>86</v>
      </c>
      <c r="F215" s="9"/>
      <c r="H215" s="9"/>
      <c r="I215" s="9" t="s">
        <v>12238</v>
      </c>
      <c r="J215" s="9" t="s">
        <v>2942</v>
      </c>
      <c r="K215" t="s">
        <v>12239</v>
      </c>
      <c r="L215" t="s">
        <v>12240</v>
      </c>
      <c r="M215" s="3" t="str">
        <f>HYPERLINK(склад2въезд13192021222378[[#This Row],[RelativePath]])</f>
        <v>12 Площадка 3 кран\K07156189_20_20260219T095434Z.jpg</v>
      </c>
    </row>
    <row r="216" spans="1:13" x14ac:dyDescent="0.25">
      <c r="A216" s="2" t="s">
        <v>16</v>
      </c>
      <c r="B216" s="4">
        <v>46072</v>
      </c>
      <c r="C216" s="5">
        <v>0.48055555555555557</v>
      </c>
      <c r="D216" s="9" t="s">
        <v>12231</v>
      </c>
      <c r="E216" s="9"/>
      <c r="F216" s="9"/>
      <c r="H216" s="9"/>
      <c r="I216" s="9" t="s">
        <v>12241</v>
      </c>
      <c r="J216" s="9" t="s">
        <v>2942</v>
      </c>
      <c r="K216" t="s">
        <v>12242</v>
      </c>
      <c r="L216" t="s">
        <v>12243</v>
      </c>
      <c r="M216" s="3" t="str">
        <f>HYPERLINK(склад2въезд13192021222378[[#This Row],[RelativePath]])</f>
        <v>12 Площадка 3 кран\K07156189_20_20260219T113200Z.jpg</v>
      </c>
    </row>
    <row r="217" spans="1:13" x14ac:dyDescent="0.25">
      <c r="A217" s="2" t="s">
        <v>16</v>
      </c>
      <c r="B217" s="4">
        <v>46072</v>
      </c>
      <c r="C217" s="5">
        <v>0.62585648148148143</v>
      </c>
      <c r="D217" s="9" t="s">
        <v>12231</v>
      </c>
      <c r="E217" s="9"/>
      <c r="F217" s="9"/>
      <c r="H217" s="9"/>
      <c r="I217" s="9" t="s">
        <v>12244</v>
      </c>
      <c r="J217" s="9" t="s">
        <v>2942</v>
      </c>
      <c r="K217" t="s">
        <v>12245</v>
      </c>
      <c r="L217" t="s">
        <v>12246</v>
      </c>
      <c r="M217" s="3" t="str">
        <f>HYPERLINK(склад2въезд13192021222378[[#This Row],[RelativePath]])</f>
        <v>12 Площадка 3 кран\K07156189_20_20260219T150114Z.jpg</v>
      </c>
    </row>
    <row r="218" spans="1:13" x14ac:dyDescent="0.25">
      <c r="A218" s="2" t="s">
        <v>16</v>
      </c>
      <c r="B218" s="4">
        <v>46072</v>
      </c>
      <c r="C218" s="5">
        <v>0.67208333333333337</v>
      </c>
      <c r="D218" s="9" t="s">
        <v>12231</v>
      </c>
      <c r="E218" s="9"/>
      <c r="F218" s="9"/>
      <c r="H218" s="9"/>
      <c r="I218" s="9" t="s">
        <v>12247</v>
      </c>
      <c r="J218" s="9" t="s">
        <v>2942</v>
      </c>
      <c r="K218" t="s">
        <v>12248</v>
      </c>
      <c r="L218" t="s">
        <v>12249</v>
      </c>
      <c r="M218" s="3" t="str">
        <f>HYPERLINK(склад2въезд13192021222378[[#This Row],[RelativePath]])</f>
        <v>12 Площадка 3 кран\K07156189_20_20260219T160748Z.jpg</v>
      </c>
    </row>
    <row r="219" spans="1:13" x14ac:dyDescent="0.25">
      <c r="A219" s="2" t="s">
        <v>16</v>
      </c>
      <c r="B219" s="4">
        <v>46072</v>
      </c>
      <c r="C219" s="5">
        <v>0.73247685185185185</v>
      </c>
      <c r="D219" s="9" t="s">
        <v>12231</v>
      </c>
      <c r="E219" s="9"/>
      <c r="F219" s="9"/>
      <c r="H219" s="9"/>
      <c r="I219" s="9" t="s">
        <v>12250</v>
      </c>
      <c r="J219" s="9" t="s">
        <v>2942</v>
      </c>
      <c r="K219" t="s">
        <v>12251</v>
      </c>
      <c r="L219" t="s">
        <v>12252</v>
      </c>
      <c r="M219" s="3" t="str">
        <f>HYPERLINK(склад2въезд13192021222378[[#This Row],[RelativePath]])</f>
        <v>12 Площадка 3 кран\K07156189_20_20260219T173446Z.jpg</v>
      </c>
    </row>
    <row r="220" spans="1:13" x14ac:dyDescent="0.25">
      <c r="A220" s="2" t="s">
        <v>16</v>
      </c>
      <c r="B220" s="4">
        <v>46072</v>
      </c>
      <c r="C220" s="5">
        <v>0.79925925925925922</v>
      </c>
      <c r="D220" s="9" t="s">
        <v>12231</v>
      </c>
      <c r="E220" s="9"/>
      <c r="F220" s="9"/>
      <c r="H220" s="9"/>
      <c r="I220" s="9" t="s">
        <v>12253</v>
      </c>
      <c r="J220" s="9" t="s">
        <v>2942</v>
      </c>
      <c r="K220" t="s">
        <v>12254</v>
      </c>
      <c r="L220" t="s">
        <v>12255</v>
      </c>
      <c r="M220" s="3" t="str">
        <f>HYPERLINK(склад2въезд13192021222378[[#This Row],[RelativePath]])</f>
        <v>12 Площадка 3 кран\K07156189_20_20260219T191056Z.jpg</v>
      </c>
    </row>
    <row r="221" spans="1:13" x14ac:dyDescent="0.25">
      <c r="A221" s="2" t="s">
        <v>17</v>
      </c>
      <c r="B221" s="4">
        <v>46073</v>
      </c>
      <c r="C221" s="5">
        <v>0.36555555555555558</v>
      </c>
      <c r="D221" s="9" t="s">
        <v>12231</v>
      </c>
      <c r="E221" s="9"/>
      <c r="F221" s="9"/>
      <c r="H221" s="9"/>
      <c r="I221" s="9" t="s">
        <v>12393</v>
      </c>
      <c r="J221" s="9" t="s">
        <v>2942</v>
      </c>
      <c r="K221" t="s">
        <v>12394</v>
      </c>
      <c r="L221" t="s">
        <v>12395</v>
      </c>
      <c r="M221" s="3" t="str">
        <f>HYPERLINK(склад2въезд13192021222378[[#This Row],[RelativePath]])</f>
        <v>12 Площадка 3 кран\K07156189_20_20260220T084624Z.jpg</v>
      </c>
    </row>
    <row r="222" spans="1:13" x14ac:dyDescent="0.25">
      <c r="A222" s="2" t="s">
        <v>17</v>
      </c>
      <c r="B222" s="4">
        <v>46073</v>
      </c>
      <c r="C222" s="5">
        <v>0.46980324074074076</v>
      </c>
      <c r="D222" s="9" t="s">
        <v>12231</v>
      </c>
      <c r="E222" s="9"/>
      <c r="F222" s="9"/>
      <c r="H222" s="9"/>
      <c r="I222" s="9" t="s">
        <v>12396</v>
      </c>
      <c r="J222" s="9" t="s">
        <v>2942</v>
      </c>
      <c r="K222" t="s">
        <v>12397</v>
      </c>
      <c r="L222" t="s">
        <v>12398</v>
      </c>
      <c r="M222" s="3" t="str">
        <f>HYPERLINK(склад2въезд13192021222378[[#This Row],[RelativePath]])</f>
        <v>12 Площадка 3 кран\K07156189_20_20260220T111631Z.jpg</v>
      </c>
    </row>
    <row r="223" spans="1:13" x14ac:dyDescent="0.25">
      <c r="A223" s="2" t="s">
        <v>17</v>
      </c>
      <c r="B223" s="4">
        <v>46073</v>
      </c>
      <c r="C223" s="5">
        <v>0.60820601851851852</v>
      </c>
      <c r="D223" s="9" t="s">
        <v>12231</v>
      </c>
      <c r="E223" s="9"/>
      <c r="F223" s="9"/>
      <c r="H223" s="9"/>
      <c r="I223" s="9" t="s">
        <v>12399</v>
      </c>
      <c r="J223" s="9" t="s">
        <v>2942</v>
      </c>
      <c r="K223" t="s">
        <v>12400</v>
      </c>
      <c r="L223" t="s">
        <v>12401</v>
      </c>
      <c r="M223" s="3" t="str">
        <f>HYPERLINK(склад2въезд13192021222378[[#This Row],[RelativePath]])</f>
        <v>12 Площадка 3 кран\K07156189_20_20260220T143549Z.jpg</v>
      </c>
    </row>
    <row r="224" spans="1:13" x14ac:dyDescent="0.25">
      <c r="A224" s="2" t="s">
        <v>17</v>
      </c>
      <c r="B224" s="4">
        <v>46073</v>
      </c>
      <c r="C224" s="5">
        <v>0.7139699074074074</v>
      </c>
      <c r="D224" s="9" t="s">
        <v>12231</v>
      </c>
      <c r="E224" s="9"/>
      <c r="F224" s="9"/>
      <c r="H224" s="9"/>
      <c r="I224" s="9" t="s">
        <v>12402</v>
      </c>
      <c r="J224" s="9" t="s">
        <v>2942</v>
      </c>
      <c r="K224" t="s">
        <v>12403</v>
      </c>
      <c r="L224" t="s">
        <v>12404</v>
      </c>
      <c r="M224" s="3" t="str">
        <f>HYPERLINK(склад2въезд13192021222378[[#This Row],[RelativePath]])</f>
        <v>12 Площадка 3 кран\K07156189_20_20260220T170807Z.jpg</v>
      </c>
    </row>
    <row r="225" spans="1:13" x14ac:dyDescent="0.25">
      <c r="A225" s="2" t="s">
        <v>17</v>
      </c>
      <c r="B225" s="4">
        <v>46073</v>
      </c>
      <c r="C225" s="5">
        <v>0.72776620370370371</v>
      </c>
      <c r="D225" s="9" t="s">
        <v>12231</v>
      </c>
      <c r="E225" s="9"/>
      <c r="F225" s="9"/>
      <c r="H225" s="9"/>
      <c r="I225" s="9" t="s">
        <v>12405</v>
      </c>
      <c r="J225" s="9" t="s">
        <v>2942</v>
      </c>
      <c r="K225" t="s">
        <v>12406</v>
      </c>
      <c r="L225" t="s">
        <v>12407</v>
      </c>
      <c r="M225" s="3" t="str">
        <f>HYPERLINK(склад2въезд13192021222378[[#This Row],[RelativePath]])</f>
        <v>12 Площадка 3 кран\K07156189_20_20260220T172759Z.jpg</v>
      </c>
    </row>
    <row r="226" spans="1:13" x14ac:dyDescent="0.25">
      <c r="A226" s="2" t="s">
        <v>17</v>
      </c>
      <c r="B226" s="4">
        <v>46073</v>
      </c>
      <c r="C226" s="5">
        <v>0.77619212962962958</v>
      </c>
      <c r="D226" s="9" t="s">
        <v>12231</v>
      </c>
      <c r="E226" s="9"/>
      <c r="F226" s="9"/>
      <c r="H226" s="9"/>
      <c r="I226" s="9" t="s">
        <v>12408</v>
      </c>
      <c r="J226" s="9" t="s">
        <v>2942</v>
      </c>
      <c r="K226" t="s">
        <v>12409</v>
      </c>
      <c r="L226" t="s">
        <v>12410</v>
      </c>
      <c r="M226" s="3" t="str">
        <f>HYPERLINK(склад2въезд13192021222378[[#This Row],[RelativePath]])</f>
        <v>12 Площадка 3 кран\K07156189_20_20260220T183743Z.jpg</v>
      </c>
    </row>
    <row r="227" spans="1:13" x14ac:dyDescent="0.25">
      <c r="A227" s="2" t="s">
        <v>17</v>
      </c>
      <c r="B227" s="4">
        <v>46073</v>
      </c>
      <c r="C227" s="5">
        <v>0.79792824074074076</v>
      </c>
      <c r="D227" s="9" t="s">
        <v>4</v>
      </c>
      <c r="E227" s="9" t="s">
        <v>8</v>
      </c>
      <c r="F227" s="9"/>
      <c r="H227" s="9"/>
      <c r="I227" s="9" t="s">
        <v>12411</v>
      </c>
      <c r="J227" s="9" t="s">
        <v>2942</v>
      </c>
      <c r="K227" t="s">
        <v>12412</v>
      </c>
      <c r="L227" t="s">
        <v>12413</v>
      </c>
      <c r="M227" s="3" t="str">
        <f>HYPERLINK(склад2въезд13192021222378[[#This Row],[RelativePath]])</f>
        <v>12 Площадка 3 кран\K07156189_20_20260220T190901Z.jpg</v>
      </c>
    </row>
    <row r="228" spans="1:13" x14ac:dyDescent="0.25">
      <c r="A228" s="2" t="s">
        <v>18</v>
      </c>
      <c r="B228" s="4">
        <v>46074</v>
      </c>
      <c r="C228" s="5">
        <v>0.35754629629629631</v>
      </c>
      <c r="D228" s="9" t="s">
        <v>12231</v>
      </c>
      <c r="E228" s="9"/>
      <c r="F228" s="9"/>
      <c r="H228" s="9"/>
      <c r="I228" s="9" t="s">
        <v>12482</v>
      </c>
      <c r="J228" s="9" t="s">
        <v>2942</v>
      </c>
      <c r="K228" t="s">
        <v>12483</v>
      </c>
      <c r="L228" t="s">
        <v>12484</v>
      </c>
      <c r="M228" s="3" t="str">
        <f>HYPERLINK(склад2въезд13192021222378[[#This Row],[RelativePath]])</f>
        <v>12 Площадка 3 кран\K07156189_20_20260221T083452Z.jpg</v>
      </c>
    </row>
    <row r="229" spans="1:13" x14ac:dyDescent="0.25">
      <c r="A229" s="2" t="s">
        <v>18</v>
      </c>
      <c r="B229" s="4">
        <v>46074</v>
      </c>
      <c r="C229" s="5">
        <v>0.39662037037037035</v>
      </c>
      <c r="D229" s="9" t="s">
        <v>12231</v>
      </c>
      <c r="E229" s="9"/>
      <c r="F229" s="9"/>
      <c r="H229" s="9"/>
      <c r="I229" s="9" t="s">
        <v>12485</v>
      </c>
      <c r="J229" s="9" t="s">
        <v>2942</v>
      </c>
      <c r="K229" t="s">
        <v>12486</v>
      </c>
      <c r="L229" t="s">
        <v>12487</v>
      </c>
      <c r="M229" s="3" t="str">
        <f>HYPERLINK(склад2въезд13192021222378[[#This Row],[RelativePath]])</f>
        <v>12 Площадка 3 кран\K07156189_20_20260221T093108Z.jpg</v>
      </c>
    </row>
    <row r="230" spans="1:13" x14ac:dyDescent="0.25">
      <c r="A230" s="2" t="s">
        <v>18</v>
      </c>
      <c r="B230" s="4">
        <v>46074</v>
      </c>
      <c r="C230" s="5">
        <v>0.43799768518518517</v>
      </c>
      <c r="D230" s="9" t="s">
        <v>12231</v>
      </c>
      <c r="E230" s="9"/>
      <c r="F230" s="9"/>
      <c r="H230" s="9"/>
      <c r="I230" s="9" t="s">
        <v>12488</v>
      </c>
      <c r="J230" s="9" t="s">
        <v>2942</v>
      </c>
      <c r="K230" t="s">
        <v>12489</v>
      </c>
      <c r="L230" t="s">
        <v>12490</v>
      </c>
      <c r="M230" s="3" t="str">
        <f>HYPERLINK(склад2въезд13192021222378[[#This Row],[RelativePath]])</f>
        <v>12 Площадка 3 кран\K07156189_20_20260221T103043Z.jpg</v>
      </c>
    </row>
    <row r="231" spans="1:13" x14ac:dyDescent="0.25">
      <c r="A231" s="2" t="s">
        <v>18</v>
      </c>
      <c r="B231" s="4">
        <v>46074</v>
      </c>
      <c r="C231" s="5">
        <v>0.46243055555555557</v>
      </c>
      <c r="D231" s="9" t="s">
        <v>12231</v>
      </c>
      <c r="E231" s="9"/>
      <c r="F231" s="9"/>
      <c r="H231" s="9"/>
      <c r="I231" s="9" t="s">
        <v>12491</v>
      </c>
      <c r="J231" s="9" t="s">
        <v>2942</v>
      </c>
      <c r="K231" t="s">
        <v>12492</v>
      </c>
      <c r="L231" t="s">
        <v>12493</v>
      </c>
      <c r="M231" s="3" t="str">
        <f>HYPERLINK(склад2въезд13192021222378[[#This Row],[RelativePath]])</f>
        <v>12 Площадка 3 кран\K07156189_20_20260221T110554Z.jpg</v>
      </c>
    </row>
    <row r="232" spans="1:13" x14ac:dyDescent="0.25">
      <c r="A232" s="2" t="s">
        <v>18</v>
      </c>
      <c r="B232" s="4">
        <v>46074</v>
      </c>
      <c r="C232" s="5">
        <v>0.75148148148148153</v>
      </c>
      <c r="D232" s="9" t="s">
        <v>12231</v>
      </c>
      <c r="E232" s="9"/>
      <c r="F232" s="9"/>
      <c r="H232" s="9"/>
      <c r="I232" s="9" t="s">
        <v>12494</v>
      </c>
      <c r="J232" s="9" t="s">
        <v>2942</v>
      </c>
      <c r="K232" t="s">
        <v>12495</v>
      </c>
      <c r="L232" t="s">
        <v>12496</v>
      </c>
      <c r="M232" s="3" t="str">
        <f>HYPERLINK(склад2въезд13192021222378[[#This Row],[RelativePath]])</f>
        <v>12 Площадка 3 кран\K07156189_20_20260221T180208Z.jpg</v>
      </c>
    </row>
    <row r="233" spans="1:13" x14ac:dyDescent="0.25">
      <c r="A233" s="2" t="s">
        <v>18</v>
      </c>
      <c r="B233" s="4">
        <v>46074</v>
      </c>
      <c r="C233" s="5">
        <v>0.79027777777777775</v>
      </c>
      <c r="D233" s="9" t="s">
        <v>12231</v>
      </c>
      <c r="E233" s="9"/>
      <c r="F233" s="9"/>
      <c r="H233" s="9"/>
      <c r="I233" s="9" t="s">
        <v>12497</v>
      </c>
      <c r="J233" s="9" t="s">
        <v>2942</v>
      </c>
      <c r="K233" t="s">
        <v>12498</v>
      </c>
      <c r="L233" t="s">
        <v>12499</v>
      </c>
      <c r="M233" s="3" t="str">
        <f>HYPERLINK(склад2въезд13192021222378[[#This Row],[RelativePath]])</f>
        <v>12 Площадка 3 кран\K07156189_20_20260221T185800Z.jpg</v>
      </c>
    </row>
    <row r="234" spans="1:13" x14ac:dyDescent="0.25">
      <c r="A234" s="2" t="s">
        <v>22</v>
      </c>
      <c r="B234" s="4">
        <v>46075</v>
      </c>
      <c r="C234" s="5">
        <v>0.39399305555555558</v>
      </c>
      <c r="D234" s="9" t="s">
        <v>4</v>
      </c>
      <c r="E234" s="9" t="s">
        <v>8</v>
      </c>
      <c r="F234" s="9"/>
      <c r="H234" s="9"/>
      <c r="I234" s="9" t="s">
        <v>12500</v>
      </c>
      <c r="J234" s="9" t="s">
        <v>2942</v>
      </c>
      <c r="K234" t="s">
        <v>12501</v>
      </c>
      <c r="L234" t="s">
        <v>12502</v>
      </c>
      <c r="M234" s="3" t="str">
        <f>HYPERLINK(склад2въезд13192021222378[[#This Row],[RelativePath]])</f>
        <v>12 Площадка 3 кран\K07156189_20_20260222T092721Z.jpg</v>
      </c>
    </row>
    <row r="235" spans="1:13" x14ac:dyDescent="0.25">
      <c r="A235" s="2" t="s">
        <v>22</v>
      </c>
      <c r="B235" s="4">
        <v>46075</v>
      </c>
      <c r="C235" s="5">
        <v>0.58064814814814814</v>
      </c>
      <c r="D235" s="9" t="s">
        <v>12231</v>
      </c>
      <c r="E235" s="9"/>
      <c r="F235" s="9"/>
      <c r="H235" s="9"/>
      <c r="I235" s="9" t="s">
        <v>12503</v>
      </c>
      <c r="J235" s="9" t="s">
        <v>2942</v>
      </c>
      <c r="K235" t="s">
        <v>12504</v>
      </c>
      <c r="L235" t="s">
        <v>12505</v>
      </c>
      <c r="M235" s="3" t="str">
        <f>HYPERLINK(склад2въезд13192021222378[[#This Row],[RelativePath]])</f>
        <v>12 Площадка 3 кран\K07156189_20_20260222T135608Z.jpg</v>
      </c>
    </row>
    <row r="236" spans="1:13" x14ac:dyDescent="0.25">
      <c r="A236" s="2" t="s">
        <v>22</v>
      </c>
      <c r="B236" s="4">
        <v>46075</v>
      </c>
      <c r="C236" s="5">
        <v>0.72416666666666663</v>
      </c>
      <c r="D236" s="9" t="s">
        <v>12231</v>
      </c>
      <c r="E236" s="9"/>
      <c r="F236" s="9"/>
      <c r="H236" s="9"/>
      <c r="I236" s="9" t="s">
        <v>12506</v>
      </c>
      <c r="J236" s="9" t="s">
        <v>2942</v>
      </c>
      <c r="K236" t="s">
        <v>12507</v>
      </c>
      <c r="L236" t="s">
        <v>12508</v>
      </c>
      <c r="M236" s="3" t="str">
        <f>HYPERLINK(склад2въезд13192021222378[[#This Row],[RelativePath]])</f>
        <v>12 Площадка 3 кран\K07156189_20_20260222T172248Z.jpg</v>
      </c>
    </row>
    <row r="237" spans="1:13" x14ac:dyDescent="0.25">
      <c r="A237" s="2" t="s">
        <v>22</v>
      </c>
      <c r="B237" s="4">
        <v>46075</v>
      </c>
      <c r="C237" s="5">
        <v>0.7884606481481482</v>
      </c>
      <c r="D237" s="9" t="s">
        <v>4</v>
      </c>
      <c r="E237" s="9" t="s">
        <v>8</v>
      </c>
      <c r="F237" s="9"/>
      <c r="H237" s="9"/>
      <c r="I237" s="9" t="s">
        <v>12509</v>
      </c>
      <c r="J237" s="9" t="s">
        <v>2942</v>
      </c>
      <c r="K237" t="s">
        <v>12510</v>
      </c>
      <c r="L237" t="s">
        <v>12511</v>
      </c>
      <c r="M237" s="3" t="str">
        <f>HYPERLINK(склад2въезд13192021222378[[#This Row],[RelativePath]])</f>
        <v>12 Площадка 3 кран\K07156189_20_20260222T185523Z.jpg</v>
      </c>
    </row>
    <row r="238" spans="1:13" x14ac:dyDescent="0.25">
      <c r="A238" s="2" t="s">
        <v>13</v>
      </c>
      <c r="B238" s="4">
        <v>46076</v>
      </c>
      <c r="C238" s="5">
        <v>0.38826388888888891</v>
      </c>
      <c r="D238" s="9" t="s">
        <v>12</v>
      </c>
      <c r="E238" s="9"/>
      <c r="F238" s="9"/>
      <c r="H238" s="9"/>
      <c r="I238" s="9" t="s">
        <v>12758</v>
      </c>
      <c r="J238" s="9" t="s">
        <v>2942</v>
      </c>
      <c r="K238" t="s">
        <v>12759</v>
      </c>
      <c r="L238" t="s">
        <v>12760</v>
      </c>
      <c r="M238" s="3" t="str">
        <f>HYPERLINK(склад2въезд13192021222378[[#This Row],[RelativePath]])</f>
        <v>12 Площадка 3 кран\K07156189_20_20260223T091906Z.jpg</v>
      </c>
    </row>
    <row r="239" spans="1:13" x14ac:dyDescent="0.25">
      <c r="A239" s="2" t="s">
        <v>13</v>
      </c>
      <c r="B239" s="4">
        <v>46076</v>
      </c>
      <c r="C239" s="5">
        <v>0.87138888888888888</v>
      </c>
      <c r="D239" s="9" t="s">
        <v>4</v>
      </c>
      <c r="E239" s="9" t="s">
        <v>8</v>
      </c>
      <c r="F239" s="9"/>
      <c r="H239" s="9"/>
      <c r="I239" s="9" t="s">
        <v>12761</v>
      </c>
      <c r="J239" s="9" t="s">
        <v>2942</v>
      </c>
      <c r="K239" t="s">
        <v>12762</v>
      </c>
      <c r="L239" t="s">
        <v>12763</v>
      </c>
      <c r="M239" s="3" t="str">
        <f>HYPERLINK(склад2въезд13192021222378[[#This Row],[RelativePath]])</f>
        <v>12 Площадка 3 кран\K07156189_20_20260223T205448Z.jpg</v>
      </c>
    </row>
    <row r="240" spans="1:13" x14ac:dyDescent="0.25">
      <c r="A240" s="2" t="s">
        <v>14</v>
      </c>
      <c r="B240" s="4">
        <v>46077</v>
      </c>
      <c r="C240" s="5">
        <v>0.40061342592592591</v>
      </c>
      <c r="D240" s="9"/>
      <c r="E240" s="9"/>
      <c r="F240" s="9"/>
      <c r="H240" s="9"/>
      <c r="I240" s="9" t="s">
        <v>13140</v>
      </c>
      <c r="J240" s="9" t="s">
        <v>13141</v>
      </c>
      <c r="K240" t="s">
        <v>13142</v>
      </c>
      <c r="L240" t="s">
        <v>13143</v>
      </c>
      <c r="M240" s="3" t="str">
        <f>HYPERLINK(склад2въезд13192021222378[[#This Row],[RelativePath]])</f>
        <v>12 Площадка 3 кран\K07156189_20_20260224T093653Z.jpg</v>
      </c>
    </row>
    <row r="241" spans="1:13" x14ac:dyDescent="0.25">
      <c r="A241" s="2" t="s">
        <v>14</v>
      </c>
      <c r="B241" s="4">
        <v>46077</v>
      </c>
      <c r="C241" s="5">
        <v>0.6582986111111111</v>
      </c>
      <c r="D241" s="9"/>
      <c r="E241" s="9"/>
      <c r="F241" s="9"/>
      <c r="H241" s="9"/>
      <c r="I241" s="9" t="s">
        <v>13144</v>
      </c>
      <c r="J241" s="9" t="s">
        <v>13141</v>
      </c>
      <c r="K241" t="s">
        <v>13145</v>
      </c>
      <c r="L241" t="s">
        <v>13146</v>
      </c>
      <c r="M241" s="3" t="str">
        <f>HYPERLINK(склад2въезд13192021222378[[#This Row],[RelativePath]])</f>
        <v>12 Площадка 3 кран\K07156189_20_20260224T154757Z.jpg</v>
      </c>
    </row>
    <row r="242" spans="1:13" x14ac:dyDescent="0.25">
      <c r="A242" s="2" t="s">
        <v>14</v>
      </c>
      <c r="B242" s="4">
        <v>46077</v>
      </c>
      <c r="C242" s="5">
        <v>0.75982638888888887</v>
      </c>
      <c r="D242" s="9"/>
      <c r="E242" s="9"/>
      <c r="F242" s="9"/>
      <c r="H242" s="9"/>
      <c r="I242" s="9" t="s">
        <v>13147</v>
      </c>
      <c r="J242" s="9" t="s">
        <v>13141</v>
      </c>
      <c r="K242" t="s">
        <v>13148</v>
      </c>
      <c r="L242" t="s">
        <v>13149</v>
      </c>
      <c r="M242" s="3" t="str">
        <f>HYPERLINK(склад2въезд13192021222378[[#This Row],[RelativePath]])</f>
        <v>12 Площадка 3 кран\K07156189_20_20260224T181409Z.jpg</v>
      </c>
    </row>
    <row r="243" spans="1:13" x14ac:dyDescent="0.25">
      <c r="A243" s="2" t="s">
        <v>14</v>
      </c>
      <c r="B243" s="4">
        <v>46077</v>
      </c>
      <c r="C243" s="5">
        <v>0.80495370370370367</v>
      </c>
      <c r="D243" s="9"/>
      <c r="E243" s="9"/>
      <c r="F243" s="9"/>
      <c r="H243" s="9"/>
      <c r="I243" s="9" t="s">
        <v>13150</v>
      </c>
      <c r="J243" s="9" t="s">
        <v>13141</v>
      </c>
      <c r="K243" t="s">
        <v>13151</v>
      </c>
      <c r="L243" t="s">
        <v>13152</v>
      </c>
      <c r="M243" s="3" t="str">
        <f>HYPERLINK(склад2въезд13192021222378[[#This Row],[RelativePath]])</f>
        <v>12 Площадка 3 кран\K07156189_20_20260224T191908Z.jpg</v>
      </c>
    </row>
    <row r="244" spans="1:13" x14ac:dyDescent="0.25">
      <c r="A244" s="2" t="s">
        <v>15</v>
      </c>
      <c r="B244" s="4">
        <v>46078</v>
      </c>
      <c r="C244" s="5">
        <v>0.39271990740740742</v>
      </c>
      <c r="D244" s="9"/>
      <c r="E244" s="9"/>
      <c r="F244" s="9"/>
      <c r="H244" s="9"/>
      <c r="I244" s="9" t="s">
        <v>13153</v>
      </c>
      <c r="J244" s="9" t="s">
        <v>13141</v>
      </c>
      <c r="K244" t="s">
        <v>13154</v>
      </c>
      <c r="L244" t="s">
        <v>13155</v>
      </c>
      <c r="M244" s="3" t="str">
        <f>HYPERLINK(склад2въезд13192021222378[[#This Row],[RelativePath]])</f>
        <v>12 Площадка 3 кран\K07156189_20_20260225T092531Z.jpg</v>
      </c>
    </row>
    <row r="245" spans="1:13" x14ac:dyDescent="0.25">
      <c r="A245" s="2" t="s">
        <v>15</v>
      </c>
      <c r="B245" s="4">
        <v>46078</v>
      </c>
      <c r="C245" s="5">
        <v>0.46714120370370371</v>
      </c>
      <c r="D245" s="9"/>
      <c r="E245" s="9"/>
      <c r="F245" s="9"/>
      <c r="H245" s="9"/>
      <c r="I245" s="9" t="s">
        <v>13156</v>
      </c>
      <c r="J245" s="9" t="s">
        <v>13141</v>
      </c>
      <c r="K245" t="s">
        <v>13157</v>
      </c>
      <c r="L245" t="s">
        <v>13158</v>
      </c>
      <c r="M245" s="3" t="str">
        <f>HYPERLINK(склад2въезд13192021222378[[#This Row],[RelativePath]])</f>
        <v>12 Площадка 3 кран\K07156189_20_20260225T111241Z.jpg</v>
      </c>
    </row>
    <row r="246" spans="1:13" x14ac:dyDescent="0.25">
      <c r="A246" s="2" t="s">
        <v>15</v>
      </c>
      <c r="B246" s="4">
        <v>46078</v>
      </c>
      <c r="C246" s="5">
        <v>0.58579861111111109</v>
      </c>
      <c r="D246" s="9"/>
      <c r="E246" s="9"/>
      <c r="F246" s="9"/>
      <c r="H246" s="9"/>
      <c r="I246" s="9" t="s">
        <v>13159</v>
      </c>
      <c r="J246" s="9" t="s">
        <v>13141</v>
      </c>
      <c r="K246" t="s">
        <v>13160</v>
      </c>
      <c r="L246" t="s">
        <v>13161</v>
      </c>
      <c r="M246" s="3" t="str">
        <f>HYPERLINK(склад2въезд13192021222378[[#This Row],[RelativePath]])</f>
        <v>12 Площадка 3 кран\K07156189_20_20260225T140333Z.jpg</v>
      </c>
    </row>
    <row r="247" spans="1:13" x14ac:dyDescent="0.25">
      <c r="A247" s="2" t="s">
        <v>15</v>
      </c>
      <c r="B247" s="4">
        <v>46078</v>
      </c>
      <c r="C247" s="5">
        <v>0.66991898148148143</v>
      </c>
      <c r="D247" s="9"/>
      <c r="E247" s="9"/>
      <c r="F247" s="9"/>
      <c r="H247" s="9"/>
      <c r="I247" s="9" t="s">
        <v>13162</v>
      </c>
      <c r="J247" s="9" t="s">
        <v>13141</v>
      </c>
      <c r="K247" t="s">
        <v>13163</v>
      </c>
      <c r="L247" t="s">
        <v>13164</v>
      </c>
      <c r="M247" s="3" t="str">
        <f>HYPERLINK(склад2въезд13192021222378[[#This Row],[RelativePath]])</f>
        <v>12 Площадка 3 кран\K07156189_20_20260225T160441Z.jpg</v>
      </c>
    </row>
    <row r="248" spans="1:13" x14ac:dyDescent="0.25">
      <c r="A248" s="2" t="s">
        <v>15</v>
      </c>
      <c r="B248" s="4">
        <v>46078</v>
      </c>
      <c r="C248" s="5">
        <v>0.80032407407407402</v>
      </c>
      <c r="D248" s="9"/>
      <c r="E248" s="9"/>
      <c r="F248" s="9"/>
      <c r="H248" s="9"/>
      <c r="I248" s="9" t="s">
        <v>13165</v>
      </c>
      <c r="J248" s="9" t="s">
        <v>13141</v>
      </c>
      <c r="K248" t="s">
        <v>13166</v>
      </c>
      <c r="L248" t="s">
        <v>13167</v>
      </c>
      <c r="M248" s="3" t="str">
        <f>HYPERLINK(склад2въезд13192021222378[[#This Row],[RelativePath]])</f>
        <v>12 Площадка 3 кран\K07156189_20_20260225T191228Z.jpg</v>
      </c>
    </row>
  </sheetData>
  <conditionalFormatting sqref="D249:D259 E249:E262 G2:H248 D2:E248">
    <cfRule type="containsText" dxfId="248" priority="14" operator="containsText" text="Выезд с территории">
      <formula>NOT(ISERROR(SEARCH("Выезд с территории",D2)))</formula>
    </cfRule>
  </conditionalFormatting>
  <conditionalFormatting sqref="F2:F248">
    <cfRule type="notContainsText" dxfId="247" priority="13" operator="notContains" text="порожний">
      <formula>ISERROR(SEARCH("порожний",F2))</formula>
    </cfRule>
  </conditionalFormatting>
  <conditionalFormatting sqref="E2:E262">
    <cfRule type="containsText" dxfId="246" priority="11" operator="containsText" text="Газель базы">
      <formula>NOT(ISERROR(SEARCH("Газель базы",E2)))</formula>
    </cfRule>
    <cfRule type="containsText" dxfId="245" priority="12" operator="containsText" text="Погрузчик базы">
      <formula>NOT(ISERROR(SEARCH("Погрузчик базы",E2)))</formula>
    </cfRule>
  </conditionalFormatting>
  <conditionalFormatting sqref="E2:E262">
    <cfRule type="containsText" dxfId="244" priority="10" operator="containsText" text="Трактор базы">
      <formula>NOT(ISERROR(SEARCH("Трактор базы",E2)))</formula>
    </cfRule>
  </conditionalFormatting>
  <conditionalFormatting sqref="A2:C248">
    <cfRule type="expression" dxfId="243" priority="9">
      <formula>$A2="пн"</formula>
    </cfRule>
  </conditionalFormatting>
  <conditionalFormatting sqref="A2:C250">
    <cfRule type="expression" dxfId="242" priority="3">
      <formula>$A2="вс"</formula>
    </cfRule>
    <cfRule type="expression" dxfId="241" priority="4">
      <formula>$A2="сб"</formula>
    </cfRule>
    <cfRule type="expression" dxfId="240" priority="5">
      <formula>$A2="пт"</formula>
    </cfRule>
    <cfRule type="expression" dxfId="239" priority="6">
      <formula>$A2="чт"</formula>
    </cfRule>
    <cfRule type="expression" dxfId="238" priority="7">
      <formula>$A2="ср"</formula>
    </cfRule>
    <cfRule type="expression" dxfId="237" priority="8">
      <formula>$A2="вт"</formula>
    </cfRule>
  </conditionalFormatting>
  <conditionalFormatting sqref="D2:D259">
    <cfRule type="containsText" dxfId="236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59">
    <cfRule type="containsText" dxfId="235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89CF-3087-42C3-BFAE-D68191921439}">
  <sheetPr>
    <tabColor rgb="FF99FFCC"/>
  </sheetPr>
  <dimension ref="A1:M209"/>
  <sheetViews>
    <sheetView zoomScale="90" zoomScaleNormal="90" workbookViewId="0">
      <pane ySplit="1" topLeftCell="A188" activePane="bottomLeft" state="frozen"/>
      <selection pane="bottomLeft" activeCell="I203" sqref="I203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41.5703125" bestFit="1" customWidth="1"/>
    <col min="5" max="5" width="41" bestFit="1" customWidth="1"/>
    <col min="6" max="6" width="34.7109375" bestFit="1" customWidth="1"/>
    <col min="7" max="7" width="7.28515625" bestFit="1" customWidth="1"/>
    <col min="8" max="8" width="26.85546875" bestFit="1" customWidth="1"/>
    <col min="9" max="9" width="36.7109375" bestFit="1" customWidth="1"/>
    <col min="10" max="10" width="37.140625" hidden="1" customWidth="1"/>
    <col min="11" max="11" width="49.7109375" hidden="1" customWidth="1"/>
    <col min="12" max="12" width="24.5703125" hidden="1" customWidth="1"/>
    <col min="13" max="13" width="49.710937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13</v>
      </c>
      <c r="B2" s="4">
        <v>45971</v>
      </c>
      <c r="C2" s="5">
        <v>0.739375</v>
      </c>
      <c r="D2" s="9" t="s">
        <v>4</v>
      </c>
      <c r="E2" s="9" t="s">
        <v>8</v>
      </c>
      <c r="F2" s="9"/>
      <c r="H2" s="9"/>
      <c r="I2" s="9" t="s">
        <v>1900</v>
      </c>
      <c r="J2" s="9" t="s">
        <v>2943</v>
      </c>
      <c r="K2" t="s">
        <v>1901</v>
      </c>
      <c r="L2" t="s">
        <v>1902</v>
      </c>
      <c r="M2" s="3" t="str">
        <f>HYPERLINK(склад2въезд131920212223789[[#This Row],[RelativePath]])</f>
        <v>13 Склад хол\K07156189_23_20251110T174442Z.jpg</v>
      </c>
    </row>
    <row r="3" spans="1:13" x14ac:dyDescent="0.25">
      <c r="A3" s="2" t="s">
        <v>13</v>
      </c>
      <c r="B3" s="4">
        <v>45971</v>
      </c>
      <c r="C3" s="5">
        <v>0.74226851851851849</v>
      </c>
      <c r="D3" s="9" t="s">
        <v>4</v>
      </c>
      <c r="E3" s="9" t="s">
        <v>8</v>
      </c>
      <c r="F3" s="9"/>
      <c r="H3" s="9"/>
      <c r="I3" s="9" t="s">
        <v>1903</v>
      </c>
      <c r="J3" s="9" t="s">
        <v>2943</v>
      </c>
      <c r="K3" t="s">
        <v>1904</v>
      </c>
      <c r="L3" t="s">
        <v>1905</v>
      </c>
      <c r="M3" s="3" t="str">
        <f>HYPERLINK(склад2въезд131920212223789[[#This Row],[RelativePath]])</f>
        <v>13 Склад хол\K07156189_23_20251110T174852Z.jpg</v>
      </c>
    </row>
    <row r="4" spans="1:13" x14ac:dyDescent="0.25">
      <c r="A4" s="2" t="s">
        <v>13</v>
      </c>
      <c r="B4" s="4">
        <v>45971</v>
      </c>
      <c r="C4" s="5">
        <v>0.75224537037037043</v>
      </c>
      <c r="D4" s="9" t="s">
        <v>4</v>
      </c>
      <c r="E4" s="9" t="s">
        <v>8</v>
      </c>
      <c r="F4" s="9"/>
      <c r="H4" s="9"/>
      <c r="I4" s="9" t="s">
        <v>1906</v>
      </c>
      <c r="J4" s="9" t="s">
        <v>2943</v>
      </c>
      <c r="K4" t="s">
        <v>1907</v>
      </c>
      <c r="L4" t="s">
        <v>1908</v>
      </c>
      <c r="M4" s="3" t="str">
        <f>HYPERLINK(склад2въезд131920212223789[[#This Row],[RelativePath]])</f>
        <v>13 Склад хол\K07156189_23_20251110T180314Z.jpg</v>
      </c>
    </row>
    <row r="5" spans="1:13" x14ac:dyDescent="0.25">
      <c r="A5" s="2" t="s">
        <v>14</v>
      </c>
      <c r="B5" s="4">
        <v>45972</v>
      </c>
      <c r="C5" s="5">
        <v>0.68657407407407411</v>
      </c>
      <c r="D5" s="9" t="s">
        <v>4</v>
      </c>
      <c r="E5" s="9" t="s">
        <v>8</v>
      </c>
      <c r="F5" s="9"/>
      <c r="H5" s="9"/>
      <c r="I5" s="9" t="s">
        <v>1909</v>
      </c>
      <c r="J5" s="9" t="s">
        <v>2943</v>
      </c>
      <c r="K5" t="s">
        <v>1910</v>
      </c>
      <c r="L5" t="s">
        <v>1911</v>
      </c>
      <c r="M5" s="3" t="str">
        <f>HYPERLINK(склад2въезд131920212223789[[#This Row],[RelativePath]])</f>
        <v>13 Склад хол\K07156189_23_20251111T162840Z.jpg</v>
      </c>
    </row>
    <row r="6" spans="1:13" x14ac:dyDescent="0.25">
      <c r="A6" s="2" t="s">
        <v>14</v>
      </c>
      <c r="B6" s="4">
        <v>45972</v>
      </c>
      <c r="C6" s="5">
        <v>0.73971064814814813</v>
      </c>
      <c r="D6" s="9" t="s">
        <v>4</v>
      </c>
      <c r="E6" s="9" t="s">
        <v>8</v>
      </c>
      <c r="F6" s="9"/>
      <c r="H6" s="9"/>
      <c r="I6" s="9" t="s">
        <v>1912</v>
      </c>
      <c r="J6" s="9" t="s">
        <v>2943</v>
      </c>
      <c r="K6" t="s">
        <v>1913</v>
      </c>
      <c r="L6" t="s">
        <v>1914</v>
      </c>
      <c r="M6" s="3" t="str">
        <f>HYPERLINK(склад2въезд131920212223789[[#This Row],[RelativePath]])</f>
        <v>13 Склад хол\K07156189_23_20251111T174511Z.jpg</v>
      </c>
    </row>
    <row r="7" spans="1:13" x14ac:dyDescent="0.25">
      <c r="A7" s="2" t="s">
        <v>15</v>
      </c>
      <c r="B7" s="4">
        <v>45973</v>
      </c>
      <c r="C7" s="5">
        <v>0.52509259259259256</v>
      </c>
      <c r="D7" s="9" t="s">
        <v>261</v>
      </c>
      <c r="E7" s="9" t="s">
        <v>86</v>
      </c>
      <c r="F7" s="9" t="s">
        <v>1961</v>
      </c>
      <c r="H7" s="9"/>
      <c r="I7" s="9" t="s">
        <v>1915</v>
      </c>
      <c r="J7" s="9" t="s">
        <v>2943</v>
      </c>
      <c r="K7" t="s">
        <v>1916</v>
      </c>
      <c r="L7" t="s">
        <v>1917</v>
      </c>
      <c r="M7" s="3" t="str">
        <f>HYPERLINK(склад2въезд131920212223789[[#This Row],[RelativePath]])</f>
        <v>13 Склад хол\K07156189_23_20251112T123608Z.jpg</v>
      </c>
    </row>
    <row r="8" spans="1:13" x14ac:dyDescent="0.25">
      <c r="A8" s="2" t="s">
        <v>15</v>
      </c>
      <c r="B8" s="4">
        <v>45973</v>
      </c>
      <c r="C8" s="5">
        <v>0.5258680555555556</v>
      </c>
      <c r="D8" s="9" t="s">
        <v>1962</v>
      </c>
      <c r="E8" s="9" t="s">
        <v>86</v>
      </c>
      <c r="F8" s="9" t="s">
        <v>1961</v>
      </c>
      <c r="H8" s="9"/>
      <c r="I8" s="9" t="s">
        <v>1918</v>
      </c>
      <c r="J8" s="9" t="s">
        <v>2943</v>
      </c>
      <c r="K8" t="s">
        <v>1919</v>
      </c>
      <c r="L8" t="s">
        <v>1920</v>
      </c>
      <c r="M8" s="3" t="str">
        <f>HYPERLINK(склад2въезд131920212223789[[#This Row],[RelativePath]])</f>
        <v>13 Склад хол\K07156189_23_20251112T123715Z.jpg</v>
      </c>
    </row>
    <row r="9" spans="1:13" x14ac:dyDescent="0.25">
      <c r="A9" s="2" t="s">
        <v>15</v>
      </c>
      <c r="B9" s="4">
        <v>45973</v>
      </c>
      <c r="C9" s="5">
        <v>0.52613425925925927</v>
      </c>
      <c r="D9" s="9" t="s">
        <v>1962</v>
      </c>
      <c r="E9" s="9" t="s">
        <v>86</v>
      </c>
      <c r="F9" s="9" t="s">
        <v>1961</v>
      </c>
      <c r="H9" s="9"/>
      <c r="I9" s="9" t="s">
        <v>1921</v>
      </c>
      <c r="J9" s="9" t="s">
        <v>2943</v>
      </c>
      <c r="K9" t="s">
        <v>1922</v>
      </c>
      <c r="L9" t="s">
        <v>1923</v>
      </c>
      <c r="M9" s="3" t="str">
        <f>HYPERLINK(склад2въезд131920212223789[[#This Row],[RelativePath]])</f>
        <v>13 Склад хол\K07156189_23_20251112T123738Z.jpg</v>
      </c>
    </row>
    <row r="10" spans="1:13" x14ac:dyDescent="0.25">
      <c r="A10" s="2" t="s">
        <v>15</v>
      </c>
      <c r="B10" s="4">
        <v>45973</v>
      </c>
      <c r="C10" s="5">
        <v>0.55349537037037033</v>
      </c>
      <c r="D10" s="9" t="s">
        <v>4</v>
      </c>
      <c r="E10" s="9" t="s">
        <v>8</v>
      </c>
      <c r="F10" s="9"/>
      <c r="H10" s="9"/>
      <c r="I10" s="9" t="s">
        <v>1924</v>
      </c>
      <c r="J10" s="9" t="s">
        <v>2943</v>
      </c>
      <c r="K10" t="s">
        <v>1925</v>
      </c>
      <c r="L10" t="s">
        <v>1926</v>
      </c>
      <c r="M10" s="3" t="str">
        <f>HYPERLINK(склад2въезд131920212223789[[#This Row],[RelativePath]])</f>
        <v>13 Склад хол\K07156189_23_20251112T131702Z.jpg</v>
      </c>
    </row>
    <row r="11" spans="1:13" x14ac:dyDescent="0.25">
      <c r="A11" s="2" t="s">
        <v>15</v>
      </c>
      <c r="B11" s="4">
        <v>45973</v>
      </c>
      <c r="C11" s="5">
        <v>0.63070601851851849</v>
      </c>
      <c r="D11" s="9" t="s">
        <v>4</v>
      </c>
      <c r="E11" s="9" t="s">
        <v>8</v>
      </c>
      <c r="F11" s="9"/>
      <c r="H11" s="9"/>
      <c r="I11" s="9" t="s">
        <v>1927</v>
      </c>
      <c r="J11" s="9" t="s">
        <v>2943</v>
      </c>
      <c r="K11" t="s">
        <v>1928</v>
      </c>
      <c r="L11" t="s">
        <v>1929</v>
      </c>
      <c r="M11" s="3" t="str">
        <f>HYPERLINK(склад2въезд131920212223789[[#This Row],[RelativePath]])</f>
        <v>13 Склад хол\K07156189_23_20251112T150813Z.jpg</v>
      </c>
    </row>
    <row r="12" spans="1:13" x14ac:dyDescent="0.25">
      <c r="A12" s="2" t="s">
        <v>15</v>
      </c>
      <c r="B12" s="4">
        <v>45973</v>
      </c>
      <c r="C12" s="5">
        <v>0.71609953703703699</v>
      </c>
      <c r="D12" s="9" t="s">
        <v>4</v>
      </c>
      <c r="E12" s="9" t="s">
        <v>8</v>
      </c>
      <c r="F12" s="9"/>
      <c r="H12" s="9"/>
      <c r="I12" s="9" t="s">
        <v>1930</v>
      </c>
      <c r="J12" s="9" t="s">
        <v>2943</v>
      </c>
      <c r="K12" t="s">
        <v>1931</v>
      </c>
      <c r="L12" t="s">
        <v>1932</v>
      </c>
      <c r="M12" s="3" t="str">
        <f>HYPERLINK(склад2въезд131920212223789[[#This Row],[RelativePath]])</f>
        <v>13 Склад хол\K07156189_23_20251112T171111Z.jpg</v>
      </c>
    </row>
    <row r="13" spans="1:13" x14ac:dyDescent="0.25">
      <c r="A13" s="2" t="s">
        <v>16</v>
      </c>
      <c r="B13" s="4">
        <v>45974</v>
      </c>
      <c r="C13" s="5">
        <v>0.33946759259259257</v>
      </c>
      <c r="D13" s="9" t="s">
        <v>4</v>
      </c>
      <c r="E13" s="9" t="s">
        <v>8</v>
      </c>
      <c r="F13" s="9"/>
      <c r="H13" s="9"/>
      <c r="I13" s="9" t="s">
        <v>1933</v>
      </c>
      <c r="J13" s="9" t="s">
        <v>2943</v>
      </c>
      <c r="K13" t="s">
        <v>1934</v>
      </c>
      <c r="L13" t="s">
        <v>1935</v>
      </c>
      <c r="M13" s="3" t="str">
        <f>HYPERLINK(склад2въезд131920212223789[[#This Row],[RelativePath]])</f>
        <v>13 Склад хол\K07156189_23_20251113T080850Z.jpg</v>
      </c>
    </row>
    <row r="14" spans="1:13" x14ac:dyDescent="0.25">
      <c r="A14" s="2" t="s">
        <v>16</v>
      </c>
      <c r="B14" s="4">
        <v>45974</v>
      </c>
      <c r="C14" s="5">
        <v>0.61024305555555558</v>
      </c>
      <c r="D14" s="9" t="s">
        <v>4</v>
      </c>
      <c r="E14" s="9" t="s">
        <v>8</v>
      </c>
      <c r="F14" s="9"/>
      <c r="H14" s="9"/>
      <c r="I14" s="9" t="s">
        <v>1936</v>
      </c>
      <c r="J14" s="9" t="s">
        <v>2943</v>
      </c>
      <c r="K14" t="s">
        <v>1937</v>
      </c>
      <c r="L14" t="s">
        <v>1938</v>
      </c>
      <c r="M14" s="3" t="str">
        <f>HYPERLINK(склад2въезд131920212223789[[#This Row],[RelativePath]])</f>
        <v>13 Склад хол\K07156189_23_20251113T143845Z.jpg</v>
      </c>
    </row>
    <row r="15" spans="1:13" x14ac:dyDescent="0.25">
      <c r="A15" s="2" t="s">
        <v>16</v>
      </c>
      <c r="B15" s="4">
        <v>45974</v>
      </c>
      <c r="C15" s="5">
        <v>0.68388888888888888</v>
      </c>
      <c r="D15" s="9" t="s">
        <v>4</v>
      </c>
      <c r="E15" s="9" t="s">
        <v>8</v>
      </c>
      <c r="F15" s="9"/>
      <c r="H15" s="9"/>
      <c r="I15" s="9" t="s">
        <v>1939</v>
      </c>
      <c r="J15" s="9" t="s">
        <v>2943</v>
      </c>
      <c r="K15" t="s">
        <v>1940</v>
      </c>
      <c r="L15" t="s">
        <v>1941</v>
      </c>
      <c r="M15" s="3" t="str">
        <f>HYPERLINK(склад2въезд131920212223789[[#This Row],[RelativePath]])</f>
        <v>13 Склад хол\K07156189_23_20251113T162448Z.jpg</v>
      </c>
    </row>
    <row r="16" spans="1:13" x14ac:dyDescent="0.25">
      <c r="A16" s="2" t="s">
        <v>16</v>
      </c>
      <c r="B16" s="4">
        <v>45974</v>
      </c>
      <c r="C16" s="5">
        <v>0.6840046296296296</v>
      </c>
      <c r="D16" s="9" t="s">
        <v>4</v>
      </c>
      <c r="E16" s="9" t="s">
        <v>8</v>
      </c>
      <c r="F16" s="9"/>
      <c r="H16" s="9"/>
      <c r="I16" s="9" t="s">
        <v>1942</v>
      </c>
      <c r="J16" s="9" t="s">
        <v>2943</v>
      </c>
      <c r="K16" t="s">
        <v>1943</v>
      </c>
      <c r="L16" t="s">
        <v>1944</v>
      </c>
      <c r="M16" s="3" t="str">
        <f>HYPERLINK(склад2въезд131920212223789[[#This Row],[RelativePath]])</f>
        <v>13 Склад хол\K07156189_23_20251113T162458Z.jpg</v>
      </c>
    </row>
    <row r="17" spans="1:13" x14ac:dyDescent="0.25">
      <c r="A17" s="2" t="s">
        <v>16</v>
      </c>
      <c r="B17" s="4">
        <v>45974</v>
      </c>
      <c r="C17" s="5">
        <v>0.70981481481481479</v>
      </c>
      <c r="D17" s="9" t="s">
        <v>4</v>
      </c>
      <c r="E17" s="9" t="s">
        <v>8</v>
      </c>
      <c r="F17" s="9"/>
      <c r="H17" s="9"/>
      <c r="I17" s="9" t="s">
        <v>1945</v>
      </c>
      <c r="J17" s="9" t="s">
        <v>2943</v>
      </c>
      <c r="K17" t="s">
        <v>1946</v>
      </c>
      <c r="L17" t="s">
        <v>1947</v>
      </c>
      <c r="M17" s="3" t="str">
        <f>HYPERLINK(склад2въезд131920212223789[[#This Row],[RelativePath]])</f>
        <v>13 Склад хол\K07156189_23_20251113T170208Z.jpg</v>
      </c>
    </row>
    <row r="18" spans="1:13" x14ac:dyDescent="0.25">
      <c r="A18" s="2" t="s">
        <v>18</v>
      </c>
      <c r="B18" s="4">
        <v>45976</v>
      </c>
      <c r="C18" s="5">
        <v>0.33344907407407409</v>
      </c>
      <c r="D18" s="9" t="s">
        <v>4</v>
      </c>
      <c r="E18" s="9" t="s">
        <v>8</v>
      </c>
      <c r="F18" s="9"/>
      <c r="H18" s="9"/>
      <c r="I18" s="9" t="s">
        <v>1948</v>
      </c>
      <c r="J18" s="9" t="s">
        <v>2943</v>
      </c>
      <c r="K18" t="s">
        <v>1949</v>
      </c>
      <c r="L18" t="s">
        <v>1950</v>
      </c>
      <c r="M18" s="3" t="str">
        <f>HYPERLINK(склад2въезд131920212223789[[#This Row],[RelativePath]])</f>
        <v>13 Склад хол\K07156189_23_20251115T080010Z.jpg</v>
      </c>
    </row>
    <row r="19" spans="1:13" x14ac:dyDescent="0.25">
      <c r="A19" s="2" t="s">
        <v>22</v>
      </c>
      <c r="B19" s="4">
        <v>45977</v>
      </c>
      <c r="C19" s="5">
        <v>0.36115740740740743</v>
      </c>
      <c r="D19" s="9" t="s">
        <v>4</v>
      </c>
      <c r="E19" s="9" t="s">
        <v>8</v>
      </c>
      <c r="F19" s="9"/>
      <c r="H19" s="9"/>
      <c r="I19" s="9" t="s">
        <v>1951</v>
      </c>
      <c r="J19" s="9" t="s">
        <v>2943</v>
      </c>
      <c r="K19" t="s">
        <v>1952</v>
      </c>
      <c r="L19" t="s">
        <v>1953</v>
      </c>
      <c r="M19" s="3" t="str">
        <f>HYPERLINK(склад2въезд131920212223789[[#This Row],[RelativePath]])</f>
        <v>13 Склад хол\K07156189_23_20251116T084004Z.jpg</v>
      </c>
    </row>
    <row r="20" spans="1:13" x14ac:dyDescent="0.25">
      <c r="A20" s="2" t="s">
        <v>22</v>
      </c>
      <c r="B20" s="4">
        <v>45977</v>
      </c>
      <c r="C20" s="5">
        <v>0.59530092592592587</v>
      </c>
      <c r="D20" s="9" t="s">
        <v>4</v>
      </c>
      <c r="E20" s="9" t="s">
        <v>8</v>
      </c>
      <c r="F20" s="9"/>
      <c r="H20" s="9"/>
      <c r="I20" s="9" t="s">
        <v>1954</v>
      </c>
      <c r="J20" s="9" t="s">
        <v>2943</v>
      </c>
      <c r="K20" t="s">
        <v>1955</v>
      </c>
      <c r="L20" t="s">
        <v>1956</v>
      </c>
      <c r="M20" s="3" t="str">
        <f>HYPERLINK(склад2въезд131920212223789[[#This Row],[RelativePath]])</f>
        <v>13 Склад хол\K07156189_23_20251116T141714Z.jpg</v>
      </c>
    </row>
    <row r="21" spans="1:13" x14ac:dyDescent="0.25">
      <c r="A21" s="2" t="s">
        <v>22</v>
      </c>
      <c r="B21" s="4">
        <v>45977</v>
      </c>
      <c r="C21" s="5">
        <v>0.73813657407407407</v>
      </c>
      <c r="D21" s="9" t="s">
        <v>4</v>
      </c>
      <c r="E21" s="9" t="s">
        <v>8</v>
      </c>
      <c r="F21" s="9"/>
      <c r="H21" s="9"/>
      <c r="I21" s="9" t="s">
        <v>1957</v>
      </c>
      <c r="J21" s="9" t="s">
        <v>2943</v>
      </c>
      <c r="K21" t="s">
        <v>1958</v>
      </c>
      <c r="L21" t="s">
        <v>1959</v>
      </c>
      <c r="M21" s="3" t="str">
        <f>HYPERLINK(склад2въезд131920212223789[[#This Row],[RelativePath]])</f>
        <v>13 Склад хол\K07156189_23_20251116T174255Z.jpg</v>
      </c>
    </row>
    <row r="22" spans="1:13" x14ac:dyDescent="0.25">
      <c r="A22" s="2" t="s">
        <v>13</v>
      </c>
      <c r="B22" s="4">
        <v>45978</v>
      </c>
      <c r="C22" s="5">
        <v>0.44651620370370371</v>
      </c>
      <c r="D22" s="9" t="s">
        <v>4</v>
      </c>
      <c r="E22" s="9" t="s">
        <v>8</v>
      </c>
      <c r="F22" s="9"/>
      <c r="H22" s="9"/>
      <c r="I22" s="9" t="s">
        <v>2931</v>
      </c>
      <c r="J22" s="9" t="s">
        <v>2943</v>
      </c>
      <c r="K22" t="s">
        <v>2932</v>
      </c>
      <c r="L22" t="s">
        <v>2933</v>
      </c>
      <c r="M22" s="3" t="str">
        <f>HYPERLINK(склад2въезд131920212223789[[#This Row],[RelativePath]])</f>
        <v>13 Склад хол\K07156189_23_20251117T104259Z.jpg</v>
      </c>
    </row>
    <row r="23" spans="1:13" x14ac:dyDescent="0.25">
      <c r="A23" s="2" t="s">
        <v>14</v>
      </c>
      <c r="B23" s="4">
        <v>45979</v>
      </c>
      <c r="C23" s="5">
        <v>0.44321759259259258</v>
      </c>
      <c r="D23" s="9" t="s">
        <v>505</v>
      </c>
      <c r="E23" s="9" t="s">
        <v>503</v>
      </c>
      <c r="F23" s="9" t="s">
        <v>58</v>
      </c>
      <c r="H23" s="9" t="s">
        <v>2934</v>
      </c>
      <c r="I23" s="9" t="s">
        <v>2851</v>
      </c>
      <c r="J23" s="9" t="s">
        <v>2943</v>
      </c>
      <c r="K23" t="s">
        <v>2852</v>
      </c>
      <c r="L23" t="s">
        <v>2853</v>
      </c>
      <c r="M23" s="3" t="str">
        <f>HYPERLINK(склад2въезд131920212223789[[#This Row],[RelativePath]])</f>
        <v>13 Склад хол\K07156189_23_20251118T103814Z.jpg</v>
      </c>
    </row>
    <row r="24" spans="1:13" x14ac:dyDescent="0.25">
      <c r="A24" s="2" t="s">
        <v>14</v>
      </c>
      <c r="B24" s="4">
        <v>45979</v>
      </c>
      <c r="C24" s="5">
        <v>0.4433449074074074</v>
      </c>
      <c r="D24" s="9" t="s">
        <v>505</v>
      </c>
      <c r="E24" s="9" t="s">
        <v>503</v>
      </c>
      <c r="F24" s="9" t="s">
        <v>58</v>
      </c>
      <c r="H24" s="9" t="s">
        <v>2934</v>
      </c>
      <c r="I24" s="9" t="s">
        <v>2854</v>
      </c>
      <c r="J24" s="9" t="s">
        <v>2943</v>
      </c>
      <c r="K24" t="s">
        <v>2855</v>
      </c>
      <c r="L24" t="s">
        <v>2856</v>
      </c>
      <c r="M24" s="3" t="str">
        <f>HYPERLINK(склад2въезд131920212223789[[#This Row],[RelativePath]])</f>
        <v>13 Склад хол\K07156189_23_20251118T103825Z.jpg</v>
      </c>
    </row>
    <row r="25" spans="1:13" x14ac:dyDescent="0.25">
      <c r="A25" s="2" t="s">
        <v>14</v>
      </c>
      <c r="B25" s="4">
        <v>45979</v>
      </c>
      <c r="C25" s="5">
        <v>0.44347222222222221</v>
      </c>
      <c r="D25" s="9" t="s">
        <v>505</v>
      </c>
      <c r="E25" s="9" t="s">
        <v>503</v>
      </c>
      <c r="F25" s="9" t="s">
        <v>58</v>
      </c>
      <c r="H25" s="9" t="s">
        <v>2934</v>
      </c>
      <c r="I25" s="9" t="s">
        <v>2857</v>
      </c>
      <c r="J25" s="9" t="s">
        <v>2943</v>
      </c>
      <c r="K25" t="s">
        <v>2858</v>
      </c>
      <c r="L25" t="s">
        <v>2859</v>
      </c>
      <c r="M25" s="3" t="str">
        <f>HYPERLINK(склад2въезд131920212223789[[#This Row],[RelativePath]])</f>
        <v>13 Склад хол\K07156189_23_20251118T103836Z.jpg</v>
      </c>
    </row>
    <row r="26" spans="1:13" x14ac:dyDescent="0.25">
      <c r="A26" s="2" t="s">
        <v>15</v>
      </c>
      <c r="B26" s="4">
        <v>45980</v>
      </c>
      <c r="C26" s="5">
        <v>0.73203703703703704</v>
      </c>
      <c r="D26" s="9" t="s">
        <v>1967</v>
      </c>
      <c r="E26" s="9"/>
      <c r="F26" s="9"/>
      <c r="H26" s="9"/>
      <c r="I26" s="9" t="s">
        <v>2860</v>
      </c>
      <c r="J26" s="9" t="s">
        <v>2943</v>
      </c>
      <c r="K26" t="s">
        <v>2861</v>
      </c>
      <c r="L26" t="s">
        <v>2862</v>
      </c>
      <c r="M26" s="3" t="str">
        <f>HYPERLINK(склад2въезд131920212223789[[#This Row],[RelativePath]])</f>
        <v>13 Склад хол\K07156189_23_20251119T173408Z.jpg</v>
      </c>
    </row>
    <row r="27" spans="1:13" x14ac:dyDescent="0.25">
      <c r="A27" s="2" t="s">
        <v>16</v>
      </c>
      <c r="B27" s="4">
        <v>45981</v>
      </c>
      <c r="C27" s="5">
        <v>0.67913194444444447</v>
      </c>
      <c r="D27" s="9" t="s">
        <v>1967</v>
      </c>
      <c r="E27" s="9"/>
      <c r="F27" s="9"/>
      <c r="H27" s="9"/>
      <c r="I27" s="9" t="s">
        <v>2863</v>
      </c>
      <c r="J27" s="9" t="s">
        <v>2943</v>
      </c>
      <c r="K27" t="s">
        <v>2864</v>
      </c>
      <c r="L27" t="s">
        <v>2865</v>
      </c>
      <c r="M27" s="3" t="str">
        <f>HYPERLINK(склад2въезд131920212223789[[#This Row],[RelativePath]])</f>
        <v>13 Склад хол\K07156189_23_20251120T161757Z.jpg</v>
      </c>
    </row>
    <row r="28" spans="1:13" x14ac:dyDescent="0.25">
      <c r="A28" s="2" t="s">
        <v>17</v>
      </c>
      <c r="B28" s="4">
        <v>45982</v>
      </c>
      <c r="C28" s="5">
        <v>0.32091435185185185</v>
      </c>
      <c r="D28" s="9" t="s">
        <v>1977</v>
      </c>
      <c r="E28" s="9"/>
      <c r="F28" s="9"/>
      <c r="H28" s="9"/>
      <c r="I28" s="9" t="s">
        <v>2866</v>
      </c>
      <c r="J28" s="9" t="s">
        <v>2943</v>
      </c>
      <c r="K28" t="s">
        <v>2867</v>
      </c>
      <c r="L28" t="s">
        <v>2868</v>
      </c>
      <c r="M28" s="3" t="str">
        <f>HYPERLINK(склад2въезд131920212223789[[#This Row],[RelativePath]])</f>
        <v>13 Склад хол\K07156189_23_20251121T074207Z.jpg</v>
      </c>
    </row>
    <row r="29" spans="1:13" x14ac:dyDescent="0.25">
      <c r="A29" s="2" t="s">
        <v>18</v>
      </c>
      <c r="B29" s="4">
        <v>45983</v>
      </c>
      <c r="C29" s="5">
        <v>0.73343749999999996</v>
      </c>
      <c r="D29" s="9" t="s">
        <v>1967</v>
      </c>
      <c r="E29" s="9"/>
      <c r="F29" s="9"/>
      <c r="H29" s="9"/>
      <c r="I29" s="9" t="s">
        <v>2869</v>
      </c>
      <c r="J29" s="9" t="s">
        <v>2943</v>
      </c>
      <c r="K29" t="s">
        <v>2870</v>
      </c>
      <c r="L29" t="s">
        <v>2871</v>
      </c>
      <c r="M29" s="3" t="str">
        <f>HYPERLINK(склад2въезд131920212223789[[#This Row],[RelativePath]])</f>
        <v>13 Склад хол\K07156189_23_20251122T173609Z.jpg</v>
      </c>
    </row>
    <row r="30" spans="1:13" x14ac:dyDescent="0.25">
      <c r="A30" s="2" t="s">
        <v>22</v>
      </c>
      <c r="B30" s="4">
        <v>45984</v>
      </c>
      <c r="C30" s="5">
        <v>0.71114583333333337</v>
      </c>
      <c r="D30" s="9" t="s">
        <v>1967</v>
      </c>
      <c r="E30" s="9"/>
      <c r="F30" s="9"/>
      <c r="H30" s="9"/>
      <c r="I30" s="9" t="s">
        <v>2872</v>
      </c>
      <c r="J30" s="9" t="s">
        <v>2943</v>
      </c>
      <c r="K30" t="s">
        <v>2873</v>
      </c>
      <c r="L30" t="s">
        <v>2874</v>
      </c>
      <c r="M30" s="3" t="str">
        <f>HYPERLINK(склад2въезд131920212223789[[#This Row],[RelativePath]])</f>
        <v>13 Склад хол\K07156189_23_20251123T170403Z.jpg</v>
      </c>
    </row>
    <row r="31" spans="1:13" x14ac:dyDescent="0.25">
      <c r="A31" s="2" t="s">
        <v>13</v>
      </c>
      <c r="B31" s="4">
        <v>45985</v>
      </c>
      <c r="C31" s="5">
        <v>0.75629629629629624</v>
      </c>
      <c r="D31" s="9" t="s">
        <v>1977</v>
      </c>
      <c r="E31" s="9"/>
      <c r="F31" s="9"/>
      <c r="H31" s="9"/>
      <c r="I31" s="9" t="s">
        <v>4107</v>
      </c>
      <c r="J31" s="9" t="s">
        <v>2943</v>
      </c>
      <c r="K31" t="s">
        <v>4108</v>
      </c>
      <c r="L31" t="s">
        <v>4109</v>
      </c>
      <c r="M31" s="3" t="str">
        <f>HYPERLINK(склад2въезд131920212223789[[#This Row],[RelativePath]])</f>
        <v>13 Склад хол\K07156189_23_20251124T180904Z.jpg</v>
      </c>
    </row>
    <row r="32" spans="1:13" x14ac:dyDescent="0.25">
      <c r="A32" s="2" t="s">
        <v>14</v>
      </c>
      <c r="B32" s="4">
        <v>45986</v>
      </c>
      <c r="C32" s="5">
        <v>0.66408564814814819</v>
      </c>
      <c r="D32" s="9" t="s">
        <v>4</v>
      </c>
      <c r="E32" s="9" t="s">
        <v>4190</v>
      </c>
      <c r="F32" s="9"/>
      <c r="H32" s="9"/>
      <c r="I32" s="9" t="s">
        <v>4110</v>
      </c>
      <c r="J32" s="9" t="s">
        <v>2943</v>
      </c>
      <c r="K32" t="s">
        <v>4111</v>
      </c>
      <c r="L32" t="s">
        <v>4112</v>
      </c>
      <c r="M32" s="3" t="str">
        <f>HYPERLINK(склад2въезд131920212223789[[#This Row],[RelativePath]])</f>
        <v>13 Склад хол\K07156189_23_20251125T155617Z.jpg</v>
      </c>
    </row>
    <row r="33" spans="1:13" x14ac:dyDescent="0.25">
      <c r="A33" s="2" t="s">
        <v>15</v>
      </c>
      <c r="B33" s="4">
        <v>45987</v>
      </c>
      <c r="C33" s="5">
        <v>0.37384259259259262</v>
      </c>
      <c r="D33" s="9" t="s">
        <v>4</v>
      </c>
      <c r="E33" s="9" t="s">
        <v>4191</v>
      </c>
      <c r="F33" s="9"/>
      <c r="H33" s="9"/>
      <c r="I33" s="9" t="s">
        <v>4113</v>
      </c>
      <c r="J33" s="9" t="s">
        <v>2943</v>
      </c>
      <c r="K33" t="s">
        <v>4114</v>
      </c>
      <c r="L33" t="s">
        <v>4115</v>
      </c>
      <c r="M33" s="3" t="str">
        <f>HYPERLINK(склад2въезд131920212223789[[#This Row],[RelativePath]])</f>
        <v>13 Склад хол\K07156189_23_20251126T085820Z.jpg</v>
      </c>
    </row>
    <row r="34" spans="1:13" x14ac:dyDescent="0.25">
      <c r="A34" s="2" t="s">
        <v>15</v>
      </c>
      <c r="B34" s="4">
        <v>45987</v>
      </c>
      <c r="C34" s="5">
        <v>0.70182870370370365</v>
      </c>
      <c r="D34" s="9" t="s">
        <v>4</v>
      </c>
      <c r="E34" s="9" t="s">
        <v>4192</v>
      </c>
      <c r="F34" s="9"/>
      <c r="H34" s="9"/>
      <c r="I34" s="9" t="s">
        <v>4116</v>
      </c>
      <c r="J34" s="9" t="s">
        <v>2943</v>
      </c>
      <c r="K34" t="s">
        <v>4117</v>
      </c>
      <c r="L34" t="s">
        <v>4118</v>
      </c>
      <c r="M34" s="3" t="str">
        <f>HYPERLINK(склад2въезд131920212223789[[#This Row],[RelativePath]])</f>
        <v>13 Склад хол\K07156189_23_20251126T165038Z.jpg</v>
      </c>
    </row>
    <row r="35" spans="1:13" x14ac:dyDescent="0.25">
      <c r="A35" s="2" t="s">
        <v>16</v>
      </c>
      <c r="B35" s="4">
        <v>45988</v>
      </c>
      <c r="C35" s="5">
        <v>0.51792824074074073</v>
      </c>
      <c r="D35" s="9" t="s">
        <v>4</v>
      </c>
      <c r="E35" s="9" t="s">
        <v>8</v>
      </c>
      <c r="F35" s="9"/>
      <c r="H35" s="9"/>
      <c r="I35" s="9" t="s">
        <v>4119</v>
      </c>
      <c r="J35" s="9" t="s">
        <v>2943</v>
      </c>
      <c r="K35" t="s">
        <v>4120</v>
      </c>
      <c r="L35" t="s">
        <v>4121</v>
      </c>
      <c r="M35" s="3" t="str">
        <f>HYPERLINK(склад2въезд131920212223789[[#This Row],[RelativePath]])</f>
        <v>13 Склад хол\K07156189_23_20251127T122549Z.jpg</v>
      </c>
    </row>
    <row r="36" spans="1:13" x14ac:dyDescent="0.25">
      <c r="A36" s="2" t="s">
        <v>16</v>
      </c>
      <c r="B36" s="4">
        <v>45988</v>
      </c>
      <c r="C36" s="5">
        <v>0.5554513888888889</v>
      </c>
      <c r="D36" s="9" t="s">
        <v>4</v>
      </c>
      <c r="E36" s="9" t="s">
        <v>8</v>
      </c>
      <c r="F36" s="9"/>
      <c r="H36" s="9"/>
      <c r="I36" s="9" t="s">
        <v>4122</v>
      </c>
      <c r="J36" s="9" t="s">
        <v>2943</v>
      </c>
      <c r="K36" t="s">
        <v>4123</v>
      </c>
      <c r="L36" t="s">
        <v>4124</v>
      </c>
      <c r="M36" s="3" t="str">
        <f>HYPERLINK(склад2въезд131920212223789[[#This Row],[RelativePath]])</f>
        <v>13 Склад хол\K07156189_23_20251127T131951Z.jpg</v>
      </c>
    </row>
    <row r="37" spans="1:13" x14ac:dyDescent="0.25">
      <c r="A37" s="2" t="s">
        <v>17</v>
      </c>
      <c r="B37" s="4">
        <v>45989</v>
      </c>
      <c r="C37" s="5">
        <v>0.40784722222222225</v>
      </c>
      <c r="D37" s="9" t="s">
        <v>4153</v>
      </c>
      <c r="E37" s="9"/>
      <c r="F37" s="9"/>
      <c r="H37" s="9"/>
      <c r="I37" s="9" t="s">
        <v>4128</v>
      </c>
      <c r="J37" s="9" t="s">
        <v>2943</v>
      </c>
      <c r="K37" t="s">
        <v>4129</v>
      </c>
      <c r="L37" t="s">
        <v>4130</v>
      </c>
      <c r="M37" s="3" t="str">
        <f>HYPERLINK(склад2въезд131920212223789[[#This Row],[RelativePath]])</f>
        <v>13 Склад хол\K07156189_23_20251128T094718Z.jpg</v>
      </c>
    </row>
    <row r="38" spans="1:13" x14ac:dyDescent="0.25">
      <c r="A38" s="2" t="s">
        <v>18</v>
      </c>
      <c r="B38" s="4">
        <v>45990</v>
      </c>
      <c r="C38" s="5">
        <v>0.40784722222222225</v>
      </c>
      <c r="D38" s="9" t="s">
        <v>1967</v>
      </c>
      <c r="E38" s="9"/>
      <c r="F38" s="9"/>
      <c r="H38" s="9"/>
      <c r="I38" s="9" t="s">
        <v>4125</v>
      </c>
      <c r="J38" s="9" t="s">
        <v>2943</v>
      </c>
      <c r="K38" t="s">
        <v>4126</v>
      </c>
      <c r="L38" t="s">
        <v>4127</v>
      </c>
      <c r="M38" s="3" t="str">
        <f>HYPERLINK(склад2въезд131920212223789[[#This Row],[RelativePath]])</f>
        <v>13 Склад хол\K07156189_23_20251129T094718Z.jpg</v>
      </c>
    </row>
    <row r="39" spans="1:13" x14ac:dyDescent="0.25">
      <c r="A39" s="2" t="s">
        <v>22</v>
      </c>
      <c r="B39" s="4">
        <v>45991</v>
      </c>
      <c r="C39" s="5">
        <v>0.40784722222222225</v>
      </c>
      <c r="D39" s="9" t="s">
        <v>4238</v>
      </c>
      <c r="E39" s="9"/>
      <c r="F39" s="9"/>
      <c r="H39" s="9"/>
      <c r="I39" s="9" t="s">
        <v>4234</v>
      </c>
      <c r="J39" s="9" t="s">
        <v>2943</v>
      </c>
      <c r="K39" t="s">
        <v>4235</v>
      </c>
      <c r="L39" t="s">
        <v>4236</v>
      </c>
      <c r="M39" s="3" t="str">
        <f>HYPERLINK(склад2въезд131920212223789[[#This Row],[RelativePath]])</f>
        <v>13 Склад хол\K07156189_23_20251130T094718Z.jpg</v>
      </c>
    </row>
    <row r="40" spans="1:13" x14ac:dyDescent="0.25">
      <c r="A40" s="2" t="s">
        <v>13</v>
      </c>
      <c r="B40" s="4">
        <v>45992</v>
      </c>
      <c r="C40" s="5">
        <v>0.73030092592592588</v>
      </c>
      <c r="D40" s="9" t="s">
        <v>1977</v>
      </c>
      <c r="E40" s="9"/>
      <c r="F40" s="9"/>
      <c r="H40" s="9"/>
      <c r="I40" s="9" t="s">
        <v>4915</v>
      </c>
      <c r="J40" s="9" t="s">
        <v>2943</v>
      </c>
      <c r="K40" t="s">
        <v>4916</v>
      </c>
      <c r="L40" t="s">
        <v>4917</v>
      </c>
      <c r="M40" s="3" t="str">
        <f>HYPERLINK(склад2въезд131920212223789[[#This Row],[RelativePath]])</f>
        <v>13 Склад хол\K07156189_23_20251201T173138Z.jpg</v>
      </c>
    </row>
    <row r="41" spans="1:13" x14ac:dyDescent="0.25">
      <c r="A41" s="2" t="s">
        <v>14</v>
      </c>
      <c r="B41" s="4">
        <v>45993</v>
      </c>
      <c r="C41" s="5">
        <v>0.35978009259259258</v>
      </c>
      <c r="D41" s="9" t="s">
        <v>1977</v>
      </c>
      <c r="E41" s="9"/>
      <c r="F41" s="9"/>
      <c r="H41" s="9"/>
      <c r="I41" s="9" t="s">
        <v>4918</v>
      </c>
      <c r="J41" s="9" t="s">
        <v>2943</v>
      </c>
      <c r="K41" t="s">
        <v>4919</v>
      </c>
      <c r="L41" t="s">
        <v>4920</v>
      </c>
      <c r="M41" s="3" t="str">
        <f>HYPERLINK(склад2въезд131920212223789[[#This Row],[RelativePath]])</f>
        <v>13 Склад хол\K07156189_23_20251202T083805Z.jpg</v>
      </c>
    </row>
    <row r="42" spans="1:13" x14ac:dyDescent="0.25">
      <c r="A42" s="2" t="s">
        <v>15</v>
      </c>
      <c r="B42" s="4">
        <v>45994</v>
      </c>
      <c r="C42" s="5">
        <v>0.74916666666666665</v>
      </c>
      <c r="D42" s="9" t="s">
        <v>1977</v>
      </c>
      <c r="E42" s="9"/>
      <c r="F42" s="9"/>
      <c r="H42" s="9"/>
      <c r="I42" s="9" t="s">
        <v>4921</v>
      </c>
      <c r="J42" s="9" t="s">
        <v>2943</v>
      </c>
      <c r="K42" t="s">
        <v>4922</v>
      </c>
      <c r="L42" t="s">
        <v>4923</v>
      </c>
      <c r="M42" s="3" t="str">
        <f>HYPERLINK(склад2въезд131920212223789[[#This Row],[RelativePath]])</f>
        <v>13 Склад хол\K07156189_23_20251203T175848Z.jpg</v>
      </c>
    </row>
    <row r="43" spans="1:13" x14ac:dyDescent="0.25">
      <c r="A43" s="2" t="s">
        <v>16</v>
      </c>
      <c r="B43" s="4">
        <v>45995</v>
      </c>
      <c r="C43" s="5">
        <v>0.73273148148148148</v>
      </c>
      <c r="D43" s="9" t="s">
        <v>1977</v>
      </c>
      <c r="E43" s="9"/>
      <c r="F43" s="9"/>
      <c r="H43" s="9"/>
      <c r="I43" s="9" t="s">
        <v>4924</v>
      </c>
      <c r="J43" s="9" t="s">
        <v>2943</v>
      </c>
      <c r="K43" t="s">
        <v>4925</v>
      </c>
      <c r="L43" t="s">
        <v>4926</v>
      </c>
      <c r="M43" s="3" t="str">
        <f>HYPERLINK(склад2въезд131920212223789[[#This Row],[RelativePath]])</f>
        <v>13 Склад хол\K07156189_23_20251204T173508Z.jpg</v>
      </c>
    </row>
    <row r="44" spans="1:13" x14ac:dyDescent="0.25">
      <c r="A44" s="2" t="s">
        <v>17</v>
      </c>
      <c r="B44" s="4">
        <v>45996</v>
      </c>
      <c r="C44" s="5">
        <v>0.73859953703703707</v>
      </c>
      <c r="D44" s="9" t="s">
        <v>1977</v>
      </c>
      <c r="E44" s="9"/>
      <c r="F44" s="9"/>
      <c r="H44" s="9"/>
      <c r="I44" s="9" t="s">
        <v>4927</v>
      </c>
      <c r="J44" s="9" t="s">
        <v>2943</v>
      </c>
      <c r="K44" t="s">
        <v>4928</v>
      </c>
      <c r="L44" t="s">
        <v>4929</v>
      </c>
      <c r="M44" s="3" t="str">
        <f>HYPERLINK(склад2въезд131920212223789[[#This Row],[RelativePath]])</f>
        <v>13 Склад хол\K07156189_23_20251205T174335Z.jpg</v>
      </c>
    </row>
    <row r="45" spans="1:13" x14ac:dyDescent="0.25">
      <c r="A45" s="2" t="s">
        <v>18</v>
      </c>
      <c r="B45" s="4">
        <v>45997</v>
      </c>
      <c r="C45" s="5">
        <v>0.75876157407407407</v>
      </c>
      <c r="D45" s="9" t="s">
        <v>1977</v>
      </c>
      <c r="E45" s="9"/>
      <c r="F45" s="9"/>
      <c r="H45" s="9"/>
      <c r="I45" s="9" t="s">
        <v>4930</v>
      </c>
      <c r="J45" s="9" t="s">
        <v>2943</v>
      </c>
      <c r="K45" t="s">
        <v>4931</v>
      </c>
      <c r="L45" t="s">
        <v>4932</v>
      </c>
      <c r="M45" s="3" t="str">
        <f>HYPERLINK(склад2въезд131920212223789[[#This Row],[RelativePath]])</f>
        <v>13 Склад хол\K07156189_23_20251206T181237Z.jpg</v>
      </c>
    </row>
    <row r="46" spans="1:13" x14ac:dyDescent="0.25">
      <c r="A46" s="2" t="s">
        <v>22</v>
      </c>
      <c r="B46" s="4">
        <v>45998</v>
      </c>
      <c r="C46" s="5">
        <v>0.58021990740740736</v>
      </c>
      <c r="D46" s="9" t="s">
        <v>4</v>
      </c>
      <c r="E46" s="9" t="s">
        <v>5199</v>
      </c>
      <c r="F46" s="9"/>
      <c r="H46" s="9"/>
      <c r="I46" s="9" t="s">
        <v>5153</v>
      </c>
      <c r="J46" s="9" t="s">
        <v>2943</v>
      </c>
      <c r="K46" t="s">
        <v>5154</v>
      </c>
      <c r="L46" t="s">
        <v>5155</v>
      </c>
      <c r="M46" s="3" t="str">
        <f>HYPERLINK(склад2въезд131920212223789[[#This Row],[RelativePath]])</f>
        <v>13 Склад хол\K07156189_23_20251207T135531Z.jpg</v>
      </c>
    </row>
    <row r="47" spans="1:13" x14ac:dyDescent="0.25">
      <c r="A47" s="2" t="s">
        <v>22</v>
      </c>
      <c r="B47" s="4">
        <v>45998</v>
      </c>
      <c r="C47" s="5">
        <v>0.68665509259259261</v>
      </c>
      <c r="D47" s="9" t="s">
        <v>4</v>
      </c>
      <c r="E47" s="9" t="s">
        <v>5200</v>
      </c>
      <c r="F47" s="9"/>
      <c r="H47" s="9"/>
      <c r="I47" s="9" t="s">
        <v>5156</v>
      </c>
      <c r="J47" s="9" t="s">
        <v>2943</v>
      </c>
      <c r="K47" t="s">
        <v>5157</v>
      </c>
      <c r="L47" t="s">
        <v>5158</v>
      </c>
      <c r="M47" s="3" t="str">
        <f>HYPERLINK(склад2въезд131920212223789[[#This Row],[RelativePath]])</f>
        <v>13 Склад хол\K07156189_23_20251207T162847Z.jpg</v>
      </c>
    </row>
    <row r="48" spans="1:13" x14ac:dyDescent="0.25">
      <c r="A48" s="2" t="s">
        <v>13</v>
      </c>
      <c r="B48" s="4">
        <v>45999</v>
      </c>
      <c r="C48" s="5">
        <v>0.38511574074074073</v>
      </c>
      <c r="D48" s="9" t="s">
        <v>159</v>
      </c>
      <c r="E48" s="9" t="s">
        <v>5411</v>
      </c>
      <c r="F48" s="9" t="s">
        <v>4181</v>
      </c>
      <c r="H48" s="9"/>
      <c r="I48" s="9" t="s">
        <v>5399</v>
      </c>
      <c r="J48" s="9" t="s">
        <v>2943</v>
      </c>
      <c r="K48" t="s">
        <v>5400</v>
      </c>
      <c r="L48" t="s">
        <v>5401</v>
      </c>
      <c r="M48" s="3" t="str">
        <f>HYPERLINK(склад2въезд131920212223789[[#This Row],[RelativePath]])</f>
        <v>13 Склад хол\K07156189_23_20251208T091434Z.jpg</v>
      </c>
    </row>
    <row r="49" spans="1:13" x14ac:dyDescent="0.25">
      <c r="A49" s="2" t="s">
        <v>13</v>
      </c>
      <c r="B49" s="4">
        <v>45999</v>
      </c>
      <c r="C49" s="5">
        <v>0.71109953703703699</v>
      </c>
      <c r="D49" s="9" t="s">
        <v>4</v>
      </c>
      <c r="E49" s="9" t="s">
        <v>8</v>
      </c>
      <c r="F49" s="9"/>
      <c r="H49" s="9"/>
      <c r="I49" s="9" t="s">
        <v>5402</v>
      </c>
      <c r="J49" s="9" t="s">
        <v>2943</v>
      </c>
      <c r="K49" t="s">
        <v>5403</v>
      </c>
      <c r="L49" t="s">
        <v>5404</v>
      </c>
      <c r="M49" s="3" t="str">
        <f>HYPERLINK(склад2въезд131920212223789[[#This Row],[RelativePath]])</f>
        <v>13 Склад хол\K07156189_23_20251208T170359Z.jpg</v>
      </c>
    </row>
    <row r="50" spans="1:13" x14ac:dyDescent="0.25">
      <c r="A50" s="2" t="s">
        <v>14</v>
      </c>
      <c r="B50" s="4">
        <v>46000</v>
      </c>
      <c r="C50" s="5">
        <v>0.4255902777777778</v>
      </c>
      <c r="D50" s="9" t="s">
        <v>6112</v>
      </c>
      <c r="E50" s="9" t="s">
        <v>5411</v>
      </c>
      <c r="F50" s="9" t="s">
        <v>6103</v>
      </c>
      <c r="H50" s="9"/>
      <c r="I50" s="9" t="s">
        <v>5597</v>
      </c>
      <c r="J50" s="9" t="s">
        <v>2943</v>
      </c>
      <c r="K50" t="s">
        <v>5598</v>
      </c>
      <c r="L50" t="s">
        <v>5599</v>
      </c>
      <c r="M50" s="3" t="str">
        <f>HYPERLINK(склад2въезд131920212223789[[#This Row],[RelativePath]])</f>
        <v>13 Склад хол\K07156189_23_20251209T101251Z.jpg</v>
      </c>
    </row>
    <row r="51" spans="1:13" x14ac:dyDescent="0.25">
      <c r="A51" s="2" t="s">
        <v>14</v>
      </c>
      <c r="B51" s="4">
        <v>46000</v>
      </c>
      <c r="C51" s="5">
        <v>0.42586805555555557</v>
      </c>
      <c r="D51" s="9" t="s">
        <v>6112</v>
      </c>
      <c r="E51" s="9" t="s">
        <v>5411</v>
      </c>
      <c r="F51" s="9" t="s">
        <v>6103</v>
      </c>
      <c r="H51" s="9" t="s">
        <v>2891</v>
      </c>
      <c r="I51" s="9" t="s">
        <v>5600</v>
      </c>
      <c r="J51" s="9" t="s">
        <v>2943</v>
      </c>
      <c r="K51" t="s">
        <v>5601</v>
      </c>
      <c r="L51" t="s">
        <v>5602</v>
      </c>
      <c r="M51" s="3" t="str">
        <f>HYPERLINK(склад2въезд131920212223789[[#This Row],[RelativePath]])</f>
        <v>13 Склад хол\K07156189_23_20251209T101315Z.jpg</v>
      </c>
    </row>
    <row r="52" spans="1:13" x14ac:dyDescent="0.25">
      <c r="A52" s="2" t="s">
        <v>14</v>
      </c>
      <c r="B52" s="4">
        <v>46000</v>
      </c>
      <c r="C52" s="5">
        <v>0.65454861111111107</v>
      </c>
      <c r="D52" s="9" t="s">
        <v>4</v>
      </c>
      <c r="E52" s="9" t="s">
        <v>8</v>
      </c>
      <c r="F52" s="9"/>
      <c r="H52" s="9"/>
      <c r="I52" s="9" t="s">
        <v>5603</v>
      </c>
      <c r="J52" s="9" t="s">
        <v>2943</v>
      </c>
      <c r="K52" t="s">
        <v>5604</v>
      </c>
      <c r="L52" t="s">
        <v>5605</v>
      </c>
      <c r="M52" s="3" t="str">
        <f>HYPERLINK(склад2въезд131920212223789[[#This Row],[RelativePath]])</f>
        <v>13 Склад хол\K07156189_23_20251209T154233Z.jpg</v>
      </c>
    </row>
    <row r="53" spans="1:13" x14ac:dyDescent="0.25">
      <c r="A53" s="2" t="s">
        <v>15</v>
      </c>
      <c r="B53" s="4">
        <v>46001</v>
      </c>
      <c r="C53" s="5">
        <v>0.50247685185185187</v>
      </c>
      <c r="D53" s="9" t="s">
        <v>4</v>
      </c>
      <c r="E53" s="9" t="s">
        <v>8</v>
      </c>
      <c r="F53" s="9"/>
      <c r="H53" s="9"/>
      <c r="I53" s="9" t="s">
        <v>5606</v>
      </c>
      <c r="J53" s="9" t="s">
        <v>2943</v>
      </c>
      <c r="K53" t="s">
        <v>5607</v>
      </c>
      <c r="L53" t="s">
        <v>5608</v>
      </c>
      <c r="M53" s="3" t="str">
        <f>HYPERLINK(склад2въезд131920212223789[[#This Row],[RelativePath]])</f>
        <v>13 Склад хол\K07156189_23_20251210T120334Z.jpg</v>
      </c>
    </row>
    <row r="54" spans="1:13" x14ac:dyDescent="0.25">
      <c r="A54" s="2" t="s">
        <v>15</v>
      </c>
      <c r="B54" s="4">
        <v>46001</v>
      </c>
      <c r="C54" s="5">
        <v>0.50800925925925922</v>
      </c>
      <c r="D54" s="9" t="s">
        <v>4</v>
      </c>
      <c r="E54" s="9" t="s">
        <v>8</v>
      </c>
      <c r="F54" s="9"/>
      <c r="H54" s="9"/>
      <c r="I54" s="9" t="s">
        <v>5609</v>
      </c>
      <c r="J54" s="9" t="s">
        <v>2943</v>
      </c>
      <c r="K54" t="s">
        <v>5610</v>
      </c>
      <c r="L54" t="s">
        <v>5611</v>
      </c>
      <c r="M54" s="3" t="str">
        <f>HYPERLINK(склад2въезд131920212223789[[#This Row],[RelativePath]])</f>
        <v>13 Склад хол\K07156189_23_20251210T121132Z.jpg</v>
      </c>
    </row>
    <row r="55" spans="1:13" x14ac:dyDescent="0.25">
      <c r="A55" s="2" t="s">
        <v>16</v>
      </c>
      <c r="B55" s="4">
        <v>46002</v>
      </c>
      <c r="C55" s="5">
        <v>0.86337962962962966</v>
      </c>
      <c r="D55" s="9" t="s">
        <v>1977</v>
      </c>
      <c r="E55" s="9"/>
      <c r="F55" s="9"/>
      <c r="H55" s="9"/>
      <c r="I55" s="9" t="s">
        <v>5612</v>
      </c>
      <c r="J55" s="9" t="s">
        <v>2943</v>
      </c>
      <c r="K55" t="s">
        <v>5613</v>
      </c>
      <c r="L55" t="s">
        <v>5614</v>
      </c>
      <c r="M55" s="3" t="str">
        <f>HYPERLINK(склад2въезд131920212223789[[#This Row],[RelativePath]])</f>
        <v>13 Склад хол\K07156189_23_20251211T204316Z.jpg</v>
      </c>
    </row>
    <row r="56" spans="1:13" x14ac:dyDescent="0.25">
      <c r="A56" s="2" t="s">
        <v>17</v>
      </c>
      <c r="B56" s="4">
        <v>46003</v>
      </c>
      <c r="C56" s="5">
        <v>0.42656250000000001</v>
      </c>
      <c r="D56" s="9" t="s">
        <v>6112</v>
      </c>
      <c r="E56" s="9" t="s">
        <v>5411</v>
      </c>
      <c r="F56" s="9" t="s">
        <v>6093</v>
      </c>
      <c r="H56" s="9"/>
      <c r="I56" s="9" t="s">
        <v>5914</v>
      </c>
      <c r="J56" s="9" t="s">
        <v>2943</v>
      </c>
      <c r="K56" t="s">
        <v>5915</v>
      </c>
      <c r="L56" t="s">
        <v>5916</v>
      </c>
      <c r="M56" s="3" t="str">
        <f>HYPERLINK(склад2въезд131920212223789[[#This Row],[RelativePath]])</f>
        <v>13 Склад хол\K07156189_23_20251212T101415Z.jpg</v>
      </c>
    </row>
    <row r="57" spans="1:13" x14ac:dyDescent="0.25">
      <c r="A57" s="2" t="s">
        <v>17</v>
      </c>
      <c r="B57" s="4">
        <v>46003</v>
      </c>
      <c r="C57" s="5">
        <v>0.47609953703703706</v>
      </c>
      <c r="D57" s="9" t="s">
        <v>4</v>
      </c>
      <c r="E57" s="9" t="s">
        <v>8</v>
      </c>
      <c r="F57" s="9"/>
      <c r="H57" s="9"/>
      <c r="I57" s="9" t="s">
        <v>5917</v>
      </c>
      <c r="J57" s="9" t="s">
        <v>2943</v>
      </c>
      <c r="K57" t="s">
        <v>5918</v>
      </c>
      <c r="L57" t="s">
        <v>5919</v>
      </c>
      <c r="M57" s="3" t="str">
        <f>HYPERLINK(склад2въезд131920212223789[[#This Row],[RelativePath]])</f>
        <v>13 Склад хол\K07156189_23_20251212T112535Z.jpg</v>
      </c>
    </row>
    <row r="58" spans="1:13" x14ac:dyDescent="0.25">
      <c r="A58" s="2" t="s">
        <v>17</v>
      </c>
      <c r="B58" s="4">
        <v>46003</v>
      </c>
      <c r="C58" s="5">
        <v>0.48775462962962962</v>
      </c>
      <c r="D58" s="9" t="s">
        <v>4</v>
      </c>
      <c r="E58" s="9" t="s">
        <v>8</v>
      </c>
      <c r="F58" s="9"/>
      <c r="H58" s="9"/>
      <c r="I58" s="9" t="s">
        <v>5920</v>
      </c>
      <c r="J58" s="9" t="s">
        <v>2943</v>
      </c>
      <c r="K58" t="s">
        <v>5921</v>
      </c>
      <c r="L58" t="s">
        <v>5922</v>
      </c>
      <c r="M58" s="3" t="str">
        <f>HYPERLINK(склад2въезд131920212223789[[#This Row],[RelativePath]])</f>
        <v>13 Склад хол\K07156189_23_20251212T114222Z.jpg</v>
      </c>
    </row>
    <row r="59" spans="1:13" x14ac:dyDescent="0.25">
      <c r="A59" s="2" t="s">
        <v>18</v>
      </c>
      <c r="B59" s="4">
        <v>46004</v>
      </c>
      <c r="C59" s="5">
        <v>0.55222222222222217</v>
      </c>
      <c r="D59" s="9" t="s">
        <v>4</v>
      </c>
      <c r="E59" s="9" t="s">
        <v>6088</v>
      </c>
      <c r="F59" s="9"/>
      <c r="H59" s="9"/>
      <c r="I59" s="9" t="s">
        <v>5923</v>
      </c>
      <c r="J59" s="9" t="s">
        <v>2943</v>
      </c>
      <c r="K59" t="s">
        <v>5924</v>
      </c>
      <c r="L59" t="s">
        <v>5925</v>
      </c>
      <c r="M59" s="3" t="str">
        <f>HYPERLINK(склад2въезд131920212223789[[#This Row],[RelativePath]])</f>
        <v>13 Склад хол\K07156189_23_20251213T131512Z.jpg</v>
      </c>
    </row>
    <row r="60" spans="1:13" x14ac:dyDescent="0.25">
      <c r="A60" s="2" t="s">
        <v>18</v>
      </c>
      <c r="B60" s="4">
        <v>46004</v>
      </c>
      <c r="C60" s="5">
        <v>0.58324074074074073</v>
      </c>
      <c r="D60" s="9" t="s">
        <v>4</v>
      </c>
      <c r="E60" s="9" t="s">
        <v>8</v>
      </c>
      <c r="F60" s="9"/>
      <c r="H60" s="9"/>
      <c r="I60" s="9" t="s">
        <v>5926</v>
      </c>
      <c r="J60" s="9" t="s">
        <v>2943</v>
      </c>
      <c r="K60" t="s">
        <v>5927</v>
      </c>
      <c r="L60" t="s">
        <v>5928</v>
      </c>
      <c r="M60" s="3" t="str">
        <f>HYPERLINK(склад2въезд131920212223789[[#This Row],[RelativePath]])</f>
        <v>13 Склад хол\K07156189_23_20251213T135952Z.jpg</v>
      </c>
    </row>
    <row r="61" spans="1:13" x14ac:dyDescent="0.25">
      <c r="A61" s="2" t="s">
        <v>22</v>
      </c>
      <c r="B61" s="4">
        <v>46005</v>
      </c>
      <c r="C61" s="5">
        <v>0.72364583333333332</v>
      </c>
      <c r="D61" s="9" t="s">
        <v>1967</v>
      </c>
      <c r="E61" s="9" t="s">
        <v>8</v>
      </c>
      <c r="F61" s="9"/>
      <c r="H61" s="9"/>
      <c r="I61" s="9" t="s">
        <v>6175</v>
      </c>
      <c r="J61" s="9" t="s">
        <v>2943</v>
      </c>
      <c r="K61" t="s">
        <v>6176</v>
      </c>
      <c r="L61" t="s">
        <v>6177</v>
      </c>
      <c r="M61" s="3" t="str">
        <f>HYPERLINK(склад2въезд131920212223789[[#This Row],[RelativePath]])</f>
        <v>13 Склад хол\K07156189_23_20251214T172203Z.jpg</v>
      </c>
    </row>
    <row r="62" spans="1:13" x14ac:dyDescent="0.25">
      <c r="A62" s="2" t="s">
        <v>13</v>
      </c>
      <c r="B62" s="4">
        <v>46006</v>
      </c>
      <c r="C62" s="5">
        <v>0.62061342592592594</v>
      </c>
      <c r="D62" s="9" t="s">
        <v>261</v>
      </c>
      <c r="E62" s="9" t="s">
        <v>5411</v>
      </c>
      <c r="F62" s="9" t="s">
        <v>500</v>
      </c>
      <c r="H62" s="9"/>
      <c r="I62" s="9" t="s">
        <v>6434</v>
      </c>
      <c r="J62" s="9" t="s">
        <v>2943</v>
      </c>
      <c r="K62" t="s">
        <v>6435</v>
      </c>
      <c r="L62" t="s">
        <v>6436</v>
      </c>
      <c r="M62" s="3" t="str">
        <f>HYPERLINK(склад2въезд131920212223789[[#This Row],[RelativePath]])</f>
        <v>13 Склад хол\K07156189_23_20251215T145341Z.jpg</v>
      </c>
    </row>
    <row r="63" spans="1:13" x14ac:dyDescent="0.25">
      <c r="A63" s="2" t="s">
        <v>13</v>
      </c>
      <c r="B63" s="4">
        <v>46006</v>
      </c>
      <c r="C63" s="5">
        <v>0.62665509259259256</v>
      </c>
      <c r="D63" s="9" t="s">
        <v>261</v>
      </c>
      <c r="E63" s="9" t="s">
        <v>5411</v>
      </c>
      <c r="F63" s="9" t="s">
        <v>500</v>
      </c>
      <c r="H63" s="9"/>
      <c r="I63" s="9" t="s">
        <v>6437</v>
      </c>
      <c r="J63" s="9" t="s">
        <v>2943</v>
      </c>
      <c r="K63" t="s">
        <v>6438</v>
      </c>
      <c r="L63" t="s">
        <v>6439</v>
      </c>
      <c r="M63" s="3" t="str">
        <f>HYPERLINK(склад2въезд131920212223789[[#This Row],[RelativePath]])</f>
        <v>13 Склад хол\K07156189_23_20251215T150223Z.jpg</v>
      </c>
    </row>
    <row r="64" spans="1:13" x14ac:dyDescent="0.25">
      <c r="A64" s="2" t="s">
        <v>13</v>
      </c>
      <c r="B64" s="4">
        <v>46006</v>
      </c>
      <c r="C64" s="5">
        <v>0.63099537037037035</v>
      </c>
      <c r="D64" s="9" t="s">
        <v>261</v>
      </c>
      <c r="E64" s="9" t="s">
        <v>5411</v>
      </c>
      <c r="F64" s="9" t="s">
        <v>1584</v>
      </c>
      <c r="H64" s="9"/>
      <c r="I64" s="9" t="s">
        <v>6440</v>
      </c>
      <c r="J64" s="9" t="s">
        <v>2943</v>
      </c>
      <c r="K64" t="s">
        <v>6441</v>
      </c>
      <c r="L64" t="s">
        <v>6442</v>
      </c>
      <c r="M64" s="3" t="str">
        <f>HYPERLINK(склад2въезд131920212223789[[#This Row],[RelativePath]])</f>
        <v>13 Склад хол\K07156189_23_20251215T150838Z.jpg</v>
      </c>
    </row>
    <row r="65" spans="1:13" x14ac:dyDescent="0.25">
      <c r="A65" s="2" t="s">
        <v>14</v>
      </c>
      <c r="B65" s="4">
        <v>46007</v>
      </c>
      <c r="C65" s="5">
        <v>0.39892361111111113</v>
      </c>
      <c r="D65" s="9" t="s">
        <v>505</v>
      </c>
      <c r="E65" s="9" t="s">
        <v>503</v>
      </c>
      <c r="F65" s="9" t="s">
        <v>58</v>
      </c>
      <c r="H65" s="9"/>
      <c r="I65" s="9" t="s">
        <v>6562</v>
      </c>
      <c r="J65" s="9" t="s">
        <v>2943</v>
      </c>
      <c r="K65" t="s">
        <v>6563</v>
      </c>
      <c r="L65" t="s">
        <v>6564</v>
      </c>
      <c r="M65" s="3" t="str">
        <f>HYPERLINK(склад2въезд131920212223789[[#This Row],[RelativePath]])</f>
        <v>13 Склад хол\K07156189_23_20251216T093427Z.jpg</v>
      </c>
    </row>
    <row r="66" spans="1:13" x14ac:dyDescent="0.25">
      <c r="A66" s="2" t="s">
        <v>14</v>
      </c>
      <c r="B66" s="4">
        <v>46007</v>
      </c>
      <c r="C66" s="5">
        <v>0.40010416666666665</v>
      </c>
      <c r="D66" s="9" t="s">
        <v>505</v>
      </c>
      <c r="E66" s="9" t="s">
        <v>503</v>
      </c>
      <c r="F66" s="9" t="s">
        <v>58</v>
      </c>
      <c r="H66" s="9"/>
      <c r="I66" s="9" t="s">
        <v>6565</v>
      </c>
      <c r="J66" s="9" t="s">
        <v>2943</v>
      </c>
      <c r="K66" t="s">
        <v>6566</v>
      </c>
      <c r="L66" t="s">
        <v>6567</v>
      </c>
      <c r="M66" s="3" t="str">
        <f>HYPERLINK(склад2въезд131920212223789[[#This Row],[RelativePath]])</f>
        <v>13 Склад хол\K07156189_23_20251216T093609Z.jpg</v>
      </c>
    </row>
    <row r="67" spans="1:13" x14ac:dyDescent="0.25">
      <c r="A67" s="2" t="s">
        <v>14</v>
      </c>
      <c r="B67" s="4">
        <v>46007</v>
      </c>
      <c r="C67" s="5">
        <v>0.40134259259259258</v>
      </c>
      <c r="D67" s="9" t="s">
        <v>505</v>
      </c>
      <c r="E67" s="9" t="s">
        <v>503</v>
      </c>
      <c r="F67" s="9" t="s">
        <v>58</v>
      </c>
      <c r="H67" s="9"/>
      <c r="I67" s="9" t="s">
        <v>6568</v>
      </c>
      <c r="J67" s="9" t="s">
        <v>2943</v>
      </c>
      <c r="K67" t="s">
        <v>6569</v>
      </c>
      <c r="L67" t="s">
        <v>6570</v>
      </c>
      <c r="M67" s="3" t="str">
        <f>HYPERLINK(склад2въезд131920212223789[[#This Row],[RelativePath]])</f>
        <v>13 Склад хол\K07156189_23_20251216T093756Z.jpg</v>
      </c>
    </row>
    <row r="68" spans="1:13" x14ac:dyDescent="0.25">
      <c r="A68" s="2" t="s">
        <v>14</v>
      </c>
      <c r="B68" s="4">
        <v>46007</v>
      </c>
      <c r="C68" s="5">
        <v>0.66119212962962959</v>
      </c>
      <c r="D68" s="9" t="s">
        <v>4</v>
      </c>
      <c r="E68" s="9" t="s">
        <v>8</v>
      </c>
      <c r="F68" s="9"/>
      <c r="H68" s="9"/>
      <c r="I68" s="9" t="s">
        <v>6571</v>
      </c>
      <c r="J68" s="9" t="s">
        <v>2943</v>
      </c>
      <c r="K68" t="s">
        <v>6572</v>
      </c>
      <c r="L68" t="s">
        <v>6573</v>
      </c>
      <c r="M68" s="3" t="str">
        <f>HYPERLINK(склад2въезд131920212223789[[#This Row],[RelativePath]])</f>
        <v>13 Склад хол\K07156189_23_20251216T155207Z.jpg</v>
      </c>
    </row>
    <row r="69" spans="1:13" x14ac:dyDescent="0.25">
      <c r="A69" s="2" t="s">
        <v>15</v>
      </c>
      <c r="B69" s="4">
        <v>46008</v>
      </c>
      <c r="C69" s="5">
        <v>0.67952546296296301</v>
      </c>
      <c r="D69" s="9" t="s">
        <v>261</v>
      </c>
      <c r="E69" s="9" t="s">
        <v>5411</v>
      </c>
      <c r="F69" s="9" t="s">
        <v>500</v>
      </c>
      <c r="H69" s="9"/>
      <c r="I69" s="9" t="s">
        <v>6745</v>
      </c>
      <c r="J69" s="9" t="s">
        <v>2943</v>
      </c>
      <c r="K69" t="s">
        <v>6746</v>
      </c>
      <c r="L69" t="s">
        <v>6747</v>
      </c>
      <c r="M69" s="3" t="str">
        <f>HYPERLINK(склад2въезд131920212223789[[#This Row],[RelativePath]])</f>
        <v>13 Склад хол\K07156189_23_20251217T161831Z.jpg</v>
      </c>
    </row>
    <row r="70" spans="1:13" x14ac:dyDescent="0.25">
      <c r="A70" s="2" t="s">
        <v>15</v>
      </c>
      <c r="B70" s="4">
        <v>46008</v>
      </c>
      <c r="C70" s="5">
        <v>0.68071759259259257</v>
      </c>
      <c r="D70" s="9" t="s">
        <v>261</v>
      </c>
      <c r="E70" s="9" t="s">
        <v>5411</v>
      </c>
      <c r="F70" s="9" t="s">
        <v>500</v>
      </c>
      <c r="H70" s="9" t="s">
        <v>2891</v>
      </c>
      <c r="I70" s="9" t="s">
        <v>6748</v>
      </c>
      <c r="J70" s="9" t="s">
        <v>2943</v>
      </c>
      <c r="K70" t="s">
        <v>6749</v>
      </c>
      <c r="L70" t="s">
        <v>6750</v>
      </c>
      <c r="M70" s="3" t="str">
        <f>HYPERLINK(склад2въезд131920212223789[[#This Row],[RelativePath]])</f>
        <v>13 Склад хол\K07156189_23_20251217T162014Z.jpg</v>
      </c>
    </row>
    <row r="71" spans="1:13" x14ac:dyDescent="0.25">
      <c r="A71" s="2" t="s">
        <v>15</v>
      </c>
      <c r="B71" s="4">
        <v>46008</v>
      </c>
      <c r="C71" s="5">
        <v>0.68144675925925924</v>
      </c>
      <c r="D71" s="9" t="s">
        <v>158</v>
      </c>
      <c r="E71" s="9" t="s">
        <v>5411</v>
      </c>
      <c r="F71" s="9" t="s">
        <v>500</v>
      </c>
      <c r="H71" s="9" t="s">
        <v>5036</v>
      </c>
      <c r="I71" s="9" t="s">
        <v>6751</v>
      </c>
      <c r="J71" s="9" t="s">
        <v>2943</v>
      </c>
      <c r="K71" t="s">
        <v>6752</v>
      </c>
      <c r="L71" t="s">
        <v>6753</v>
      </c>
      <c r="M71" s="3" t="str">
        <f>HYPERLINK(склад2въезд131920212223789[[#This Row],[RelativePath]])</f>
        <v>13 Склад хол\K07156189_23_20251217T162117Z.jpg</v>
      </c>
    </row>
    <row r="72" spans="1:13" x14ac:dyDescent="0.25">
      <c r="A72" s="2" t="s">
        <v>15</v>
      </c>
      <c r="B72" s="4">
        <v>46008</v>
      </c>
      <c r="C72" s="5">
        <v>0.68444444444444441</v>
      </c>
      <c r="D72" s="9" t="s">
        <v>261</v>
      </c>
      <c r="E72" s="9" t="s">
        <v>5411</v>
      </c>
      <c r="F72" s="9" t="s">
        <v>500</v>
      </c>
      <c r="H72" s="9"/>
      <c r="I72" s="9" t="s">
        <v>6754</v>
      </c>
      <c r="J72" s="9" t="s">
        <v>2943</v>
      </c>
      <c r="K72" t="s">
        <v>6755</v>
      </c>
      <c r="L72" t="s">
        <v>6756</v>
      </c>
      <c r="M72" s="3" t="str">
        <f>HYPERLINK(склад2въезд131920212223789[[#This Row],[RelativePath]])</f>
        <v>13 Склад хол\K07156189_23_20251217T162536Z.jpg</v>
      </c>
    </row>
    <row r="73" spans="1:13" x14ac:dyDescent="0.25">
      <c r="A73" s="2" t="s">
        <v>15</v>
      </c>
      <c r="B73" s="4">
        <v>46008</v>
      </c>
      <c r="C73" s="5">
        <v>0.68527777777777776</v>
      </c>
      <c r="D73" s="9" t="s">
        <v>158</v>
      </c>
      <c r="E73" s="9" t="s">
        <v>5411</v>
      </c>
      <c r="F73" s="9" t="s">
        <v>500</v>
      </c>
      <c r="H73" s="9" t="s">
        <v>5036</v>
      </c>
      <c r="I73" s="9" t="s">
        <v>6757</v>
      </c>
      <c r="J73" s="9" t="s">
        <v>2943</v>
      </c>
      <c r="K73" t="s">
        <v>6758</v>
      </c>
      <c r="L73" t="s">
        <v>6759</v>
      </c>
      <c r="M73" s="3" t="str">
        <f>HYPERLINK(склад2въезд131920212223789[[#This Row],[RelativePath]])</f>
        <v>13 Склад хол\K07156189_23_20251217T162648Z.jpg</v>
      </c>
    </row>
    <row r="74" spans="1:13" x14ac:dyDescent="0.25">
      <c r="A74" s="2" t="s">
        <v>16</v>
      </c>
      <c r="B74" s="4">
        <v>46009</v>
      </c>
      <c r="C74" s="5">
        <v>0.44422453703703701</v>
      </c>
      <c r="D74" s="9" t="s">
        <v>4164</v>
      </c>
      <c r="E74" s="9" t="s">
        <v>5411</v>
      </c>
      <c r="F74" s="9" t="s">
        <v>6788</v>
      </c>
      <c r="H74" s="9" t="s">
        <v>6450</v>
      </c>
      <c r="I74" s="9" t="s">
        <v>6760</v>
      </c>
      <c r="J74" s="9" t="s">
        <v>2943</v>
      </c>
      <c r="K74" t="s">
        <v>6761</v>
      </c>
      <c r="L74" t="s">
        <v>6762</v>
      </c>
      <c r="M74" s="3" t="str">
        <f>HYPERLINK(склад2въезд131920212223789[[#This Row],[RelativePath]])</f>
        <v>13 Склад хол\K07156189_23_20251218T103941Z.jpg</v>
      </c>
    </row>
    <row r="75" spans="1:13" x14ac:dyDescent="0.25">
      <c r="A75" s="2" t="s">
        <v>16</v>
      </c>
      <c r="B75" s="4">
        <v>46009</v>
      </c>
      <c r="C75" s="5">
        <v>0.44549768518518518</v>
      </c>
      <c r="D75" s="9" t="s">
        <v>4164</v>
      </c>
      <c r="E75" s="9" t="s">
        <v>5411</v>
      </c>
      <c r="F75" s="9" t="s">
        <v>6788</v>
      </c>
      <c r="H75" s="9" t="s">
        <v>2891</v>
      </c>
      <c r="I75" s="9" t="s">
        <v>6763</v>
      </c>
      <c r="J75" s="9" t="s">
        <v>2943</v>
      </c>
      <c r="K75" t="s">
        <v>6764</v>
      </c>
      <c r="L75" t="s">
        <v>6765</v>
      </c>
      <c r="M75" s="3" t="str">
        <f>HYPERLINK(склад2въезд131920212223789[[#This Row],[RelativePath]])</f>
        <v>13 Склад хол\K07156189_23_20251218T104131Z.jpg</v>
      </c>
    </row>
    <row r="76" spans="1:13" x14ac:dyDescent="0.25">
      <c r="A76" s="2" t="s">
        <v>16</v>
      </c>
      <c r="B76" s="4">
        <v>46009</v>
      </c>
      <c r="C76" s="5">
        <v>0.44664351851851852</v>
      </c>
      <c r="D76" s="9" t="s">
        <v>158</v>
      </c>
      <c r="E76" s="9" t="s">
        <v>5411</v>
      </c>
      <c r="F76" s="9" t="s">
        <v>6788</v>
      </c>
      <c r="H76" s="9" t="s">
        <v>5036</v>
      </c>
      <c r="I76" s="9" t="s">
        <v>6766</v>
      </c>
      <c r="J76" s="9" t="s">
        <v>2943</v>
      </c>
      <c r="K76" t="s">
        <v>6767</v>
      </c>
      <c r="L76" t="s">
        <v>6768</v>
      </c>
      <c r="M76" s="3" t="str">
        <f>HYPERLINK(склад2въезд131920212223789[[#This Row],[RelativePath]])</f>
        <v>13 Склад хол\K07156189_23_20251218T104310Z.jpg</v>
      </c>
    </row>
    <row r="77" spans="1:13" x14ac:dyDescent="0.25">
      <c r="A77" s="2" t="s">
        <v>16</v>
      </c>
      <c r="B77" s="4">
        <v>46009</v>
      </c>
      <c r="C77" s="5">
        <v>0.56633101851851853</v>
      </c>
      <c r="D77" s="9" t="s">
        <v>4</v>
      </c>
      <c r="E77" s="9" t="s">
        <v>6789</v>
      </c>
      <c r="F77" s="9"/>
      <c r="H77" s="9" t="s">
        <v>6450</v>
      </c>
      <c r="I77" s="9" t="s">
        <v>6769</v>
      </c>
      <c r="J77" s="9" t="s">
        <v>2943</v>
      </c>
      <c r="K77" t="s">
        <v>6770</v>
      </c>
      <c r="L77" t="s">
        <v>6771</v>
      </c>
      <c r="M77" s="3" t="str">
        <f>HYPERLINK(склад2въезд131920212223789[[#This Row],[RelativePath]])</f>
        <v>13 Склад хол\K07156189_23_20251218T133531Z.jpg</v>
      </c>
    </row>
    <row r="78" spans="1:13" x14ac:dyDescent="0.25">
      <c r="A78" s="2" t="s">
        <v>16</v>
      </c>
      <c r="B78" s="4">
        <v>46009</v>
      </c>
      <c r="C78" s="5">
        <v>0.58986111111111106</v>
      </c>
      <c r="D78" s="9" t="s">
        <v>4</v>
      </c>
      <c r="E78" s="9" t="s">
        <v>2887</v>
      </c>
      <c r="F78" s="9"/>
      <c r="H78" s="9"/>
      <c r="I78" s="9" t="s">
        <v>6772</v>
      </c>
      <c r="J78" s="9" t="s">
        <v>2943</v>
      </c>
      <c r="K78" t="s">
        <v>6773</v>
      </c>
      <c r="L78" t="s">
        <v>6774</v>
      </c>
      <c r="M78" s="3" t="str">
        <f>HYPERLINK(склад2въезд131920212223789[[#This Row],[RelativePath]])</f>
        <v>13 Склад хол\K07156189_23_20251218T140924Z.jpg</v>
      </c>
    </row>
    <row r="79" spans="1:13" x14ac:dyDescent="0.25">
      <c r="A79" s="2" t="s">
        <v>16</v>
      </c>
      <c r="B79" s="4">
        <v>46009</v>
      </c>
      <c r="C79" s="5">
        <v>0.59215277777777775</v>
      </c>
      <c r="D79" s="9" t="s">
        <v>4</v>
      </c>
      <c r="E79" s="9" t="s">
        <v>6790</v>
      </c>
      <c r="F79" s="9"/>
      <c r="H79" s="9"/>
      <c r="I79" s="9" t="s">
        <v>6775</v>
      </c>
      <c r="J79" s="9" t="s">
        <v>2943</v>
      </c>
      <c r="K79" t="s">
        <v>6776</v>
      </c>
      <c r="L79" t="s">
        <v>6777</v>
      </c>
      <c r="M79" s="3" t="str">
        <f>HYPERLINK(склад2въезд131920212223789[[#This Row],[RelativePath]])</f>
        <v>13 Склад хол\K07156189_23_20251218T141242Z.jpg</v>
      </c>
    </row>
    <row r="80" spans="1:13" x14ac:dyDescent="0.25">
      <c r="A80" s="2" t="s">
        <v>16</v>
      </c>
      <c r="B80" s="4">
        <v>46009</v>
      </c>
      <c r="C80" s="5">
        <v>0.69392361111111112</v>
      </c>
      <c r="D80" s="9" t="s">
        <v>4</v>
      </c>
      <c r="E80" s="9" t="s">
        <v>8</v>
      </c>
      <c r="F80" s="9"/>
      <c r="H80" s="9"/>
      <c r="I80" s="9" t="s">
        <v>6778</v>
      </c>
      <c r="J80" s="9" t="s">
        <v>2943</v>
      </c>
      <c r="K80" t="s">
        <v>6779</v>
      </c>
      <c r="L80" t="s">
        <v>6780</v>
      </c>
      <c r="M80" s="3" t="str">
        <f>HYPERLINK(склад2въезд131920212223789[[#This Row],[RelativePath]])</f>
        <v>13 Склад хол\K07156189_23_20251218T163915Z.jpg</v>
      </c>
    </row>
    <row r="81" spans="1:13" x14ac:dyDescent="0.25">
      <c r="A81" s="2" t="s">
        <v>17</v>
      </c>
      <c r="B81" s="4">
        <v>46010</v>
      </c>
      <c r="C81" s="5">
        <v>0.66483796296296294</v>
      </c>
      <c r="D81" s="9" t="s">
        <v>1967</v>
      </c>
      <c r="E81" s="9" t="s">
        <v>8</v>
      </c>
      <c r="F81" s="9"/>
      <c r="H81" s="9"/>
      <c r="I81" s="9" t="s">
        <v>7077</v>
      </c>
      <c r="J81" s="9" t="s">
        <v>2943</v>
      </c>
      <c r="K81" t="s">
        <v>7078</v>
      </c>
      <c r="L81" t="s">
        <v>7079</v>
      </c>
      <c r="M81" s="3" t="str">
        <f>HYPERLINK(склад2въезд131920212223789[[#This Row],[RelativePath]])</f>
        <v>13 Склад хол\K07156189_23_20251219T155722Z.jpg</v>
      </c>
    </row>
    <row r="82" spans="1:13" x14ac:dyDescent="0.25">
      <c r="A82" s="2" t="s">
        <v>18</v>
      </c>
      <c r="B82" s="4">
        <v>46011</v>
      </c>
      <c r="C82" s="5">
        <v>0.69364583333333329</v>
      </c>
      <c r="D82" s="9" t="s">
        <v>1967</v>
      </c>
      <c r="E82" s="9" t="s">
        <v>8</v>
      </c>
      <c r="F82" s="9"/>
      <c r="H82" s="9"/>
      <c r="I82" s="9" t="s">
        <v>7071</v>
      </c>
      <c r="J82" s="9" t="s">
        <v>2943</v>
      </c>
      <c r="K82" t="s">
        <v>7072</v>
      </c>
      <c r="L82" t="s">
        <v>7073</v>
      </c>
      <c r="M82" s="3" t="str">
        <f>HYPERLINK(склад2въезд131920212223789[[#This Row],[RelativePath]])</f>
        <v>13 Склад хол\K07156189_23_20251220T163851Z.jpg</v>
      </c>
    </row>
    <row r="83" spans="1:13" x14ac:dyDescent="0.25">
      <c r="A83" s="2" t="s">
        <v>22</v>
      </c>
      <c r="B83" s="4">
        <v>46012</v>
      </c>
      <c r="C83" s="5">
        <v>0.7047106481481481</v>
      </c>
      <c r="D83" s="9" t="s">
        <v>1967</v>
      </c>
      <c r="E83" s="9" t="s">
        <v>8</v>
      </c>
      <c r="F83" s="9"/>
      <c r="H83" s="9"/>
      <c r="I83" s="9" t="s">
        <v>7124</v>
      </c>
      <c r="J83" s="9" t="s">
        <v>2943</v>
      </c>
      <c r="K83" t="s">
        <v>7125</v>
      </c>
      <c r="L83" t="s">
        <v>7126</v>
      </c>
      <c r="M83" s="3" t="str">
        <f>HYPERLINK(склад2въезд131920212223789[[#This Row],[RelativePath]])</f>
        <v>13 Склад хол\K07156189_23_20251221T165447Z.jpg</v>
      </c>
    </row>
    <row r="84" spans="1:13" x14ac:dyDescent="0.25">
      <c r="A84" s="2" t="s">
        <v>13</v>
      </c>
      <c r="B84" s="4">
        <v>46013</v>
      </c>
      <c r="C84" s="5">
        <v>0.70993055555555551</v>
      </c>
      <c r="D84" s="9" t="s">
        <v>1967</v>
      </c>
      <c r="E84" s="9" t="s">
        <v>8</v>
      </c>
      <c r="F84" s="9"/>
      <c r="H84" s="9"/>
      <c r="I84" s="9" t="s">
        <v>7221</v>
      </c>
      <c r="J84" s="9" t="s">
        <v>2943</v>
      </c>
      <c r="K84" t="s">
        <v>7222</v>
      </c>
      <c r="L84" t="s">
        <v>7223</v>
      </c>
      <c r="M84" s="3" t="str">
        <f>HYPERLINK(склад2въезд131920212223789[[#This Row],[RelativePath]])</f>
        <v>13 Склад хол\K07156189_23_20251222T170218Z.jpg</v>
      </c>
    </row>
    <row r="85" spans="1:13" x14ac:dyDescent="0.25">
      <c r="A85" s="2" t="s">
        <v>14</v>
      </c>
      <c r="B85" s="4">
        <v>46014</v>
      </c>
      <c r="C85" s="5">
        <v>0.74131944444444442</v>
      </c>
      <c r="D85" s="9" t="s">
        <v>1967</v>
      </c>
      <c r="E85" s="9" t="s">
        <v>8</v>
      </c>
      <c r="F85" s="9"/>
      <c r="H85" s="9"/>
      <c r="I85" s="9" t="s">
        <v>7224</v>
      </c>
      <c r="J85" s="9" t="s">
        <v>2943</v>
      </c>
      <c r="K85" t="s">
        <v>7225</v>
      </c>
      <c r="L85" t="s">
        <v>7226</v>
      </c>
      <c r="M85" s="3" t="str">
        <f>HYPERLINK(склад2въезд131920212223789[[#This Row],[RelativePath]])</f>
        <v>13 Склад хол\K07156189_23_20251223T174730Z.jpg</v>
      </c>
    </row>
    <row r="86" spans="1:13" x14ac:dyDescent="0.25">
      <c r="A86" s="2" t="s">
        <v>15</v>
      </c>
      <c r="B86" s="4">
        <v>46015</v>
      </c>
      <c r="C86" s="5">
        <v>0.6643634259259259</v>
      </c>
      <c r="D86" s="9" t="s">
        <v>4164</v>
      </c>
      <c r="E86" s="9" t="s">
        <v>5411</v>
      </c>
      <c r="F86" s="9" t="s">
        <v>60</v>
      </c>
      <c r="H86" s="9"/>
      <c r="I86" s="9" t="s">
        <v>7585</v>
      </c>
      <c r="J86" s="9" t="s">
        <v>2943</v>
      </c>
      <c r="K86" t="s">
        <v>7586</v>
      </c>
      <c r="L86" t="s">
        <v>7587</v>
      </c>
      <c r="M86" s="3" t="str">
        <f>HYPERLINK(склад2въезд131920212223789[[#This Row],[RelativePath]])</f>
        <v>13 Склад хол\K07156189_23_20251224T155641Z.jpg</v>
      </c>
    </row>
    <row r="87" spans="1:13" x14ac:dyDescent="0.25">
      <c r="A87" s="2" t="s">
        <v>15</v>
      </c>
      <c r="B87" s="4">
        <v>46015</v>
      </c>
      <c r="C87" s="5">
        <v>0.7075231481481481</v>
      </c>
      <c r="D87" s="9" t="s">
        <v>1967</v>
      </c>
      <c r="E87" s="9" t="s">
        <v>8</v>
      </c>
      <c r="F87" s="9"/>
      <c r="H87" s="9"/>
      <c r="I87" s="9" t="s">
        <v>7588</v>
      </c>
      <c r="J87" s="9" t="s">
        <v>2943</v>
      </c>
      <c r="K87" t="s">
        <v>7589</v>
      </c>
      <c r="L87" t="s">
        <v>7590</v>
      </c>
      <c r="M87" s="3" t="str">
        <f>HYPERLINK(склад2въезд131920212223789[[#This Row],[RelativePath]])</f>
        <v>13 Склад хол\K07156189_23_20251224T165850Z.jpg</v>
      </c>
    </row>
    <row r="88" spans="1:13" x14ac:dyDescent="0.25">
      <c r="A88" s="2" t="s">
        <v>16</v>
      </c>
      <c r="B88" s="4">
        <v>46016</v>
      </c>
      <c r="C88" s="5">
        <v>0.52539351851851857</v>
      </c>
      <c r="D88" s="9" t="s">
        <v>4</v>
      </c>
      <c r="E88" s="9" t="s">
        <v>4134</v>
      </c>
      <c r="F88" s="9"/>
      <c r="H88" s="9" t="s">
        <v>7624</v>
      </c>
      <c r="I88" s="9" t="s">
        <v>7591</v>
      </c>
      <c r="J88" s="9" t="s">
        <v>2943</v>
      </c>
      <c r="K88" t="s">
        <v>7592</v>
      </c>
      <c r="L88" t="s">
        <v>7593</v>
      </c>
      <c r="M88" s="3" t="str">
        <f>HYPERLINK(склад2въезд131920212223789[[#This Row],[RelativePath]])</f>
        <v>13 Склад хол\K07156189_23_20251225T123634Z.jpg</v>
      </c>
    </row>
    <row r="89" spans="1:13" x14ac:dyDescent="0.25">
      <c r="A89" s="2" t="s">
        <v>16</v>
      </c>
      <c r="B89" s="4">
        <v>46016</v>
      </c>
      <c r="C89" s="5">
        <v>0.52629629629629626</v>
      </c>
      <c r="D89" s="9" t="s">
        <v>4164</v>
      </c>
      <c r="E89" s="9" t="s">
        <v>5411</v>
      </c>
      <c r="F89" s="9" t="s">
        <v>7619</v>
      </c>
      <c r="H89" s="9"/>
      <c r="I89" s="9" t="s">
        <v>7594</v>
      </c>
      <c r="J89" s="9" t="s">
        <v>2943</v>
      </c>
      <c r="K89" t="s">
        <v>7595</v>
      </c>
      <c r="L89" t="s">
        <v>7596</v>
      </c>
      <c r="M89" s="3" t="str">
        <f>HYPERLINK(склад2въезд131920212223789[[#This Row],[RelativePath]])</f>
        <v>13 Склад хол\K07156189_23_20251225T123752Z.jpg</v>
      </c>
    </row>
    <row r="90" spans="1:13" x14ac:dyDescent="0.25">
      <c r="A90" s="2" t="s">
        <v>16</v>
      </c>
      <c r="B90" s="4">
        <v>46016</v>
      </c>
      <c r="C90" s="5">
        <v>0.68274305555555559</v>
      </c>
      <c r="D90" s="9" t="s">
        <v>4164</v>
      </c>
      <c r="E90" s="9" t="s">
        <v>5411</v>
      </c>
      <c r="F90" s="9" t="s">
        <v>7625</v>
      </c>
      <c r="H90" s="9"/>
      <c r="I90" s="9" t="s">
        <v>7597</v>
      </c>
      <c r="J90" s="9" t="s">
        <v>2943</v>
      </c>
      <c r="K90" t="s">
        <v>7598</v>
      </c>
      <c r="L90" t="s">
        <v>7599</v>
      </c>
      <c r="M90" s="3" t="str">
        <f>HYPERLINK(склад2въезд131920212223789[[#This Row],[RelativePath]])</f>
        <v>13 Склад хол\K07156189_23_20251225T162309Z.jpg</v>
      </c>
    </row>
    <row r="91" spans="1:13" x14ac:dyDescent="0.25">
      <c r="A91" s="2" t="s">
        <v>17</v>
      </c>
      <c r="B91" s="4">
        <v>46017</v>
      </c>
      <c r="C91" s="5">
        <v>0.39837962962962964</v>
      </c>
      <c r="D91" s="9" t="s">
        <v>4164</v>
      </c>
      <c r="E91" s="9" t="s">
        <v>5411</v>
      </c>
      <c r="F91" s="9" t="s">
        <v>60</v>
      </c>
      <c r="H91" s="9"/>
      <c r="I91" s="9" t="s">
        <v>7698</v>
      </c>
      <c r="J91" s="9" t="s">
        <v>2943</v>
      </c>
      <c r="K91" t="s">
        <v>7699</v>
      </c>
      <c r="L91" t="s">
        <v>7700</v>
      </c>
      <c r="M91" s="3" t="str">
        <f>HYPERLINK(склад2въезд131920212223789[[#This Row],[RelativePath]])</f>
        <v>13 Склад хол\K07156189_23_20251226T093340Z.jpg</v>
      </c>
    </row>
    <row r="92" spans="1:13" x14ac:dyDescent="0.25">
      <c r="A92" s="2" t="s">
        <v>17</v>
      </c>
      <c r="B92" s="4">
        <v>46017</v>
      </c>
      <c r="C92" s="5">
        <v>0.39859953703703704</v>
      </c>
      <c r="D92" s="9" t="s">
        <v>4164</v>
      </c>
      <c r="E92" s="9" t="s">
        <v>5411</v>
      </c>
      <c r="F92" s="9" t="s">
        <v>60</v>
      </c>
      <c r="H92" s="9"/>
      <c r="I92" s="9" t="s">
        <v>7701</v>
      </c>
      <c r="J92" s="9" t="s">
        <v>2943</v>
      </c>
      <c r="K92" t="s">
        <v>7702</v>
      </c>
      <c r="L92" t="s">
        <v>7703</v>
      </c>
      <c r="M92" s="3" t="str">
        <f>HYPERLINK(склад2въезд131920212223789[[#This Row],[RelativePath]])</f>
        <v>13 Склад хол\K07156189_23_20251226T093359Z.jpg</v>
      </c>
    </row>
    <row r="93" spans="1:13" x14ac:dyDescent="0.25">
      <c r="A93" s="2" t="s">
        <v>17</v>
      </c>
      <c r="B93" s="4">
        <v>46017</v>
      </c>
      <c r="C93" s="5">
        <v>0.40739583333333335</v>
      </c>
      <c r="D93" s="9" t="s">
        <v>4164</v>
      </c>
      <c r="E93" s="9" t="s">
        <v>5411</v>
      </c>
      <c r="F93" s="9" t="s">
        <v>7625</v>
      </c>
      <c r="H93" s="9"/>
      <c r="I93" s="9" t="s">
        <v>7704</v>
      </c>
      <c r="J93" s="9" t="s">
        <v>2943</v>
      </c>
      <c r="K93" t="s">
        <v>7705</v>
      </c>
      <c r="L93" t="s">
        <v>7706</v>
      </c>
      <c r="M93" s="3" t="str">
        <f>HYPERLINK(склад2въезд131920212223789[[#This Row],[RelativePath]])</f>
        <v>13 Склад хол\K07156189_23_20251226T094639Z.jpg</v>
      </c>
    </row>
    <row r="94" spans="1:13" x14ac:dyDescent="0.25">
      <c r="A94" s="2" t="s">
        <v>17</v>
      </c>
      <c r="B94" s="4">
        <v>46017</v>
      </c>
      <c r="C94" s="5">
        <v>0.42027777777777775</v>
      </c>
      <c r="D94" s="9" t="s">
        <v>4</v>
      </c>
      <c r="E94" s="9" t="s">
        <v>4134</v>
      </c>
      <c r="F94" s="9"/>
      <c r="H94" s="9" t="s">
        <v>7624</v>
      </c>
      <c r="I94" s="9" t="s">
        <v>7707</v>
      </c>
      <c r="J94" s="9" t="s">
        <v>2943</v>
      </c>
      <c r="K94" t="s">
        <v>7708</v>
      </c>
      <c r="L94" t="s">
        <v>7709</v>
      </c>
      <c r="M94" s="3" t="str">
        <f>HYPERLINK(склад2въезд131920212223789[[#This Row],[RelativePath]])</f>
        <v>13 Склад хол\K07156189_23_20251226T100512Z.jpg</v>
      </c>
    </row>
    <row r="95" spans="1:13" x14ac:dyDescent="0.25">
      <c r="A95" s="2" t="s">
        <v>17</v>
      </c>
      <c r="B95" s="4">
        <v>46017</v>
      </c>
      <c r="C95" s="5">
        <v>0.44064814814814812</v>
      </c>
      <c r="D95" s="9" t="s">
        <v>4</v>
      </c>
      <c r="E95" s="9" t="s">
        <v>8</v>
      </c>
      <c r="F95" s="9"/>
      <c r="H95" s="9" t="s">
        <v>2891</v>
      </c>
      <c r="I95" s="9" t="s">
        <v>7710</v>
      </c>
      <c r="J95" s="9" t="s">
        <v>2943</v>
      </c>
      <c r="K95" t="s">
        <v>7711</v>
      </c>
      <c r="L95" t="s">
        <v>7712</v>
      </c>
      <c r="M95" s="3" t="str">
        <f>HYPERLINK(склад2въезд131920212223789[[#This Row],[RelativePath]])</f>
        <v>13 Склад хол\K07156189_23_20251226T103432Z.jpg</v>
      </c>
    </row>
    <row r="96" spans="1:13" x14ac:dyDescent="0.25">
      <c r="A96" s="2" t="s">
        <v>17</v>
      </c>
      <c r="B96" s="4">
        <v>46017</v>
      </c>
      <c r="C96" s="5">
        <v>0.4448611111111111</v>
      </c>
      <c r="D96" s="9" t="s">
        <v>4</v>
      </c>
      <c r="E96" s="9" t="s">
        <v>8</v>
      </c>
      <c r="F96" s="9"/>
      <c r="H96" s="9" t="s">
        <v>2891</v>
      </c>
      <c r="I96" s="9" t="s">
        <v>7713</v>
      </c>
      <c r="J96" s="9" t="s">
        <v>2943</v>
      </c>
      <c r="K96" t="s">
        <v>7714</v>
      </c>
      <c r="L96" t="s">
        <v>7715</v>
      </c>
      <c r="M96" s="3" t="str">
        <f>HYPERLINK(склад2въезд131920212223789[[#This Row],[RelativePath]])</f>
        <v>13 Склад хол\K07156189_23_20251226T104036Z.jpg</v>
      </c>
    </row>
    <row r="97" spans="1:13" x14ac:dyDescent="0.25">
      <c r="A97" s="2" t="s">
        <v>17</v>
      </c>
      <c r="B97" s="4">
        <v>46017</v>
      </c>
      <c r="C97" s="5">
        <v>0.4556365740740741</v>
      </c>
      <c r="D97" s="9" t="s">
        <v>4164</v>
      </c>
      <c r="E97" s="9" t="s">
        <v>5411</v>
      </c>
      <c r="F97" s="9" t="s">
        <v>7620</v>
      </c>
      <c r="H97" s="9"/>
      <c r="I97" s="9" t="s">
        <v>7716</v>
      </c>
      <c r="J97" s="9" t="s">
        <v>2943</v>
      </c>
      <c r="K97" t="s">
        <v>7717</v>
      </c>
      <c r="L97" t="s">
        <v>7718</v>
      </c>
      <c r="M97" s="3" t="str">
        <f>HYPERLINK(склад2въезд131920212223789[[#This Row],[RelativePath]])</f>
        <v>13 Склад хол\K07156189_23_20251226T105607Z.jpg</v>
      </c>
    </row>
    <row r="98" spans="1:13" x14ac:dyDescent="0.25">
      <c r="A98" s="2" t="s">
        <v>17</v>
      </c>
      <c r="B98" s="4">
        <v>46017</v>
      </c>
      <c r="C98" s="5">
        <v>0.51545138888888886</v>
      </c>
      <c r="D98" s="9" t="s">
        <v>4164</v>
      </c>
      <c r="E98" s="9" t="s">
        <v>5411</v>
      </c>
      <c r="F98" s="9" t="s">
        <v>60</v>
      </c>
      <c r="H98" s="9"/>
      <c r="I98" s="9" t="s">
        <v>7719</v>
      </c>
      <c r="J98" s="9" t="s">
        <v>2943</v>
      </c>
      <c r="K98" t="s">
        <v>7720</v>
      </c>
      <c r="L98" t="s">
        <v>7721</v>
      </c>
      <c r="M98" s="3" t="str">
        <f>HYPERLINK(склад2въезд131920212223789[[#This Row],[RelativePath]])</f>
        <v>13 Склад хол\K07156189_23_20251226T122215Z.jpg</v>
      </c>
    </row>
    <row r="99" spans="1:13" x14ac:dyDescent="0.25">
      <c r="A99" s="2" t="s">
        <v>17</v>
      </c>
      <c r="B99" s="4">
        <v>46017</v>
      </c>
      <c r="C99" s="5">
        <v>0.70399305555555558</v>
      </c>
      <c r="D99" s="9" t="s">
        <v>4</v>
      </c>
      <c r="E99" s="9" t="s">
        <v>8</v>
      </c>
      <c r="F99" s="9"/>
      <c r="H99" s="9"/>
      <c r="I99" s="9" t="s">
        <v>7722</v>
      </c>
      <c r="J99" s="9" t="s">
        <v>2943</v>
      </c>
      <c r="K99" t="s">
        <v>7723</v>
      </c>
      <c r="L99" t="s">
        <v>7724</v>
      </c>
      <c r="M99" s="3" t="str">
        <f>HYPERLINK(склад2въезд131920212223789[[#This Row],[RelativePath]])</f>
        <v>13 Склад хол\K07156189_23_20251226T165345Z.jpg</v>
      </c>
    </row>
    <row r="100" spans="1:13" x14ac:dyDescent="0.25">
      <c r="A100" s="2" t="s">
        <v>18</v>
      </c>
      <c r="B100" s="4">
        <v>46018</v>
      </c>
      <c r="C100" s="5">
        <v>0.64461805555555551</v>
      </c>
      <c r="D100" s="9" t="s">
        <v>4</v>
      </c>
      <c r="E100" s="9" t="s">
        <v>8</v>
      </c>
      <c r="F100" s="9"/>
      <c r="H100" s="9"/>
      <c r="I100" s="9" t="s">
        <v>7885</v>
      </c>
      <c r="J100" s="9" t="s">
        <v>2943</v>
      </c>
      <c r="K100" t="s">
        <v>7886</v>
      </c>
      <c r="L100" t="s">
        <v>7887</v>
      </c>
      <c r="M100" s="3" t="str">
        <f>HYPERLINK(склад2въезд131920212223789[[#This Row],[RelativePath]])</f>
        <v>13 Склад хол\K07156189_23_20251227T152815Z.jpg</v>
      </c>
    </row>
    <row r="101" spans="1:13" x14ac:dyDescent="0.25">
      <c r="A101" s="2" t="s">
        <v>18</v>
      </c>
      <c r="B101" s="4">
        <v>46018</v>
      </c>
      <c r="C101" s="5">
        <v>0.71253472222222225</v>
      </c>
      <c r="D101" s="9" t="s">
        <v>4</v>
      </c>
      <c r="E101" s="9" t="s">
        <v>8</v>
      </c>
      <c r="F101" s="9"/>
      <c r="H101" s="9"/>
      <c r="I101" s="9" t="s">
        <v>7888</v>
      </c>
      <c r="J101" s="9" t="s">
        <v>2943</v>
      </c>
      <c r="K101" t="s">
        <v>7889</v>
      </c>
      <c r="L101" t="s">
        <v>7890</v>
      </c>
      <c r="M101" s="3" t="str">
        <f>HYPERLINK(склад2въезд131920212223789[[#This Row],[RelativePath]])</f>
        <v>13 Склад хол\K07156189_23_20251227T170603Z.jpg</v>
      </c>
    </row>
    <row r="102" spans="1:13" x14ac:dyDescent="0.25">
      <c r="A102" s="2" t="s">
        <v>22</v>
      </c>
      <c r="B102" s="4">
        <v>46019</v>
      </c>
      <c r="C102" s="5">
        <v>0.57256944444444446</v>
      </c>
      <c r="D102" s="9" t="s">
        <v>4</v>
      </c>
      <c r="E102" s="9" t="s">
        <v>8</v>
      </c>
      <c r="F102" s="9"/>
      <c r="H102" s="9"/>
      <c r="I102" s="9" t="s">
        <v>7891</v>
      </c>
      <c r="J102" s="9" t="s">
        <v>2943</v>
      </c>
      <c r="K102" t="s">
        <v>7892</v>
      </c>
      <c r="L102" t="s">
        <v>7893</v>
      </c>
      <c r="M102" s="3" t="str">
        <f>HYPERLINK(склад2въезд131920212223789[[#This Row],[RelativePath]])</f>
        <v>13 Склад хол\K07156189_23_20251228T134430Z.jpg</v>
      </c>
    </row>
    <row r="103" spans="1:13" x14ac:dyDescent="0.25">
      <c r="A103" s="2" t="s">
        <v>13</v>
      </c>
      <c r="B103" s="4">
        <v>46020</v>
      </c>
      <c r="C103" s="5">
        <v>0.61881944444444448</v>
      </c>
      <c r="D103" s="9" t="s">
        <v>505</v>
      </c>
      <c r="E103" s="9" t="s">
        <v>503</v>
      </c>
      <c r="F103" s="9" t="s">
        <v>8259</v>
      </c>
      <c r="H103" s="9"/>
      <c r="I103" s="9" t="s">
        <v>8171</v>
      </c>
      <c r="J103" s="9" t="s">
        <v>2943</v>
      </c>
      <c r="K103" t="s">
        <v>8172</v>
      </c>
      <c r="L103" t="s">
        <v>8173</v>
      </c>
      <c r="M103" s="3" t="str">
        <f>HYPERLINK(склад2въезд131920212223789[[#This Row],[RelativePath]])</f>
        <v>13 Склад хол\K07156189_23_20251229T145106Z.jpg</v>
      </c>
    </row>
    <row r="104" spans="1:13" x14ac:dyDescent="0.25">
      <c r="A104" s="2" t="s">
        <v>14</v>
      </c>
      <c r="B104" s="4">
        <v>46021</v>
      </c>
      <c r="C104" s="5">
        <v>0.68046296296296294</v>
      </c>
      <c r="D104" s="9" t="s">
        <v>1967</v>
      </c>
      <c r="E104" s="9" t="s">
        <v>8</v>
      </c>
      <c r="F104" s="9"/>
      <c r="H104" s="9"/>
      <c r="I104" s="9" t="s">
        <v>8174</v>
      </c>
      <c r="J104" s="9" t="s">
        <v>2943</v>
      </c>
      <c r="K104" t="s">
        <v>8175</v>
      </c>
      <c r="L104" t="s">
        <v>8176</v>
      </c>
      <c r="M104" s="3" t="str">
        <f>HYPERLINK(склад2въезд131920212223789[[#This Row],[RelativePath]])</f>
        <v>13 Склад хол\K07156189_23_20251230T161952Z.jpg</v>
      </c>
    </row>
    <row r="105" spans="1:13" x14ac:dyDescent="0.25">
      <c r="A105" s="2" t="s">
        <v>15</v>
      </c>
      <c r="B105" s="4">
        <v>46022</v>
      </c>
      <c r="C105" s="5">
        <v>0.62459490740740742</v>
      </c>
      <c r="D105" s="9" t="s">
        <v>1967</v>
      </c>
      <c r="E105" s="9" t="s">
        <v>8</v>
      </c>
      <c r="F105" s="9"/>
      <c r="H105" s="9"/>
      <c r="I105" s="9" t="s">
        <v>8177</v>
      </c>
      <c r="J105" s="9" t="s">
        <v>2943</v>
      </c>
      <c r="K105" t="s">
        <v>8178</v>
      </c>
      <c r="L105" t="s">
        <v>8179</v>
      </c>
      <c r="M105" s="3" t="str">
        <f>HYPERLINK(склад2въезд131920212223789[[#This Row],[RelativePath]])</f>
        <v>13 Склад хол\K07156189_23_20251231T145925Z.jpg</v>
      </c>
    </row>
    <row r="106" spans="1:13" x14ac:dyDescent="0.25">
      <c r="A106" s="2" t="s">
        <v>16</v>
      </c>
      <c r="B106" s="4">
        <v>46023</v>
      </c>
      <c r="C106" s="5">
        <v>0.71039351851851851</v>
      </c>
      <c r="D106" s="9" t="s">
        <v>1967</v>
      </c>
      <c r="E106" s="9" t="s">
        <v>8</v>
      </c>
      <c r="F106" s="9"/>
      <c r="H106" s="9"/>
      <c r="I106" s="9" t="s">
        <v>8180</v>
      </c>
      <c r="J106" s="9" t="s">
        <v>2943</v>
      </c>
      <c r="K106" t="s">
        <v>8181</v>
      </c>
      <c r="L106" t="s">
        <v>8182</v>
      </c>
      <c r="M106" s="3" t="str">
        <f>HYPERLINK(склад2въезд131920212223789[[#This Row],[RelativePath]])</f>
        <v>13 Склад хол\K07156189_23_20260101T170258Z.jpg</v>
      </c>
    </row>
    <row r="107" spans="1:13" x14ac:dyDescent="0.25">
      <c r="A107" s="2" t="s">
        <v>17</v>
      </c>
      <c r="B107" s="4">
        <v>46024</v>
      </c>
      <c r="C107" s="5">
        <v>0.58374999999999999</v>
      </c>
      <c r="D107" s="9" t="s">
        <v>1967</v>
      </c>
      <c r="E107" s="9" t="s">
        <v>8</v>
      </c>
      <c r="F107" s="9"/>
      <c r="H107" s="9"/>
      <c r="I107" s="9" t="s">
        <v>8360</v>
      </c>
      <c r="J107" s="9" t="s">
        <v>2943</v>
      </c>
      <c r="K107" t="s">
        <v>8361</v>
      </c>
      <c r="L107" t="s">
        <v>8362</v>
      </c>
      <c r="M107" s="3" t="str">
        <f>HYPERLINK(склад2въезд131920212223789[[#This Row],[RelativePath]])</f>
        <v>13 Склад хол\K07156189_23_20260102T140036Z.jpg</v>
      </c>
    </row>
    <row r="108" spans="1:13" x14ac:dyDescent="0.25">
      <c r="A108" s="2" t="s">
        <v>18</v>
      </c>
      <c r="B108" s="4">
        <v>46025</v>
      </c>
      <c r="C108" s="5">
        <v>0.68453703703703705</v>
      </c>
      <c r="D108" s="9" t="s">
        <v>1967</v>
      </c>
      <c r="E108" s="9" t="s">
        <v>8</v>
      </c>
      <c r="F108" s="9"/>
      <c r="H108" s="9"/>
      <c r="I108" s="9" t="s">
        <v>8363</v>
      </c>
      <c r="J108" s="9" t="s">
        <v>2943</v>
      </c>
      <c r="K108" t="s">
        <v>8364</v>
      </c>
      <c r="L108" t="s">
        <v>8365</v>
      </c>
      <c r="M108" s="3" t="str">
        <f>HYPERLINK(склад2въезд131920212223789[[#This Row],[RelativePath]])</f>
        <v>13 Склад хол\K07156189_23_20260103T162544Z.jpg</v>
      </c>
    </row>
    <row r="109" spans="1:13" x14ac:dyDescent="0.25">
      <c r="A109" s="2" t="s">
        <v>22</v>
      </c>
      <c r="B109" s="4">
        <v>46026</v>
      </c>
      <c r="C109" s="5">
        <v>0.60297453703703707</v>
      </c>
      <c r="D109" s="9" t="s">
        <v>1967</v>
      </c>
      <c r="E109" s="9" t="s">
        <v>8</v>
      </c>
      <c r="F109" s="9"/>
      <c r="H109" s="9"/>
      <c r="I109" s="9" t="s">
        <v>8366</v>
      </c>
      <c r="J109" s="9" t="s">
        <v>2943</v>
      </c>
      <c r="K109" t="s">
        <v>8367</v>
      </c>
      <c r="L109" t="s">
        <v>8368</v>
      </c>
      <c r="M109" s="3" t="str">
        <f>HYPERLINK(склад2въезд131920212223789[[#This Row],[RelativePath]])</f>
        <v>13 Склад хол\K07156189_23_20260104T142817Z.jpg</v>
      </c>
    </row>
    <row r="110" spans="1:13" x14ac:dyDescent="0.25">
      <c r="A110" s="2" t="s">
        <v>13</v>
      </c>
      <c r="B110" s="4">
        <v>46027</v>
      </c>
      <c r="C110" s="5">
        <v>0.54106481481481483</v>
      </c>
      <c r="D110" s="9" t="s">
        <v>1967</v>
      </c>
      <c r="E110" s="9" t="s">
        <v>8</v>
      </c>
      <c r="F110" s="9"/>
      <c r="H110" s="9"/>
      <c r="I110" s="9" t="s">
        <v>8666</v>
      </c>
      <c r="J110" s="9" t="s">
        <v>2943</v>
      </c>
      <c r="K110" t="s">
        <v>8667</v>
      </c>
      <c r="L110" t="s">
        <v>8668</v>
      </c>
      <c r="M110" s="3" t="str">
        <f>HYPERLINK(склад2въезд131920212223789[[#This Row],[RelativePath]])</f>
        <v>13 Склад хол\K07156189_23_20260105T125908Z.jpg</v>
      </c>
    </row>
    <row r="111" spans="1:13" x14ac:dyDescent="0.25">
      <c r="A111" s="2" t="s">
        <v>14</v>
      </c>
      <c r="B111" s="4">
        <v>46028</v>
      </c>
      <c r="C111" s="5">
        <v>0.45634259259259258</v>
      </c>
      <c r="D111" s="9" t="s">
        <v>1967</v>
      </c>
      <c r="E111" s="9" t="s">
        <v>8</v>
      </c>
      <c r="F111" s="9"/>
      <c r="H111" s="9"/>
      <c r="I111" s="9" t="s">
        <v>8669</v>
      </c>
      <c r="J111" s="9" t="s">
        <v>2943</v>
      </c>
      <c r="K111" t="s">
        <v>8670</v>
      </c>
      <c r="L111" t="s">
        <v>8671</v>
      </c>
      <c r="M111" s="3" t="str">
        <f>HYPERLINK(склад2въезд131920212223789[[#This Row],[RelativePath]])</f>
        <v>13 Склад хол\K07156189_23_20260106T105708Z.jpg</v>
      </c>
    </row>
    <row r="112" spans="1:13" x14ac:dyDescent="0.25">
      <c r="A112" s="2" t="s">
        <v>15</v>
      </c>
      <c r="B112" s="4">
        <v>46029</v>
      </c>
      <c r="C112" s="5">
        <v>0.5448263888888889</v>
      </c>
      <c r="D112" s="9" t="s">
        <v>1967</v>
      </c>
      <c r="E112" s="9" t="s">
        <v>8</v>
      </c>
      <c r="F112" s="9"/>
      <c r="H112" s="9"/>
      <c r="I112" s="9" t="s">
        <v>8672</v>
      </c>
      <c r="J112" s="9" t="s">
        <v>2943</v>
      </c>
      <c r="K112" t="s">
        <v>8673</v>
      </c>
      <c r="L112" t="s">
        <v>8674</v>
      </c>
      <c r="M112" s="3" t="str">
        <f>HYPERLINK(склад2въезд131920212223789[[#This Row],[RelativePath]])</f>
        <v>13 Склад хол\K07156189_23_20260107T130433Z.jpg</v>
      </c>
    </row>
    <row r="113" spans="1:13" x14ac:dyDescent="0.25">
      <c r="A113" s="2" t="s">
        <v>16</v>
      </c>
      <c r="B113" s="4">
        <v>46030</v>
      </c>
      <c r="C113" s="5">
        <v>0.53621527777777778</v>
      </c>
      <c r="D113" s="9" t="s">
        <v>1967</v>
      </c>
      <c r="E113" s="9" t="s">
        <v>8</v>
      </c>
      <c r="F113" s="9"/>
      <c r="H113" s="9"/>
      <c r="I113" s="9" t="s">
        <v>8675</v>
      </c>
      <c r="J113" s="9" t="s">
        <v>2943</v>
      </c>
      <c r="K113" t="s">
        <v>8676</v>
      </c>
      <c r="L113" t="s">
        <v>8677</v>
      </c>
      <c r="M113" s="3" t="str">
        <f>HYPERLINK(склад2въезд131920212223789[[#This Row],[RelativePath]])</f>
        <v>13 Склад хол\K07156189_23_20260108T125209Z.jpg</v>
      </c>
    </row>
    <row r="114" spans="1:13" x14ac:dyDescent="0.25">
      <c r="A114" s="2" t="s">
        <v>17</v>
      </c>
      <c r="B114" s="4">
        <v>46031</v>
      </c>
      <c r="C114" s="5">
        <v>0.53267361111111111</v>
      </c>
      <c r="D114" s="9" t="s">
        <v>1967</v>
      </c>
      <c r="E114" s="9" t="s">
        <v>8</v>
      </c>
      <c r="F114" s="9"/>
      <c r="H114" s="9"/>
      <c r="I114" s="9" t="s">
        <v>8678</v>
      </c>
      <c r="J114" s="9" t="s">
        <v>2943</v>
      </c>
      <c r="K114" t="s">
        <v>8679</v>
      </c>
      <c r="L114" t="s">
        <v>8680</v>
      </c>
      <c r="M114" s="3" t="str">
        <f>HYPERLINK(склад2въезд131920212223789[[#This Row],[RelativePath]])</f>
        <v>13 Склад хол\K07156189_23_20260109T124703Z.jpg</v>
      </c>
    </row>
    <row r="115" spans="1:13" x14ac:dyDescent="0.25">
      <c r="A115" s="2" t="s">
        <v>18</v>
      </c>
      <c r="B115" s="4">
        <v>46032</v>
      </c>
      <c r="C115" s="5">
        <v>0.50515046296296295</v>
      </c>
      <c r="D115" s="9" t="s">
        <v>1967</v>
      </c>
      <c r="E115" s="9" t="s">
        <v>8</v>
      </c>
      <c r="F115" s="9"/>
      <c r="H115" s="9"/>
      <c r="I115" s="9" t="s">
        <v>8681</v>
      </c>
      <c r="J115" s="9" t="s">
        <v>2943</v>
      </c>
      <c r="K115" t="s">
        <v>8682</v>
      </c>
      <c r="L115" t="s">
        <v>8683</v>
      </c>
      <c r="M115" s="3" t="str">
        <f>HYPERLINK(склад2въезд131920212223789[[#This Row],[RelativePath]])</f>
        <v>13 Склад хол\K07156189_23_20260110T120725Z.jpg</v>
      </c>
    </row>
    <row r="116" spans="1:13" x14ac:dyDescent="0.25">
      <c r="A116" s="2" t="s">
        <v>22</v>
      </c>
      <c r="B116" s="4">
        <v>46033</v>
      </c>
      <c r="C116" s="5">
        <v>0.57033564814814819</v>
      </c>
      <c r="D116" s="9" t="s">
        <v>1967</v>
      </c>
      <c r="E116" s="9" t="s">
        <v>8</v>
      </c>
      <c r="F116" s="9"/>
      <c r="H116" s="9"/>
      <c r="I116" s="9" t="s">
        <v>8684</v>
      </c>
      <c r="J116" s="9" t="s">
        <v>2943</v>
      </c>
      <c r="K116" t="s">
        <v>8685</v>
      </c>
      <c r="L116" t="s">
        <v>8686</v>
      </c>
      <c r="M116" s="3" t="str">
        <f>HYPERLINK(склад2въезд131920212223789[[#This Row],[RelativePath]])</f>
        <v>13 Склад хол\K07156189_23_20260111T134117Z.jpg</v>
      </c>
    </row>
    <row r="117" spans="1:13" x14ac:dyDescent="0.25">
      <c r="A117" s="2" t="s">
        <v>13</v>
      </c>
      <c r="B117" s="4">
        <v>46034</v>
      </c>
      <c r="C117" s="5">
        <v>0.46107638888888891</v>
      </c>
      <c r="D117" s="9" t="s">
        <v>4</v>
      </c>
      <c r="E117" s="9" t="s">
        <v>7947</v>
      </c>
      <c r="F117" s="9"/>
      <c r="H117" s="9"/>
      <c r="I117" s="9" t="s">
        <v>9054</v>
      </c>
      <c r="J117" s="9" t="s">
        <v>2943</v>
      </c>
      <c r="K117" t="s">
        <v>9055</v>
      </c>
      <c r="L117" t="s">
        <v>9056</v>
      </c>
      <c r="M117" s="3" t="str">
        <f>HYPERLINK(склад2въезд131920212223789[[#This Row],[RelativePath]])</f>
        <v>13 Склад хол\K07156189_23_20260112T110357Z.jpg</v>
      </c>
    </row>
    <row r="118" spans="1:13" x14ac:dyDescent="0.25">
      <c r="A118" s="2" t="s">
        <v>13</v>
      </c>
      <c r="B118" s="4">
        <v>46034</v>
      </c>
      <c r="C118" s="5">
        <v>0.48598379629629629</v>
      </c>
      <c r="D118" s="9" t="s">
        <v>7085</v>
      </c>
      <c r="E118" s="9" t="s">
        <v>5411</v>
      </c>
      <c r="F118" s="9" t="s">
        <v>9088</v>
      </c>
      <c r="H118" s="9"/>
      <c r="I118" s="9" t="s">
        <v>9057</v>
      </c>
      <c r="J118" s="9" t="s">
        <v>2943</v>
      </c>
      <c r="K118" t="s">
        <v>9058</v>
      </c>
      <c r="L118" t="s">
        <v>9059</v>
      </c>
      <c r="M118" s="3" t="str">
        <f>HYPERLINK(склад2въезд131920212223789[[#This Row],[RelativePath]])</f>
        <v>13 Склад хол\K07156189_23_20260112T113949Z.jpg</v>
      </c>
    </row>
    <row r="119" spans="1:13" x14ac:dyDescent="0.25">
      <c r="A119" s="2" t="s">
        <v>13</v>
      </c>
      <c r="B119" s="4">
        <v>46034</v>
      </c>
      <c r="C119" s="5">
        <v>0.70489583333333339</v>
      </c>
      <c r="D119" s="9" t="s">
        <v>4</v>
      </c>
      <c r="E119" s="9" t="s">
        <v>8</v>
      </c>
      <c r="F119" s="9"/>
      <c r="H119" s="9"/>
      <c r="I119" s="9" t="s">
        <v>9060</v>
      </c>
      <c r="J119" s="9" t="s">
        <v>2943</v>
      </c>
      <c r="K119" t="s">
        <v>9061</v>
      </c>
      <c r="L119" t="s">
        <v>9062</v>
      </c>
      <c r="M119" s="3" t="str">
        <f>HYPERLINK(склад2въезд131920212223789[[#This Row],[RelativePath]])</f>
        <v>13 Склад хол\K07156189_23_20260112T165503Z.jpg</v>
      </c>
    </row>
    <row r="120" spans="1:13" x14ac:dyDescent="0.25">
      <c r="A120" s="2" t="s">
        <v>14</v>
      </c>
      <c r="B120" s="4">
        <v>46035</v>
      </c>
      <c r="C120" s="5">
        <v>0.46962962962962962</v>
      </c>
      <c r="D120" s="9" t="s">
        <v>4</v>
      </c>
      <c r="E120" s="9" t="s">
        <v>9098</v>
      </c>
      <c r="F120" s="9"/>
      <c r="H120" s="9"/>
      <c r="I120" s="9" t="s">
        <v>9063</v>
      </c>
      <c r="J120" s="9" t="s">
        <v>2943</v>
      </c>
      <c r="K120" t="s">
        <v>9064</v>
      </c>
      <c r="L120" t="s">
        <v>9065</v>
      </c>
      <c r="M120" s="3" t="str">
        <f>HYPERLINK(склад2въезд131920212223789[[#This Row],[RelativePath]])</f>
        <v>13 Склад хол\K07156189_23_20260113T111616Z.jpg</v>
      </c>
    </row>
    <row r="121" spans="1:13" x14ac:dyDescent="0.25">
      <c r="A121" s="2" t="s">
        <v>14</v>
      </c>
      <c r="B121" s="4">
        <v>46035</v>
      </c>
      <c r="C121" s="5">
        <v>0.47291666666666665</v>
      </c>
      <c r="D121" s="9" t="s">
        <v>4</v>
      </c>
      <c r="E121" s="9" t="s">
        <v>9098</v>
      </c>
      <c r="F121" s="9"/>
      <c r="H121" s="9"/>
      <c r="I121" s="9" t="s">
        <v>9066</v>
      </c>
      <c r="J121" s="9" t="s">
        <v>2943</v>
      </c>
      <c r="K121" t="s">
        <v>9067</v>
      </c>
      <c r="L121" t="s">
        <v>9068</v>
      </c>
      <c r="M121" s="3" t="str">
        <f>HYPERLINK(склад2въезд131920212223789[[#This Row],[RelativePath]])</f>
        <v>13 Склад хол\K07156189_23_20260113T112100Z.jpg</v>
      </c>
    </row>
    <row r="122" spans="1:13" x14ac:dyDescent="0.25">
      <c r="A122" s="2" t="s">
        <v>14</v>
      </c>
      <c r="B122" s="4">
        <v>46035</v>
      </c>
      <c r="C122" s="5">
        <v>0.62394675925925924</v>
      </c>
      <c r="D122" s="9" t="s">
        <v>4</v>
      </c>
      <c r="E122" s="9" t="s">
        <v>8</v>
      </c>
      <c r="F122" s="9"/>
      <c r="H122" s="9"/>
      <c r="I122" s="9" t="s">
        <v>9069</v>
      </c>
      <c r="J122" s="9" t="s">
        <v>2943</v>
      </c>
      <c r="K122" t="s">
        <v>9070</v>
      </c>
      <c r="L122" t="s">
        <v>9071</v>
      </c>
      <c r="M122" s="3" t="str">
        <f>HYPERLINK(склад2въезд131920212223789[[#This Row],[RelativePath]])</f>
        <v>13 Склад хол\K07156189_23_20260113T145829Z.jpg</v>
      </c>
    </row>
    <row r="123" spans="1:13" x14ac:dyDescent="0.25">
      <c r="A123" s="2" t="s">
        <v>15</v>
      </c>
      <c r="B123" s="4">
        <v>46036</v>
      </c>
      <c r="C123" s="5">
        <v>0.43501157407407409</v>
      </c>
      <c r="D123" s="9" t="s">
        <v>4</v>
      </c>
      <c r="E123" s="9" t="s">
        <v>7947</v>
      </c>
      <c r="F123" s="9"/>
      <c r="H123" s="9"/>
      <c r="I123" s="9" t="s">
        <v>9209</v>
      </c>
      <c r="J123" s="9" t="s">
        <v>2943</v>
      </c>
      <c r="K123" t="s">
        <v>9210</v>
      </c>
      <c r="L123" t="s">
        <v>9211</v>
      </c>
      <c r="M123" s="3" t="str">
        <f>HYPERLINK(склад2въезд131920212223789[[#This Row],[RelativePath]])</f>
        <v>13 Склад хол\K07156189_23_20260114T102625Z.jpg</v>
      </c>
    </row>
    <row r="124" spans="1:13" x14ac:dyDescent="0.25">
      <c r="A124" s="2" t="s">
        <v>15</v>
      </c>
      <c r="B124" s="4">
        <v>46036</v>
      </c>
      <c r="C124" s="5">
        <v>0.64631944444444445</v>
      </c>
      <c r="D124" s="9" t="s">
        <v>4</v>
      </c>
      <c r="E124" s="9" t="s">
        <v>7947</v>
      </c>
      <c r="F124" s="9"/>
      <c r="H124" s="9"/>
      <c r="I124" s="9" t="s">
        <v>9212</v>
      </c>
      <c r="J124" s="9" t="s">
        <v>2943</v>
      </c>
      <c r="K124" t="s">
        <v>9213</v>
      </c>
      <c r="L124" t="s">
        <v>9214</v>
      </c>
      <c r="M124" s="3" t="str">
        <f>HYPERLINK(склад2въезд131920212223789[[#This Row],[RelativePath]])</f>
        <v>13 Склад хол\K07156189_23_20260114T153042Z.jpg</v>
      </c>
    </row>
    <row r="125" spans="1:13" x14ac:dyDescent="0.25">
      <c r="A125" s="2" t="s">
        <v>15</v>
      </c>
      <c r="B125" s="4">
        <v>46036</v>
      </c>
      <c r="C125" s="5">
        <v>0.68539351851851849</v>
      </c>
      <c r="D125" s="9" t="s">
        <v>4</v>
      </c>
      <c r="E125" s="9" t="s">
        <v>7947</v>
      </c>
      <c r="F125" s="9"/>
      <c r="H125" s="9"/>
      <c r="I125" s="9" t="s">
        <v>9215</v>
      </c>
      <c r="J125" s="9" t="s">
        <v>2943</v>
      </c>
      <c r="K125" t="s">
        <v>9216</v>
      </c>
      <c r="L125" t="s">
        <v>9217</v>
      </c>
      <c r="M125" s="3" t="str">
        <f>HYPERLINK(склад2въезд131920212223789[[#This Row],[RelativePath]])</f>
        <v>13 Склад хол\K07156189_23_20260114T162658Z.jpg</v>
      </c>
    </row>
    <row r="126" spans="1:13" x14ac:dyDescent="0.25">
      <c r="A126" s="2" t="s">
        <v>15</v>
      </c>
      <c r="B126" s="4">
        <v>46036</v>
      </c>
      <c r="C126" s="5">
        <v>0.71561342592592592</v>
      </c>
      <c r="D126" s="9" t="s">
        <v>4</v>
      </c>
      <c r="E126" s="9" t="s">
        <v>8</v>
      </c>
      <c r="F126" s="9"/>
      <c r="H126" s="9"/>
      <c r="I126" s="9" t="s">
        <v>9218</v>
      </c>
      <c r="J126" s="9" t="s">
        <v>2943</v>
      </c>
      <c r="K126" t="s">
        <v>9219</v>
      </c>
      <c r="L126" t="s">
        <v>9220</v>
      </c>
      <c r="M126" s="3" t="str">
        <f>HYPERLINK(склад2въезд131920212223789[[#This Row],[RelativePath]])</f>
        <v>13 Склад хол\K07156189_23_20260114T171029Z.jpg</v>
      </c>
    </row>
    <row r="127" spans="1:13" x14ac:dyDescent="0.25">
      <c r="A127" s="2" t="s">
        <v>16</v>
      </c>
      <c r="B127" s="4">
        <v>46037</v>
      </c>
      <c r="C127" s="5">
        <v>0.61901620370370369</v>
      </c>
      <c r="D127" s="9" t="s">
        <v>4</v>
      </c>
      <c r="E127" s="9" t="s">
        <v>8</v>
      </c>
      <c r="F127" s="9"/>
      <c r="H127" s="9"/>
      <c r="I127" s="9" t="s">
        <v>9431</v>
      </c>
      <c r="J127" s="9" t="s">
        <v>2943</v>
      </c>
      <c r="K127" t="s">
        <v>9432</v>
      </c>
      <c r="L127" t="s">
        <v>9433</v>
      </c>
      <c r="M127" s="3" t="str">
        <f>HYPERLINK(склад2въезд131920212223789[[#This Row],[RelativePath]])</f>
        <v>13 Склад хол\K07156189_23_20260115T145123Z.jpg</v>
      </c>
    </row>
    <row r="128" spans="1:13" x14ac:dyDescent="0.25">
      <c r="A128" s="2" t="s">
        <v>16</v>
      </c>
      <c r="B128" s="4">
        <v>46037</v>
      </c>
      <c r="C128" s="5">
        <v>0.6963773148148148</v>
      </c>
      <c r="D128" s="9" t="s">
        <v>4</v>
      </c>
      <c r="E128" s="9" t="s">
        <v>8</v>
      </c>
      <c r="F128" s="9"/>
      <c r="H128" s="9"/>
      <c r="I128" s="9" t="s">
        <v>9434</v>
      </c>
      <c r="J128" s="9" t="s">
        <v>2943</v>
      </c>
      <c r="K128" t="s">
        <v>9435</v>
      </c>
      <c r="L128" t="s">
        <v>9436</v>
      </c>
      <c r="M128" s="3" t="str">
        <f>HYPERLINK(склад2въезд131920212223789[[#This Row],[RelativePath]])</f>
        <v>13 Склад хол\K07156189_23_20260115T164247Z.jpg</v>
      </c>
    </row>
    <row r="129" spans="1:13" x14ac:dyDescent="0.25">
      <c r="A129" s="2" t="s">
        <v>17</v>
      </c>
      <c r="B129" s="4">
        <v>46038</v>
      </c>
      <c r="C129" s="5">
        <v>0.45244212962962965</v>
      </c>
      <c r="D129" s="9" t="s">
        <v>4</v>
      </c>
      <c r="E129" s="9" t="s">
        <v>9098</v>
      </c>
      <c r="F129" s="9"/>
      <c r="H129" s="9"/>
      <c r="I129" s="9" t="s">
        <v>9437</v>
      </c>
      <c r="J129" s="9" t="s">
        <v>2943</v>
      </c>
      <c r="K129" t="s">
        <v>9438</v>
      </c>
      <c r="L129" t="s">
        <v>9439</v>
      </c>
      <c r="M129" s="3" t="str">
        <f>HYPERLINK(склад2въезд131920212223789[[#This Row],[RelativePath]])</f>
        <v>13 Склад хол\K07156189_23_20260116T105131Z.jpg</v>
      </c>
    </row>
    <row r="130" spans="1:13" x14ac:dyDescent="0.25">
      <c r="A130" s="2" t="s">
        <v>17</v>
      </c>
      <c r="B130" s="4">
        <v>46038</v>
      </c>
      <c r="C130" s="5">
        <v>0.46002314814814815</v>
      </c>
      <c r="D130" s="9" t="s">
        <v>4</v>
      </c>
      <c r="E130" s="9" t="s">
        <v>9098</v>
      </c>
      <c r="F130" s="9"/>
      <c r="H130" s="9"/>
      <c r="I130" s="9" t="s">
        <v>9440</v>
      </c>
      <c r="J130" s="9" t="s">
        <v>2943</v>
      </c>
      <c r="K130" t="s">
        <v>9441</v>
      </c>
      <c r="L130" t="s">
        <v>9442</v>
      </c>
      <c r="M130" s="3" t="str">
        <f>HYPERLINK(склад2въезд131920212223789[[#This Row],[RelativePath]])</f>
        <v>13 Склад хол\K07156189_23_20260116T110226Z.jpg</v>
      </c>
    </row>
    <row r="131" spans="1:13" x14ac:dyDescent="0.25">
      <c r="A131" s="2" t="s">
        <v>17</v>
      </c>
      <c r="B131" s="4">
        <v>46038</v>
      </c>
      <c r="C131" s="5">
        <v>0.52314814814814814</v>
      </c>
      <c r="D131" s="9" t="s">
        <v>4</v>
      </c>
      <c r="E131" s="9" t="s">
        <v>9098</v>
      </c>
      <c r="F131" s="9"/>
      <c r="H131" s="9"/>
      <c r="I131" s="9" t="s">
        <v>9443</v>
      </c>
      <c r="J131" s="9" t="s">
        <v>2943</v>
      </c>
      <c r="K131" t="s">
        <v>9444</v>
      </c>
      <c r="L131" t="s">
        <v>9445</v>
      </c>
      <c r="M131" s="3" t="str">
        <f>HYPERLINK(склад2въезд131920212223789[[#This Row],[RelativePath]])</f>
        <v>13 Склад хол\K07156189_23_20260116T123320Z.jpg</v>
      </c>
    </row>
    <row r="132" spans="1:13" x14ac:dyDescent="0.25">
      <c r="A132" s="2" t="s">
        <v>17</v>
      </c>
      <c r="B132" s="4">
        <v>46038</v>
      </c>
      <c r="C132" s="5">
        <v>0.52364583333333337</v>
      </c>
      <c r="D132" s="9" t="s">
        <v>4</v>
      </c>
      <c r="E132" s="9" t="s">
        <v>9098</v>
      </c>
      <c r="F132" s="9"/>
      <c r="H132" s="9"/>
      <c r="I132" s="9" t="s">
        <v>9446</v>
      </c>
      <c r="J132" s="9" t="s">
        <v>2943</v>
      </c>
      <c r="K132" t="s">
        <v>9447</v>
      </c>
      <c r="L132" t="s">
        <v>9448</v>
      </c>
      <c r="M132" s="3" t="str">
        <f>HYPERLINK(склад2въезд131920212223789[[#This Row],[RelativePath]])</f>
        <v>13 Склад хол\K07156189_23_20260116T123403Z.jpg</v>
      </c>
    </row>
    <row r="133" spans="1:13" x14ac:dyDescent="0.25">
      <c r="A133" s="2" t="s">
        <v>17</v>
      </c>
      <c r="B133" s="4">
        <v>46038</v>
      </c>
      <c r="C133" s="5">
        <v>0.70064814814814813</v>
      </c>
      <c r="D133" s="9" t="s">
        <v>4</v>
      </c>
      <c r="E133" s="9" t="s">
        <v>8</v>
      </c>
      <c r="F133" s="9"/>
      <c r="H133" s="9"/>
      <c r="I133" s="9" t="s">
        <v>9449</v>
      </c>
      <c r="J133" s="9" t="s">
        <v>2943</v>
      </c>
      <c r="K133" t="s">
        <v>9450</v>
      </c>
      <c r="L133" t="s">
        <v>9451</v>
      </c>
      <c r="M133" s="3" t="str">
        <f>HYPERLINK(склад2въезд131920212223789[[#This Row],[RelativePath]])</f>
        <v>13 Склад хол\K07156189_23_20260116T164856Z.jpg</v>
      </c>
    </row>
    <row r="134" spans="1:13" x14ac:dyDescent="0.25">
      <c r="A134" s="2" t="s">
        <v>18</v>
      </c>
      <c r="B134" s="4">
        <v>46039</v>
      </c>
      <c r="C134" s="5">
        <v>0.59474537037037034</v>
      </c>
      <c r="D134" s="9" t="s">
        <v>1967</v>
      </c>
      <c r="E134" s="9" t="s">
        <v>8</v>
      </c>
      <c r="F134" s="9"/>
      <c r="H134" s="9"/>
      <c r="I134" s="9" t="s">
        <v>9557</v>
      </c>
      <c r="J134" s="9" t="s">
        <v>2943</v>
      </c>
      <c r="K134" t="s">
        <v>9558</v>
      </c>
      <c r="L134" t="s">
        <v>9559</v>
      </c>
      <c r="M134" s="3" t="str">
        <f>HYPERLINK(склад2въезд131920212223789[[#This Row],[RelativePath]])</f>
        <v>13 Склад хол\K07156189_23_20260117T141626Z.jpg</v>
      </c>
    </row>
    <row r="135" spans="1:13" x14ac:dyDescent="0.25">
      <c r="A135" s="2" t="s">
        <v>22</v>
      </c>
      <c r="B135" s="4">
        <v>46040</v>
      </c>
      <c r="C135" s="5">
        <v>0.71983796296296299</v>
      </c>
      <c r="D135" s="9" t="s">
        <v>1967</v>
      </c>
      <c r="E135" s="9" t="s">
        <v>8</v>
      </c>
      <c r="F135" s="9"/>
      <c r="H135" s="9"/>
      <c r="I135" s="9" t="s">
        <v>9560</v>
      </c>
      <c r="J135" s="9" t="s">
        <v>2943</v>
      </c>
      <c r="K135" t="s">
        <v>9561</v>
      </c>
      <c r="L135" t="s">
        <v>9562</v>
      </c>
      <c r="M135" s="3" t="str">
        <f>HYPERLINK(склад2въезд131920212223789[[#This Row],[RelativePath]])</f>
        <v>13 Склад хол\K07156189_23_20260118T171634Z.jpg</v>
      </c>
    </row>
    <row r="136" spans="1:13" x14ac:dyDescent="0.25">
      <c r="A136" s="2" t="s">
        <v>13</v>
      </c>
      <c r="B136" s="4">
        <v>46041</v>
      </c>
      <c r="C136" s="5">
        <v>0.69590277777777776</v>
      </c>
      <c r="D136" s="9" t="s">
        <v>1967</v>
      </c>
      <c r="E136" s="9" t="s">
        <v>8</v>
      </c>
      <c r="F136" s="9"/>
      <c r="H136" s="9"/>
      <c r="I136" s="9" t="s">
        <v>9748</v>
      </c>
      <c r="J136" s="9" t="s">
        <v>2943</v>
      </c>
      <c r="K136" t="s">
        <v>9749</v>
      </c>
      <c r="L136" t="s">
        <v>9750</v>
      </c>
      <c r="M136" s="3" t="str">
        <f>HYPERLINK(склад2въезд131920212223789[[#This Row],[RelativePath]])</f>
        <v>13 Склад хол\K07156189_23_20260119T164206Z.jpg</v>
      </c>
    </row>
    <row r="137" spans="1:13" x14ac:dyDescent="0.25">
      <c r="A137" s="2" t="s">
        <v>14</v>
      </c>
      <c r="B137" s="4">
        <v>46042</v>
      </c>
      <c r="C137" s="5">
        <v>0.42664351851851851</v>
      </c>
      <c r="D137" s="9" t="s">
        <v>1967</v>
      </c>
      <c r="E137" s="9" t="s">
        <v>8</v>
      </c>
      <c r="F137" s="9"/>
      <c r="H137" s="9"/>
      <c r="I137" s="9" t="s">
        <v>9751</v>
      </c>
      <c r="J137" s="9" t="s">
        <v>2943</v>
      </c>
      <c r="K137" t="s">
        <v>9752</v>
      </c>
      <c r="L137" t="s">
        <v>9753</v>
      </c>
      <c r="M137" s="3" t="str">
        <f>HYPERLINK(склад2въезд131920212223789[[#This Row],[RelativePath]])</f>
        <v>13 Склад хол\K07156189_23_20260120T101422Z.jpg</v>
      </c>
    </row>
    <row r="138" spans="1:13" x14ac:dyDescent="0.25">
      <c r="A138" s="2" t="s">
        <v>15</v>
      </c>
      <c r="B138" s="4">
        <v>46043</v>
      </c>
      <c r="C138" s="5">
        <v>0.69363425925925926</v>
      </c>
      <c r="D138" s="9" t="s">
        <v>1967</v>
      </c>
      <c r="E138" s="9" t="s">
        <v>8</v>
      </c>
      <c r="F138" s="9"/>
      <c r="H138" s="9"/>
      <c r="I138" s="9" t="s">
        <v>9988</v>
      </c>
      <c r="J138" s="9" t="s">
        <v>2943</v>
      </c>
      <c r="K138" t="s">
        <v>9989</v>
      </c>
      <c r="L138" t="s">
        <v>9990</v>
      </c>
      <c r="M138" s="3" t="str">
        <f>HYPERLINK(склад2въезд131920212223789[[#This Row],[RelativePath]])</f>
        <v>13 Склад хол\K07156189_23_20260121T163850Z.jpg</v>
      </c>
    </row>
    <row r="139" spans="1:13" x14ac:dyDescent="0.25">
      <c r="A139" s="2" t="s">
        <v>16</v>
      </c>
      <c r="B139" s="4">
        <v>46044</v>
      </c>
      <c r="C139" s="5">
        <v>0.50263888888888886</v>
      </c>
      <c r="D139" s="9" t="s">
        <v>7085</v>
      </c>
      <c r="E139" s="9" t="s">
        <v>5411</v>
      </c>
      <c r="F139" s="9" t="s">
        <v>9088</v>
      </c>
      <c r="H139" s="9"/>
      <c r="I139" s="9" t="s">
        <v>9991</v>
      </c>
      <c r="J139" s="9" t="s">
        <v>2943</v>
      </c>
      <c r="K139" t="s">
        <v>9992</v>
      </c>
      <c r="L139" t="s">
        <v>9993</v>
      </c>
      <c r="M139" s="3" t="str">
        <f>HYPERLINK(склад2въезд131920212223789[[#This Row],[RelativePath]])</f>
        <v>13 Склад хол\K07156189_23_20260122T120348Z.jpg</v>
      </c>
    </row>
    <row r="140" spans="1:13" x14ac:dyDescent="0.25">
      <c r="A140" s="2" t="s">
        <v>16</v>
      </c>
      <c r="B140" s="4">
        <v>46044</v>
      </c>
      <c r="C140" s="5">
        <v>0.71048611111111115</v>
      </c>
      <c r="D140" s="9" t="s">
        <v>4</v>
      </c>
      <c r="E140" s="9" t="s">
        <v>8</v>
      </c>
      <c r="F140" s="9"/>
      <c r="H140" s="9"/>
      <c r="I140" s="9" t="s">
        <v>9994</v>
      </c>
      <c r="J140" s="9" t="s">
        <v>2943</v>
      </c>
      <c r="K140" t="s">
        <v>9995</v>
      </c>
      <c r="L140" t="s">
        <v>9996</v>
      </c>
      <c r="M140" s="3" t="str">
        <f>HYPERLINK(склад2въезд131920212223789[[#This Row],[RelativePath]])</f>
        <v>13 Склад хол\K07156189_23_20260122T170306Z.jpg</v>
      </c>
    </row>
    <row r="141" spans="1:13" x14ac:dyDescent="0.25">
      <c r="A141" s="2" t="s">
        <v>17</v>
      </c>
      <c r="B141" s="4">
        <v>46045</v>
      </c>
      <c r="C141" s="5">
        <v>0.48048611111111111</v>
      </c>
      <c r="D141" s="9" t="s">
        <v>4</v>
      </c>
      <c r="E141" s="9" t="s">
        <v>8</v>
      </c>
      <c r="F141" s="9"/>
      <c r="H141" s="9"/>
      <c r="I141" s="9" t="s">
        <v>10307</v>
      </c>
      <c r="J141" s="9" t="s">
        <v>2943</v>
      </c>
      <c r="K141" t="s">
        <v>10308</v>
      </c>
      <c r="L141" t="s">
        <v>10309</v>
      </c>
      <c r="M141" s="3" t="str">
        <f>HYPERLINK(склад2въезд131920212223789[[#This Row],[RelativePath]])</f>
        <v>13 Склад хол\K07156189_23_20260123T113154Z.jpg</v>
      </c>
    </row>
    <row r="142" spans="1:13" x14ac:dyDescent="0.25">
      <c r="A142" s="2" t="s">
        <v>17</v>
      </c>
      <c r="B142" s="4">
        <v>46045</v>
      </c>
      <c r="C142" s="5">
        <v>0.52121527777777776</v>
      </c>
      <c r="D142" s="9" t="s">
        <v>4</v>
      </c>
      <c r="E142" s="9" t="s">
        <v>8</v>
      </c>
      <c r="F142" s="9"/>
      <c r="H142" s="9" t="s">
        <v>2891</v>
      </c>
      <c r="I142" s="9" t="s">
        <v>10310</v>
      </c>
      <c r="J142" s="9" t="s">
        <v>2943</v>
      </c>
      <c r="K142" t="s">
        <v>10311</v>
      </c>
      <c r="L142" t="s">
        <v>10312</v>
      </c>
      <c r="M142" s="3" t="str">
        <f>HYPERLINK(склад2въезд131920212223789[[#This Row],[RelativePath]])</f>
        <v>13 Склад хол\K07156189_23_20260123T123033Z.jpg</v>
      </c>
    </row>
    <row r="143" spans="1:13" x14ac:dyDescent="0.25">
      <c r="A143" s="2" t="s">
        <v>17</v>
      </c>
      <c r="B143" s="4">
        <v>46045</v>
      </c>
      <c r="C143" s="5">
        <v>0.58937499999999998</v>
      </c>
      <c r="D143" s="9" t="s">
        <v>4</v>
      </c>
      <c r="E143" s="9" t="s">
        <v>8</v>
      </c>
      <c r="F143" s="9"/>
      <c r="H143" s="9" t="s">
        <v>2891</v>
      </c>
      <c r="I143" s="9" t="s">
        <v>10313</v>
      </c>
      <c r="J143" s="9" t="s">
        <v>2943</v>
      </c>
      <c r="K143" t="s">
        <v>10314</v>
      </c>
      <c r="L143" t="s">
        <v>10315</v>
      </c>
      <c r="M143" s="3" t="str">
        <f>HYPERLINK(склад2въезд131920212223789[[#This Row],[RelativePath]])</f>
        <v>13 Склад хол\K07156189_23_20260123T140842Z.jpg</v>
      </c>
    </row>
    <row r="144" spans="1:13" x14ac:dyDescent="0.25">
      <c r="A144" s="2" t="s">
        <v>18</v>
      </c>
      <c r="B144" s="4">
        <v>46046</v>
      </c>
      <c r="C144" s="5">
        <v>0.59510416666666666</v>
      </c>
      <c r="D144" s="9" t="s">
        <v>1967</v>
      </c>
      <c r="E144" s="9" t="s">
        <v>8</v>
      </c>
      <c r="F144" s="9"/>
      <c r="H144" s="9"/>
      <c r="I144" s="9" t="s">
        <v>10359</v>
      </c>
      <c r="J144" s="9" t="s">
        <v>2943</v>
      </c>
      <c r="K144" t="s">
        <v>10360</v>
      </c>
      <c r="L144" t="s">
        <v>10361</v>
      </c>
      <c r="M144" s="3" t="str">
        <f>HYPERLINK(склад2въезд131920212223789[[#This Row],[RelativePath]])</f>
        <v>13 Склад хол\K07156189_23_20260124T141657Z.jpg</v>
      </c>
    </row>
    <row r="145" spans="1:13" x14ac:dyDescent="0.25">
      <c r="A145" s="2" t="s">
        <v>22</v>
      </c>
      <c r="B145" s="4">
        <v>46047</v>
      </c>
      <c r="C145" s="5">
        <v>0.66177083333333331</v>
      </c>
      <c r="D145" s="9" t="s">
        <v>1967</v>
      </c>
      <c r="E145" s="9" t="s">
        <v>8</v>
      </c>
      <c r="F145" s="9"/>
      <c r="H145" s="9"/>
      <c r="I145" s="9" t="s">
        <v>10362</v>
      </c>
      <c r="J145" s="9" t="s">
        <v>2943</v>
      </c>
      <c r="K145" t="s">
        <v>10363</v>
      </c>
      <c r="L145" t="s">
        <v>10364</v>
      </c>
      <c r="M145" s="3" t="str">
        <f>HYPERLINK(склад2въезд131920212223789[[#This Row],[RelativePath]])</f>
        <v>13 Склад хол\K07156189_23_20260125T155257Z.jpg</v>
      </c>
    </row>
    <row r="146" spans="1:13" x14ac:dyDescent="0.25">
      <c r="A146" s="2" t="s">
        <v>13</v>
      </c>
      <c r="B146" s="4">
        <v>46048</v>
      </c>
      <c r="C146" s="5">
        <v>0.70393518518518516</v>
      </c>
      <c r="D146" s="9" t="s">
        <v>1967</v>
      </c>
      <c r="E146" s="9" t="s">
        <v>8</v>
      </c>
      <c r="F146" s="9"/>
      <c r="H146" s="9"/>
      <c r="I146" s="9" t="s">
        <v>10494</v>
      </c>
      <c r="J146" s="9" t="s">
        <v>2943</v>
      </c>
      <c r="K146" t="s">
        <v>10495</v>
      </c>
      <c r="L146" t="s">
        <v>10496</v>
      </c>
      <c r="M146" s="3" t="str">
        <f>HYPERLINK(склад2въезд131920212223789[[#This Row],[RelativePath]])</f>
        <v>13 Склад хол\K07156189_23_20260126T165340Z.jpg</v>
      </c>
    </row>
    <row r="147" spans="1:13" x14ac:dyDescent="0.25">
      <c r="A147" s="2" t="s">
        <v>14</v>
      </c>
      <c r="B147" s="4">
        <v>46049</v>
      </c>
      <c r="C147" s="5">
        <v>0.59751157407407407</v>
      </c>
      <c r="D147" s="9" t="s">
        <v>1967</v>
      </c>
      <c r="E147" s="9" t="s">
        <v>8</v>
      </c>
      <c r="F147" s="9"/>
      <c r="H147" s="9"/>
      <c r="I147" s="9" t="s">
        <v>10497</v>
      </c>
      <c r="J147" s="9" t="s">
        <v>2943</v>
      </c>
      <c r="K147" t="s">
        <v>10498</v>
      </c>
      <c r="L147" t="s">
        <v>10499</v>
      </c>
      <c r="M147" s="3" t="str">
        <f>HYPERLINK(склад2въезд131920212223789[[#This Row],[RelativePath]])</f>
        <v>13 Склад хол\K07156189_23_20260127T142025Z.jpg</v>
      </c>
    </row>
    <row r="148" spans="1:13" x14ac:dyDescent="0.25">
      <c r="A148" s="2" t="s">
        <v>15</v>
      </c>
      <c r="B148" s="4">
        <v>46050</v>
      </c>
      <c r="C148" s="5">
        <v>0.41715277777777776</v>
      </c>
      <c r="D148" s="9" t="s">
        <v>1967</v>
      </c>
      <c r="E148" s="9" t="s">
        <v>8</v>
      </c>
      <c r="F148" s="9"/>
      <c r="H148" s="9"/>
      <c r="I148" s="9" t="s">
        <v>10740</v>
      </c>
      <c r="J148" s="9" t="s">
        <v>2943</v>
      </c>
      <c r="K148" t="s">
        <v>10741</v>
      </c>
      <c r="L148" t="s">
        <v>10742</v>
      </c>
      <c r="M148" s="3" t="str">
        <f>HYPERLINK(склад2въезд131920212223789[[#This Row],[RelativePath]])</f>
        <v>13 Склад хол\K07156189_23_20260128T100042Z.jpg</v>
      </c>
    </row>
    <row r="149" spans="1:13" x14ac:dyDescent="0.25">
      <c r="A149" s="2" t="s">
        <v>16</v>
      </c>
      <c r="B149" s="4">
        <v>46051</v>
      </c>
      <c r="C149" s="5">
        <v>0.71858796296296301</v>
      </c>
      <c r="D149" s="9" t="s">
        <v>1967</v>
      </c>
      <c r="E149" s="9" t="s">
        <v>8</v>
      </c>
      <c r="F149" s="9"/>
      <c r="H149" s="9"/>
      <c r="I149" s="9" t="s">
        <v>10743</v>
      </c>
      <c r="J149" s="9" t="s">
        <v>2943</v>
      </c>
      <c r="K149" t="s">
        <v>10744</v>
      </c>
      <c r="L149" t="s">
        <v>10745</v>
      </c>
      <c r="M149" s="3" t="str">
        <f>HYPERLINK(склад2въезд131920212223789[[#This Row],[RelativePath]])</f>
        <v>13 Склад хол\K07156189_23_20260129T171446Z.jpg</v>
      </c>
    </row>
    <row r="150" spans="1:13" x14ac:dyDescent="0.25">
      <c r="A150" s="2" t="s">
        <v>17</v>
      </c>
      <c r="B150" s="4">
        <v>46052</v>
      </c>
      <c r="C150" s="5">
        <v>0.67129629629629628</v>
      </c>
      <c r="D150" s="9" t="s">
        <v>1967</v>
      </c>
      <c r="E150" s="9" t="s">
        <v>8</v>
      </c>
      <c r="F150" s="9"/>
      <c r="H150" s="9"/>
      <c r="I150" s="9" t="s">
        <v>10867</v>
      </c>
      <c r="J150" s="9" t="s">
        <v>2943</v>
      </c>
      <c r="K150" t="s">
        <v>10868</v>
      </c>
      <c r="L150" t="s">
        <v>10869</v>
      </c>
      <c r="M150" s="3" t="str">
        <f>HYPERLINK(склад2въезд131920212223789[[#This Row],[RelativePath]])</f>
        <v>13 Склад хол\K07156189_23_20260130T160640Z.jpg</v>
      </c>
    </row>
    <row r="151" spans="1:13" x14ac:dyDescent="0.25">
      <c r="A151" s="2" t="s">
        <v>18</v>
      </c>
      <c r="B151" s="4">
        <v>46053</v>
      </c>
      <c r="C151" s="5">
        <v>0.89428240740740739</v>
      </c>
      <c r="D151" s="9" t="s">
        <v>1977</v>
      </c>
      <c r="E151" s="9"/>
      <c r="F151" s="9"/>
      <c r="H151" s="9"/>
      <c r="I151" s="9" t="s">
        <v>10921</v>
      </c>
      <c r="J151" s="9" t="s">
        <v>2943</v>
      </c>
      <c r="K151" t="s">
        <v>10922</v>
      </c>
      <c r="L151" t="s">
        <v>10923</v>
      </c>
      <c r="M151" s="3" t="str">
        <f>HYPERLINK(склад2въезд131920212223789[[#This Row],[RelativePath]])</f>
        <v>13 Склад хол\K07156189_23_20260131T212746Z.jpg</v>
      </c>
    </row>
    <row r="152" spans="1:13" x14ac:dyDescent="0.25">
      <c r="A152" s="2" t="s">
        <v>22</v>
      </c>
      <c r="B152" s="4">
        <v>46054</v>
      </c>
      <c r="C152" s="5">
        <v>0.61293981481481485</v>
      </c>
      <c r="D152" s="9" t="s">
        <v>1967</v>
      </c>
      <c r="E152" s="9" t="s">
        <v>8</v>
      </c>
      <c r="F152" s="9"/>
      <c r="H152" s="9"/>
      <c r="I152" s="9" t="s">
        <v>10924</v>
      </c>
      <c r="J152" s="9" t="s">
        <v>2943</v>
      </c>
      <c r="K152" t="s">
        <v>10925</v>
      </c>
      <c r="L152" t="s">
        <v>10926</v>
      </c>
      <c r="M152" s="3" t="str">
        <f>HYPERLINK(склад2въезд131920212223789[[#This Row],[RelativePath]])</f>
        <v>13 Склад хол\K07156189_23_20260201T144238Z.jpg</v>
      </c>
    </row>
    <row r="153" spans="1:13" x14ac:dyDescent="0.25">
      <c r="A153" s="2" t="s">
        <v>13</v>
      </c>
      <c r="B153" s="4">
        <v>46055</v>
      </c>
      <c r="C153" s="5">
        <v>0.62550925925925926</v>
      </c>
      <c r="D153" s="9" t="s">
        <v>1967</v>
      </c>
      <c r="E153" s="9" t="s">
        <v>8</v>
      </c>
      <c r="F153" s="9"/>
      <c r="H153" s="9"/>
      <c r="I153" s="9" t="s">
        <v>11252</v>
      </c>
      <c r="J153" s="9" t="s">
        <v>2943</v>
      </c>
      <c r="K153" t="s">
        <v>11253</v>
      </c>
      <c r="L153" t="s">
        <v>11254</v>
      </c>
      <c r="M153" s="3" t="str">
        <f>HYPERLINK(склад2въезд131920212223789[[#This Row],[RelativePath]])</f>
        <v>13 Склад хол\K07156189_23_20260202T150044Z.jpg</v>
      </c>
    </row>
    <row r="154" spans="1:13" x14ac:dyDescent="0.25">
      <c r="A154" s="2" t="s">
        <v>14</v>
      </c>
      <c r="B154" s="4">
        <v>46056</v>
      </c>
      <c r="C154" s="5">
        <v>0.50785879629629627</v>
      </c>
      <c r="D154" s="9" t="s">
        <v>4</v>
      </c>
      <c r="E154" s="9" t="s">
        <v>8</v>
      </c>
      <c r="F154" s="9"/>
      <c r="H154" s="9"/>
      <c r="I154" s="9" t="s">
        <v>11255</v>
      </c>
      <c r="J154" s="9" t="s">
        <v>2943</v>
      </c>
      <c r="K154" t="s">
        <v>11256</v>
      </c>
      <c r="L154" t="s">
        <v>11257</v>
      </c>
      <c r="M154" s="3" t="str">
        <f>HYPERLINK(склад2въезд131920212223789[[#This Row],[RelativePath]])</f>
        <v>13 Склад хол\K07156189_23_20260203T121119Z.jpg</v>
      </c>
    </row>
    <row r="155" spans="1:13" x14ac:dyDescent="0.25">
      <c r="A155" s="2" t="s">
        <v>14</v>
      </c>
      <c r="B155" s="4">
        <v>46056</v>
      </c>
      <c r="C155" s="5">
        <v>0.61016203703703709</v>
      </c>
      <c r="D155" s="9" t="s">
        <v>159</v>
      </c>
      <c r="E155" s="9" t="s">
        <v>11285</v>
      </c>
      <c r="F155" s="9"/>
      <c r="H155" s="9"/>
      <c r="I155" s="9" t="s">
        <v>11258</v>
      </c>
      <c r="J155" s="9" t="s">
        <v>2943</v>
      </c>
      <c r="K155" t="s">
        <v>11259</v>
      </c>
      <c r="L155" t="s">
        <v>11260</v>
      </c>
      <c r="M155" s="3" t="str">
        <f>HYPERLINK(склад2въезд131920212223789[[#This Row],[RelativePath]])</f>
        <v>13 Склад хол\K07156189_23_20260203T143838Z.jpg</v>
      </c>
    </row>
    <row r="156" spans="1:13" x14ac:dyDescent="0.25">
      <c r="A156" s="2" t="s">
        <v>14</v>
      </c>
      <c r="B156" s="4">
        <v>46056</v>
      </c>
      <c r="C156" s="5">
        <v>0.6564699074074074</v>
      </c>
      <c r="D156" s="9" t="s">
        <v>4</v>
      </c>
      <c r="E156" s="9" t="s">
        <v>8</v>
      </c>
      <c r="F156" s="9"/>
      <c r="H156" s="9"/>
      <c r="I156" s="9" t="s">
        <v>11261</v>
      </c>
      <c r="J156" s="9" t="s">
        <v>2943</v>
      </c>
      <c r="K156" t="s">
        <v>11262</v>
      </c>
      <c r="L156" t="s">
        <v>11263</v>
      </c>
      <c r="M156" s="3" t="str">
        <f>HYPERLINK(склад2въезд131920212223789[[#This Row],[RelativePath]])</f>
        <v>13 Склад хол\K07156189_23_20260203T154519Z.jpg</v>
      </c>
    </row>
    <row r="157" spans="1:13" x14ac:dyDescent="0.25">
      <c r="A157" s="2" t="s">
        <v>14</v>
      </c>
      <c r="B157" s="4">
        <v>46056</v>
      </c>
      <c r="C157" s="5">
        <v>0.75703703703703706</v>
      </c>
      <c r="D157" s="9" t="s">
        <v>4</v>
      </c>
      <c r="E157" s="9" t="s">
        <v>8</v>
      </c>
      <c r="F157" s="9"/>
      <c r="H157" s="9"/>
      <c r="I157" s="9" t="s">
        <v>11264</v>
      </c>
      <c r="J157" s="9" t="s">
        <v>2943</v>
      </c>
      <c r="K157" t="s">
        <v>11265</v>
      </c>
      <c r="L157" t="s">
        <v>11266</v>
      </c>
      <c r="M157" s="3" t="str">
        <f>HYPERLINK(склад2въезд131920212223789[[#This Row],[RelativePath]])</f>
        <v>13 Склад хол\K07156189_23_20260203T181008Z.jpg</v>
      </c>
    </row>
    <row r="158" spans="1:13" x14ac:dyDescent="0.25">
      <c r="A158" s="2" t="s">
        <v>14</v>
      </c>
      <c r="B158" s="4">
        <v>46056</v>
      </c>
      <c r="C158" s="5">
        <v>0.81178240740740737</v>
      </c>
      <c r="D158" s="9" t="s">
        <v>11286</v>
      </c>
      <c r="E158" s="9"/>
      <c r="F158" s="9"/>
      <c r="H158" s="9"/>
      <c r="I158" s="9" t="s">
        <v>11267</v>
      </c>
      <c r="J158" s="9" t="s">
        <v>2943</v>
      </c>
      <c r="K158" t="s">
        <v>11268</v>
      </c>
      <c r="L158" t="s">
        <v>11269</v>
      </c>
      <c r="M158" s="3" t="str">
        <f>HYPERLINK(склад2въезд131920212223789[[#This Row],[RelativePath]])</f>
        <v>13 Склад хол\K07156189_23_20260203T192858Z.jpg</v>
      </c>
    </row>
    <row r="159" spans="1:13" x14ac:dyDescent="0.25">
      <c r="A159" s="2" t="s">
        <v>14</v>
      </c>
      <c r="B159" s="4">
        <v>46056</v>
      </c>
      <c r="C159" s="5">
        <v>0.82072916666666662</v>
      </c>
      <c r="D159" s="9" t="s">
        <v>4</v>
      </c>
      <c r="E159" s="9" t="s">
        <v>11287</v>
      </c>
      <c r="F159" s="9"/>
      <c r="H159" s="9"/>
      <c r="I159" s="9" t="s">
        <v>11270</v>
      </c>
      <c r="J159" s="9" t="s">
        <v>2943</v>
      </c>
      <c r="K159" t="s">
        <v>11271</v>
      </c>
      <c r="L159" t="s">
        <v>11272</v>
      </c>
      <c r="M159" s="3" t="str">
        <f>HYPERLINK(склад2въезд131920212223789[[#This Row],[RelativePath]])</f>
        <v>13 Склад хол\K07156189_23_20260203T194151Z.jpg</v>
      </c>
    </row>
    <row r="160" spans="1:13" x14ac:dyDescent="0.25">
      <c r="A160" s="2" t="s">
        <v>15</v>
      </c>
      <c r="B160" s="4">
        <v>46057</v>
      </c>
      <c r="C160" s="5">
        <v>0.60127314814814814</v>
      </c>
      <c r="D160" s="9" t="s">
        <v>4</v>
      </c>
      <c r="E160" s="9" t="s">
        <v>11285</v>
      </c>
      <c r="F160" s="9"/>
      <c r="H160" s="9"/>
      <c r="I160" s="9" t="s">
        <v>11423</v>
      </c>
      <c r="J160" s="9" t="s">
        <v>2943</v>
      </c>
      <c r="K160" t="s">
        <v>11424</v>
      </c>
      <c r="L160" t="s">
        <v>11425</v>
      </c>
      <c r="M160" s="3" t="str">
        <f>HYPERLINK(склад2въезд131920212223789[[#This Row],[RelativePath]])</f>
        <v>13 Склад хол\K07156189_23_20260204T142550Z.jpg</v>
      </c>
    </row>
    <row r="161" spans="1:13" x14ac:dyDescent="0.25">
      <c r="A161" s="2" t="s">
        <v>16</v>
      </c>
      <c r="B161" s="4">
        <v>46058</v>
      </c>
      <c r="C161" s="5">
        <v>0.60354166666666664</v>
      </c>
      <c r="D161" s="9" t="s">
        <v>4</v>
      </c>
      <c r="E161" s="9" t="s">
        <v>11511</v>
      </c>
      <c r="F161" s="9"/>
      <c r="H161" s="9"/>
      <c r="I161" s="9" t="s">
        <v>11426</v>
      </c>
      <c r="J161" s="9" t="s">
        <v>2943</v>
      </c>
      <c r="K161" t="s">
        <v>11427</v>
      </c>
      <c r="L161" t="s">
        <v>11428</v>
      </c>
      <c r="M161" s="3" t="str">
        <f>HYPERLINK(склад2въезд131920212223789[[#This Row],[RelativePath]])</f>
        <v>13 Склад хол\K07156189_23_20260205T142906Z.jpg</v>
      </c>
    </row>
    <row r="162" spans="1:13" x14ac:dyDescent="0.25">
      <c r="A162" s="2" t="s">
        <v>17</v>
      </c>
      <c r="B162" s="4">
        <v>46059</v>
      </c>
      <c r="C162" s="5">
        <v>0.46490740740740738</v>
      </c>
      <c r="D162" s="9" t="s">
        <v>11512</v>
      </c>
      <c r="E162" s="9"/>
      <c r="F162" s="9"/>
      <c r="H162" s="9"/>
      <c r="I162" s="9" t="s">
        <v>11429</v>
      </c>
      <c r="J162" s="9" t="s">
        <v>2943</v>
      </c>
      <c r="K162" t="s">
        <v>11430</v>
      </c>
      <c r="L162" t="s">
        <v>11431</v>
      </c>
      <c r="M162" s="3" t="str">
        <f>HYPERLINK(склад2въезд131920212223789[[#This Row],[RelativePath]])</f>
        <v>13 Склад хол\K07156189_23_20260206T110928Z.jpg</v>
      </c>
    </row>
    <row r="163" spans="1:13" x14ac:dyDescent="0.25">
      <c r="A163" s="2" t="s">
        <v>17</v>
      </c>
      <c r="B163" s="4">
        <v>46059</v>
      </c>
      <c r="C163" s="5">
        <v>0.66380787037037037</v>
      </c>
      <c r="D163" s="9" t="s">
        <v>4</v>
      </c>
      <c r="E163" s="9" t="s">
        <v>8</v>
      </c>
      <c r="F163" s="9"/>
      <c r="H163" s="9"/>
      <c r="I163" s="9" t="s">
        <v>11432</v>
      </c>
      <c r="J163" s="9" t="s">
        <v>2943</v>
      </c>
      <c r="K163" t="s">
        <v>11433</v>
      </c>
      <c r="L163" t="s">
        <v>11434</v>
      </c>
      <c r="M163" s="3" t="str">
        <f>HYPERLINK(склад2въезд131920212223789[[#This Row],[RelativePath]])</f>
        <v>13 Склад хол\K07156189_23_20260206T155553Z.jpg</v>
      </c>
    </row>
    <row r="164" spans="1:13" x14ac:dyDescent="0.25">
      <c r="A164" s="2" t="s">
        <v>18</v>
      </c>
      <c r="B164" s="4">
        <v>46060</v>
      </c>
      <c r="C164" s="5">
        <v>0.72972222222222227</v>
      </c>
      <c r="D164" s="9" t="s">
        <v>1967</v>
      </c>
      <c r="E164" s="9" t="s">
        <v>8</v>
      </c>
      <c r="F164" s="9"/>
      <c r="H164" s="9"/>
      <c r="I164" s="9" t="s">
        <v>11616</v>
      </c>
      <c r="J164" s="9" t="s">
        <v>2943</v>
      </c>
      <c r="K164" t="s">
        <v>11617</v>
      </c>
      <c r="L164" t="s">
        <v>11618</v>
      </c>
      <c r="M164" s="3" t="str">
        <f>HYPERLINK(склад2въезд131920212223789[[#This Row],[RelativePath]])</f>
        <v>13 Склад хол\K07156189_23_20260207T173048Z.jpg</v>
      </c>
    </row>
    <row r="165" spans="1:13" x14ac:dyDescent="0.25">
      <c r="A165" s="2" t="s">
        <v>22</v>
      </c>
      <c r="B165" s="4">
        <v>46061</v>
      </c>
      <c r="C165" s="5">
        <v>0.70469907407407406</v>
      </c>
      <c r="D165" s="9" t="s">
        <v>1967</v>
      </c>
      <c r="E165" s="9" t="s">
        <v>8</v>
      </c>
      <c r="F165" s="9"/>
      <c r="H165" s="9"/>
      <c r="I165" s="9" t="s">
        <v>11619</v>
      </c>
      <c r="J165" s="9" t="s">
        <v>2943</v>
      </c>
      <c r="K165" t="s">
        <v>11620</v>
      </c>
      <c r="L165" t="s">
        <v>11621</v>
      </c>
      <c r="M165" s="3" t="str">
        <f>HYPERLINK(склад2въезд131920212223789[[#This Row],[RelativePath]])</f>
        <v>13 Склад хол\K07156189_23_20260208T165446Z.jpg</v>
      </c>
    </row>
    <row r="166" spans="1:13" x14ac:dyDescent="0.25">
      <c r="A166" s="2" t="s">
        <v>13</v>
      </c>
      <c r="B166" s="4">
        <v>46062</v>
      </c>
      <c r="C166" s="5">
        <v>0.46975694444444444</v>
      </c>
      <c r="D166" s="9" t="s">
        <v>4</v>
      </c>
      <c r="E166" s="9" t="s">
        <v>8</v>
      </c>
      <c r="F166" s="9"/>
      <c r="H166" s="9"/>
      <c r="I166" s="9" t="s">
        <v>11697</v>
      </c>
      <c r="J166" s="9" t="s">
        <v>2943</v>
      </c>
      <c r="K166" t="s">
        <v>11698</v>
      </c>
      <c r="L166" t="s">
        <v>11699</v>
      </c>
      <c r="M166" s="3" t="str">
        <f>HYPERLINK(склад2въезд131920212223789[[#This Row],[RelativePath]])</f>
        <v>13 Склад хол\K07156189_23_20260209T111627Z.jpg</v>
      </c>
    </row>
    <row r="167" spans="1:13" x14ac:dyDescent="0.25">
      <c r="A167" s="2" t="s">
        <v>13</v>
      </c>
      <c r="B167" s="4">
        <v>46062</v>
      </c>
      <c r="C167" s="5">
        <v>0.69104166666666667</v>
      </c>
      <c r="D167" s="9" t="s">
        <v>4</v>
      </c>
      <c r="E167" s="9" t="s">
        <v>8</v>
      </c>
      <c r="F167" s="9"/>
      <c r="H167" s="9"/>
      <c r="I167" s="9" t="s">
        <v>11700</v>
      </c>
      <c r="J167" s="9" t="s">
        <v>2943</v>
      </c>
      <c r="K167" t="s">
        <v>11701</v>
      </c>
      <c r="L167" t="s">
        <v>11702</v>
      </c>
      <c r="M167" s="3" t="str">
        <f>HYPERLINK(склад2въезд131920212223789[[#This Row],[RelativePath]])</f>
        <v>13 Склад хол\K07156189_23_20260209T163506Z.jpg</v>
      </c>
    </row>
    <row r="168" spans="1:13" x14ac:dyDescent="0.25">
      <c r="A168" s="2" t="s">
        <v>14</v>
      </c>
      <c r="B168" s="4">
        <v>46063</v>
      </c>
      <c r="C168" s="5">
        <v>0.35633101851851851</v>
      </c>
      <c r="D168" s="9" t="s">
        <v>159</v>
      </c>
      <c r="E168" s="9" t="s">
        <v>11808</v>
      </c>
      <c r="F168" s="9"/>
      <c r="H168" s="9"/>
      <c r="I168" s="9" t="s">
        <v>11703</v>
      </c>
      <c r="J168" s="9" t="s">
        <v>2943</v>
      </c>
      <c r="K168" t="s">
        <v>11704</v>
      </c>
      <c r="L168" t="s">
        <v>11705</v>
      </c>
      <c r="M168" s="3" t="str">
        <f>HYPERLINK(склад2въезд131920212223789[[#This Row],[RelativePath]])</f>
        <v>13 Склад хол\K07156189_23_20260210T083307Z.jpg</v>
      </c>
    </row>
    <row r="169" spans="1:13" x14ac:dyDescent="0.25">
      <c r="A169" s="2" t="s">
        <v>14</v>
      </c>
      <c r="B169" s="4">
        <v>46063</v>
      </c>
      <c r="C169" s="5">
        <v>0.61835648148148148</v>
      </c>
      <c r="D169" s="9" t="s">
        <v>4</v>
      </c>
      <c r="E169" s="9" t="s">
        <v>8</v>
      </c>
      <c r="F169" s="9"/>
      <c r="H169" s="9"/>
      <c r="I169" s="9" t="s">
        <v>11706</v>
      </c>
      <c r="J169" s="9" t="s">
        <v>2943</v>
      </c>
      <c r="K169" t="s">
        <v>11707</v>
      </c>
      <c r="L169" t="s">
        <v>11708</v>
      </c>
      <c r="M169" s="3" t="str">
        <f>HYPERLINK(склад2въезд131920212223789[[#This Row],[RelativePath]])</f>
        <v>13 Склад хол\K07156189_23_20260210T145026Z.jpg</v>
      </c>
    </row>
    <row r="170" spans="1:13" x14ac:dyDescent="0.25">
      <c r="A170" s="2" t="s">
        <v>15</v>
      </c>
      <c r="B170" s="4">
        <v>46064</v>
      </c>
      <c r="C170" s="5">
        <v>0.44594907407407408</v>
      </c>
      <c r="D170" s="9" t="s">
        <v>6092</v>
      </c>
      <c r="E170" s="9" t="s">
        <v>4134</v>
      </c>
      <c r="F170" s="9"/>
      <c r="H170" s="9"/>
      <c r="I170" s="9" t="s">
        <v>11709</v>
      </c>
      <c r="J170" s="9" t="s">
        <v>2943</v>
      </c>
      <c r="K170" t="s">
        <v>11710</v>
      </c>
      <c r="L170" t="s">
        <v>11711</v>
      </c>
      <c r="M170" s="3" t="str">
        <f>HYPERLINK(склад2въезд131920212223789[[#This Row],[RelativePath]])</f>
        <v>13 Склад хол\K07156189_23_20260211T104210Z.jpg</v>
      </c>
    </row>
    <row r="171" spans="1:13" x14ac:dyDescent="0.25">
      <c r="A171" s="2" t="s">
        <v>15</v>
      </c>
      <c r="B171" s="4">
        <v>46064</v>
      </c>
      <c r="C171" s="5">
        <v>0.45931712962962962</v>
      </c>
      <c r="D171" s="9" t="s">
        <v>11807</v>
      </c>
      <c r="E171" s="9" t="s">
        <v>4134</v>
      </c>
      <c r="F171" s="9"/>
      <c r="H171" s="9"/>
      <c r="I171" s="9" t="s">
        <v>11712</v>
      </c>
      <c r="J171" s="9" t="s">
        <v>2943</v>
      </c>
      <c r="K171" t="s">
        <v>11713</v>
      </c>
      <c r="L171" t="s">
        <v>11714</v>
      </c>
      <c r="M171" s="3" t="str">
        <f>HYPERLINK(склад2въезд131920212223789[[#This Row],[RelativePath]])</f>
        <v>13 Склад хол\K07156189_23_20260211T110125Z.jpg</v>
      </c>
    </row>
    <row r="172" spans="1:13" x14ac:dyDescent="0.25">
      <c r="A172" s="2" t="s">
        <v>15</v>
      </c>
      <c r="B172" s="4">
        <v>46064</v>
      </c>
      <c r="C172" s="5">
        <v>0.73821759259259256</v>
      </c>
      <c r="D172" s="9" t="s">
        <v>4</v>
      </c>
      <c r="E172" s="9" t="s">
        <v>8</v>
      </c>
      <c r="F172" s="9"/>
      <c r="H172" s="9"/>
      <c r="I172" s="9" t="s">
        <v>11715</v>
      </c>
      <c r="J172" s="9" t="s">
        <v>2943</v>
      </c>
      <c r="K172" t="s">
        <v>11716</v>
      </c>
      <c r="L172" t="s">
        <v>11717</v>
      </c>
      <c r="M172" s="3" t="str">
        <f>HYPERLINK(склад2въезд131920212223789[[#This Row],[RelativePath]])</f>
        <v>13 Склад хол\K07156189_23_20260211T174302Z.jpg</v>
      </c>
    </row>
    <row r="173" spans="1:13" x14ac:dyDescent="0.25">
      <c r="A173" s="2" t="s">
        <v>16</v>
      </c>
      <c r="B173" s="4">
        <v>46065</v>
      </c>
      <c r="C173" s="5">
        <v>0.4445486111111111</v>
      </c>
      <c r="D173" s="9" t="s">
        <v>623</v>
      </c>
      <c r="E173" s="9" t="s">
        <v>86</v>
      </c>
      <c r="F173" s="9"/>
      <c r="H173" s="9"/>
      <c r="I173" s="9" t="s">
        <v>11718</v>
      </c>
      <c r="J173" s="9" t="s">
        <v>2943</v>
      </c>
      <c r="K173" t="s">
        <v>11719</v>
      </c>
      <c r="L173" t="s">
        <v>11660</v>
      </c>
      <c r="M173" s="3" t="str">
        <f>HYPERLINK(склад2въезд131920212223789[[#This Row],[RelativePath]])</f>
        <v>13 Склад хол\K07156189_23_20260212T104009Z.jpg</v>
      </c>
    </row>
    <row r="174" spans="1:13" x14ac:dyDescent="0.25">
      <c r="A174" s="2" t="s">
        <v>16</v>
      </c>
      <c r="B174" s="4">
        <v>46065</v>
      </c>
      <c r="C174" s="5">
        <v>0.44489583333333332</v>
      </c>
      <c r="D174" s="9" t="s">
        <v>623</v>
      </c>
      <c r="E174" s="9" t="s">
        <v>86</v>
      </c>
      <c r="F174" s="9"/>
      <c r="H174" s="9" t="s">
        <v>2891</v>
      </c>
      <c r="I174" s="9" t="s">
        <v>11720</v>
      </c>
      <c r="J174" s="9" t="s">
        <v>2943</v>
      </c>
      <c r="K174" t="s">
        <v>11721</v>
      </c>
      <c r="L174" t="s">
        <v>11722</v>
      </c>
      <c r="M174" s="3" t="str">
        <f>HYPERLINK(склад2въезд131920212223789[[#This Row],[RelativePath]])</f>
        <v>13 Склад хол\K07156189_23_20260212T104039Z.jpg</v>
      </c>
    </row>
    <row r="175" spans="1:13" x14ac:dyDescent="0.25">
      <c r="A175" s="2" t="s">
        <v>16</v>
      </c>
      <c r="B175" s="4">
        <v>46065</v>
      </c>
      <c r="C175" s="5">
        <v>0.51534722222222218</v>
      </c>
      <c r="D175" s="9" t="s">
        <v>11814</v>
      </c>
      <c r="E175" s="9" t="s">
        <v>86</v>
      </c>
      <c r="F175" s="9"/>
      <c r="H175" s="9"/>
      <c r="I175" s="9" t="s">
        <v>11723</v>
      </c>
      <c r="J175" s="9" t="s">
        <v>2943</v>
      </c>
      <c r="K175" t="s">
        <v>11724</v>
      </c>
      <c r="L175" t="s">
        <v>11725</v>
      </c>
      <c r="M175" s="3" t="str">
        <f>HYPERLINK(склад2въезд131920212223789[[#This Row],[RelativePath]])</f>
        <v>13 Склад хол\K07156189_23_20260212T122206Z.jpg</v>
      </c>
    </row>
    <row r="176" spans="1:13" x14ac:dyDescent="0.25">
      <c r="A176" s="2" t="s">
        <v>17</v>
      </c>
      <c r="B176" s="4">
        <v>46066</v>
      </c>
      <c r="C176" s="5">
        <v>0.44667824074074075</v>
      </c>
      <c r="D176" s="9" t="s">
        <v>623</v>
      </c>
      <c r="E176" s="9" t="s">
        <v>86</v>
      </c>
      <c r="F176" s="9"/>
      <c r="H176" s="9"/>
      <c r="I176" s="9" t="s">
        <v>11821</v>
      </c>
      <c r="J176" s="9" t="s">
        <v>2943</v>
      </c>
      <c r="K176" t="s">
        <v>11822</v>
      </c>
      <c r="L176" t="s">
        <v>11823</v>
      </c>
      <c r="M176" s="3" t="str">
        <f>HYPERLINK(склад2въезд131920212223789[[#This Row],[RelativePath]])</f>
        <v>13 Склад хол\K07156189_23_20260213T104313Z.jpg</v>
      </c>
    </row>
    <row r="177" spans="1:13" x14ac:dyDescent="0.25">
      <c r="A177" s="2" t="s">
        <v>18</v>
      </c>
      <c r="B177" s="4">
        <v>46067</v>
      </c>
      <c r="C177" s="5">
        <v>0.75427083333333333</v>
      </c>
      <c r="D177" s="9" t="s">
        <v>1967</v>
      </c>
      <c r="E177" s="9" t="s">
        <v>8</v>
      </c>
      <c r="F177" s="9"/>
      <c r="H177" s="9"/>
      <c r="I177" s="9" t="s">
        <v>11824</v>
      </c>
      <c r="J177" s="9" t="s">
        <v>2943</v>
      </c>
      <c r="K177" t="s">
        <v>11825</v>
      </c>
      <c r="L177" t="s">
        <v>11826</v>
      </c>
      <c r="M177" s="3" t="str">
        <f>HYPERLINK(склад2въезд131920212223789[[#This Row],[RelativePath]])</f>
        <v>13 Склад хол\K07156189_23_20260214T180609Z.jpg</v>
      </c>
    </row>
    <row r="178" spans="1:13" x14ac:dyDescent="0.25">
      <c r="A178" s="2" t="s">
        <v>22</v>
      </c>
      <c r="B178" s="4">
        <v>46068</v>
      </c>
      <c r="C178" s="5">
        <v>0.65905092592592596</v>
      </c>
      <c r="D178" s="9" t="s">
        <v>1967</v>
      </c>
      <c r="E178" s="9" t="s">
        <v>8</v>
      </c>
      <c r="F178" s="9"/>
      <c r="H178" s="9"/>
      <c r="I178" s="9" t="s">
        <v>11905</v>
      </c>
      <c r="J178" s="9" t="s">
        <v>2943</v>
      </c>
      <c r="K178" t="s">
        <v>11906</v>
      </c>
      <c r="L178" t="s">
        <v>11907</v>
      </c>
      <c r="M178" s="3" t="str">
        <f>HYPERLINK(склад2въезд131920212223789[[#This Row],[RelativePath]])</f>
        <v>13 Склад хол\K07156189_23_20260215T154902Z.jpg</v>
      </c>
    </row>
    <row r="179" spans="1:13" x14ac:dyDescent="0.25">
      <c r="A179" s="2" t="s">
        <v>13</v>
      </c>
      <c r="B179" s="4">
        <v>46069</v>
      </c>
      <c r="C179" s="5">
        <v>0.50408564814814816</v>
      </c>
      <c r="D179" s="9" t="s">
        <v>4</v>
      </c>
      <c r="E179" s="9" t="s">
        <v>12232</v>
      </c>
      <c r="F179" s="9"/>
      <c r="H179" s="9"/>
      <c r="I179" s="9" t="s">
        <v>12149</v>
      </c>
      <c r="J179" s="9" t="s">
        <v>2943</v>
      </c>
      <c r="K179" t="s">
        <v>12150</v>
      </c>
      <c r="L179" t="s">
        <v>12151</v>
      </c>
      <c r="M179" s="3" t="str">
        <f>HYPERLINK(склад2въезд131920212223789[[#This Row],[RelativePath]])</f>
        <v>13 Склад хол\K07156189_23_20260216T120553Z.jpg</v>
      </c>
    </row>
    <row r="180" spans="1:13" x14ac:dyDescent="0.25">
      <c r="A180" s="2" t="s">
        <v>13</v>
      </c>
      <c r="B180" s="4">
        <v>46069</v>
      </c>
      <c r="C180" s="5">
        <v>0.5995138888888889</v>
      </c>
      <c r="D180" s="9" t="s">
        <v>623</v>
      </c>
      <c r="E180" s="9" t="s">
        <v>86</v>
      </c>
      <c r="F180" s="9"/>
      <c r="H180" s="9"/>
      <c r="I180" s="9" t="s">
        <v>12152</v>
      </c>
      <c r="J180" s="9" t="s">
        <v>2943</v>
      </c>
      <c r="K180" t="s">
        <v>12153</v>
      </c>
      <c r="L180" t="s">
        <v>12154</v>
      </c>
      <c r="M180" s="3" t="str">
        <f>HYPERLINK(склад2въезд131920212223789[[#This Row],[RelativePath]])</f>
        <v>13 Склад хол\K07156189_23_20260216T142318Z.jpg</v>
      </c>
    </row>
    <row r="181" spans="1:13" x14ac:dyDescent="0.25">
      <c r="A181" s="2" t="s">
        <v>13</v>
      </c>
      <c r="B181" s="4">
        <v>46069</v>
      </c>
      <c r="C181" s="5">
        <v>0.61488425925925927</v>
      </c>
      <c r="D181" s="9" t="s">
        <v>623</v>
      </c>
      <c r="E181" s="9" t="s">
        <v>86</v>
      </c>
      <c r="F181" s="9"/>
      <c r="H181" s="9"/>
      <c r="I181" s="9" t="s">
        <v>12155</v>
      </c>
      <c r="J181" s="9" t="s">
        <v>2943</v>
      </c>
      <c r="K181" t="s">
        <v>12156</v>
      </c>
      <c r="L181" t="s">
        <v>12157</v>
      </c>
      <c r="M181" s="3" t="str">
        <f>HYPERLINK(склад2въезд131920212223789[[#This Row],[RelativePath]])</f>
        <v>13 Склад хол\K07156189_23_20260216T144526Z.jpg</v>
      </c>
    </row>
    <row r="182" spans="1:13" x14ac:dyDescent="0.25">
      <c r="A182" s="2" t="s">
        <v>14</v>
      </c>
      <c r="B182" s="4">
        <v>46070</v>
      </c>
      <c r="C182" s="5">
        <v>0.69388888888888889</v>
      </c>
      <c r="D182" s="9" t="s">
        <v>11811</v>
      </c>
      <c r="E182" s="9"/>
      <c r="F182" s="9"/>
      <c r="H182" s="9"/>
      <c r="I182" s="9" t="s">
        <v>12158</v>
      </c>
      <c r="J182" s="9" t="s">
        <v>2943</v>
      </c>
      <c r="K182" t="s">
        <v>12159</v>
      </c>
      <c r="L182" t="s">
        <v>12160</v>
      </c>
      <c r="M182" s="3" t="str">
        <f>HYPERLINK(склад2въезд131920212223789[[#This Row],[RelativePath]])</f>
        <v>13 Склад хол\K07156189_23_20260217T163912Z.jpg</v>
      </c>
    </row>
    <row r="183" spans="1:13" x14ac:dyDescent="0.25">
      <c r="A183" s="2" t="s">
        <v>14</v>
      </c>
      <c r="B183" s="4">
        <v>46070</v>
      </c>
      <c r="C183" s="5">
        <v>0.78380787037037036</v>
      </c>
      <c r="D183" s="9" t="s">
        <v>1899</v>
      </c>
      <c r="E183" s="9" t="s">
        <v>503</v>
      </c>
      <c r="F183" s="9"/>
      <c r="H183" s="9"/>
      <c r="I183" s="9" t="s">
        <v>12161</v>
      </c>
      <c r="J183" s="9" t="s">
        <v>2943</v>
      </c>
      <c r="K183" t="s">
        <v>12162</v>
      </c>
      <c r="L183" t="s">
        <v>12163</v>
      </c>
      <c r="M183" s="3" t="str">
        <f>HYPERLINK(склад2въезд131920212223789[[#This Row],[RelativePath]])</f>
        <v>13 Склад хол\K07156189_23_20260217T184841Z.jpg</v>
      </c>
    </row>
    <row r="184" spans="1:13" x14ac:dyDescent="0.25">
      <c r="A184" s="2" t="s">
        <v>14</v>
      </c>
      <c r="B184" s="4">
        <v>46070</v>
      </c>
      <c r="C184" s="5">
        <v>0.80151620370370369</v>
      </c>
      <c r="D184" s="9" t="s">
        <v>1899</v>
      </c>
      <c r="E184" s="9" t="s">
        <v>503</v>
      </c>
      <c r="F184" s="9"/>
      <c r="H184" s="9"/>
      <c r="I184" s="9" t="s">
        <v>12164</v>
      </c>
      <c r="J184" s="9" t="s">
        <v>2943</v>
      </c>
      <c r="K184" t="s">
        <v>12165</v>
      </c>
      <c r="L184" t="s">
        <v>12166</v>
      </c>
      <c r="M184" s="3" t="str">
        <f>HYPERLINK(склад2въезд131920212223789[[#This Row],[RelativePath]])</f>
        <v>13 Склад хол\K07156189_23_20260217T191411Z.jpg</v>
      </c>
    </row>
    <row r="185" spans="1:13" x14ac:dyDescent="0.25">
      <c r="A185" s="2" t="s">
        <v>15</v>
      </c>
      <c r="B185" s="4">
        <v>46071</v>
      </c>
      <c r="C185" s="5">
        <v>0.43542824074074077</v>
      </c>
      <c r="D185" s="9" t="s">
        <v>623</v>
      </c>
      <c r="E185" s="9" t="s">
        <v>86</v>
      </c>
      <c r="F185" s="9"/>
      <c r="H185" s="9"/>
      <c r="I185" s="9" t="s">
        <v>12167</v>
      </c>
      <c r="J185" s="9" t="s">
        <v>2943</v>
      </c>
      <c r="K185" t="s">
        <v>12168</v>
      </c>
      <c r="L185" t="s">
        <v>12169</v>
      </c>
      <c r="M185" s="3" t="str">
        <f>HYPERLINK(склад2въезд131920212223789[[#This Row],[RelativePath]])</f>
        <v>13 Склад хол\K07156189_23_20260218T102701Z.jpg</v>
      </c>
    </row>
    <row r="186" spans="1:13" x14ac:dyDescent="0.25">
      <c r="A186" s="2" t="s">
        <v>15</v>
      </c>
      <c r="B186" s="4">
        <v>46071</v>
      </c>
      <c r="C186" s="5">
        <v>0.43578703703703703</v>
      </c>
      <c r="D186" s="9" t="s">
        <v>623</v>
      </c>
      <c r="E186" s="9" t="s">
        <v>86</v>
      </c>
      <c r="F186" s="9"/>
      <c r="H186" s="9"/>
      <c r="I186" s="9" t="s">
        <v>12170</v>
      </c>
      <c r="J186" s="9" t="s">
        <v>2943</v>
      </c>
      <c r="K186" t="s">
        <v>12171</v>
      </c>
      <c r="L186" t="s">
        <v>12172</v>
      </c>
      <c r="M186" s="3" t="str">
        <f>HYPERLINK(склад2въезд131920212223789[[#This Row],[RelativePath]])</f>
        <v>13 Склад хол\K07156189_23_20260218T102732Z.jpg</v>
      </c>
    </row>
    <row r="187" spans="1:13" x14ac:dyDescent="0.25">
      <c r="A187" s="2" t="s">
        <v>15</v>
      </c>
      <c r="B187" s="4">
        <v>46071</v>
      </c>
      <c r="C187" s="5">
        <v>0.53273148148148153</v>
      </c>
      <c r="D187" s="9" t="s">
        <v>1899</v>
      </c>
      <c r="E187" s="9" t="s">
        <v>503</v>
      </c>
      <c r="F187" s="9"/>
      <c r="H187" s="9"/>
      <c r="I187" s="9" t="s">
        <v>12173</v>
      </c>
      <c r="J187" s="9" t="s">
        <v>2943</v>
      </c>
      <c r="K187" t="s">
        <v>12174</v>
      </c>
      <c r="L187" t="s">
        <v>12175</v>
      </c>
      <c r="M187" s="3" t="str">
        <f>HYPERLINK(склад2въезд131920212223789[[#This Row],[RelativePath]])</f>
        <v>13 Склад хол\K07156189_23_20260218T124708Z.jpg</v>
      </c>
    </row>
    <row r="188" spans="1:13" x14ac:dyDescent="0.25">
      <c r="A188" s="2" t="s">
        <v>15</v>
      </c>
      <c r="B188" s="4">
        <v>46071</v>
      </c>
      <c r="C188" s="5">
        <v>0.70256944444444447</v>
      </c>
      <c r="D188" s="9" t="s">
        <v>1899</v>
      </c>
      <c r="E188" s="9" t="s">
        <v>503</v>
      </c>
      <c r="F188" s="9"/>
      <c r="H188" s="9"/>
      <c r="I188" s="9" t="s">
        <v>12176</v>
      </c>
      <c r="J188" s="9" t="s">
        <v>2943</v>
      </c>
      <c r="K188" t="s">
        <v>12177</v>
      </c>
      <c r="L188" t="s">
        <v>12178</v>
      </c>
      <c r="M188" s="3" t="str">
        <f>HYPERLINK(склад2въезд131920212223789[[#This Row],[RelativePath]])</f>
        <v>13 Склад хол\K07156189_23_20260218T165142Z.jpg</v>
      </c>
    </row>
    <row r="189" spans="1:13" x14ac:dyDescent="0.25">
      <c r="A189" s="2" t="s">
        <v>15</v>
      </c>
      <c r="B189" s="4">
        <v>46071</v>
      </c>
      <c r="C189" s="5">
        <v>0.76046296296296301</v>
      </c>
      <c r="D189" s="9" t="s">
        <v>1899</v>
      </c>
      <c r="E189" s="9" t="s">
        <v>503</v>
      </c>
      <c r="F189" s="9"/>
      <c r="H189" s="9"/>
      <c r="I189" s="9" t="s">
        <v>12179</v>
      </c>
      <c r="J189" s="9" t="s">
        <v>2943</v>
      </c>
      <c r="K189" t="s">
        <v>12180</v>
      </c>
      <c r="L189" t="s">
        <v>12181</v>
      </c>
      <c r="M189" s="3" t="str">
        <f>HYPERLINK(склад2въезд131920212223789[[#This Row],[RelativePath]])</f>
        <v>13 Склад хол\K07156189_23_20260218T181504Z.jpg</v>
      </c>
    </row>
    <row r="190" spans="1:13" x14ac:dyDescent="0.25">
      <c r="A190" s="2" t="s">
        <v>16</v>
      </c>
      <c r="B190" s="4">
        <v>46072</v>
      </c>
      <c r="C190" s="5">
        <v>0.42304398148148148</v>
      </c>
      <c r="D190" s="9" t="s">
        <v>623</v>
      </c>
      <c r="E190" s="9" t="s">
        <v>86</v>
      </c>
      <c r="F190" s="9"/>
      <c r="H190" s="9"/>
      <c r="I190" s="9" t="s">
        <v>12256</v>
      </c>
      <c r="J190" s="9" t="s">
        <v>2943</v>
      </c>
      <c r="K190" t="s">
        <v>12257</v>
      </c>
      <c r="L190" t="s">
        <v>12258</v>
      </c>
      <c r="M190" s="3" t="str">
        <f>HYPERLINK(склад2въезд131920212223789[[#This Row],[RelativePath]])</f>
        <v>13 Склад хол\K07156189_23_20260219T100911Z.jpg</v>
      </c>
    </row>
    <row r="191" spans="1:13" x14ac:dyDescent="0.25">
      <c r="A191" s="2" t="s">
        <v>16</v>
      </c>
      <c r="B191" s="4">
        <v>46072</v>
      </c>
      <c r="C191" s="5">
        <v>0.42394675925925923</v>
      </c>
      <c r="D191" s="9" t="s">
        <v>623</v>
      </c>
      <c r="E191" s="9" t="s">
        <v>86</v>
      </c>
      <c r="F191" s="9"/>
      <c r="H191" s="9"/>
      <c r="I191" s="9" t="s">
        <v>12259</v>
      </c>
      <c r="J191" s="9" t="s">
        <v>2943</v>
      </c>
      <c r="K191" t="s">
        <v>12260</v>
      </c>
      <c r="L191" t="s">
        <v>12261</v>
      </c>
      <c r="M191" s="3" t="str">
        <f>HYPERLINK(склад2въезд131920212223789[[#This Row],[RelativePath]])</f>
        <v>13 Склад хол\K07156189_23_20260219T101029Z.jpg</v>
      </c>
    </row>
    <row r="192" spans="1:13" x14ac:dyDescent="0.25">
      <c r="A192" s="2" t="s">
        <v>16</v>
      </c>
      <c r="B192" s="4">
        <v>46072</v>
      </c>
      <c r="C192" s="5">
        <v>0.46238425925925924</v>
      </c>
      <c r="D192" s="9" t="s">
        <v>12345</v>
      </c>
      <c r="E192" s="9" t="s">
        <v>4134</v>
      </c>
      <c r="F192" s="9"/>
      <c r="H192" s="9"/>
      <c r="I192" s="9" t="s">
        <v>12262</v>
      </c>
      <c r="J192" s="9" t="s">
        <v>2943</v>
      </c>
      <c r="K192" t="s">
        <v>12263</v>
      </c>
      <c r="L192" t="s">
        <v>12264</v>
      </c>
      <c r="M192" s="3" t="str">
        <f>HYPERLINK(склад2въезд131920212223789[[#This Row],[RelativePath]])</f>
        <v>13 Склад хол\K07156189_23_20260219T110550Z.jpg</v>
      </c>
    </row>
    <row r="193" spans="1:13" x14ac:dyDescent="0.25">
      <c r="A193" s="2" t="s">
        <v>16</v>
      </c>
      <c r="B193" s="4">
        <v>46072</v>
      </c>
      <c r="C193" s="5">
        <v>0.57881944444444444</v>
      </c>
      <c r="D193" s="9" t="s">
        <v>6092</v>
      </c>
      <c r="E193" s="9" t="s">
        <v>4134</v>
      </c>
      <c r="F193" s="9"/>
      <c r="H193" s="9"/>
      <c r="I193" s="9" t="s">
        <v>12265</v>
      </c>
      <c r="J193" s="9" t="s">
        <v>2943</v>
      </c>
      <c r="K193" t="s">
        <v>12266</v>
      </c>
      <c r="L193" t="s">
        <v>12267</v>
      </c>
      <c r="M193" s="3" t="str">
        <f>HYPERLINK(склад2въезд131920212223789[[#This Row],[RelativePath]])</f>
        <v>13 Склад хол\K07156189_23_20260219T135330Z.jpg</v>
      </c>
    </row>
    <row r="194" spans="1:13" x14ac:dyDescent="0.25">
      <c r="A194" s="2" t="s">
        <v>16</v>
      </c>
      <c r="B194" s="4">
        <v>46072</v>
      </c>
      <c r="C194" s="5">
        <v>0.60603009259259255</v>
      </c>
      <c r="D194" s="9" t="s">
        <v>261</v>
      </c>
      <c r="E194" s="9" t="s">
        <v>12343</v>
      </c>
      <c r="F194" s="9" t="s">
        <v>12453</v>
      </c>
      <c r="H194" s="9" t="s">
        <v>12346</v>
      </c>
      <c r="I194" s="9" t="s">
        <v>12268</v>
      </c>
      <c r="J194" s="9" t="s">
        <v>2943</v>
      </c>
      <c r="K194" t="s">
        <v>12269</v>
      </c>
      <c r="L194" t="s">
        <v>12270</v>
      </c>
      <c r="M194" s="3" t="str">
        <f>HYPERLINK(склад2въезд131920212223789[[#This Row],[RelativePath]])</f>
        <v>13 Склад хол\K07156189_23_20260219T143241Z.jpg</v>
      </c>
    </row>
    <row r="195" spans="1:13" x14ac:dyDescent="0.25">
      <c r="A195" s="2" t="s">
        <v>16</v>
      </c>
      <c r="B195" s="4">
        <v>46072</v>
      </c>
      <c r="C195" s="5">
        <v>0.60628472222222218</v>
      </c>
      <c r="D195" s="9" t="s">
        <v>261</v>
      </c>
      <c r="E195" s="9" t="s">
        <v>12343</v>
      </c>
      <c r="F195" s="9" t="s">
        <v>12453</v>
      </c>
      <c r="H195" s="9" t="s">
        <v>2891</v>
      </c>
      <c r="I195" s="9" t="s">
        <v>12271</v>
      </c>
      <c r="J195" s="9" t="s">
        <v>2943</v>
      </c>
      <c r="K195" t="s">
        <v>12272</v>
      </c>
      <c r="L195" t="s">
        <v>12273</v>
      </c>
      <c r="M195" s="3" t="str">
        <f>HYPERLINK(склад2въезд131920212223789[[#This Row],[RelativePath]])</f>
        <v>13 Склад хол\K07156189_23_20260219T143303Z.jpg</v>
      </c>
    </row>
    <row r="196" spans="1:13" x14ac:dyDescent="0.25">
      <c r="A196" s="2" t="s">
        <v>16</v>
      </c>
      <c r="B196" s="4">
        <v>46072</v>
      </c>
      <c r="C196" s="5">
        <v>0.60662037037037042</v>
      </c>
      <c r="D196" s="9" t="s">
        <v>261</v>
      </c>
      <c r="E196" s="9" t="s">
        <v>12343</v>
      </c>
      <c r="F196" s="9" t="s">
        <v>12454</v>
      </c>
      <c r="H196" s="9" t="s">
        <v>12347</v>
      </c>
      <c r="I196" s="9" t="s">
        <v>12274</v>
      </c>
      <c r="J196" s="9" t="s">
        <v>2943</v>
      </c>
      <c r="K196" t="s">
        <v>12275</v>
      </c>
      <c r="L196" t="s">
        <v>12276</v>
      </c>
      <c r="M196" s="3" t="str">
        <f>HYPERLINK(склад2въезд131920212223789[[#This Row],[RelativePath]])</f>
        <v>13 Склад хол\K07156189_23_20260219T143332Z.jpg</v>
      </c>
    </row>
    <row r="197" spans="1:13" x14ac:dyDescent="0.25">
      <c r="A197" s="2" t="s">
        <v>17</v>
      </c>
      <c r="B197" s="4">
        <v>46073</v>
      </c>
      <c r="C197" s="5">
        <v>0.38214120370370369</v>
      </c>
      <c r="D197" s="9" t="s">
        <v>1899</v>
      </c>
      <c r="E197" s="9" t="s">
        <v>1570</v>
      </c>
      <c r="F197" s="9"/>
      <c r="H197" s="9"/>
      <c r="I197" s="9" t="s">
        <v>12414</v>
      </c>
      <c r="J197" s="9" t="s">
        <v>2943</v>
      </c>
      <c r="K197" t="s">
        <v>12415</v>
      </c>
      <c r="L197" t="s">
        <v>12416</v>
      </c>
      <c r="M197" s="3" t="str">
        <f>HYPERLINK(склад2въезд131920212223789[[#This Row],[RelativePath]])</f>
        <v>13 Склад хол\K07156189_23_20260220T091017Z.jpg</v>
      </c>
    </row>
    <row r="198" spans="1:13" x14ac:dyDescent="0.25">
      <c r="A198" s="2" t="s">
        <v>17</v>
      </c>
      <c r="B198" s="4">
        <v>46073</v>
      </c>
      <c r="C198" s="5">
        <v>0.43594907407407407</v>
      </c>
      <c r="D198" s="9" t="s">
        <v>623</v>
      </c>
      <c r="E198" s="9" t="s">
        <v>86</v>
      </c>
      <c r="F198" s="9"/>
      <c r="H198" s="9"/>
      <c r="I198" s="9" t="s">
        <v>12417</v>
      </c>
      <c r="J198" s="9" t="s">
        <v>2943</v>
      </c>
      <c r="K198" t="s">
        <v>12418</v>
      </c>
      <c r="L198" t="s">
        <v>12419</v>
      </c>
      <c r="M198" s="3" t="str">
        <f>HYPERLINK(склад2въезд131920212223789[[#This Row],[RelativePath]])</f>
        <v>13 Склад хол\K07156189_23_20260220T102746Z.jpg</v>
      </c>
    </row>
    <row r="199" spans="1:13" x14ac:dyDescent="0.25">
      <c r="A199" s="2" t="s">
        <v>17</v>
      </c>
      <c r="B199" s="4">
        <v>46073</v>
      </c>
      <c r="C199" s="5">
        <v>0.62873842592592588</v>
      </c>
      <c r="D199" s="9" t="s">
        <v>623</v>
      </c>
      <c r="E199" s="9" t="s">
        <v>86</v>
      </c>
      <c r="F199" s="9"/>
      <c r="H199" s="9"/>
      <c r="I199" s="9" t="s">
        <v>12420</v>
      </c>
      <c r="J199" s="9" t="s">
        <v>2943</v>
      </c>
      <c r="K199" t="s">
        <v>12421</v>
      </c>
      <c r="L199" t="s">
        <v>12422</v>
      </c>
      <c r="M199" s="3" t="str">
        <f>HYPERLINK(склад2въезд131920212223789[[#This Row],[RelativePath]])</f>
        <v>13 Склад хол\K07156189_23_20260220T150523Z.jpg</v>
      </c>
    </row>
    <row r="200" spans="1:13" x14ac:dyDescent="0.25">
      <c r="A200" s="2" t="s">
        <v>18</v>
      </c>
      <c r="B200" s="4">
        <v>46074</v>
      </c>
      <c r="C200" s="5">
        <v>0.42924768518518519</v>
      </c>
      <c r="D200" s="9" t="s">
        <v>4</v>
      </c>
      <c r="E200" s="9" t="s">
        <v>8</v>
      </c>
      <c r="F200" s="9"/>
      <c r="H200" s="9"/>
      <c r="I200" s="9" t="s">
        <v>12512</v>
      </c>
      <c r="J200" s="9" t="s">
        <v>2943</v>
      </c>
      <c r="K200" t="s">
        <v>12513</v>
      </c>
      <c r="L200" t="s">
        <v>12514</v>
      </c>
      <c r="M200" s="3" t="str">
        <f>HYPERLINK(склад2въезд131920212223789[[#This Row],[RelativePath]])</f>
        <v>13 Склад хол\K07156189_23_20260221T101807Z.jpg</v>
      </c>
    </row>
    <row r="201" spans="1:13" x14ac:dyDescent="0.25">
      <c r="A201" s="2" t="s">
        <v>18</v>
      </c>
      <c r="B201" s="4">
        <v>46074</v>
      </c>
      <c r="C201" s="5">
        <v>0.70633101851851854</v>
      </c>
      <c r="D201" s="9" t="s">
        <v>1967</v>
      </c>
      <c r="E201" s="9" t="s">
        <v>8</v>
      </c>
      <c r="F201" s="9"/>
      <c r="H201" s="9"/>
      <c r="I201" s="9" t="s">
        <v>12515</v>
      </c>
      <c r="J201" s="9" t="s">
        <v>2943</v>
      </c>
      <c r="K201" t="s">
        <v>12516</v>
      </c>
      <c r="L201" t="s">
        <v>12517</v>
      </c>
      <c r="M201" s="3" t="str">
        <f>HYPERLINK(склад2въезд131920212223789[[#This Row],[RelativePath]])</f>
        <v>13 Склад хол\K07156189_23_20260221T165707Z.jpg</v>
      </c>
    </row>
    <row r="202" spans="1:13" x14ac:dyDescent="0.25">
      <c r="A202" s="2" t="s">
        <v>22</v>
      </c>
      <c r="B202" s="4">
        <v>46075</v>
      </c>
      <c r="C202" s="5">
        <v>0.74950231481481477</v>
      </c>
      <c r="D202" s="9" t="s">
        <v>1967</v>
      </c>
      <c r="E202" s="9" t="s">
        <v>8</v>
      </c>
      <c r="F202" s="9"/>
      <c r="H202" s="9"/>
      <c r="I202" s="9" t="s">
        <v>12518</v>
      </c>
      <c r="J202" s="9" t="s">
        <v>2943</v>
      </c>
      <c r="K202" t="s">
        <v>12519</v>
      </c>
      <c r="L202" t="s">
        <v>12520</v>
      </c>
      <c r="M202" s="3" t="str">
        <f>HYPERLINK(склад2въезд131920212223789[[#This Row],[RelativePath]])</f>
        <v>13 Склад хол\K07156189_23_20260222T175917Z.jpg</v>
      </c>
    </row>
    <row r="203" spans="1:13" x14ac:dyDescent="0.25">
      <c r="A203" s="2" t="s">
        <v>13</v>
      </c>
      <c r="B203" s="4">
        <v>46076</v>
      </c>
      <c r="C203" s="5">
        <v>0.76923611111111112</v>
      </c>
      <c r="D203" s="9" t="s">
        <v>1967</v>
      </c>
      <c r="E203" s="9" t="s">
        <v>8</v>
      </c>
      <c r="F203" s="9"/>
      <c r="H203" s="9"/>
      <c r="I203" s="9" t="s">
        <v>12764</v>
      </c>
      <c r="J203" s="9" t="s">
        <v>2943</v>
      </c>
      <c r="K203" t="s">
        <v>12765</v>
      </c>
      <c r="L203" t="s">
        <v>12766</v>
      </c>
      <c r="M203" s="3" t="str">
        <f>HYPERLINK(склад2въезд131920212223789[[#This Row],[RelativePath]])</f>
        <v>13 Склад хол\K07156189_23_20260223T182742Z.jpg</v>
      </c>
    </row>
    <row r="204" spans="1:13" x14ac:dyDescent="0.25">
      <c r="A204" s="2" t="s">
        <v>14</v>
      </c>
      <c r="B204" s="4">
        <v>46077</v>
      </c>
      <c r="C204" s="5">
        <v>0.71371527777777777</v>
      </c>
      <c r="D204" s="9"/>
      <c r="E204" s="9"/>
      <c r="F204" s="9"/>
      <c r="H204" s="9"/>
      <c r="I204" s="9" t="s">
        <v>13187</v>
      </c>
      <c r="J204" s="9" t="s">
        <v>13188</v>
      </c>
      <c r="K204" t="s">
        <v>13189</v>
      </c>
      <c r="L204" t="s">
        <v>13190</v>
      </c>
      <c r="M204" s="3" t="str">
        <f>HYPERLINK(склад2въезд131920212223789[[#This Row],[RelativePath]])</f>
        <v>13 Склад хол\K07156189_23_20260224T170745Z.jpg</v>
      </c>
    </row>
    <row r="205" spans="1:13" x14ac:dyDescent="0.25">
      <c r="A205" s="2" t="s">
        <v>15</v>
      </c>
      <c r="B205" s="4">
        <v>46078</v>
      </c>
      <c r="C205" s="5">
        <v>0.3198611111111111</v>
      </c>
      <c r="D205" s="9"/>
      <c r="E205" s="9"/>
      <c r="F205" s="9"/>
      <c r="H205" s="9"/>
      <c r="I205" s="9" t="s">
        <v>13191</v>
      </c>
      <c r="J205" s="9" t="s">
        <v>13188</v>
      </c>
      <c r="K205" t="s">
        <v>13192</v>
      </c>
      <c r="L205" t="s">
        <v>13193</v>
      </c>
      <c r="M205" s="3" t="str">
        <f>HYPERLINK(склад2въезд131920212223789[[#This Row],[RelativePath]])</f>
        <v>13 Склад хол\K07156189_23_20260225T074036Z.jpg</v>
      </c>
    </row>
    <row r="206" spans="1:13" x14ac:dyDescent="0.25">
      <c r="A206" s="2" t="s">
        <v>15</v>
      </c>
      <c r="B206" s="4">
        <v>46078</v>
      </c>
      <c r="C206" s="5">
        <v>0.37285879629629631</v>
      </c>
      <c r="D206" s="9"/>
      <c r="E206" s="9"/>
      <c r="F206" s="9"/>
      <c r="H206" s="9"/>
      <c r="I206" s="9" t="s">
        <v>13194</v>
      </c>
      <c r="J206" s="9" t="s">
        <v>13188</v>
      </c>
      <c r="K206" t="s">
        <v>13195</v>
      </c>
      <c r="L206" t="s">
        <v>13196</v>
      </c>
      <c r="M206" s="3" t="str">
        <f>HYPERLINK(склад2въезд131920212223789[[#This Row],[RelativePath]])</f>
        <v>13 Склад хол\K07156189_23_20260225T085655Z.jpg</v>
      </c>
    </row>
    <row r="207" spans="1:13" x14ac:dyDescent="0.25">
      <c r="A207" s="2" t="s">
        <v>15</v>
      </c>
      <c r="B207" s="4">
        <v>46078</v>
      </c>
      <c r="C207" s="5">
        <v>0.38177083333333334</v>
      </c>
      <c r="D207" s="9"/>
      <c r="E207" s="9"/>
      <c r="F207" s="9"/>
      <c r="H207" s="9"/>
      <c r="I207" s="9" t="s">
        <v>13197</v>
      </c>
      <c r="J207" s="9" t="s">
        <v>13188</v>
      </c>
      <c r="K207" t="s">
        <v>13198</v>
      </c>
      <c r="L207" t="s">
        <v>13199</v>
      </c>
      <c r="M207" s="3" t="str">
        <f>HYPERLINK(склад2въезд131920212223789[[#This Row],[RelativePath]])</f>
        <v>13 Склад хол\K07156189_23_20260225T090945Z.jpg</v>
      </c>
    </row>
    <row r="208" spans="1:13" x14ac:dyDescent="0.25">
      <c r="A208" s="2" t="s">
        <v>15</v>
      </c>
      <c r="B208" s="4">
        <v>46078</v>
      </c>
      <c r="C208" s="5">
        <v>0.48243055555555553</v>
      </c>
      <c r="D208" s="9"/>
      <c r="E208" s="9"/>
      <c r="F208" s="9"/>
      <c r="H208" s="9"/>
      <c r="I208" s="9" t="s">
        <v>13200</v>
      </c>
      <c r="J208" s="9" t="s">
        <v>13188</v>
      </c>
      <c r="K208" t="s">
        <v>13201</v>
      </c>
      <c r="L208" t="s">
        <v>13202</v>
      </c>
      <c r="M208" s="3" t="str">
        <f>HYPERLINK(склад2въезд131920212223789[[#This Row],[RelativePath]])</f>
        <v>13 Склад хол\K07156189_23_20260225T113442Z.jpg</v>
      </c>
    </row>
    <row r="209" spans="1:13" x14ac:dyDescent="0.25">
      <c r="A209" s="2" t="s">
        <v>15</v>
      </c>
      <c r="B209" s="4">
        <v>46078</v>
      </c>
      <c r="C209" s="5">
        <v>0.73026620370370365</v>
      </c>
      <c r="D209" s="9"/>
      <c r="E209" s="9"/>
      <c r="F209" s="9"/>
      <c r="H209" s="9"/>
      <c r="I209" s="9" t="s">
        <v>13203</v>
      </c>
      <c r="J209" s="9" t="s">
        <v>13188</v>
      </c>
      <c r="K209" t="s">
        <v>13204</v>
      </c>
      <c r="L209" t="s">
        <v>13205</v>
      </c>
      <c r="M209" s="3" t="str">
        <f>HYPERLINK(склад2въезд131920212223789[[#This Row],[RelativePath]])</f>
        <v>13 Склад хол\K07156189_23_20260225T173135Z.jpg</v>
      </c>
    </row>
  </sheetData>
  <conditionalFormatting sqref="D210:D220 E210:E223 G2:H209 D2:E209">
    <cfRule type="containsText" dxfId="234" priority="14" operator="containsText" text="Выезд с территории">
      <formula>NOT(ISERROR(SEARCH("Выезд с территории",D2)))</formula>
    </cfRule>
  </conditionalFormatting>
  <conditionalFormatting sqref="F2:F209">
    <cfRule type="notContainsText" dxfId="233" priority="13" operator="notContains" text="порожний">
      <formula>ISERROR(SEARCH("порожний",F2))</formula>
    </cfRule>
  </conditionalFormatting>
  <conditionalFormatting sqref="E2:E223">
    <cfRule type="containsText" dxfId="232" priority="11" operator="containsText" text="Газель базы">
      <formula>NOT(ISERROR(SEARCH("Газель базы",E2)))</formula>
    </cfRule>
    <cfRule type="containsText" dxfId="231" priority="12" operator="containsText" text="Погрузчик базы">
      <formula>NOT(ISERROR(SEARCH("Погрузчик базы",E2)))</formula>
    </cfRule>
  </conditionalFormatting>
  <conditionalFormatting sqref="E2:E223">
    <cfRule type="containsText" dxfId="230" priority="10" operator="containsText" text="Трактор базы">
      <formula>NOT(ISERROR(SEARCH("Трактор базы",E2)))</formula>
    </cfRule>
  </conditionalFormatting>
  <conditionalFormatting sqref="A2:C209">
    <cfRule type="expression" dxfId="229" priority="9">
      <formula>$A2="пн"</formula>
    </cfRule>
  </conditionalFormatting>
  <conditionalFormatting sqref="A2:C211">
    <cfRule type="expression" dxfId="228" priority="3">
      <formula>$A2="вс"</formula>
    </cfRule>
    <cfRule type="expression" dxfId="227" priority="4">
      <formula>$A2="сб"</formula>
    </cfRule>
    <cfRule type="expression" dxfId="226" priority="5">
      <formula>$A2="пт"</formula>
    </cfRule>
    <cfRule type="expression" dxfId="225" priority="6">
      <formula>$A2="чт"</formula>
    </cfRule>
    <cfRule type="expression" dxfId="224" priority="7">
      <formula>$A2="ср"</formula>
    </cfRule>
    <cfRule type="expression" dxfId="223" priority="8">
      <formula>$A2="вт"</formula>
    </cfRule>
  </conditionalFormatting>
  <conditionalFormatting sqref="D2:D220">
    <cfRule type="containsText" dxfId="222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20">
    <cfRule type="containsText" dxfId="221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047-3080-4A4D-9D5D-FE106FEAF6CC}">
  <sheetPr>
    <tabColor theme="8" tint="-0.499984740745262"/>
  </sheetPr>
  <dimension ref="A1:M37"/>
  <sheetViews>
    <sheetView zoomScale="90" zoomScaleNormal="90" workbookViewId="0">
      <pane ySplit="1" topLeftCell="A14" activePane="bottomLeft" state="frozen"/>
      <selection pane="bottomLeft" activeCell="I29" sqref="I29:I31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22.42578125" bestFit="1" customWidth="1"/>
    <col min="5" max="5" width="36.28515625" bestFit="1" customWidth="1"/>
    <col min="6" max="6" width="5" customWidth="1"/>
    <col min="7" max="7" width="7.28515625" style="8" bestFit="1" customWidth="1"/>
    <col min="8" max="8" width="12.7109375" bestFit="1" customWidth="1"/>
    <col min="9" max="9" width="35.855468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s="8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14</v>
      </c>
      <c r="B2" s="4">
        <v>46070</v>
      </c>
      <c r="C2" s="5">
        <v>0.68791666666666662</v>
      </c>
      <c r="D2" s="9" t="s">
        <v>4</v>
      </c>
      <c r="E2" s="9" t="s">
        <v>8</v>
      </c>
      <c r="F2" s="9"/>
      <c r="H2" s="9"/>
      <c r="I2" s="9" t="s">
        <v>12034</v>
      </c>
      <c r="J2" s="9" t="s">
        <v>12277</v>
      </c>
      <c r="K2" t="s">
        <v>12035</v>
      </c>
      <c r="L2" t="s">
        <v>12036</v>
      </c>
      <c r="M2" s="3" t="str">
        <f>HYPERLINK(склад2въезд131920212223789106[[#This Row],[RelativePath]])</f>
        <v>14 На гаражи\GD7678666_1_20260217T163036Z.jpg</v>
      </c>
    </row>
    <row r="3" spans="1:13" x14ac:dyDescent="0.25">
      <c r="A3" s="2" t="s">
        <v>15</v>
      </c>
      <c r="B3" s="4">
        <v>46071</v>
      </c>
      <c r="C3" s="5">
        <v>0.50854166666666667</v>
      </c>
      <c r="D3" s="9" t="s">
        <v>12234</v>
      </c>
      <c r="E3" s="9" t="s">
        <v>12222</v>
      </c>
      <c r="F3" s="9"/>
      <c r="H3" s="9"/>
      <c r="I3" s="9" t="s">
        <v>12037</v>
      </c>
      <c r="J3" s="9" t="s">
        <v>12277</v>
      </c>
      <c r="K3" t="s">
        <v>12038</v>
      </c>
      <c r="L3" t="s">
        <v>12039</v>
      </c>
      <c r="M3" s="3" t="str">
        <f>HYPERLINK(склад2въезд131920212223789106[[#This Row],[RelativePath]])</f>
        <v>14 На гаражи\GD7678666_1_20260218T121218Z.jpg</v>
      </c>
    </row>
    <row r="4" spans="1:13" x14ac:dyDescent="0.25">
      <c r="A4" s="2" t="s">
        <v>16</v>
      </c>
      <c r="B4" s="4">
        <v>46072</v>
      </c>
      <c r="C4" s="5">
        <v>0.64526620370370369</v>
      </c>
      <c r="D4" s="9" t="s">
        <v>4</v>
      </c>
      <c r="E4" s="9" t="s">
        <v>8</v>
      </c>
      <c r="F4" s="9"/>
      <c r="H4" s="9"/>
      <c r="I4" s="9" t="s">
        <v>12348</v>
      </c>
      <c r="J4" s="9" t="s">
        <v>12277</v>
      </c>
      <c r="K4" t="s">
        <v>12349</v>
      </c>
      <c r="L4" t="s">
        <v>12350</v>
      </c>
      <c r="M4" s="3" t="str">
        <f>HYPERLINK(склад2въезд131920212223789106[[#This Row],[RelativePath]])</f>
        <v>14 На гаражи\GD7678666_1_20260219T152911Z.jpg</v>
      </c>
    </row>
    <row r="5" spans="1:13" x14ac:dyDescent="0.25">
      <c r="A5" s="2" t="s">
        <v>16</v>
      </c>
      <c r="B5" s="4">
        <v>46072</v>
      </c>
      <c r="C5" s="5">
        <v>0.6557291666666667</v>
      </c>
      <c r="D5" s="9" t="s">
        <v>11811</v>
      </c>
      <c r="E5" s="9"/>
      <c r="F5" s="9"/>
      <c r="H5" s="9"/>
      <c r="I5" s="9" t="s">
        <v>12351</v>
      </c>
      <c r="J5" s="9" t="s">
        <v>12277</v>
      </c>
      <c r="K5" t="s">
        <v>12352</v>
      </c>
      <c r="L5" t="s">
        <v>12353</v>
      </c>
      <c r="M5" s="3" t="str">
        <f>HYPERLINK(склад2въезд131920212223789106[[#This Row],[RelativePath]])</f>
        <v>14 На гаражи\GD7678666_1_20260219T154415Z.jpg</v>
      </c>
    </row>
    <row r="6" spans="1:13" x14ac:dyDescent="0.25">
      <c r="A6" s="2" t="s">
        <v>17</v>
      </c>
      <c r="B6" s="4">
        <v>46073</v>
      </c>
      <c r="C6" s="5">
        <v>0.51657407407407407</v>
      </c>
      <c r="D6" s="9" t="s">
        <v>12452</v>
      </c>
      <c r="E6" s="9" t="s">
        <v>86</v>
      </c>
      <c r="F6" s="9"/>
      <c r="H6" s="9"/>
      <c r="I6" s="9" t="s">
        <v>12423</v>
      </c>
      <c r="J6" s="9" t="s">
        <v>12277</v>
      </c>
      <c r="K6" t="s">
        <v>12424</v>
      </c>
      <c r="L6" t="s">
        <v>12425</v>
      </c>
      <c r="M6" s="3" t="str">
        <f>HYPERLINK(склад2въезд131920212223789106[[#This Row],[RelativePath]])</f>
        <v>14 На гаражи\GD7678666_1_20260220T122352Z.jpg</v>
      </c>
    </row>
    <row r="7" spans="1:13" x14ac:dyDescent="0.25">
      <c r="A7" s="2" t="s">
        <v>17</v>
      </c>
      <c r="B7" s="4">
        <v>46073</v>
      </c>
      <c r="C7" s="5">
        <v>0.61775462962962968</v>
      </c>
      <c r="D7" s="9" t="s">
        <v>7</v>
      </c>
      <c r="E7" s="9"/>
      <c r="F7" s="9"/>
      <c r="H7" s="9"/>
      <c r="I7" s="9" t="s">
        <v>12426</v>
      </c>
      <c r="J7" s="9" t="s">
        <v>12277</v>
      </c>
      <c r="K7" t="s">
        <v>12427</v>
      </c>
      <c r="L7" t="s">
        <v>12428</v>
      </c>
      <c r="M7" s="3" t="str">
        <f>HYPERLINK(склад2въезд131920212223789106[[#This Row],[RelativePath]])</f>
        <v>14 На гаражи\GD7678666_1_20260220T144934Z.jpg</v>
      </c>
    </row>
    <row r="8" spans="1:13" x14ac:dyDescent="0.25">
      <c r="A8" s="2" t="s">
        <v>17</v>
      </c>
      <c r="B8" s="4">
        <v>46073</v>
      </c>
      <c r="C8" s="5">
        <v>0.62700231481481483</v>
      </c>
      <c r="D8" s="9" t="s">
        <v>4</v>
      </c>
      <c r="E8" s="9" t="s">
        <v>8</v>
      </c>
      <c r="F8" s="9"/>
      <c r="H8" s="9"/>
      <c r="I8" s="9" t="s">
        <v>12429</v>
      </c>
      <c r="J8" s="9" t="s">
        <v>12277</v>
      </c>
      <c r="K8" t="s">
        <v>12430</v>
      </c>
      <c r="L8" t="s">
        <v>12431</v>
      </c>
      <c r="M8" s="3" t="str">
        <f>HYPERLINK(склад2въезд131920212223789106[[#This Row],[RelativePath]])</f>
        <v>14 На гаражи\GD7678666_1_20260220T150253Z.jpg</v>
      </c>
    </row>
    <row r="9" spans="1:13" x14ac:dyDescent="0.25">
      <c r="A9" s="2" t="s">
        <v>17</v>
      </c>
      <c r="B9" s="4">
        <v>46073</v>
      </c>
      <c r="C9" s="5">
        <v>0.73851851851851846</v>
      </c>
      <c r="D9" s="9" t="s">
        <v>4</v>
      </c>
      <c r="E9" s="9" t="s">
        <v>8</v>
      </c>
      <c r="F9" s="9"/>
      <c r="H9" s="9" t="s">
        <v>2891</v>
      </c>
      <c r="I9" s="9" t="s">
        <v>12432</v>
      </c>
      <c r="J9" s="9" t="s">
        <v>12277</v>
      </c>
      <c r="K9" t="s">
        <v>12433</v>
      </c>
      <c r="L9" t="s">
        <v>12434</v>
      </c>
      <c r="M9" s="3" t="str">
        <f>HYPERLINK(склад2въезд131920212223789106[[#This Row],[RelativePath]])</f>
        <v>14 На гаражи\GD7678666_1_20260220T174328Z.jpg</v>
      </c>
    </row>
    <row r="10" spans="1:13" x14ac:dyDescent="0.25">
      <c r="A10" s="2" t="s">
        <v>17</v>
      </c>
      <c r="B10" s="4">
        <v>46073</v>
      </c>
      <c r="C10" s="5">
        <v>0.7446990740740741</v>
      </c>
      <c r="D10" s="9" t="s">
        <v>4</v>
      </c>
      <c r="E10" s="9" t="s">
        <v>8</v>
      </c>
      <c r="F10" s="9"/>
      <c r="H10" s="9" t="s">
        <v>2891</v>
      </c>
      <c r="I10" s="9" t="s">
        <v>12435</v>
      </c>
      <c r="J10" s="9" t="s">
        <v>12277</v>
      </c>
      <c r="K10" t="s">
        <v>12436</v>
      </c>
      <c r="L10" t="s">
        <v>12437</v>
      </c>
      <c r="M10" s="3" t="str">
        <f>HYPERLINK(склад2въезд131920212223789106[[#This Row],[RelativePath]])</f>
        <v>14 На гаражи\GD7678666_1_20260220T175222Z.jpg</v>
      </c>
    </row>
    <row r="11" spans="1:13" x14ac:dyDescent="0.25">
      <c r="A11" s="2" t="s">
        <v>17</v>
      </c>
      <c r="B11" s="4">
        <v>46073</v>
      </c>
      <c r="C11" s="5">
        <v>0.765162037037037</v>
      </c>
      <c r="D11" s="9" t="s">
        <v>12231</v>
      </c>
      <c r="E11" s="9"/>
      <c r="F11" s="9"/>
      <c r="H11" s="9"/>
      <c r="I11" s="9" t="s">
        <v>12438</v>
      </c>
      <c r="J11" s="9" t="s">
        <v>12277</v>
      </c>
      <c r="K11" t="s">
        <v>12439</v>
      </c>
      <c r="L11" t="s">
        <v>12440</v>
      </c>
      <c r="M11" s="3" t="str">
        <f>HYPERLINK(склад2въезд131920212223789106[[#This Row],[RelativePath]])</f>
        <v>14 На гаражи\GD7678666_1_20260220T182150Z.jpg</v>
      </c>
    </row>
    <row r="12" spans="1:13" x14ac:dyDescent="0.25">
      <c r="A12" s="2" t="s">
        <v>17</v>
      </c>
      <c r="B12" s="4">
        <v>46073</v>
      </c>
      <c r="C12" s="5">
        <v>0.77432870370370366</v>
      </c>
      <c r="D12" s="9" t="s">
        <v>12231</v>
      </c>
      <c r="E12" s="9"/>
      <c r="F12" s="9"/>
      <c r="H12" s="9"/>
      <c r="I12" s="9" t="s">
        <v>12441</v>
      </c>
      <c r="J12" s="9" t="s">
        <v>12277</v>
      </c>
      <c r="K12" t="s">
        <v>12442</v>
      </c>
      <c r="L12" t="s">
        <v>12443</v>
      </c>
      <c r="M12" s="3" t="str">
        <f>HYPERLINK(склад2въезд131920212223789106[[#This Row],[RelativePath]])</f>
        <v>14 На гаражи\GD7678666_1_20260220T183502Z.jpg</v>
      </c>
    </row>
    <row r="13" spans="1:13" x14ac:dyDescent="0.25">
      <c r="A13" s="2" t="s">
        <v>17</v>
      </c>
      <c r="B13" s="4">
        <v>46073</v>
      </c>
      <c r="C13" s="5">
        <v>0.7988425925925926</v>
      </c>
      <c r="D13" s="9" t="s">
        <v>4</v>
      </c>
      <c r="E13" s="9" t="s">
        <v>8</v>
      </c>
      <c r="F13" s="9"/>
      <c r="H13" s="9"/>
      <c r="I13" s="9" t="s">
        <v>12444</v>
      </c>
      <c r="J13" s="9" t="s">
        <v>12277</v>
      </c>
      <c r="K13" t="s">
        <v>12445</v>
      </c>
      <c r="L13" t="s">
        <v>12446</v>
      </c>
      <c r="M13" s="3" t="str">
        <f>HYPERLINK(склад2въезд131920212223789106[[#This Row],[RelativePath]])</f>
        <v>14 На гаражи\GD7678666_1_20260220T191020Z.jpg</v>
      </c>
    </row>
    <row r="14" spans="1:13" x14ac:dyDescent="0.25">
      <c r="A14" s="2" t="s">
        <v>18</v>
      </c>
      <c r="B14" s="4">
        <v>46074</v>
      </c>
      <c r="C14" s="5">
        <v>0.39398148148148149</v>
      </c>
      <c r="D14" s="9" t="s">
        <v>12231</v>
      </c>
      <c r="E14" s="9"/>
      <c r="F14" s="9"/>
      <c r="H14" s="9"/>
      <c r="I14" s="9" t="s">
        <v>12521</v>
      </c>
      <c r="J14" s="9" t="s">
        <v>12277</v>
      </c>
      <c r="K14" t="s">
        <v>12522</v>
      </c>
      <c r="L14" t="s">
        <v>12523</v>
      </c>
      <c r="M14" s="3" t="str">
        <f>HYPERLINK(склад2въезд131920212223789106[[#This Row],[RelativePath]])</f>
        <v>14 На гаражи\GD7678666_1_20260221T092720Z.jpg</v>
      </c>
    </row>
    <row r="15" spans="1:13" x14ac:dyDescent="0.25">
      <c r="A15" s="2" t="s">
        <v>18</v>
      </c>
      <c r="B15" s="4">
        <v>46074</v>
      </c>
      <c r="C15" s="5">
        <v>0.47184027777777776</v>
      </c>
      <c r="D15" s="9" t="s">
        <v>12231</v>
      </c>
      <c r="E15" s="9"/>
      <c r="F15" s="9"/>
      <c r="H15" s="9"/>
      <c r="I15" s="9" t="s">
        <v>12524</v>
      </c>
      <c r="J15" s="9" t="s">
        <v>12277</v>
      </c>
      <c r="K15" t="s">
        <v>12525</v>
      </c>
      <c r="L15" t="s">
        <v>12526</v>
      </c>
      <c r="M15" s="3" t="str">
        <f>HYPERLINK(склад2въезд131920212223789106[[#This Row],[RelativePath]])</f>
        <v>14 На гаражи\GD7678666_1_20260221T111927Z.jpg</v>
      </c>
    </row>
    <row r="16" spans="1:13" x14ac:dyDescent="0.25">
      <c r="A16" s="2" t="s">
        <v>18</v>
      </c>
      <c r="B16" s="4">
        <v>46074</v>
      </c>
      <c r="C16" s="5">
        <v>0.66295138888888894</v>
      </c>
      <c r="D16" s="9" t="s">
        <v>12231</v>
      </c>
      <c r="E16" s="9"/>
      <c r="F16" s="9"/>
      <c r="H16" s="9"/>
      <c r="I16" s="9" t="s">
        <v>12527</v>
      </c>
      <c r="J16" s="9" t="s">
        <v>12277</v>
      </c>
      <c r="K16" t="s">
        <v>12528</v>
      </c>
      <c r="L16" t="s">
        <v>12529</v>
      </c>
      <c r="M16" s="3" t="str">
        <f>HYPERLINK(склад2въезд131920212223789106[[#This Row],[RelativePath]])</f>
        <v>14 На гаражи\GD7678666_1_20260221T155439Z.jpg</v>
      </c>
    </row>
    <row r="17" spans="1:13" x14ac:dyDescent="0.25">
      <c r="A17" s="2" t="s">
        <v>18</v>
      </c>
      <c r="B17" s="4">
        <v>46074</v>
      </c>
      <c r="C17" s="5">
        <v>0.68960648148148151</v>
      </c>
      <c r="D17" s="9" t="s">
        <v>12231</v>
      </c>
      <c r="E17" s="9"/>
      <c r="F17" s="9"/>
      <c r="H17" s="9"/>
      <c r="I17" s="9" t="s">
        <v>12530</v>
      </c>
      <c r="J17" s="9" t="s">
        <v>12277</v>
      </c>
      <c r="K17" t="s">
        <v>12531</v>
      </c>
      <c r="L17" t="s">
        <v>12532</v>
      </c>
      <c r="M17" s="3" t="str">
        <f>HYPERLINK(склад2въезд131920212223789106[[#This Row],[RelativePath]])</f>
        <v>14 На гаражи\GD7678666_1_20260221T163302Z.jpg</v>
      </c>
    </row>
    <row r="18" spans="1:13" x14ac:dyDescent="0.25">
      <c r="A18" s="2" t="s">
        <v>18</v>
      </c>
      <c r="B18" s="4">
        <v>46074</v>
      </c>
      <c r="C18" s="5">
        <v>0.79899305555555555</v>
      </c>
      <c r="D18" s="9" t="s">
        <v>12231</v>
      </c>
      <c r="E18" s="9"/>
      <c r="F18" s="9"/>
      <c r="H18" s="9"/>
      <c r="I18" s="9" t="s">
        <v>12533</v>
      </c>
      <c r="J18" s="9" t="s">
        <v>12277</v>
      </c>
      <c r="K18" t="s">
        <v>12534</v>
      </c>
      <c r="L18" t="s">
        <v>12535</v>
      </c>
      <c r="M18" s="3" t="str">
        <f>HYPERLINK(склад2въезд131920212223789106[[#This Row],[RelativePath]])</f>
        <v>14 На гаражи\GD7678666_1_20260221T191033Z.jpg</v>
      </c>
    </row>
    <row r="19" spans="1:13" x14ac:dyDescent="0.25">
      <c r="A19" s="2" t="s">
        <v>18</v>
      </c>
      <c r="B19" s="4">
        <v>46074</v>
      </c>
      <c r="C19" s="5">
        <v>0.80826388888888889</v>
      </c>
      <c r="D19" s="9" t="s">
        <v>12231</v>
      </c>
      <c r="E19" s="9"/>
      <c r="F19" s="9"/>
      <c r="H19" s="9"/>
      <c r="I19" s="9" t="s">
        <v>12536</v>
      </c>
      <c r="J19" s="9" t="s">
        <v>12277</v>
      </c>
      <c r="K19" t="s">
        <v>12537</v>
      </c>
      <c r="L19" t="s">
        <v>12538</v>
      </c>
      <c r="M19" s="3" t="str">
        <f>HYPERLINK(склад2въезд131920212223789106[[#This Row],[RelativePath]])</f>
        <v>14 На гаражи\GD7678666_1_20260221T192354Z.jpg</v>
      </c>
    </row>
    <row r="20" spans="1:13" x14ac:dyDescent="0.25">
      <c r="A20" s="2" t="s">
        <v>18</v>
      </c>
      <c r="B20" s="4">
        <v>46074</v>
      </c>
      <c r="C20" s="5">
        <v>0.81733796296296302</v>
      </c>
      <c r="D20" s="9" t="s">
        <v>12231</v>
      </c>
      <c r="E20" s="9"/>
      <c r="F20" s="9"/>
      <c r="H20" s="9"/>
      <c r="I20" s="9" t="s">
        <v>12539</v>
      </c>
      <c r="J20" s="9" t="s">
        <v>12277</v>
      </c>
      <c r="K20" t="s">
        <v>12540</v>
      </c>
      <c r="L20" t="s">
        <v>12541</v>
      </c>
      <c r="M20" s="3" t="str">
        <f>HYPERLINK(склад2въезд131920212223789106[[#This Row],[RelativePath]])</f>
        <v>14 На гаражи\GD7678666_1_20260221T193658Z.jpg</v>
      </c>
    </row>
    <row r="21" spans="1:13" x14ac:dyDescent="0.25">
      <c r="A21" s="2" t="s">
        <v>18</v>
      </c>
      <c r="B21" s="4">
        <v>46074</v>
      </c>
      <c r="C21" s="5">
        <v>0.82600694444444445</v>
      </c>
      <c r="D21" s="9" t="s">
        <v>12231</v>
      </c>
      <c r="E21" s="9"/>
      <c r="F21" s="9"/>
      <c r="H21" s="9"/>
      <c r="I21" s="9" t="s">
        <v>12542</v>
      </c>
      <c r="J21" s="9" t="s">
        <v>12277</v>
      </c>
      <c r="K21" t="s">
        <v>12543</v>
      </c>
      <c r="L21" t="s">
        <v>12544</v>
      </c>
      <c r="M21" s="3" t="str">
        <f>HYPERLINK(склад2въезд131920212223789106[[#This Row],[RelativePath]])</f>
        <v>14 На гаражи\GD7678666_1_20260221T194927Z.jpg</v>
      </c>
    </row>
    <row r="22" spans="1:13" x14ac:dyDescent="0.25">
      <c r="A22" s="2" t="s">
        <v>22</v>
      </c>
      <c r="B22" s="4">
        <v>46075</v>
      </c>
      <c r="C22" s="5">
        <v>0.36042824074074076</v>
      </c>
      <c r="D22" s="9" t="s">
        <v>4</v>
      </c>
      <c r="E22" s="9" t="s">
        <v>8</v>
      </c>
      <c r="F22" s="9"/>
      <c r="H22" s="9"/>
      <c r="I22" s="9" t="s">
        <v>12545</v>
      </c>
      <c r="J22" s="9" t="s">
        <v>12277</v>
      </c>
      <c r="K22" t="s">
        <v>12546</v>
      </c>
      <c r="L22" t="s">
        <v>12547</v>
      </c>
      <c r="M22" s="3" t="str">
        <f>HYPERLINK(склад2въезд131920212223789106[[#This Row],[RelativePath]])</f>
        <v>14 На гаражи\GD7678666_1_20260222T083901Z.jpg</v>
      </c>
    </row>
    <row r="23" spans="1:13" x14ac:dyDescent="0.25">
      <c r="A23" s="2" t="s">
        <v>22</v>
      </c>
      <c r="B23" s="4">
        <v>46075</v>
      </c>
      <c r="C23" s="5">
        <v>0.3848611111111111</v>
      </c>
      <c r="D23" s="9" t="s">
        <v>12231</v>
      </c>
      <c r="E23" s="9"/>
      <c r="F23" s="9"/>
      <c r="H23" s="9"/>
      <c r="I23" s="9" t="s">
        <v>12548</v>
      </c>
      <c r="J23" s="9" t="s">
        <v>12277</v>
      </c>
      <c r="K23" t="s">
        <v>12549</v>
      </c>
      <c r="L23" t="s">
        <v>12550</v>
      </c>
      <c r="M23" s="3" t="str">
        <f>HYPERLINK(склад2въезд131920212223789106[[#This Row],[RelativePath]])</f>
        <v>14 На гаражи\GD7678666_1_20260222T091412Z.jpg</v>
      </c>
    </row>
    <row r="24" spans="1:13" x14ac:dyDescent="0.25">
      <c r="A24" s="2" t="s">
        <v>22</v>
      </c>
      <c r="B24" s="4">
        <v>46075</v>
      </c>
      <c r="C24" s="5">
        <v>0.45</v>
      </c>
      <c r="D24" s="9" t="s">
        <v>12231</v>
      </c>
      <c r="E24" s="9"/>
      <c r="F24" s="9"/>
      <c r="H24" s="9"/>
      <c r="I24" s="9" t="s">
        <v>12551</v>
      </c>
      <c r="J24" s="9" t="s">
        <v>12277</v>
      </c>
      <c r="K24" t="s">
        <v>12552</v>
      </c>
      <c r="L24" t="s">
        <v>12553</v>
      </c>
      <c r="M24" s="3" t="str">
        <f>HYPERLINK(склад2въезд131920212223789106[[#This Row],[RelativePath]])</f>
        <v>14 На гаражи\GD7678666_1_20260222T104800Z.jpg</v>
      </c>
    </row>
    <row r="25" spans="1:13" x14ac:dyDescent="0.25">
      <c r="A25" s="2" t="s">
        <v>22</v>
      </c>
      <c r="B25" s="4">
        <v>46075</v>
      </c>
      <c r="C25" s="5">
        <v>0.59660879629629626</v>
      </c>
      <c r="D25" s="9" t="s">
        <v>12231</v>
      </c>
      <c r="E25" s="9"/>
      <c r="F25" s="9"/>
      <c r="H25" s="9"/>
      <c r="I25" s="9" t="s">
        <v>12554</v>
      </c>
      <c r="J25" s="9" t="s">
        <v>12277</v>
      </c>
      <c r="K25" t="s">
        <v>12555</v>
      </c>
      <c r="L25" t="s">
        <v>12556</v>
      </c>
      <c r="M25" s="3" t="str">
        <f>HYPERLINK(склад2въезд131920212223789106[[#This Row],[RelativePath]])</f>
        <v>14 На гаражи\GD7678666_1_20260222T141907Z.jpg</v>
      </c>
    </row>
    <row r="26" spans="1:13" x14ac:dyDescent="0.25">
      <c r="A26" s="2" t="s">
        <v>22</v>
      </c>
      <c r="B26" s="4">
        <v>46075</v>
      </c>
      <c r="C26" s="5">
        <v>0.74130787037037038</v>
      </c>
      <c r="D26" s="9" t="s">
        <v>12231</v>
      </c>
      <c r="E26" s="9"/>
      <c r="F26" s="9"/>
      <c r="H26" s="9"/>
      <c r="I26" s="9" t="s">
        <v>12557</v>
      </c>
      <c r="J26" s="9" t="s">
        <v>12277</v>
      </c>
      <c r="K26" t="s">
        <v>12558</v>
      </c>
      <c r="L26" t="s">
        <v>12559</v>
      </c>
      <c r="M26" s="3" t="str">
        <f>HYPERLINK(склад2въезд131920212223789106[[#This Row],[RelativePath]])</f>
        <v>14 На гаражи\GD7678666_1_20260222T174729Z.jpg</v>
      </c>
    </row>
    <row r="27" spans="1:13" x14ac:dyDescent="0.25">
      <c r="A27" s="2" t="s">
        <v>22</v>
      </c>
      <c r="B27" s="4">
        <v>46075</v>
      </c>
      <c r="C27" s="5">
        <v>0.79603009259259261</v>
      </c>
      <c r="D27" s="9" t="s">
        <v>12231</v>
      </c>
      <c r="E27" s="9"/>
      <c r="F27" s="9"/>
      <c r="H27" s="9"/>
      <c r="I27" s="9" t="s">
        <v>12560</v>
      </c>
      <c r="J27" s="9" t="s">
        <v>12277</v>
      </c>
      <c r="K27" t="s">
        <v>12561</v>
      </c>
      <c r="L27" t="s">
        <v>12562</v>
      </c>
      <c r="M27" s="3" t="str">
        <f>HYPERLINK(склад2въезд131920212223789106[[#This Row],[RelativePath]])</f>
        <v>14 На гаражи\GD7678666_1_20260222T190617Z.jpg</v>
      </c>
    </row>
    <row r="28" spans="1:13" x14ac:dyDescent="0.25">
      <c r="A28" s="2" t="s">
        <v>22</v>
      </c>
      <c r="B28" s="4">
        <v>46075</v>
      </c>
      <c r="C28" s="5">
        <v>0.80896990740740737</v>
      </c>
      <c r="D28" s="9" t="s">
        <v>4</v>
      </c>
      <c r="E28" s="9" t="s">
        <v>8</v>
      </c>
      <c r="F28" s="9"/>
      <c r="H28" s="9"/>
      <c r="I28" s="9" t="s">
        <v>12563</v>
      </c>
      <c r="J28" s="9" t="s">
        <v>12277</v>
      </c>
      <c r="K28" t="s">
        <v>12564</v>
      </c>
      <c r="L28" t="s">
        <v>12565</v>
      </c>
      <c r="M28" s="3" t="str">
        <f>HYPERLINK(склад2въезд131920212223789106[[#This Row],[RelativePath]])</f>
        <v>14 На гаражи\GD7678666_1_20260222T192455Z.jpg</v>
      </c>
    </row>
    <row r="29" spans="1:13" x14ac:dyDescent="0.25">
      <c r="A29" s="2" t="s">
        <v>13</v>
      </c>
      <c r="B29" s="4">
        <v>46076</v>
      </c>
      <c r="C29" s="5">
        <v>0.34606481481481483</v>
      </c>
      <c r="D29" s="9" t="s">
        <v>12231</v>
      </c>
      <c r="E29" s="9"/>
      <c r="F29" s="9"/>
      <c r="H29" s="9"/>
      <c r="I29" s="9" t="s">
        <v>12767</v>
      </c>
      <c r="J29" s="9" t="s">
        <v>12277</v>
      </c>
      <c r="K29" t="s">
        <v>12768</v>
      </c>
      <c r="L29" t="s">
        <v>12769</v>
      </c>
      <c r="M29" s="3" t="str">
        <f>HYPERLINK(склад2въезд131920212223789106[[#This Row],[RelativePath]])</f>
        <v>14 На гаражи\GD7678666_1_20260223T081820Z.jpg</v>
      </c>
    </row>
    <row r="30" spans="1:13" x14ac:dyDescent="0.25">
      <c r="A30" s="2" t="s">
        <v>13</v>
      </c>
      <c r="B30" s="4">
        <v>46076</v>
      </c>
      <c r="C30" s="5">
        <v>0.47099537037037037</v>
      </c>
      <c r="D30" s="9" t="s">
        <v>12231</v>
      </c>
      <c r="E30" s="9"/>
      <c r="F30" s="9"/>
      <c r="H30" s="9"/>
      <c r="I30" s="9" t="s">
        <v>12770</v>
      </c>
      <c r="J30" s="9" t="s">
        <v>12277</v>
      </c>
      <c r="K30" t="s">
        <v>12771</v>
      </c>
      <c r="L30" t="s">
        <v>12772</v>
      </c>
      <c r="M30" s="3" t="str">
        <f>HYPERLINK(склад2въезд131920212223789106[[#This Row],[RelativePath]])</f>
        <v>14 На гаражи\GD7678666_1_20260223T111814Z.jpg</v>
      </c>
    </row>
    <row r="31" spans="1:13" x14ac:dyDescent="0.25">
      <c r="A31" s="2" t="s">
        <v>13</v>
      </c>
      <c r="B31" s="4">
        <v>46076</v>
      </c>
      <c r="C31" s="5">
        <v>0.78638888888888892</v>
      </c>
      <c r="D31" s="9" t="s">
        <v>4</v>
      </c>
      <c r="E31" s="9" t="s">
        <v>8</v>
      </c>
      <c r="F31" s="9"/>
      <c r="H31" s="9"/>
      <c r="I31" s="9" t="s">
        <v>12773</v>
      </c>
      <c r="J31" s="9" t="s">
        <v>12277</v>
      </c>
      <c r="K31" t="s">
        <v>12774</v>
      </c>
      <c r="L31" t="s">
        <v>12775</v>
      </c>
      <c r="M31" s="3" t="str">
        <f>HYPERLINK(склад2въезд131920212223789106[[#This Row],[RelativePath]])</f>
        <v>14 На гаражи\GD7678666_1_20260223T185224Z.jpg</v>
      </c>
    </row>
    <row r="32" spans="1:13" x14ac:dyDescent="0.25">
      <c r="A32" s="2" t="s">
        <v>14</v>
      </c>
      <c r="B32" s="4">
        <v>46077</v>
      </c>
      <c r="C32" s="5">
        <v>0.41300925925925924</v>
      </c>
      <c r="D32" s="9"/>
      <c r="E32" s="9"/>
      <c r="F32" s="9"/>
      <c r="H32" s="9"/>
      <c r="I32" s="9" t="s">
        <v>13168</v>
      </c>
      <c r="J32" s="9" t="s">
        <v>13169</v>
      </c>
      <c r="K32" t="s">
        <v>13170</v>
      </c>
      <c r="L32" t="s">
        <v>13171</v>
      </c>
      <c r="M32" s="3" t="str">
        <f>HYPERLINK(склад2въезд131920212223789106[[#This Row],[RelativePath]])</f>
        <v>14 На гаражи\GD7678666_1_20260224T095444Z.jpg</v>
      </c>
    </row>
    <row r="33" spans="1:13" x14ac:dyDescent="0.25">
      <c r="A33" s="2" t="s">
        <v>14</v>
      </c>
      <c r="B33" s="4">
        <v>46077</v>
      </c>
      <c r="C33" s="5">
        <v>0.68285879629629631</v>
      </c>
      <c r="D33" s="9"/>
      <c r="E33" s="9"/>
      <c r="F33" s="9"/>
      <c r="H33" s="9"/>
      <c r="I33" s="9" t="s">
        <v>13172</v>
      </c>
      <c r="J33" s="9" t="s">
        <v>13169</v>
      </c>
      <c r="K33" t="s">
        <v>13173</v>
      </c>
      <c r="L33" t="s">
        <v>13174</v>
      </c>
      <c r="M33" s="3" t="str">
        <f>HYPERLINK(склад2въезд131920212223789106[[#This Row],[RelativePath]])</f>
        <v>14 На гаражи\GD7678666_1_20260224T162319Z.jpg</v>
      </c>
    </row>
    <row r="34" spans="1:13" x14ac:dyDescent="0.25">
      <c r="A34" s="2" t="s">
        <v>14</v>
      </c>
      <c r="B34" s="4">
        <v>46077</v>
      </c>
      <c r="C34" s="5">
        <v>0.79913194444444446</v>
      </c>
      <c r="D34" s="9"/>
      <c r="E34" s="9"/>
      <c r="F34" s="9"/>
      <c r="H34" s="9"/>
      <c r="I34" s="9" t="s">
        <v>13175</v>
      </c>
      <c r="J34" s="9" t="s">
        <v>13169</v>
      </c>
      <c r="K34" t="s">
        <v>13176</v>
      </c>
      <c r="L34" t="s">
        <v>13177</v>
      </c>
      <c r="M34" s="3" t="str">
        <f>HYPERLINK(склад2въезд131920212223789106[[#This Row],[RelativePath]])</f>
        <v>14 На гаражи\GD7678666_1_20260224T191045Z.jpg</v>
      </c>
    </row>
    <row r="35" spans="1:13" x14ac:dyDescent="0.25">
      <c r="A35" s="2" t="s">
        <v>15</v>
      </c>
      <c r="B35" s="4">
        <v>46078</v>
      </c>
      <c r="C35" s="5">
        <v>0.36474537037037036</v>
      </c>
      <c r="D35" s="9"/>
      <c r="E35" s="9"/>
      <c r="F35" s="9"/>
      <c r="H35" s="9"/>
      <c r="I35" s="9" t="s">
        <v>13178</v>
      </c>
      <c r="J35" s="9" t="s">
        <v>13169</v>
      </c>
      <c r="K35" t="s">
        <v>13179</v>
      </c>
      <c r="L35" t="s">
        <v>13180</v>
      </c>
      <c r="M35" s="3" t="str">
        <f>HYPERLINK(склад2въезд131920212223789106[[#This Row],[RelativePath]])</f>
        <v>14 На гаражи\GD7678666_1_20260225T084514Z.jpg</v>
      </c>
    </row>
    <row r="36" spans="1:13" x14ac:dyDescent="0.25">
      <c r="A36" s="2" t="s">
        <v>15</v>
      </c>
      <c r="B36" s="4">
        <v>46078</v>
      </c>
      <c r="C36" s="5">
        <v>0.56888888888888889</v>
      </c>
      <c r="D36" s="9"/>
      <c r="E36" s="9"/>
      <c r="F36" s="9"/>
      <c r="H36" s="9"/>
      <c r="I36" s="9" t="s">
        <v>13181</v>
      </c>
      <c r="J36" s="9" t="s">
        <v>13169</v>
      </c>
      <c r="K36" t="s">
        <v>13182</v>
      </c>
      <c r="L36" t="s">
        <v>13183</v>
      </c>
      <c r="M36" s="3" t="str">
        <f>HYPERLINK(склад2въезд131920212223789106[[#This Row],[RelativePath]])</f>
        <v>14 На гаражи\GD7678666_1_20260225T133912Z.jpg</v>
      </c>
    </row>
    <row r="37" spans="1:13" x14ac:dyDescent="0.25">
      <c r="A37" s="2" t="s">
        <v>15</v>
      </c>
      <c r="B37" s="4">
        <v>46078</v>
      </c>
      <c r="C37" s="5">
        <v>0.7848032407407407</v>
      </c>
      <c r="D37" s="9"/>
      <c r="E37" s="9"/>
      <c r="F37" s="9"/>
      <c r="H37" s="9"/>
      <c r="I37" s="9" t="s">
        <v>13184</v>
      </c>
      <c r="J37" s="9" t="s">
        <v>13169</v>
      </c>
      <c r="K37" t="s">
        <v>13185</v>
      </c>
      <c r="L37" t="s">
        <v>13186</v>
      </c>
      <c r="M37" s="3" t="str">
        <f>HYPERLINK(склад2въезд131920212223789106[[#This Row],[RelativePath]])</f>
        <v>14 На гаражи\GD7678666_1_20260225T185007Z.jpg</v>
      </c>
    </row>
  </sheetData>
  <conditionalFormatting sqref="D38:D48 E38:E51 D2:E37 G2:H37">
    <cfRule type="containsText" dxfId="220" priority="14" operator="containsText" text="Выезд с территории">
      <formula>NOT(ISERROR(SEARCH("Выезд с территории",D2)))</formula>
    </cfRule>
  </conditionalFormatting>
  <conditionalFormatting sqref="F2:F37">
    <cfRule type="notContainsText" dxfId="219" priority="13" operator="notContains" text="порожний">
      <formula>ISERROR(SEARCH("порожний",F2))</formula>
    </cfRule>
  </conditionalFormatting>
  <conditionalFormatting sqref="E2:E51">
    <cfRule type="containsText" dxfId="218" priority="11" operator="containsText" text="Газель базы">
      <formula>NOT(ISERROR(SEARCH("Газель базы",E2)))</formula>
    </cfRule>
    <cfRule type="containsText" dxfId="217" priority="12" operator="containsText" text="Погрузчик базы">
      <formula>NOT(ISERROR(SEARCH("Погрузчик базы",E2)))</formula>
    </cfRule>
  </conditionalFormatting>
  <conditionalFormatting sqref="E2:E51">
    <cfRule type="containsText" dxfId="216" priority="10" operator="containsText" text="Трактор базы">
      <formula>NOT(ISERROR(SEARCH("Трактор базы",E2)))</formula>
    </cfRule>
  </conditionalFormatting>
  <conditionalFormatting sqref="A2:C37">
    <cfRule type="expression" dxfId="215" priority="9">
      <formula>$A2="пн"</formula>
    </cfRule>
  </conditionalFormatting>
  <conditionalFormatting sqref="A2:C39">
    <cfRule type="expression" dxfId="214" priority="3">
      <formula>$A2="вс"</formula>
    </cfRule>
    <cfRule type="expression" dxfId="213" priority="4">
      <formula>$A2="сб"</formula>
    </cfRule>
    <cfRule type="expression" dxfId="212" priority="5">
      <formula>$A2="пт"</formula>
    </cfRule>
    <cfRule type="expression" dxfId="211" priority="6">
      <formula>$A2="чт"</formula>
    </cfRule>
    <cfRule type="expression" dxfId="210" priority="7">
      <formula>$A2="ср"</formula>
    </cfRule>
    <cfRule type="expression" dxfId="209" priority="8">
      <formula>$A2="вт"</formula>
    </cfRule>
  </conditionalFormatting>
  <conditionalFormatting sqref="D2:D48">
    <cfRule type="containsText" dxfId="208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48">
    <cfRule type="containsText" dxfId="207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D908A-4944-4F26-BC24-8425DAFF4F0B}">
  <sheetPr>
    <tabColor rgb="FF7030A0"/>
  </sheetPr>
  <dimension ref="A1:M10"/>
  <sheetViews>
    <sheetView zoomScale="90" zoomScaleNormal="90" workbookViewId="0">
      <pane ySplit="1" topLeftCell="A2" activePane="bottomLeft" state="frozen"/>
      <selection pane="bottomLeft" sqref="A1:M1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9.140625" bestFit="1" customWidth="1"/>
    <col min="5" max="5" width="7.7109375" bestFit="1" customWidth="1"/>
    <col min="6" max="6" width="5" customWidth="1"/>
    <col min="7" max="7" width="7.28515625" style="8" bestFit="1" customWidth="1"/>
    <col min="8" max="8" width="12.7109375" bestFit="1" customWidth="1"/>
    <col min="9" max="9" width="35.71093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s="8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14</v>
      </c>
      <c r="B2" s="4">
        <v>46077</v>
      </c>
      <c r="C2" s="5">
        <v>0.4050347222222222</v>
      </c>
      <c r="D2" s="9"/>
      <c r="E2" s="9"/>
      <c r="F2" s="9"/>
      <c r="H2" s="9"/>
      <c r="I2" s="9" t="s">
        <v>13206</v>
      </c>
      <c r="J2" s="9" t="s">
        <v>12785</v>
      </c>
      <c r="K2" t="s">
        <v>13207</v>
      </c>
      <c r="L2" t="s">
        <v>13208</v>
      </c>
      <c r="M2" s="3" t="str">
        <f>HYPERLINK(входСтолярка[[#This Row],[RelativePath]])</f>
        <v>15 Вход столярка\GA3948333_9_20260224T094315Z.jpg</v>
      </c>
    </row>
    <row r="3" spans="1:13" x14ac:dyDescent="0.25">
      <c r="A3" s="2" t="s">
        <v>14</v>
      </c>
      <c r="B3" s="4">
        <v>46077</v>
      </c>
      <c r="C3" s="5">
        <v>0.40519675925925924</v>
      </c>
      <c r="D3" s="9"/>
      <c r="E3" s="9"/>
      <c r="F3" s="9"/>
      <c r="H3" s="9"/>
      <c r="I3" s="9" t="s">
        <v>13209</v>
      </c>
      <c r="J3" s="9" t="s">
        <v>12785</v>
      </c>
      <c r="K3" t="s">
        <v>13210</v>
      </c>
      <c r="L3" t="s">
        <v>13211</v>
      </c>
      <c r="M3" s="3" t="str">
        <f>HYPERLINK(входСтолярка[[#This Row],[RelativePath]])</f>
        <v>15 Вход столярка\GA3948333_9_20260224T094329Z.jpg</v>
      </c>
    </row>
    <row r="4" spans="1:13" x14ac:dyDescent="0.25">
      <c r="A4" s="2" t="s">
        <v>14</v>
      </c>
      <c r="B4" s="4">
        <v>46077</v>
      </c>
      <c r="C4" s="5">
        <v>0.40711805555555558</v>
      </c>
      <c r="D4" s="9"/>
      <c r="E4" s="9"/>
      <c r="F4" s="9"/>
      <c r="H4" s="9"/>
      <c r="I4" s="9" t="s">
        <v>13212</v>
      </c>
      <c r="J4" s="9" t="s">
        <v>12785</v>
      </c>
      <c r="K4" t="s">
        <v>13213</v>
      </c>
      <c r="L4" t="s">
        <v>13214</v>
      </c>
      <c r="M4" s="3" t="str">
        <f>HYPERLINK(входСтолярка[[#This Row],[RelativePath]])</f>
        <v>15 Вход столярка\GA3948333_9_20260224T094615Z.jpg</v>
      </c>
    </row>
    <row r="5" spans="1:13" x14ac:dyDescent="0.25">
      <c r="A5" s="2" t="s">
        <v>14</v>
      </c>
      <c r="B5" s="4">
        <v>46077</v>
      </c>
      <c r="C5" s="5">
        <v>0.42898148148148146</v>
      </c>
      <c r="D5" s="9"/>
      <c r="E5" s="9"/>
      <c r="F5" s="9"/>
      <c r="H5" s="9"/>
      <c r="I5" s="9" t="s">
        <v>12784</v>
      </c>
      <c r="J5" s="9" t="s">
        <v>12785</v>
      </c>
      <c r="K5" t="s">
        <v>12786</v>
      </c>
      <c r="L5" t="s">
        <v>12787</v>
      </c>
      <c r="M5" s="3" t="str">
        <f>HYPERLINK(входСтолярка[[#This Row],[RelativePath]])</f>
        <v>15 Вход столярка\GA3948333_9_20260224T101744Z.jpg</v>
      </c>
    </row>
    <row r="6" spans="1:13" x14ac:dyDescent="0.25">
      <c r="A6" s="2" t="s">
        <v>14</v>
      </c>
      <c r="B6" s="4">
        <v>46077</v>
      </c>
      <c r="C6" s="5">
        <v>0.69763888888888892</v>
      </c>
      <c r="D6" s="9"/>
      <c r="E6" s="9"/>
      <c r="F6" s="9"/>
      <c r="H6" s="9"/>
      <c r="I6" s="9" t="s">
        <v>12788</v>
      </c>
      <c r="J6" s="9" t="s">
        <v>12785</v>
      </c>
      <c r="K6" t="s">
        <v>12789</v>
      </c>
      <c r="L6" t="s">
        <v>12790</v>
      </c>
      <c r="M6" s="3" t="str">
        <f>HYPERLINK(входСтолярка[[#This Row],[RelativePath]])</f>
        <v>15 Вход столярка\GA3948333_9_20260224T164436Z.jpg</v>
      </c>
    </row>
    <row r="7" spans="1:13" x14ac:dyDescent="0.25">
      <c r="A7" s="2" t="s">
        <v>15</v>
      </c>
      <c r="B7" s="4">
        <v>46078</v>
      </c>
      <c r="C7" s="5">
        <v>0.41524305555555557</v>
      </c>
      <c r="D7" s="9"/>
      <c r="E7" s="9"/>
      <c r="F7" s="9"/>
      <c r="H7" s="9"/>
      <c r="I7" s="9" t="s">
        <v>12791</v>
      </c>
      <c r="J7" s="9" t="s">
        <v>12785</v>
      </c>
      <c r="K7" t="s">
        <v>12792</v>
      </c>
      <c r="L7" t="s">
        <v>12793</v>
      </c>
      <c r="M7" s="3" t="str">
        <f>HYPERLINK(входСтолярка[[#This Row],[RelativePath]])</f>
        <v>15 Вход столярка\GA3948333_9_20260225T095757Z.jpg</v>
      </c>
    </row>
    <row r="8" spans="1:13" x14ac:dyDescent="0.25">
      <c r="A8" s="2" t="s">
        <v>15</v>
      </c>
      <c r="B8" s="4">
        <v>46078</v>
      </c>
      <c r="C8" s="5">
        <v>0.41640046296296296</v>
      </c>
      <c r="D8" s="9"/>
      <c r="E8" s="9"/>
      <c r="F8" s="9"/>
      <c r="H8" s="9"/>
      <c r="I8" s="9" t="s">
        <v>12794</v>
      </c>
      <c r="J8" s="9" t="s">
        <v>12785</v>
      </c>
      <c r="K8" t="s">
        <v>12795</v>
      </c>
      <c r="L8" t="s">
        <v>12796</v>
      </c>
      <c r="M8" s="3" t="str">
        <f>HYPERLINK(входСтолярка[[#This Row],[RelativePath]])</f>
        <v>15 Вход столярка\GA3948333_9_20260225T095937Z.jpg</v>
      </c>
    </row>
    <row r="9" spans="1:13" x14ac:dyDescent="0.25">
      <c r="A9" s="2" t="s">
        <v>15</v>
      </c>
      <c r="B9" s="4">
        <v>46078</v>
      </c>
      <c r="C9" s="5">
        <v>0.51093750000000004</v>
      </c>
      <c r="D9" s="9"/>
      <c r="E9" s="9"/>
      <c r="F9" s="9"/>
      <c r="H9" s="9"/>
      <c r="I9" s="9" t="s">
        <v>12797</v>
      </c>
      <c r="J9" s="9" t="s">
        <v>12785</v>
      </c>
      <c r="K9" t="s">
        <v>12798</v>
      </c>
      <c r="L9" t="s">
        <v>12799</v>
      </c>
      <c r="M9" s="3" t="str">
        <f>HYPERLINK(входСтолярка[[#This Row],[RelativePath]])</f>
        <v>15 Вход столярка\GA3948333_9_20260225T121545Z.jpg</v>
      </c>
    </row>
    <row r="10" spans="1:13" x14ac:dyDescent="0.25">
      <c r="A10" s="2" t="s">
        <v>15</v>
      </c>
      <c r="B10" s="4">
        <v>46078</v>
      </c>
      <c r="C10" s="5">
        <v>0.79158564814814814</v>
      </c>
      <c r="D10" s="9"/>
      <c r="E10" s="9"/>
      <c r="F10" s="9"/>
      <c r="H10" s="9"/>
      <c r="I10" s="9" t="s">
        <v>12800</v>
      </c>
      <c r="J10" s="9" t="s">
        <v>12785</v>
      </c>
      <c r="K10" t="s">
        <v>12801</v>
      </c>
      <c r="L10" t="s">
        <v>12802</v>
      </c>
      <c r="M10" s="3" t="str">
        <f>HYPERLINK(входСтолярка[[#This Row],[RelativePath]])</f>
        <v>15 Вход столярка\GA3948333_9_20260225T185953Z.jpg</v>
      </c>
    </row>
  </sheetData>
  <conditionalFormatting sqref="D11:D21 E11:E24 D2:E10 G2:H10">
    <cfRule type="containsText" dxfId="206" priority="14" operator="containsText" text="Выезд с территории">
      <formula>NOT(ISERROR(SEARCH("Выезд с территории",D2)))</formula>
    </cfRule>
  </conditionalFormatting>
  <conditionalFormatting sqref="F2:F10">
    <cfRule type="notContainsText" dxfId="205" priority="13" operator="notContains" text="порожний">
      <formula>ISERROR(SEARCH("порожний",F2))</formula>
    </cfRule>
  </conditionalFormatting>
  <conditionalFormatting sqref="E2:E24">
    <cfRule type="containsText" dxfId="204" priority="11" operator="containsText" text="Газель базы">
      <formula>NOT(ISERROR(SEARCH("Газель базы",E2)))</formula>
    </cfRule>
    <cfRule type="containsText" dxfId="203" priority="12" operator="containsText" text="Погрузчик базы">
      <formula>NOT(ISERROR(SEARCH("Погрузчик базы",E2)))</formula>
    </cfRule>
  </conditionalFormatting>
  <conditionalFormatting sqref="E2:E24">
    <cfRule type="containsText" dxfId="202" priority="10" operator="containsText" text="Трактор базы">
      <formula>NOT(ISERROR(SEARCH("Трактор базы",E2)))</formula>
    </cfRule>
  </conditionalFormatting>
  <conditionalFormatting sqref="A2:C10">
    <cfRule type="expression" dxfId="201" priority="9">
      <formula>$A2="пн"</formula>
    </cfRule>
  </conditionalFormatting>
  <conditionalFormatting sqref="A2:C12">
    <cfRule type="expression" dxfId="200" priority="3">
      <formula>$A2="вс"</formula>
    </cfRule>
    <cfRule type="expression" dxfId="199" priority="4">
      <formula>$A2="сб"</formula>
    </cfRule>
    <cfRule type="expression" dxfId="198" priority="5">
      <formula>$A2="пт"</formula>
    </cfRule>
    <cfRule type="expression" dxfId="197" priority="6">
      <formula>$A2="чт"</formula>
    </cfRule>
    <cfRule type="expression" dxfId="196" priority="7">
      <formula>$A2="ср"</formula>
    </cfRule>
    <cfRule type="expression" dxfId="195" priority="8">
      <formula>$A2="вт"</formula>
    </cfRule>
  </conditionalFormatting>
  <conditionalFormatting sqref="D2:D21">
    <cfRule type="containsText" dxfId="194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1">
    <cfRule type="containsText" dxfId="193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68F2-9E26-4407-B942-72DD4ABCAC30}">
  <sheetPr>
    <tabColor theme="3" tint="0.59999389629810485"/>
  </sheetPr>
  <dimension ref="A1:M6"/>
  <sheetViews>
    <sheetView zoomScale="90" zoomScaleNormal="90" workbookViewId="0">
      <pane ySplit="1" topLeftCell="A2" activePane="bottomLeft" state="frozen"/>
      <selection pane="bottomLeft" sqref="A1:M10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9.140625" bestFit="1" customWidth="1"/>
    <col min="5" max="5" width="7.7109375" bestFit="1" customWidth="1"/>
    <col min="6" max="6" width="5" customWidth="1"/>
    <col min="7" max="7" width="7.28515625" style="8" bestFit="1" customWidth="1"/>
    <col min="8" max="8" width="12.7109375" bestFit="1" customWidth="1"/>
    <col min="9" max="9" width="36.855468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s="8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14</v>
      </c>
      <c r="B2" s="4">
        <v>46077</v>
      </c>
      <c r="C2" s="5">
        <v>0.39723379629629629</v>
      </c>
      <c r="D2" s="9"/>
      <c r="E2" s="9"/>
      <c r="F2" s="9"/>
      <c r="H2" s="9"/>
      <c r="I2" s="9" t="s">
        <v>13215</v>
      </c>
      <c r="J2" s="9" t="s">
        <v>13216</v>
      </c>
      <c r="K2" t="s">
        <v>13217</v>
      </c>
      <c r="L2" t="s">
        <v>13218</v>
      </c>
      <c r="M2" s="3" t="str">
        <f>HYPERLINK(столярка[[#This Row],[RelativePath]])</f>
        <v>16 Столярка\GA3948333_11_20260224T093201Z.jpg</v>
      </c>
    </row>
    <row r="3" spans="1:13" x14ac:dyDescent="0.25">
      <c r="A3" s="2" t="s">
        <v>14</v>
      </c>
      <c r="B3" s="4">
        <v>46077</v>
      </c>
      <c r="C3" s="5">
        <v>0.99607638888888894</v>
      </c>
      <c r="D3" s="9"/>
      <c r="E3" s="9"/>
      <c r="F3" s="9"/>
      <c r="H3" s="9"/>
      <c r="I3" s="9" t="s">
        <v>13219</v>
      </c>
      <c r="J3" s="9" t="s">
        <v>13216</v>
      </c>
      <c r="K3" t="s">
        <v>13220</v>
      </c>
      <c r="L3" t="s">
        <v>13221</v>
      </c>
      <c r="M3" s="3" t="str">
        <f>HYPERLINK(столярка[[#This Row],[RelativePath]])</f>
        <v>16 Столярка\GA3948333_11_20260224T235421Z.jpg</v>
      </c>
    </row>
    <row r="4" spans="1:13" x14ac:dyDescent="0.25">
      <c r="A4" s="2" t="s">
        <v>15</v>
      </c>
      <c r="B4" s="4">
        <v>46078</v>
      </c>
      <c r="C4" s="5">
        <v>0.11994212962962963</v>
      </c>
      <c r="D4" s="9"/>
      <c r="E4" s="9"/>
      <c r="F4" s="9"/>
      <c r="H4" s="9"/>
      <c r="I4" s="9" t="s">
        <v>13222</v>
      </c>
      <c r="J4" s="9" t="s">
        <v>13216</v>
      </c>
      <c r="K4" t="s">
        <v>13223</v>
      </c>
      <c r="L4" t="s">
        <v>13224</v>
      </c>
      <c r="M4" s="3" t="str">
        <f>HYPERLINK(столярка[[#This Row],[RelativePath]])</f>
        <v>16 Столярка\GA3948333_11_20260225T025243Z.jpg</v>
      </c>
    </row>
    <row r="5" spans="1:13" x14ac:dyDescent="0.25">
      <c r="A5" s="2" t="s">
        <v>15</v>
      </c>
      <c r="B5" s="4">
        <v>46078</v>
      </c>
      <c r="C5" s="5">
        <v>0.77105324074074078</v>
      </c>
      <c r="D5" s="9"/>
      <c r="E5" s="9"/>
      <c r="F5" s="9"/>
      <c r="H5" s="9"/>
      <c r="I5" s="9" t="s">
        <v>13225</v>
      </c>
      <c r="J5" s="9" t="s">
        <v>13216</v>
      </c>
      <c r="K5" t="s">
        <v>13226</v>
      </c>
      <c r="L5" t="s">
        <v>13227</v>
      </c>
      <c r="M5" s="3" t="str">
        <f>HYPERLINK(столярка[[#This Row],[RelativePath]])</f>
        <v>16 Столярка\GA3948333_11_20260225T183019Z.jpg</v>
      </c>
    </row>
    <row r="6" spans="1:13" x14ac:dyDescent="0.25">
      <c r="A6" s="2" t="s">
        <v>15</v>
      </c>
      <c r="B6" s="4">
        <v>46078</v>
      </c>
      <c r="C6" s="5">
        <v>0.85386574074074073</v>
      </c>
      <c r="D6" s="9"/>
      <c r="E6" s="9"/>
      <c r="F6" s="9"/>
      <c r="H6" s="9"/>
      <c r="I6" s="9" t="s">
        <v>13228</v>
      </c>
      <c r="J6" s="9" t="s">
        <v>13216</v>
      </c>
      <c r="K6" t="s">
        <v>13229</v>
      </c>
      <c r="L6" t="s">
        <v>13230</v>
      </c>
      <c r="M6" s="3" t="str">
        <f>HYPERLINK(столярка[[#This Row],[RelativePath]])</f>
        <v>16 Столярка\GA3948333_11_20260225T202934Z.jpg</v>
      </c>
    </row>
  </sheetData>
  <conditionalFormatting sqref="D7:D17 E7:E20 D2:E6 G2:H6">
    <cfRule type="containsText" dxfId="192" priority="14" operator="containsText" text="Выезд с территории">
      <formula>NOT(ISERROR(SEARCH("Выезд с территории",D2)))</formula>
    </cfRule>
  </conditionalFormatting>
  <conditionalFormatting sqref="F2:F6">
    <cfRule type="notContainsText" dxfId="191" priority="13" operator="notContains" text="порожний">
      <formula>ISERROR(SEARCH("порожний",F2))</formula>
    </cfRule>
  </conditionalFormatting>
  <conditionalFormatting sqref="E2:E20">
    <cfRule type="containsText" dxfId="190" priority="11" operator="containsText" text="Газель базы">
      <formula>NOT(ISERROR(SEARCH("Газель базы",E2)))</formula>
    </cfRule>
    <cfRule type="containsText" dxfId="189" priority="12" operator="containsText" text="Погрузчик базы">
      <formula>NOT(ISERROR(SEARCH("Погрузчик базы",E2)))</formula>
    </cfRule>
  </conditionalFormatting>
  <conditionalFormatting sqref="E2:E20">
    <cfRule type="containsText" dxfId="188" priority="10" operator="containsText" text="Трактор базы">
      <formula>NOT(ISERROR(SEARCH("Трактор базы",E2)))</formula>
    </cfRule>
  </conditionalFormatting>
  <conditionalFormatting sqref="A2:C6">
    <cfRule type="expression" dxfId="187" priority="9">
      <formula>$A2="пн"</formula>
    </cfRule>
  </conditionalFormatting>
  <conditionalFormatting sqref="A2:C8">
    <cfRule type="expression" dxfId="186" priority="3">
      <formula>$A2="вс"</formula>
    </cfRule>
    <cfRule type="expression" dxfId="185" priority="4">
      <formula>$A2="сб"</formula>
    </cfRule>
    <cfRule type="expression" dxfId="184" priority="5">
      <formula>$A2="пт"</formula>
    </cfRule>
    <cfRule type="expression" dxfId="183" priority="6">
      <formula>$A2="чт"</formula>
    </cfRule>
    <cfRule type="expression" dxfId="182" priority="7">
      <formula>$A2="ср"</formula>
    </cfRule>
    <cfRule type="expression" dxfId="181" priority="8">
      <formula>$A2="вт"</formula>
    </cfRule>
  </conditionalFormatting>
  <conditionalFormatting sqref="D2:D17">
    <cfRule type="containsText" dxfId="180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7">
    <cfRule type="containsText" dxfId="179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79BE-9C8D-4C76-9F9D-C69610BFE760}">
  <sheetPr>
    <tabColor theme="3" tint="0.59999389629810485"/>
  </sheetPr>
  <dimension ref="A1:M10"/>
  <sheetViews>
    <sheetView zoomScale="90" zoomScaleNormal="90" workbookViewId="0">
      <pane ySplit="1" topLeftCell="A2" activePane="bottomLeft" state="frozen"/>
      <selection pane="bottomLeft" sqref="A1:M6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9.140625" bestFit="1" customWidth="1"/>
    <col min="5" max="5" width="7.7109375" bestFit="1" customWidth="1"/>
    <col min="6" max="6" width="5" customWidth="1"/>
    <col min="7" max="7" width="7.28515625" style="8" bestFit="1" customWidth="1"/>
    <col min="8" max="8" width="12.7109375" bestFit="1" customWidth="1"/>
    <col min="9" max="9" width="36.855468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s="8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14</v>
      </c>
      <c r="B2" s="4">
        <v>46077</v>
      </c>
      <c r="C2" s="5">
        <v>0.40490740740740738</v>
      </c>
      <c r="D2" s="9"/>
      <c r="E2" s="9"/>
      <c r="F2" s="9"/>
      <c r="H2" s="9"/>
      <c r="I2" s="9" t="s">
        <v>13231</v>
      </c>
      <c r="J2" s="9" t="s">
        <v>13232</v>
      </c>
      <c r="K2" t="s">
        <v>13233</v>
      </c>
      <c r="L2" t="s">
        <v>13234</v>
      </c>
      <c r="M2" s="3" t="str">
        <f>HYPERLINK(площадкаСнавесом[[#This Row],[RelativePath]])</f>
        <v>17 Площадка с навесом\GA3948333_10_20260224T094304Z.jpg</v>
      </c>
    </row>
    <row r="3" spans="1:13" x14ac:dyDescent="0.25">
      <c r="A3" s="2" t="s">
        <v>14</v>
      </c>
      <c r="B3" s="4">
        <v>46077</v>
      </c>
      <c r="C3" s="5">
        <v>0.41381944444444446</v>
      </c>
      <c r="D3" s="9"/>
      <c r="E3" s="9"/>
      <c r="F3" s="9"/>
      <c r="H3" s="9"/>
      <c r="I3" s="9" t="s">
        <v>12803</v>
      </c>
      <c r="J3" s="9" t="s">
        <v>13235</v>
      </c>
      <c r="K3" t="s">
        <v>13236</v>
      </c>
      <c r="L3" t="s">
        <v>13237</v>
      </c>
      <c r="M3" s="3" t="str">
        <f>HYPERLINK(площадкаСнавесом[[#This Row],[RelativePath]])</f>
        <v>17 Площадка с навесом\GA3948333_10_20260224T095554Z.jpg</v>
      </c>
    </row>
    <row r="4" spans="1:13" x14ac:dyDescent="0.25">
      <c r="A4" s="2" t="s">
        <v>14</v>
      </c>
      <c r="B4" s="4">
        <v>46077</v>
      </c>
      <c r="C4" s="5">
        <v>0.41748842592592594</v>
      </c>
      <c r="D4" s="9"/>
      <c r="E4" s="9"/>
      <c r="F4" s="9"/>
      <c r="H4" s="9"/>
      <c r="I4" s="9" t="s">
        <v>12804</v>
      </c>
      <c r="J4" s="9" t="s">
        <v>13235</v>
      </c>
      <c r="K4" t="s">
        <v>13238</v>
      </c>
      <c r="L4" t="s">
        <v>13239</v>
      </c>
      <c r="M4" s="3" t="str">
        <f>HYPERLINK(площадкаСнавесом[[#This Row],[RelativePath]])</f>
        <v>17 Площадка с навесом\GA3948333_10_20260224T100111Z.jpg</v>
      </c>
    </row>
    <row r="5" spans="1:13" x14ac:dyDescent="0.25">
      <c r="A5" s="2" t="s">
        <v>14</v>
      </c>
      <c r="B5" s="4">
        <v>46077</v>
      </c>
      <c r="C5" s="5">
        <v>0.76394675925925926</v>
      </c>
      <c r="D5" s="9"/>
      <c r="E5" s="9"/>
      <c r="F5" s="9"/>
      <c r="H5" s="9"/>
      <c r="I5" s="9" t="s">
        <v>13240</v>
      </c>
      <c r="J5" s="9" t="s">
        <v>13232</v>
      </c>
      <c r="K5" t="s">
        <v>13241</v>
      </c>
      <c r="L5" t="s">
        <v>13242</v>
      </c>
      <c r="M5" s="3" t="str">
        <f>HYPERLINK(площадкаСнавесом[[#This Row],[RelativePath]])</f>
        <v>17 Площадка с навесом\GA3948333_10_20260224T182005Z.jpg</v>
      </c>
    </row>
    <row r="6" spans="1:13" x14ac:dyDescent="0.25">
      <c r="A6" s="2" t="s">
        <v>14</v>
      </c>
      <c r="B6" s="4">
        <v>46077</v>
      </c>
      <c r="C6" s="5">
        <v>0.92084490740740743</v>
      </c>
      <c r="D6" s="9"/>
      <c r="E6" s="9"/>
      <c r="F6" s="9"/>
      <c r="H6" s="9"/>
      <c r="I6" s="9" t="s">
        <v>12805</v>
      </c>
      <c r="J6" s="9" t="s">
        <v>13235</v>
      </c>
      <c r="K6" t="s">
        <v>13243</v>
      </c>
      <c r="L6" t="s">
        <v>13244</v>
      </c>
      <c r="M6" s="3" t="str">
        <f>HYPERLINK(площадкаСнавесом[[#This Row],[RelativePath]])</f>
        <v>17 Площадка с навесом\GA3948333_10_20260224T220601Z.jpg</v>
      </c>
    </row>
    <row r="7" spans="1:13" x14ac:dyDescent="0.25">
      <c r="A7" s="2" t="s">
        <v>15</v>
      </c>
      <c r="B7" s="4">
        <v>46078</v>
      </c>
      <c r="C7" s="5">
        <v>0.39682870370370371</v>
      </c>
      <c r="D7" s="9"/>
      <c r="E7" s="9"/>
      <c r="F7" s="9"/>
      <c r="H7" s="9"/>
      <c r="I7" s="9" t="s">
        <v>13245</v>
      </c>
      <c r="J7" s="9" t="s">
        <v>13235</v>
      </c>
      <c r="K7" t="s">
        <v>13246</v>
      </c>
      <c r="L7" t="s">
        <v>13247</v>
      </c>
      <c r="M7" s="3" t="str">
        <f>HYPERLINK(площадкаСнавесом[[#This Row],[RelativePath]])</f>
        <v>17 Площадка с навесом\GA3948333_10_20260225T093126Z.jpg</v>
      </c>
    </row>
    <row r="8" spans="1:13" x14ac:dyDescent="0.25">
      <c r="A8" s="2" t="s">
        <v>15</v>
      </c>
      <c r="B8" s="4">
        <v>46078</v>
      </c>
      <c r="C8" s="5">
        <v>0.41626157407407405</v>
      </c>
      <c r="D8" s="9"/>
      <c r="E8" s="9"/>
      <c r="F8" s="9"/>
      <c r="H8" s="9"/>
      <c r="I8" s="9" t="s">
        <v>13248</v>
      </c>
      <c r="J8" s="9" t="s">
        <v>13235</v>
      </c>
      <c r="K8" t="s">
        <v>13249</v>
      </c>
      <c r="L8" t="s">
        <v>13250</v>
      </c>
      <c r="M8" s="3" t="str">
        <f>HYPERLINK(площадкаСнавесом[[#This Row],[RelativePath]])</f>
        <v>17 Площадка с навесом\GA3948333_10_20260225T095925Z.jpg</v>
      </c>
    </row>
    <row r="9" spans="1:13" x14ac:dyDescent="0.25">
      <c r="A9" s="2" t="s">
        <v>15</v>
      </c>
      <c r="B9" s="4">
        <v>46078</v>
      </c>
      <c r="C9" s="5">
        <v>0.5111458333333333</v>
      </c>
      <c r="D9" s="9"/>
      <c r="E9" s="9"/>
      <c r="F9" s="9"/>
      <c r="H9" s="9"/>
      <c r="I9" s="9" t="s">
        <v>13251</v>
      </c>
      <c r="J9" s="9" t="s">
        <v>13235</v>
      </c>
      <c r="K9" t="s">
        <v>13252</v>
      </c>
      <c r="L9" t="s">
        <v>13253</v>
      </c>
      <c r="M9" s="3" t="str">
        <f>HYPERLINK(площадкаСнавесом[[#This Row],[RelativePath]])</f>
        <v>17 Площадка с навесом\GA3948333_10_20260225T121603Z.jpg</v>
      </c>
    </row>
    <row r="10" spans="1:13" x14ac:dyDescent="0.25">
      <c r="A10" s="2" t="s">
        <v>15</v>
      </c>
      <c r="B10" s="4">
        <v>46078</v>
      </c>
      <c r="C10" s="5">
        <v>0.51324074074074078</v>
      </c>
      <c r="D10" s="9"/>
      <c r="E10" s="9"/>
      <c r="F10" s="9"/>
      <c r="H10" s="9"/>
      <c r="I10" s="9" t="s">
        <v>13254</v>
      </c>
      <c r="J10" s="9" t="s">
        <v>13235</v>
      </c>
      <c r="K10" t="s">
        <v>13255</v>
      </c>
      <c r="L10" t="s">
        <v>13068</v>
      </c>
      <c r="M10" s="3" t="str">
        <f>HYPERLINK(площадкаСнавесом[[#This Row],[RelativePath]])</f>
        <v>17 Площадка с навесом\GA3948333_10_20260225T121904Z.jpg</v>
      </c>
    </row>
  </sheetData>
  <conditionalFormatting sqref="D11:D21 E11:E24 D2:E10 G2:H10">
    <cfRule type="containsText" dxfId="178" priority="14" operator="containsText" text="Выезд с территории">
      <formula>NOT(ISERROR(SEARCH("Выезд с территории",D2)))</formula>
    </cfRule>
  </conditionalFormatting>
  <conditionalFormatting sqref="F2:F10">
    <cfRule type="notContainsText" dxfId="177" priority="13" operator="notContains" text="порожний">
      <formula>ISERROR(SEARCH("порожний",F2))</formula>
    </cfRule>
  </conditionalFormatting>
  <conditionalFormatting sqref="E2:E24">
    <cfRule type="containsText" dxfId="176" priority="11" operator="containsText" text="Газель базы">
      <formula>NOT(ISERROR(SEARCH("Газель базы",E2)))</formula>
    </cfRule>
    <cfRule type="containsText" dxfId="175" priority="12" operator="containsText" text="Погрузчик базы">
      <formula>NOT(ISERROR(SEARCH("Погрузчик базы",E2)))</formula>
    </cfRule>
  </conditionalFormatting>
  <conditionalFormatting sqref="E2:E24">
    <cfRule type="containsText" dxfId="174" priority="10" operator="containsText" text="Трактор базы">
      <formula>NOT(ISERROR(SEARCH("Трактор базы",E2)))</formula>
    </cfRule>
  </conditionalFormatting>
  <conditionalFormatting sqref="A2:C10">
    <cfRule type="expression" dxfId="173" priority="9">
      <formula>$A2="пн"</formula>
    </cfRule>
  </conditionalFormatting>
  <conditionalFormatting sqref="A2:C12">
    <cfRule type="expression" dxfId="172" priority="3">
      <formula>$A2="вс"</formula>
    </cfRule>
    <cfRule type="expression" dxfId="171" priority="4">
      <formula>$A2="сб"</formula>
    </cfRule>
    <cfRule type="expression" dxfId="170" priority="5">
      <formula>$A2="пт"</formula>
    </cfRule>
    <cfRule type="expression" dxfId="169" priority="6">
      <formula>$A2="чт"</formula>
    </cfRule>
    <cfRule type="expression" dxfId="168" priority="7">
      <formula>$A2="ср"</formula>
    </cfRule>
    <cfRule type="expression" dxfId="167" priority="8">
      <formula>$A2="вт"</formula>
    </cfRule>
  </conditionalFormatting>
  <conditionalFormatting sqref="D2:D21">
    <cfRule type="containsText" dxfId="166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1">
    <cfRule type="containsText" dxfId="165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BAAB-993D-4235-99A9-B194DDE80D44}">
  <sheetPr>
    <tabColor theme="5" tint="-0.249977111117893"/>
  </sheetPr>
  <dimension ref="A1:M39"/>
  <sheetViews>
    <sheetView zoomScale="90" zoomScaleNormal="90" workbookViewId="0">
      <pane ySplit="1" topLeftCell="A17" activePane="bottomLeft" state="frozen"/>
      <selection pane="bottomLeft" activeCell="N38" sqref="N38"/>
    </sheetView>
  </sheetViews>
  <sheetFormatPr defaultRowHeight="15" x14ac:dyDescent="0.25"/>
  <cols>
    <col min="1" max="1" width="9.7109375" style="2" bestFit="1" customWidth="1"/>
    <col min="2" max="2" width="11" style="2" bestFit="1" customWidth="1"/>
    <col min="3" max="3" width="8.7109375" style="2" bestFit="1" customWidth="1"/>
    <col min="4" max="4" width="37.5703125" bestFit="1" customWidth="1"/>
    <col min="5" max="5" width="30.140625" bestFit="1" customWidth="1"/>
    <col min="6" max="6" width="5" customWidth="1"/>
    <col min="7" max="7" width="7.28515625" style="8" bestFit="1" customWidth="1"/>
    <col min="8" max="8" width="23" bestFit="1" customWidth="1"/>
    <col min="9" max="9" width="36.7109375" bestFit="1" customWidth="1"/>
    <col min="10" max="10" width="40.85546875" hidden="1" customWidth="1"/>
    <col min="11" max="11" width="53.140625" hidden="1" customWidth="1"/>
    <col min="12" max="12" width="24.42578125" hidden="1" customWidth="1"/>
    <col min="13" max="13" width="53.140625" hidden="1" customWidth="1"/>
    <col min="14" max="14" width="56.85546875" bestFit="1" customWidth="1"/>
    <col min="15" max="15" width="58.42578125" bestFit="1" customWidth="1"/>
    <col min="16" max="16" width="16.42578125" bestFit="1" customWidth="1"/>
    <col min="17" max="17" width="22.85546875" bestFit="1" customWidth="1"/>
    <col min="18" max="18" width="24.5703125" bestFit="1" customWidth="1"/>
    <col min="19" max="19" width="58.42578125" bestFit="1" customWidth="1"/>
    <col min="20" max="20" width="17.7109375" bestFit="1" customWidth="1"/>
    <col min="21" max="21" width="58.42578125" bestFit="1" customWidth="1"/>
    <col min="22" max="22" width="16.28515625" customWidth="1"/>
    <col min="23" max="23" width="126.7109375" customWidth="1"/>
    <col min="24" max="24" width="58.42578125" bestFit="1" customWidth="1"/>
    <col min="25" max="25" width="98.7109375" customWidth="1"/>
  </cols>
  <sheetData>
    <row r="1" spans="1:13" x14ac:dyDescent="0.25">
      <c r="A1" s="2" t="s">
        <v>61</v>
      </c>
      <c r="B1" s="2" t="s">
        <v>0</v>
      </c>
      <c r="C1" s="2" t="s">
        <v>1</v>
      </c>
      <c r="D1" t="s">
        <v>2</v>
      </c>
      <c r="E1" t="s">
        <v>3</v>
      </c>
      <c r="F1" t="s">
        <v>52</v>
      </c>
      <c r="G1" s="8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s="2" t="s">
        <v>18</v>
      </c>
      <c r="B2" s="4">
        <v>46067</v>
      </c>
      <c r="C2" s="5">
        <v>0.38753472222222224</v>
      </c>
      <c r="D2" t="s">
        <v>12024</v>
      </c>
      <c r="E2" t="s">
        <v>12025</v>
      </c>
      <c r="I2" t="s">
        <v>11943</v>
      </c>
      <c r="J2" t="s">
        <v>11912</v>
      </c>
      <c r="K2" t="s">
        <v>11944</v>
      </c>
      <c r="L2" t="s">
        <v>11925</v>
      </c>
      <c r="M2" s="3" t="str">
        <f>HYPERLINK(склад2въезд13192021222378910[[#This Row],[RelativePath]])</f>
        <v>19 Хронометраж\K07156189_22_20260214T091803Z.jpg</v>
      </c>
    </row>
    <row r="3" spans="1:13" x14ac:dyDescent="0.25">
      <c r="A3" s="2" t="s">
        <v>18</v>
      </c>
      <c r="B3" s="4">
        <v>46067</v>
      </c>
      <c r="C3" s="5">
        <v>0.38950231481481479</v>
      </c>
      <c r="D3" t="s">
        <v>12024</v>
      </c>
      <c r="E3" t="s">
        <v>12026</v>
      </c>
      <c r="I3" t="s">
        <v>11945</v>
      </c>
      <c r="J3" t="s">
        <v>11912</v>
      </c>
      <c r="K3" t="s">
        <v>11946</v>
      </c>
      <c r="L3" t="s">
        <v>11926</v>
      </c>
      <c r="M3" s="3" t="str">
        <f>HYPERLINK(склад2въезд13192021222378910[[#This Row],[RelativePath]])</f>
        <v>19 Хронометраж\K07156189_22_20260214T092053Z.jpg</v>
      </c>
    </row>
    <row r="4" spans="1:13" x14ac:dyDescent="0.25">
      <c r="A4" s="2" t="s">
        <v>18</v>
      </c>
      <c r="B4" s="4">
        <v>46067</v>
      </c>
      <c r="C4" s="5">
        <v>0.40157407407407408</v>
      </c>
      <c r="D4" t="s">
        <v>12027</v>
      </c>
      <c r="E4" t="s">
        <v>12028</v>
      </c>
      <c r="I4" t="s">
        <v>11947</v>
      </c>
      <c r="J4" t="s">
        <v>11912</v>
      </c>
      <c r="K4" t="s">
        <v>11948</v>
      </c>
      <c r="L4" t="s">
        <v>11913</v>
      </c>
      <c r="M4" s="3" t="str">
        <f>HYPERLINK(склад2въезд13192021222378910[[#This Row],[RelativePath]])</f>
        <v>19 Хронометраж\K07156189_22_20260214T093816Z.jpg</v>
      </c>
    </row>
    <row r="5" spans="1:13" x14ac:dyDescent="0.25">
      <c r="A5" s="2" t="s">
        <v>18</v>
      </c>
      <c r="B5" s="4">
        <v>46067</v>
      </c>
      <c r="C5" s="5">
        <v>0.40230324074074075</v>
      </c>
      <c r="D5" t="s">
        <v>12027</v>
      </c>
      <c r="E5" t="s">
        <v>12028</v>
      </c>
      <c r="I5" t="s">
        <v>11949</v>
      </c>
      <c r="J5" t="s">
        <v>11912</v>
      </c>
      <c r="K5" t="s">
        <v>11950</v>
      </c>
      <c r="L5" t="s">
        <v>11914</v>
      </c>
      <c r="M5" s="3" t="str">
        <f>HYPERLINK(склад2въезд13192021222378910[[#This Row],[RelativePath]])</f>
        <v>19 Хронометраж\K07156189_22_20260214T093919Z.jpg</v>
      </c>
    </row>
    <row r="6" spans="1:13" x14ac:dyDescent="0.25">
      <c r="A6" s="2" t="s">
        <v>18</v>
      </c>
      <c r="B6" s="4">
        <v>46067</v>
      </c>
      <c r="C6" s="5">
        <v>0.45494212962962965</v>
      </c>
      <c r="D6" t="s">
        <v>12029</v>
      </c>
      <c r="E6" t="s">
        <v>12026</v>
      </c>
      <c r="I6" t="s">
        <v>11951</v>
      </c>
      <c r="J6" t="s">
        <v>11912</v>
      </c>
      <c r="K6" t="s">
        <v>11952</v>
      </c>
      <c r="L6" t="s">
        <v>11927</v>
      </c>
      <c r="M6" s="3" t="str">
        <f>HYPERLINK(склад2въезд13192021222378910[[#This Row],[RelativePath]])</f>
        <v>19 Хронометраж\K07156189_22_20260214T105507Z.jpg</v>
      </c>
    </row>
    <row r="7" spans="1:13" x14ac:dyDescent="0.25">
      <c r="A7" s="2" t="s">
        <v>18</v>
      </c>
      <c r="B7" s="4">
        <v>46067</v>
      </c>
      <c r="C7" s="5">
        <v>0.45494212962962965</v>
      </c>
      <c r="D7" t="s">
        <v>12029</v>
      </c>
      <c r="E7" t="s">
        <v>12025</v>
      </c>
      <c r="I7" t="s">
        <v>11951</v>
      </c>
      <c r="J7" t="s">
        <v>11912</v>
      </c>
      <c r="K7" t="s">
        <v>11952</v>
      </c>
      <c r="L7" t="s">
        <v>11927</v>
      </c>
      <c r="M7" s="3" t="str">
        <f>HYPERLINK(склад2въезд13192021222378910[[#This Row],[RelativePath]])</f>
        <v>19 Хронометраж\K07156189_22_20260214T105507Z.jpg</v>
      </c>
    </row>
    <row r="8" spans="1:13" x14ac:dyDescent="0.25">
      <c r="A8" s="2" t="s">
        <v>18</v>
      </c>
      <c r="B8" s="4">
        <v>46067</v>
      </c>
      <c r="C8" s="5">
        <v>0.47659722222222223</v>
      </c>
      <c r="D8" t="s">
        <v>12024</v>
      </c>
      <c r="E8" t="s">
        <v>12025</v>
      </c>
      <c r="I8" t="s">
        <v>11953</v>
      </c>
      <c r="J8" t="s">
        <v>11912</v>
      </c>
      <c r="K8" t="s">
        <v>11954</v>
      </c>
      <c r="L8" t="s">
        <v>11928</v>
      </c>
      <c r="M8" s="3" t="str">
        <f>HYPERLINK(склад2въезд13192021222378910[[#This Row],[RelativePath]])</f>
        <v>19 Хронометраж\K07156189_22_20260214T112618Z.jpg</v>
      </c>
    </row>
    <row r="9" spans="1:13" x14ac:dyDescent="0.25">
      <c r="A9" s="2" t="s">
        <v>18</v>
      </c>
      <c r="B9" s="4">
        <v>46067</v>
      </c>
      <c r="C9" s="5">
        <v>0.47730324074074076</v>
      </c>
      <c r="D9" t="s">
        <v>12027</v>
      </c>
      <c r="E9" t="s">
        <v>12025</v>
      </c>
      <c r="I9" t="s">
        <v>11955</v>
      </c>
      <c r="J9" t="s">
        <v>11912</v>
      </c>
      <c r="K9" t="s">
        <v>11956</v>
      </c>
      <c r="L9" t="s">
        <v>11915</v>
      </c>
      <c r="M9" s="3" t="str">
        <f>HYPERLINK(склад2въезд13192021222378910[[#This Row],[RelativePath]])</f>
        <v>19 Хронометраж\K07156189_22_20260214T112719Z.jpg</v>
      </c>
    </row>
    <row r="10" spans="1:13" x14ac:dyDescent="0.25">
      <c r="A10" s="2" t="s">
        <v>18</v>
      </c>
      <c r="B10" s="4">
        <v>46067</v>
      </c>
      <c r="C10" s="5">
        <v>0.47759259259259257</v>
      </c>
      <c r="D10" t="s">
        <v>12024</v>
      </c>
      <c r="E10" t="s">
        <v>12026</v>
      </c>
      <c r="I10" t="s">
        <v>11957</v>
      </c>
      <c r="J10" t="s">
        <v>11912</v>
      </c>
      <c r="K10" t="s">
        <v>11958</v>
      </c>
      <c r="L10" t="s">
        <v>11929</v>
      </c>
      <c r="M10" s="3" t="str">
        <f>HYPERLINK(склад2въезд13192021222378910[[#This Row],[RelativePath]])</f>
        <v>19 Хронометраж\K07156189_22_20260214T112744Z.jpg</v>
      </c>
    </row>
    <row r="11" spans="1:13" x14ac:dyDescent="0.25">
      <c r="A11" s="2" t="s">
        <v>18</v>
      </c>
      <c r="B11" s="4">
        <v>46067</v>
      </c>
      <c r="C11" s="5">
        <v>0.4815740740740741</v>
      </c>
      <c r="D11" t="s">
        <v>12027</v>
      </c>
      <c r="E11" t="s">
        <v>12028</v>
      </c>
      <c r="I11" t="s">
        <v>11959</v>
      </c>
      <c r="J11" t="s">
        <v>11912</v>
      </c>
      <c r="K11" t="s">
        <v>11960</v>
      </c>
      <c r="L11" t="s">
        <v>11916</v>
      </c>
      <c r="M11" s="3" t="str">
        <f>HYPERLINK(склад2въезд13192021222378910[[#This Row],[RelativePath]])</f>
        <v>19 Хронометраж\K07156189_22_20260214T113328Z.jpg</v>
      </c>
    </row>
    <row r="12" spans="1:13" x14ac:dyDescent="0.25">
      <c r="A12" s="2" t="s">
        <v>18</v>
      </c>
      <c r="B12" s="4">
        <v>46067</v>
      </c>
      <c r="C12" s="5">
        <v>0.49539351851851854</v>
      </c>
      <c r="D12" t="s">
        <v>12029</v>
      </c>
      <c r="E12" t="s">
        <v>12026</v>
      </c>
      <c r="I12" t="s">
        <v>11961</v>
      </c>
      <c r="J12" t="s">
        <v>11912</v>
      </c>
      <c r="K12" t="s">
        <v>11962</v>
      </c>
      <c r="L12" t="s">
        <v>11930</v>
      </c>
      <c r="M12" s="3" t="str">
        <f>HYPERLINK(склад2въезд13192021222378910[[#This Row],[RelativePath]])</f>
        <v>19 Хронометраж\K07156189_22_20260214T115322Z.jpg</v>
      </c>
    </row>
    <row r="13" spans="1:13" x14ac:dyDescent="0.25">
      <c r="A13" s="2" t="s">
        <v>18</v>
      </c>
      <c r="B13" s="4">
        <v>46067</v>
      </c>
      <c r="C13" s="5">
        <v>0.49884259259259262</v>
      </c>
      <c r="D13" t="s">
        <v>12024</v>
      </c>
      <c r="E13" t="s">
        <v>12026</v>
      </c>
      <c r="I13" t="s">
        <v>11963</v>
      </c>
      <c r="J13" t="s">
        <v>11912</v>
      </c>
      <c r="K13" t="s">
        <v>11964</v>
      </c>
      <c r="L13" t="s">
        <v>11931</v>
      </c>
      <c r="M13" s="3" t="str">
        <f>HYPERLINK(склад2въезд13192021222378910[[#This Row],[RelativePath]])</f>
        <v>19 Хронометраж\K07156189_22_20260214T115820Z.jpg</v>
      </c>
    </row>
    <row r="14" spans="1:13" x14ac:dyDescent="0.25">
      <c r="A14" s="2" t="s">
        <v>18</v>
      </c>
      <c r="B14" s="4">
        <v>46067</v>
      </c>
      <c r="C14" s="5">
        <v>0.5</v>
      </c>
      <c r="D14" t="s">
        <v>12027</v>
      </c>
      <c r="E14" t="s">
        <v>12028</v>
      </c>
      <c r="I14" t="s">
        <v>11965</v>
      </c>
      <c r="J14" t="s">
        <v>11912</v>
      </c>
      <c r="K14" t="s">
        <v>11966</v>
      </c>
      <c r="L14" t="s">
        <v>11917</v>
      </c>
      <c r="M14" s="3" t="str">
        <f>HYPERLINK(склад2въезд13192021222378910[[#This Row],[RelativePath]])</f>
        <v>19 Хронометраж\K07156189_22_20260214T120000Z.jpg</v>
      </c>
    </row>
    <row r="15" spans="1:13" x14ac:dyDescent="0.25">
      <c r="A15" s="2" t="s">
        <v>18</v>
      </c>
      <c r="B15" s="4">
        <v>46067</v>
      </c>
      <c r="C15" s="5">
        <v>0.51717592592592587</v>
      </c>
      <c r="D15" t="s">
        <v>12029</v>
      </c>
      <c r="E15" t="s">
        <v>12026</v>
      </c>
      <c r="I15" t="s">
        <v>11967</v>
      </c>
      <c r="J15" t="s">
        <v>11912</v>
      </c>
      <c r="K15" t="s">
        <v>11968</v>
      </c>
      <c r="L15" t="s">
        <v>11932</v>
      </c>
      <c r="M15" s="3" t="str">
        <f>HYPERLINK(склад2въезд13192021222378910[[#This Row],[RelativePath]])</f>
        <v>19 Хронометраж\K07156189_22_20260214T122444Z.jpg</v>
      </c>
    </row>
    <row r="16" spans="1:13" x14ac:dyDescent="0.25">
      <c r="A16" s="2" t="s">
        <v>18</v>
      </c>
      <c r="B16" s="4">
        <v>46067</v>
      </c>
      <c r="C16" s="5">
        <v>0.51853009259259264</v>
      </c>
      <c r="D16" t="s">
        <v>12024</v>
      </c>
      <c r="E16" t="s">
        <v>12026</v>
      </c>
      <c r="I16" t="s">
        <v>11969</v>
      </c>
      <c r="J16" t="s">
        <v>11912</v>
      </c>
      <c r="K16" t="s">
        <v>11970</v>
      </c>
      <c r="L16" t="s">
        <v>11933</v>
      </c>
      <c r="M16" s="3" t="str">
        <f>HYPERLINK(склад2въезд13192021222378910[[#This Row],[RelativePath]])</f>
        <v>19 Хронометраж\K07156189_22_20260214T122641Z.jpg</v>
      </c>
    </row>
    <row r="17" spans="1:13" x14ac:dyDescent="0.25">
      <c r="A17" s="2" t="s">
        <v>18</v>
      </c>
      <c r="B17" s="4">
        <v>46067</v>
      </c>
      <c r="C17" s="5">
        <v>0.52085648148148145</v>
      </c>
      <c r="D17" t="s">
        <v>12027</v>
      </c>
      <c r="E17" t="s">
        <v>12028</v>
      </c>
      <c r="I17" t="s">
        <v>11971</v>
      </c>
      <c r="J17" t="s">
        <v>11912</v>
      </c>
      <c r="K17" t="s">
        <v>11972</v>
      </c>
      <c r="L17" t="s">
        <v>11918</v>
      </c>
      <c r="M17" s="3" t="str">
        <f>HYPERLINK(склад2въезд13192021222378910[[#This Row],[RelativePath]])</f>
        <v>19 Хронометраж\K07156189_22_20260214T123002Z.jpg</v>
      </c>
    </row>
    <row r="18" spans="1:13" x14ac:dyDescent="0.25">
      <c r="A18" s="2" t="s">
        <v>18</v>
      </c>
      <c r="B18" s="4">
        <v>46067</v>
      </c>
      <c r="C18" s="5">
        <v>0.53850694444444447</v>
      </c>
      <c r="D18" t="s">
        <v>12029</v>
      </c>
      <c r="E18" t="s">
        <v>12026</v>
      </c>
      <c r="I18" t="s">
        <v>11973</v>
      </c>
      <c r="J18" t="s">
        <v>11912</v>
      </c>
      <c r="K18" t="s">
        <v>11974</v>
      </c>
      <c r="L18" t="s">
        <v>11934</v>
      </c>
      <c r="M18" s="3" t="str">
        <f>HYPERLINK(склад2въезд13192021222378910[[#This Row],[RelativePath]])</f>
        <v>19 Хронометраж\K07156189_22_20260214T125527Z.jpg</v>
      </c>
    </row>
    <row r="19" spans="1:13" x14ac:dyDescent="0.25">
      <c r="A19" s="2" t="s">
        <v>18</v>
      </c>
      <c r="B19" s="4">
        <v>46067</v>
      </c>
      <c r="C19" s="5">
        <v>0.53856481481481477</v>
      </c>
      <c r="D19" t="s">
        <v>12029</v>
      </c>
      <c r="E19" t="s">
        <v>12025</v>
      </c>
      <c r="H19" t="s">
        <v>12031</v>
      </c>
      <c r="I19" t="s">
        <v>11922</v>
      </c>
      <c r="J19" t="s">
        <v>11912</v>
      </c>
      <c r="K19" t="s">
        <v>11923</v>
      </c>
      <c r="L19" t="s">
        <v>11924</v>
      </c>
      <c r="M19" s="3" t="str">
        <f>HYPERLINK(склад2въезд13192021222378910[[#This Row],[RelativePath]])</f>
        <v>19 Хронометраж\K07156189_22_20260214T125532Z.jpg</v>
      </c>
    </row>
    <row r="20" spans="1:13" x14ac:dyDescent="0.25">
      <c r="A20" s="2" t="s">
        <v>18</v>
      </c>
      <c r="B20" s="4">
        <v>46067</v>
      </c>
      <c r="C20" s="5">
        <v>0.58101851851851849</v>
      </c>
      <c r="D20" t="s">
        <v>12024</v>
      </c>
      <c r="E20" t="s">
        <v>12028</v>
      </c>
      <c r="I20" t="s">
        <v>11975</v>
      </c>
      <c r="J20" t="s">
        <v>11912</v>
      </c>
      <c r="K20" t="s">
        <v>11976</v>
      </c>
      <c r="L20" t="s">
        <v>11935</v>
      </c>
      <c r="M20" s="3" t="str">
        <f>HYPERLINK(склад2въезд13192021222378910[[#This Row],[RelativePath]])</f>
        <v>19 Хронометраж\K07156189_22_20260214T135640Z.jpg</v>
      </c>
    </row>
    <row r="21" spans="1:13" x14ac:dyDescent="0.25">
      <c r="A21" s="2" t="s">
        <v>18</v>
      </c>
      <c r="B21" s="4">
        <v>46067</v>
      </c>
      <c r="C21" s="5">
        <v>0.58179398148148154</v>
      </c>
      <c r="D21" t="s">
        <v>12027</v>
      </c>
      <c r="E21" t="s">
        <v>12028</v>
      </c>
      <c r="I21" t="s">
        <v>11977</v>
      </c>
      <c r="J21" t="s">
        <v>11912</v>
      </c>
      <c r="K21" t="s">
        <v>11978</v>
      </c>
      <c r="L21" t="s">
        <v>11919</v>
      </c>
      <c r="M21" s="3" t="str">
        <f>HYPERLINK(склад2въезд13192021222378910[[#This Row],[RelativePath]])</f>
        <v>19 Хронометраж\K07156189_22_20260214T135747Z.jpg</v>
      </c>
    </row>
    <row r="22" spans="1:13" x14ac:dyDescent="0.25">
      <c r="A22" s="2" t="s">
        <v>18</v>
      </c>
      <c r="B22" s="4">
        <v>46067</v>
      </c>
      <c r="C22" s="5">
        <v>0.6403240740740741</v>
      </c>
      <c r="D22" t="s">
        <v>12029</v>
      </c>
      <c r="E22" t="s">
        <v>12026</v>
      </c>
      <c r="I22" t="s">
        <v>11979</v>
      </c>
      <c r="J22" t="s">
        <v>11912</v>
      </c>
      <c r="K22" t="s">
        <v>11980</v>
      </c>
      <c r="L22" t="s">
        <v>11936</v>
      </c>
      <c r="M22" s="3" t="str">
        <f>HYPERLINK(склад2въезд13192021222378910[[#This Row],[RelativePath]])</f>
        <v>19 Хронометраж\K07156189_22_20260214T152204Z.jpg</v>
      </c>
    </row>
    <row r="23" spans="1:13" x14ac:dyDescent="0.25">
      <c r="A23" s="2" t="s">
        <v>18</v>
      </c>
      <c r="B23" s="4">
        <v>46067</v>
      </c>
      <c r="C23" s="5">
        <v>0.64269675925925929</v>
      </c>
      <c r="D23" t="s">
        <v>12024</v>
      </c>
      <c r="E23" t="s">
        <v>12026</v>
      </c>
      <c r="H23" t="s">
        <v>12030</v>
      </c>
      <c r="I23" t="s">
        <v>11981</v>
      </c>
      <c r="J23" t="s">
        <v>11912</v>
      </c>
      <c r="K23" t="s">
        <v>11982</v>
      </c>
      <c r="L23" t="s">
        <v>11876</v>
      </c>
      <c r="M23" s="3" t="str">
        <f>HYPERLINK(склад2въезд13192021222378910[[#This Row],[RelativePath]])</f>
        <v>19 Хронометраж\K07156189_22_20260214T152529Z.jpg</v>
      </c>
    </row>
    <row r="24" spans="1:13" x14ac:dyDescent="0.25">
      <c r="A24" s="2" t="s">
        <v>18</v>
      </c>
      <c r="B24" s="4">
        <v>46067</v>
      </c>
      <c r="C24" s="5">
        <v>0.64306712962962964</v>
      </c>
      <c r="D24" t="s">
        <v>12027</v>
      </c>
      <c r="E24" t="s">
        <v>12028</v>
      </c>
      <c r="I24" t="s">
        <v>11983</v>
      </c>
      <c r="J24" t="s">
        <v>11912</v>
      </c>
      <c r="K24" t="s">
        <v>11984</v>
      </c>
      <c r="L24" t="s">
        <v>11920</v>
      </c>
      <c r="M24" s="3" t="str">
        <f>HYPERLINK(склад2въезд13192021222378910[[#This Row],[RelativePath]])</f>
        <v>19 Хронометраж\K07156189_22_20260214T152601Z.jpg</v>
      </c>
    </row>
    <row r="25" spans="1:13" x14ac:dyDescent="0.25">
      <c r="A25" s="2" t="s">
        <v>18</v>
      </c>
      <c r="B25" s="4">
        <v>46067</v>
      </c>
      <c r="C25" s="5">
        <v>0.70311342592592596</v>
      </c>
      <c r="D25" t="s">
        <v>12029</v>
      </c>
      <c r="E25" t="s">
        <v>12026</v>
      </c>
      <c r="I25" t="s">
        <v>11985</v>
      </c>
      <c r="J25" t="s">
        <v>11912</v>
      </c>
      <c r="K25" t="s">
        <v>11986</v>
      </c>
      <c r="L25" t="s">
        <v>11937</v>
      </c>
      <c r="M25" s="3" t="str">
        <f>HYPERLINK(склад2въезд13192021222378910[[#This Row],[RelativePath]])</f>
        <v>19 Хронометраж\K07156189_22_20260214T165229Z.jpg</v>
      </c>
    </row>
    <row r="26" spans="1:13" x14ac:dyDescent="0.25">
      <c r="A26" s="2" t="s">
        <v>18</v>
      </c>
      <c r="B26" s="4">
        <v>46067</v>
      </c>
      <c r="C26" s="5">
        <v>0.70339120370370367</v>
      </c>
      <c r="D26" t="s">
        <v>12027</v>
      </c>
      <c r="E26" t="s">
        <v>12025</v>
      </c>
      <c r="I26" t="s">
        <v>11987</v>
      </c>
      <c r="J26" t="s">
        <v>11912</v>
      </c>
      <c r="K26" t="s">
        <v>11988</v>
      </c>
      <c r="L26" t="s">
        <v>11921</v>
      </c>
      <c r="M26" s="3" t="str">
        <f>HYPERLINK(склад2въезд13192021222378910[[#This Row],[RelativePath]])</f>
        <v>19 Хронометраж\K07156189_22_20260214T165253Z.jpg</v>
      </c>
    </row>
    <row r="27" spans="1:13" x14ac:dyDescent="0.25">
      <c r="A27" s="2" t="s">
        <v>18</v>
      </c>
      <c r="B27" s="4">
        <v>46067</v>
      </c>
      <c r="C27" s="5">
        <v>0.70679398148148154</v>
      </c>
      <c r="D27" t="s">
        <v>12029</v>
      </c>
      <c r="E27" t="s">
        <v>12025</v>
      </c>
      <c r="I27" t="s">
        <v>11989</v>
      </c>
      <c r="J27" t="s">
        <v>11912</v>
      </c>
      <c r="K27" t="s">
        <v>11990</v>
      </c>
      <c r="L27" t="s">
        <v>11938</v>
      </c>
      <c r="M27" s="3" t="str">
        <f>HYPERLINK(склад2въезд13192021222378910[[#This Row],[RelativePath]])</f>
        <v>19 Хронометраж\K07156189_22_20260214T165747Z.jpg</v>
      </c>
    </row>
    <row r="28" spans="1:13" x14ac:dyDescent="0.25">
      <c r="A28" s="2" t="s">
        <v>22</v>
      </c>
      <c r="B28" s="4">
        <v>46068</v>
      </c>
      <c r="C28" s="5">
        <v>0.40575231481481483</v>
      </c>
      <c r="D28" t="s">
        <v>12024</v>
      </c>
      <c r="E28" t="s">
        <v>12025</v>
      </c>
      <c r="I28" t="s">
        <v>11991</v>
      </c>
      <c r="J28" t="s">
        <v>11912</v>
      </c>
      <c r="K28" t="s">
        <v>11992</v>
      </c>
      <c r="L28" t="s">
        <v>11939</v>
      </c>
      <c r="M28" s="3" t="str">
        <f>HYPERLINK(склад2въезд13192021222378910[[#This Row],[RelativePath]])</f>
        <v>19 Хронометраж\K07156189_22_20260215T094417Z.jpg</v>
      </c>
    </row>
    <row r="29" spans="1:13" x14ac:dyDescent="0.25">
      <c r="A29" s="2" t="s">
        <v>22</v>
      </c>
      <c r="B29" s="4">
        <v>46068</v>
      </c>
      <c r="C29" s="5">
        <v>0.41005787037037039</v>
      </c>
      <c r="D29" t="s">
        <v>12027</v>
      </c>
      <c r="E29" t="s">
        <v>12025</v>
      </c>
      <c r="I29" t="s">
        <v>11993</v>
      </c>
      <c r="J29" t="s">
        <v>11912</v>
      </c>
      <c r="K29" t="s">
        <v>11994</v>
      </c>
      <c r="L29" t="s">
        <v>11995</v>
      </c>
      <c r="M29" s="3" t="str">
        <f>HYPERLINK(склад2въезд13192021222378910[[#This Row],[RelativePath]])</f>
        <v>19 Хронометраж\K07156189_22_20260215T095029Z.jpg</v>
      </c>
    </row>
    <row r="30" spans="1:13" x14ac:dyDescent="0.25">
      <c r="A30" s="2" t="s">
        <v>22</v>
      </c>
      <c r="B30" s="4">
        <v>46068</v>
      </c>
      <c r="C30" s="5">
        <v>0.55344907407407407</v>
      </c>
      <c r="D30" t="s">
        <v>12029</v>
      </c>
      <c r="E30" t="s">
        <v>12025</v>
      </c>
      <c r="I30" t="s">
        <v>11996</v>
      </c>
      <c r="J30" t="s">
        <v>11912</v>
      </c>
      <c r="K30" t="s">
        <v>11997</v>
      </c>
      <c r="L30" t="s">
        <v>11998</v>
      </c>
      <c r="M30" s="3" t="str">
        <f>HYPERLINK(склад2въезд13192021222378910[[#This Row],[RelativePath]])</f>
        <v>19 Хронометраж\K07156189_22_20260215T131658Z.jpg</v>
      </c>
    </row>
    <row r="31" spans="1:13" x14ac:dyDescent="0.25">
      <c r="A31" s="2" t="s">
        <v>22</v>
      </c>
      <c r="B31" s="4">
        <v>46068</v>
      </c>
      <c r="C31" s="5">
        <v>0.57603009259259264</v>
      </c>
      <c r="D31" t="s">
        <v>12024</v>
      </c>
      <c r="E31" t="s">
        <v>12025</v>
      </c>
      <c r="I31" t="s">
        <v>11999</v>
      </c>
      <c r="J31" t="s">
        <v>11912</v>
      </c>
      <c r="K31" t="s">
        <v>12000</v>
      </c>
      <c r="L31" t="s">
        <v>12001</v>
      </c>
      <c r="M31" s="3" t="str">
        <f>HYPERLINK(склад2въезд13192021222378910[[#This Row],[RelativePath]])</f>
        <v>19 Хронометраж\K07156189_22_20260215T134929Z.jpg</v>
      </c>
    </row>
    <row r="32" spans="1:13" x14ac:dyDescent="0.25">
      <c r="A32" s="2" t="s">
        <v>22</v>
      </c>
      <c r="B32" s="4">
        <v>46068</v>
      </c>
      <c r="C32" s="5">
        <v>0.57678240740740738</v>
      </c>
      <c r="D32" t="s">
        <v>12027</v>
      </c>
      <c r="E32" t="s">
        <v>12025</v>
      </c>
      <c r="I32" t="s">
        <v>12002</v>
      </c>
      <c r="J32" t="s">
        <v>11912</v>
      </c>
      <c r="K32" t="s">
        <v>12003</v>
      </c>
      <c r="L32" t="s">
        <v>12004</v>
      </c>
      <c r="M32" s="3" t="str">
        <f>HYPERLINK(склад2въезд13192021222378910[[#This Row],[RelativePath]])</f>
        <v>19 Хронометраж\K07156189_22_20260215T135034Z.jpg</v>
      </c>
    </row>
    <row r="33" spans="1:13" x14ac:dyDescent="0.25">
      <c r="A33" s="2" t="s">
        <v>22</v>
      </c>
      <c r="B33" s="4">
        <v>46068</v>
      </c>
      <c r="C33" s="5">
        <v>0.60243055555555558</v>
      </c>
      <c r="D33" t="s">
        <v>12032</v>
      </c>
      <c r="E33" t="s">
        <v>12025</v>
      </c>
      <c r="I33" t="s">
        <v>12005</v>
      </c>
      <c r="J33" t="s">
        <v>11912</v>
      </c>
      <c r="K33" t="s">
        <v>12006</v>
      </c>
      <c r="L33" t="s">
        <v>12007</v>
      </c>
      <c r="M33" s="3" t="str">
        <f>HYPERLINK(склад2въезд13192021222378910[[#This Row],[RelativePath]])</f>
        <v>19 Хронометраж\K07156189_22_20260215T142730Z.jpg</v>
      </c>
    </row>
    <row r="34" spans="1:13" x14ac:dyDescent="0.25">
      <c r="A34" s="2" t="s">
        <v>22</v>
      </c>
      <c r="B34" s="4">
        <v>46068</v>
      </c>
      <c r="C34" s="5">
        <v>0.6025462962962963</v>
      </c>
      <c r="D34" t="s">
        <v>12</v>
      </c>
      <c r="E34" t="s">
        <v>12025</v>
      </c>
      <c r="I34" t="s">
        <v>12008</v>
      </c>
      <c r="J34" t="s">
        <v>11912</v>
      </c>
      <c r="K34" t="s">
        <v>12009</v>
      </c>
      <c r="L34" t="s">
        <v>12010</v>
      </c>
      <c r="M34" s="3" t="str">
        <f>HYPERLINK(склад2въезд13192021222378910[[#This Row],[RelativePath]])</f>
        <v>19 Хронометраж\K07156189_22_20260215T142740Z.jpg</v>
      </c>
    </row>
    <row r="35" spans="1:13" x14ac:dyDescent="0.25">
      <c r="A35" s="2" t="s">
        <v>22</v>
      </c>
      <c r="B35" s="4">
        <v>46068</v>
      </c>
      <c r="C35" s="5">
        <v>0.62107638888888894</v>
      </c>
      <c r="D35" t="s">
        <v>12033</v>
      </c>
      <c r="E35" t="s">
        <v>12025</v>
      </c>
      <c r="I35" t="s">
        <v>12011</v>
      </c>
      <c r="J35" t="s">
        <v>11912</v>
      </c>
      <c r="K35" t="s">
        <v>12012</v>
      </c>
      <c r="L35" t="s">
        <v>12013</v>
      </c>
      <c r="M35" s="3" t="str">
        <f>HYPERLINK(склад2въезд13192021222378910[[#This Row],[RelativePath]])</f>
        <v>19 Хронометраж\K07156189_22_20260215T145421Z.jpg</v>
      </c>
    </row>
    <row r="36" spans="1:13" x14ac:dyDescent="0.25">
      <c r="A36" s="2" t="s">
        <v>22</v>
      </c>
      <c r="B36" s="4">
        <v>46068</v>
      </c>
      <c r="C36" s="5">
        <v>0.63246527777777772</v>
      </c>
      <c r="D36" t="s">
        <v>12029</v>
      </c>
      <c r="E36" t="s">
        <v>12025</v>
      </c>
      <c r="I36" t="s">
        <v>12014</v>
      </c>
      <c r="J36" t="s">
        <v>11912</v>
      </c>
      <c r="K36" t="s">
        <v>12015</v>
      </c>
      <c r="L36" t="s">
        <v>11940</v>
      </c>
      <c r="M36" s="3" t="str">
        <f>HYPERLINK(склад2въезд13192021222378910[[#This Row],[RelativePath]])</f>
        <v>19 Хронометраж\K07156189_22_20260215T151045Z.jpg</v>
      </c>
    </row>
    <row r="37" spans="1:13" x14ac:dyDescent="0.25">
      <c r="A37" s="2" t="s">
        <v>22</v>
      </c>
      <c r="B37" s="4">
        <v>46068</v>
      </c>
      <c r="C37" s="5">
        <v>0.64251157407407411</v>
      </c>
      <c r="D37" t="s">
        <v>12024</v>
      </c>
      <c r="E37" t="s">
        <v>12025</v>
      </c>
      <c r="I37" t="s">
        <v>12016</v>
      </c>
      <c r="J37" t="s">
        <v>11912</v>
      </c>
      <c r="K37" t="s">
        <v>12017</v>
      </c>
      <c r="L37" t="s">
        <v>12018</v>
      </c>
      <c r="M37" s="3" t="str">
        <f>HYPERLINK(склад2въезд13192021222378910[[#This Row],[RelativePath]])</f>
        <v>19 Хронометраж\K07156189_23_20260215T152513Z.jpg</v>
      </c>
    </row>
    <row r="38" spans="1:13" x14ac:dyDescent="0.25">
      <c r="A38" s="2" t="s">
        <v>22</v>
      </c>
      <c r="B38" s="4">
        <v>46068</v>
      </c>
      <c r="C38" s="5">
        <v>0.64290509259259254</v>
      </c>
      <c r="D38" t="s">
        <v>12033</v>
      </c>
      <c r="E38" t="s">
        <v>12025</v>
      </c>
      <c r="I38" t="s">
        <v>12019</v>
      </c>
      <c r="J38" t="s">
        <v>11912</v>
      </c>
      <c r="K38" t="s">
        <v>12020</v>
      </c>
      <c r="L38" t="s">
        <v>11941</v>
      </c>
      <c r="M38" s="3" t="str">
        <f>HYPERLINK(склад2въезд13192021222378910[[#This Row],[RelativePath]])</f>
        <v>19 Хронометраж\K07156189_22_20260215T152547Z.jpg</v>
      </c>
    </row>
    <row r="39" spans="1:13" x14ac:dyDescent="0.25">
      <c r="A39" s="2" t="s">
        <v>22</v>
      </c>
      <c r="B39" s="4">
        <v>46068</v>
      </c>
      <c r="C39" s="5">
        <v>0.69094907407407402</v>
      </c>
      <c r="D39" t="s">
        <v>12029</v>
      </c>
      <c r="E39" t="s">
        <v>12025</v>
      </c>
      <c r="I39" t="s">
        <v>12021</v>
      </c>
      <c r="J39" t="s">
        <v>11912</v>
      </c>
      <c r="K39" t="s">
        <v>12022</v>
      </c>
      <c r="L39" t="s">
        <v>11942</v>
      </c>
      <c r="M39" s="3" t="str">
        <f>HYPERLINK(склад2въезд13192021222378910[[#This Row],[RelativePath]])</f>
        <v>19 Хронометраж\K07156189_22_20260215T163458Z.jpg</v>
      </c>
    </row>
  </sheetData>
  <conditionalFormatting sqref="D40:D50 E40:E53 D2:E39 G2:H39">
    <cfRule type="containsText" dxfId="164" priority="14" operator="containsText" text="Выезд с территории">
      <formula>NOT(ISERROR(SEARCH("Выезд с территории",D2)))</formula>
    </cfRule>
  </conditionalFormatting>
  <conditionalFormatting sqref="F2:F39">
    <cfRule type="notContainsText" dxfId="163" priority="13" operator="notContains" text="порожний">
      <formula>ISERROR(SEARCH("порожний",F2))</formula>
    </cfRule>
  </conditionalFormatting>
  <conditionalFormatting sqref="E2:E53">
    <cfRule type="containsText" dxfId="162" priority="11" operator="containsText" text="Газель базы">
      <formula>NOT(ISERROR(SEARCH("Газель базы",E2)))</formula>
    </cfRule>
    <cfRule type="containsText" dxfId="161" priority="12" operator="containsText" text="Погрузчик базы">
      <formula>NOT(ISERROR(SEARCH("Погрузчик базы",E2)))</formula>
    </cfRule>
  </conditionalFormatting>
  <conditionalFormatting sqref="E2:E53">
    <cfRule type="containsText" dxfId="160" priority="10" operator="containsText" text="Трактор базы">
      <formula>NOT(ISERROR(SEARCH("Трактор базы",E2)))</formula>
    </cfRule>
  </conditionalFormatting>
  <conditionalFormatting sqref="A2:C39">
    <cfRule type="expression" dxfId="159" priority="9">
      <formula>$A2="пн"</formula>
    </cfRule>
  </conditionalFormatting>
  <conditionalFormatting sqref="A2:C41">
    <cfRule type="expression" dxfId="158" priority="3">
      <formula>$A2="вс"</formula>
    </cfRule>
    <cfRule type="expression" dxfId="157" priority="4">
      <formula>$A2="сб"</formula>
    </cfRule>
    <cfRule type="expression" dxfId="156" priority="5">
      <formula>$A2="пт"</formula>
    </cfRule>
    <cfRule type="expression" dxfId="155" priority="6">
      <formula>$A2="чт"</formula>
    </cfRule>
    <cfRule type="expression" dxfId="154" priority="7">
      <formula>$A2="ср"</formula>
    </cfRule>
    <cfRule type="expression" dxfId="153" priority="8">
      <formula>$A2="вт"</formula>
    </cfRule>
  </conditionalFormatting>
  <conditionalFormatting sqref="D2:D50">
    <cfRule type="containsText" dxfId="152" priority="2" operator="containsText" text="Въезд на второстепенную дорогу">
      <formula>NOT(ISERROR(SEARCH("Въезд на второстепенную дорогу",D2)))</formula>
    </cfRule>
  </conditionalFormatting>
  <conditionalFormatting sqref="D2:D50">
    <cfRule type="containsText" dxfId="151" priority="1" operator="containsText" text="Выезд со второстепенной дороги">
      <formula>NOT(ISERROR(SEARCH("Выезд со второстепенной дороги",D2)))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B93E-2A3D-4CC0-9032-7C4C2D61382E}">
  <sheetPr>
    <tabColor rgb="FFFF0000"/>
  </sheetPr>
  <dimension ref="A1:M255"/>
  <sheetViews>
    <sheetView zoomScale="80" zoomScaleNormal="80" workbookViewId="0">
      <selection sqref="A1:M255"/>
    </sheetView>
  </sheetViews>
  <sheetFormatPr defaultRowHeight="15" x14ac:dyDescent="0.25"/>
  <cols>
    <col min="1" max="1" width="13" bestFit="1" customWidth="1"/>
    <col min="2" max="2" width="11.42578125" style="4" bestFit="1" customWidth="1"/>
    <col min="3" max="3" width="10.140625" style="6" bestFit="1" customWidth="1"/>
    <col min="4" max="4" width="15" style="2" bestFit="1" customWidth="1"/>
    <col min="5" max="5" width="62" bestFit="1" customWidth="1"/>
    <col min="6" max="6" width="22.85546875" bestFit="1" customWidth="1"/>
    <col min="7" max="7" width="10.28515625" bestFit="1" customWidth="1"/>
    <col min="8" max="8" width="27" bestFit="1" customWidth="1"/>
    <col min="9" max="9" width="40" hidden="1" customWidth="1"/>
    <col min="10" max="10" width="61.42578125" hidden="1" customWidth="1"/>
    <col min="11" max="11" width="58.85546875" hidden="1" customWidth="1"/>
    <col min="12" max="12" width="23.28515625" hidden="1" customWidth="1"/>
    <col min="13" max="13" width="62.7109375" bestFit="1" customWidth="1"/>
  </cols>
  <sheetData>
    <row r="1" spans="1:13" x14ac:dyDescent="0.25">
      <c r="A1" t="s">
        <v>61</v>
      </c>
      <c r="B1" s="4" t="s">
        <v>0</v>
      </c>
      <c r="C1" s="6" t="s">
        <v>1</v>
      </c>
      <c r="D1" s="2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t="s">
        <v>13</v>
      </c>
      <c r="B2" s="4">
        <v>45971</v>
      </c>
      <c r="C2" s="6">
        <v>0.51554398148148151</v>
      </c>
      <c r="D2" s="2" t="s">
        <v>438</v>
      </c>
      <c r="E2" t="s">
        <v>56</v>
      </c>
      <c r="F2" t="s">
        <v>53</v>
      </c>
      <c r="G2">
        <v>3</v>
      </c>
      <c r="I2" t="s">
        <v>1361</v>
      </c>
      <c r="J2" t="s">
        <v>1271</v>
      </c>
      <c r="K2" t="s">
        <v>1362</v>
      </c>
      <c r="L2" t="s">
        <v>1363</v>
      </c>
      <c r="M2" s="3" t="str">
        <f>HYPERLINK(Таблица3[[#This Row],[RelativePath]])</f>
        <v>10 Сушилка навес\E33149364_3_20251110T122223Z.jpg</v>
      </c>
    </row>
    <row r="3" spans="1:13" x14ac:dyDescent="0.25">
      <c r="A3" t="s">
        <v>14</v>
      </c>
      <c r="B3" s="4">
        <v>45972</v>
      </c>
      <c r="C3" s="6">
        <v>0.43606481481481479</v>
      </c>
      <c r="D3" s="2" t="s">
        <v>438</v>
      </c>
      <c r="E3" t="s">
        <v>67</v>
      </c>
      <c r="F3" t="s">
        <v>441</v>
      </c>
      <c r="H3" t="s">
        <v>442</v>
      </c>
      <c r="I3" t="s">
        <v>381</v>
      </c>
      <c r="J3" t="s">
        <v>306</v>
      </c>
      <c r="K3" t="s">
        <v>382</v>
      </c>
      <c r="L3" t="s">
        <v>383</v>
      </c>
      <c r="M3" s="3" t="str">
        <f>HYPERLINK(Таблица3[[#This Row],[RelativePath]])</f>
        <v>5 Крыльцо общага\K07156189_22_20251111T102756Z.jpg</v>
      </c>
    </row>
    <row r="4" spans="1:13" x14ac:dyDescent="0.25">
      <c r="A4" t="s">
        <v>14</v>
      </c>
      <c r="B4" s="4">
        <v>45972</v>
      </c>
      <c r="C4" s="6">
        <v>0.46743055555555557</v>
      </c>
      <c r="D4" s="2" t="s">
        <v>438</v>
      </c>
      <c r="E4" t="s">
        <v>63</v>
      </c>
      <c r="F4" t="s">
        <v>58</v>
      </c>
      <c r="H4" t="s">
        <v>1583</v>
      </c>
      <c r="I4" t="s">
        <v>1419</v>
      </c>
      <c r="J4" t="s">
        <v>1271</v>
      </c>
      <c r="K4" t="s">
        <v>1420</v>
      </c>
      <c r="L4" t="s">
        <v>1421</v>
      </c>
      <c r="M4" s="3" t="str">
        <f>HYPERLINK(Таблица3[[#This Row],[RelativePath]])</f>
        <v>10 Сушилка навес\E33149364_3_20251111T111306Z.jpg</v>
      </c>
    </row>
    <row r="5" spans="1:13" x14ac:dyDescent="0.25">
      <c r="A5" t="s">
        <v>14</v>
      </c>
      <c r="B5" s="4">
        <v>45972</v>
      </c>
      <c r="C5" s="6">
        <v>0.47805555555555557</v>
      </c>
      <c r="D5" s="2" t="s">
        <v>1579</v>
      </c>
      <c r="E5" t="s">
        <v>63</v>
      </c>
      <c r="F5" t="s">
        <v>58</v>
      </c>
      <c r="H5" t="s">
        <v>1583</v>
      </c>
      <c r="I5" t="s">
        <v>1422</v>
      </c>
      <c r="J5" t="s">
        <v>1271</v>
      </c>
      <c r="K5" t="s">
        <v>1423</v>
      </c>
      <c r="L5" t="s">
        <v>1424</v>
      </c>
      <c r="M5" s="3" t="str">
        <f>HYPERLINK(Таблица3[[#This Row],[RelativePath]])</f>
        <v>10 Сушилка навес\E33149364_3_20251111T112824Z.jpg</v>
      </c>
    </row>
    <row r="6" spans="1:13" x14ac:dyDescent="0.25">
      <c r="A6" t="s">
        <v>14</v>
      </c>
      <c r="B6" s="4">
        <v>45972</v>
      </c>
      <c r="C6" s="6">
        <v>0.42944444444444446</v>
      </c>
      <c r="D6" s="2" t="s">
        <v>438</v>
      </c>
      <c r="E6" t="s">
        <v>67</v>
      </c>
      <c r="F6" t="s">
        <v>440</v>
      </c>
      <c r="I6" t="s">
        <v>372</v>
      </c>
      <c r="J6" t="s">
        <v>306</v>
      </c>
      <c r="K6" t="s">
        <v>373</v>
      </c>
      <c r="L6" t="s">
        <v>374</v>
      </c>
      <c r="M6" s="3" t="str">
        <f>HYPERLINK(Таблица3[[#This Row],[RelativePath]])</f>
        <v>5 Крыльцо общага\K07156189_22_20251111T101824Z.jpg</v>
      </c>
    </row>
    <row r="7" spans="1:13" x14ac:dyDescent="0.25">
      <c r="A7" t="s">
        <v>14</v>
      </c>
      <c r="B7" s="4">
        <v>45972</v>
      </c>
      <c r="C7" s="6">
        <v>0.4316550925925926</v>
      </c>
      <c r="D7" s="2" t="s">
        <v>438</v>
      </c>
      <c r="E7" t="s">
        <v>67</v>
      </c>
      <c r="F7" t="s">
        <v>440</v>
      </c>
      <c r="I7" t="s">
        <v>375</v>
      </c>
      <c r="J7" t="s">
        <v>306</v>
      </c>
      <c r="K7" t="s">
        <v>376</v>
      </c>
      <c r="L7" t="s">
        <v>377</v>
      </c>
      <c r="M7" s="3" t="str">
        <f>HYPERLINK(Таблица3[[#This Row],[RelativePath]])</f>
        <v>5 Крыльцо общага\K07156189_22_20251111T102135Z.jpg</v>
      </c>
    </row>
    <row r="8" spans="1:13" x14ac:dyDescent="0.25">
      <c r="A8" t="s">
        <v>14</v>
      </c>
      <c r="B8" s="4">
        <v>45972</v>
      </c>
      <c r="C8" s="6">
        <v>0.43408564814814815</v>
      </c>
      <c r="D8" s="2" t="s">
        <v>438</v>
      </c>
      <c r="E8" t="s">
        <v>67</v>
      </c>
      <c r="F8" t="s">
        <v>440</v>
      </c>
      <c r="I8" t="s">
        <v>378</v>
      </c>
      <c r="J8" t="s">
        <v>306</v>
      </c>
      <c r="K8" t="s">
        <v>379</v>
      </c>
      <c r="L8" t="s">
        <v>380</v>
      </c>
      <c r="M8" s="3" t="str">
        <f>HYPERLINK(Таблица3[[#This Row],[RelativePath]])</f>
        <v>5 Крыльцо общага\K07156189_22_20251111T102505Z.jpg</v>
      </c>
    </row>
    <row r="9" spans="1:13" x14ac:dyDescent="0.25">
      <c r="A9" t="s">
        <v>14</v>
      </c>
      <c r="B9" s="4">
        <v>45972</v>
      </c>
      <c r="C9" s="6">
        <v>0.48200231481481481</v>
      </c>
      <c r="D9" s="2" t="s">
        <v>1579</v>
      </c>
      <c r="E9" t="s">
        <v>63</v>
      </c>
      <c r="F9" t="s">
        <v>58</v>
      </c>
      <c r="H9" t="s">
        <v>1583</v>
      </c>
      <c r="I9" t="s">
        <v>1425</v>
      </c>
      <c r="J9" t="s">
        <v>1271</v>
      </c>
      <c r="K9" t="s">
        <v>1426</v>
      </c>
      <c r="L9" t="s">
        <v>1427</v>
      </c>
      <c r="M9" s="3" t="str">
        <f>HYPERLINK(Таблица3[[#This Row],[RelativePath]])</f>
        <v>10 Сушилка навес\E33149364_3_20251111T113405Z.jpg</v>
      </c>
    </row>
    <row r="10" spans="1:13" x14ac:dyDescent="0.25">
      <c r="A10" t="s">
        <v>14</v>
      </c>
      <c r="B10" s="4">
        <v>45972</v>
      </c>
      <c r="C10" s="6">
        <v>0.51658564814814811</v>
      </c>
      <c r="D10" s="2" t="s">
        <v>1579</v>
      </c>
      <c r="E10" t="s">
        <v>55</v>
      </c>
      <c r="F10" t="s">
        <v>1582</v>
      </c>
      <c r="H10" t="s">
        <v>1583</v>
      </c>
      <c r="I10" t="s">
        <v>1443</v>
      </c>
      <c r="J10" t="s">
        <v>1271</v>
      </c>
      <c r="K10" t="s">
        <v>1444</v>
      </c>
      <c r="L10" t="s">
        <v>1445</v>
      </c>
      <c r="M10" s="3" t="str">
        <f>HYPERLINK(Таблица3[[#This Row],[RelativePath]])</f>
        <v>10 Сушилка навес\E33149364_3_20251111T122353Z.jpg</v>
      </c>
    </row>
    <row r="11" spans="1:13" x14ac:dyDescent="0.25">
      <c r="A11" t="s">
        <v>14</v>
      </c>
      <c r="B11" s="4">
        <v>45972</v>
      </c>
      <c r="C11" s="6">
        <v>0.52825231481481483</v>
      </c>
      <c r="D11" s="2" t="s">
        <v>1579</v>
      </c>
      <c r="E11" t="s">
        <v>55</v>
      </c>
      <c r="F11" t="s">
        <v>1584</v>
      </c>
      <c r="I11" t="s">
        <v>1446</v>
      </c>
      <c r="J11" t="s">
        <v>1271</v>
      </c>
      <c r="K11" t="s">
        <v>1447</v>
      </c>
      <c r="L11" t="s">
        <v>1448</v>
      </c>
      <c r="M11" s="3" t="str">
        <f>HYPERLINK(Таблица3[[#This Row],[RelativePath]])</f>
        <v>10 Сушилка навес\E33149364_3_20251111T124041Z.jpg</v>
      </c>
    </row>
    <row r="12" spans="1:13" x14ac:dyDescent="0.25">
      <c r="A12" t="s">
        <v>14</v>
      </c>
      <c r="B12" s="4">
        <v>45972</v>
      </c>
      <c r="C12" s="6">
        <v>0.52853009259259254</v>
      </c>
      <c r="D12" s="2" t="s">
        <v>1579</v>
      </c>
      <c r="E12" t="s">
        <v>55</v>
      </c>
      <c r="F12" t="s">
        <v>1585</v>
      </c>
      <c r="I12" t="s">
        <v>1449</v>
      </c>
      <c r="J12" t="s">
        <v>1271</v>
      </c>
      <c r="K12" t="s">
        <v>1450</v>
      </c>
      <c r="L12" t="s">
        <v>1451</v>
      </c>
      <c r="M12" s="3" t="str">
        <f>HYPERLINK(Таблица3[[#This Row],[RelativePath]])</f>
        <v>10 Сушилка навес\E33149364_3_20251111T124105Z.jpg</v>
      </c>
    </row>
    <row r="13" spans="1:13" x14ac:dyDescent="0.25">
      <c r="A13" t="s">
        <v>14</v>
      </c>
      <c r="B13" s="4">
        <v>45972</v>
      </c>
      <c r="C13" s="6">
        <v>0.50693287037037038</v>
      </c>
      <c r="D13" s="2" t="s">
        <v>438</v>
      </c>
      <c r="E13" t="s">
        <v>55</v>
      </c>
      <c r="F13" t="s">
        <v>1580</v>
      </c>
      <c r="H13" t="s">
        <v>1581</v>
      </c>
      <c r="I13" t="s">
        <v>1434</v>
      </c>
      <c r="J13" t="s">
        <v>1271</v>
      </c>
      <c r="K13" t="s">
        <v>1435</v>
      </c>
      <c r="L13" t="s">
        <v>1436</v>
      </c>
      <c r="M13" s="3" t="str">
        <f>HYPERLINK(Таблица3[[#This Row],[RelativePath]])</f>
        <v>10 Сушилка навес\E33149364_3_20251111T120959Z.jpg</v>
      </c>
    </row>
    <row r="14" spans="1:13" x14ac:dyDescent="0.25">
      <c r="A14" t="s">
        <v>14</v>
      </c>
      <c r="B14" s="4">
        <v>45972</v>
      </c>
      <c r="C14" s="6">
        <v>0.50932870370370376</v>
      </c>
      <c r="D14" s="2" t="s">
        <v>1579</v>
      </c>
      <c r="E14" t="s">
        <v>55</v>
      </c>
      <c r="F14" t="s">
        <v>1580</v>
      </c>
      <c r="H14" t="s">
        <v>1581</v>
      </c>
      <c r="I14" t="s">
        <v>1437</v>
      </c>
      <c r="J14" t="s">
        <v>1271</v>
      </c>
      <c r="K14" t="s">
        <v>1438</v>
      </c>
      <c r="L14" t="s">
        <v>1439</v>
      </c>
      <c r="M14" s="3" t="str">
        <f>HYPERLINK(Таблица3[[#This Row],[RelativePath]])</f>
        <v>10 Сушилка навес\E33149364_3_20251111T121326Z.jpg</v>
      </c>
    </row>
    <row r="15" spans="1:13" x14ac:dyDescent="0.25">
      <c r="A15" t="s">
        <v>14</v>
      </c>
      <c r="B15" s="4">
        <v>45972</v>
      </c>
      <c r="C15" s="6">
        <v>0.51362268518518517</v>
      </c>
      <c r="D15" s="2" t="s">
        <v>1579</v>
      </c>
      <c r="E15" t="s">
        <v>55</v>
      </c>
      <c r="F15" t="s">
        <v>1580</v>
      </c>
      <c r="H15" t="s">
        <v>1581</v>
      </c>
      <c r="I15" t="s">
        <v>1440</v>
      </c>
      <c r="J15" t="s">
        <v>1271</v>
      </c>
      <c r="K15" t="s">
        <v>1441</v>
      </c>
      <c r="L15" t="s">
        <v>1442</v>
      </c>
      <c r="M15" s="3" t="str">
        <f>HYPERLINK(Таблица3[[#This Row],[RelativePath]])</f>
        <v>10 Сушилка навес\E33149364_3_20251111T121937Z.jpg</v>
      </c>
    </row>
    <row r="16" spans="1:13" x14ac:dyDescent="0.25">
      <c r="A16" t="s">
        <v>14</v>
      </c>
      <c r="B16" s="4">
        <v>45972</v>
      </c>
      <c r="C16" s="6">
        <v>0.40597222222222223</v>
      </c>
      <c r="D16" s="2" t="s">
        <v>438</v>
      </c>
      <c r="E16" t="s">
        <v>67</v>
      </c>
      <c r="F16" t="s">
        <v>440</v>
      </c>
      <c r="I16" t="s">
        <v>348</v>
      </c>
      <c r="J16" t="s">
        <v>306</v>
      </c>
      <c r="K16" t="s">
        <v>349</v>
      </c>
      <c r="L16" t="s">
        <v>350</v>
      </c>
      <c r="M16" s="3" t="str">
        <f>HYPERLINK(Таблица3[[#This Row],[RelativePath]])</f>
        <v>5 Крыльцо общага\K07156189_22_20251111T094436Z.jpg</v>
      </c>
    </row>
    <row r="17" spans="1:13" x14ac:dyDescent="0.25">
      <c r="A17" t="s">
        <v>14</v>
      </c>
      <c r="B17" s="4">
        <v>45972</v>
      </c>
      <c r="C17" s="6">
        <v>0.40881944444444446</v>
      </c>
      <c r="D17" s="2" t="s">
        <v>438</v>
      </c>
      <c r="E17" t="s">
        <v>67</v>
      </c>
      <c r="F17" t="s">
        <v>440</v>
      </c>
      <c r="I17" t="s">
        <v>351</v>
      </c>
      <c r="J17" t="s">
        <v>306</v>
      </c>
      <c r="K17" t="s">
        <v>352</v>
      </c>
      <c r="L17" t="s">
        <v>353</v>
      </c>
      <c r="M17" s="3" t="str">
        <f>HYPERLINK(Таблица3[[#This Row],[RelativePath]])</f>
        <v>5 Крыльцо общага\K07156189_22_20251111T094842Z.jpg</v>
      </c>
    </row>
    <row r="18" spans="1:13" x14ac:dyDescent="0.25">
      <c r="A18" t="s">
        <v>14</v>
      </c>
      <c r="B18" s="4">
        <v>45972</v>
      </c>
      <c r="C18" s="6">
        <v>0.4105787037037037</v>
      </c>
      <c r="D18" s="2" t="s">
        <v>438</v>
      </c>
      <c r="E18" t="s">
        <v>67</v>
      </c>
      <c r="F18" t="s">
        <v>440</v>
      </c>
      <c r="I18" t="s">
        <v>354</v>
      </c>
      <c r="J18" t="s">
        <v>306</v>
      </c>
      <c r="K18" t="s">
        <v>355</v>
      </c>
      <c r="L18" t="s">
        <v>356</v>
      </c>
      <c r="M18" s="3" t="str">
        <f>HYPERLINK(Таблица3[[#This Row],[RelativePath]])</f>
        <v>5 Крыльцо общага\K07156189_22_20251111T095114Z.jpg</v>
      </c>
    </row>
    <row r="19" spans="1:13" x14ac:dyDescent="0.25">
      <c r="A19" t="s">
        <v>14</v>
      </c>
      <c r="B19" s="4">
        <v>45972</v>
      </c>
      <c r="C19" s="6">
        <v>0.39787037037037037</v>
      </c>
      <c r="D19" s="2" t="s">
        <v>438</v>
      </c>
      <c r="E19" t="s">
        <v>67</v>
      </c>
      <c r="F19" t="s">
        <v>440</v>
      </c>
      <c r="I19" t="s">
        <v>339</v>
      </c>
      <c r="J19" t="s">
        <v>306</v>
      </c>
      <c r="K19" t="s">
        <v>340</v>
      </c>
      <c r="L19" t="s">
        <v>341</v>
      </c>
      <c r="M19" s="3" t="str">
        <f>HYPERLINK(Таблица3[[#This Row],[RelativePath]])</f>
        <v>5 Крыльцо общага\K07156189_22_20251111T093256Z.jpg</v>
      </c>
    </row>
    <row r="20" spans="1:13" x14ac:dyDescent="0.25">
      <c r="A20" t="s">
        <v>14</v>
      </c>
      <c r="B20" s="4">
        <v>45972</v>
      </c>
      <c r="C20" s="6">
        <v>0.40370370370370373</v>
      </c>
      <c r="D20" s="2" t="s">
        <v>438</v>
      </c>
      <c r="E20" t="s">
        <v>67</v>
      </c>
      <c r="F20" t="s">
        <v>440</v>
      </c>
      <c r="I20" t="s">
        <v>342</v>
      </c>
      <c r="J20" t="s">
        <v>306</v>
      </c>
      <c r="K20" t="s">
        <v>343</v>
      </c>
      <c r="L20" t="s">
        <v>344</v>
      </c>
      <c r="M20" s="3" t="str">
        <f>HYPERLINK(Таблица3[[#This Row],[RelativePath]])</f>
        <v>5 Крыльцо общага\K07156189_22_20251111T094120Z.jpg</v>
      </c>
    </row>
    <row r="21" spans="1:13" x14ac:dyDescent="0.25">
      <c r="A21" t="s">
        <v>14</v>
      </c>
      <c r="B21" s="4">
        <v>45972</v>
      </c>
      <c r="C21" s="6">
        <v>0.40377314814814813</v>
      </c>
      <c r="D21" s="2" t="s">
        <v>438</v>
      </c>
      <c r="E21" t="s">
        <v>67</v>
      </c>
      <c r="F21" t="s">
        <v>440</v>
      </c>
      <c r="I21" t="s">
        <v>345</v>
      </c>
      <c r="J21" t="s">
        <v>306</v>
      </c>
      <c r="K21" t="s">
        <v>346</v>
      </c>
      <c r="L21" t="s">
        <v>347</v>
      </c>
      <c r="M21" s="3" t="str">
        <f>HYPERLINK(Таблица3[[#This Row],[RelativePath]])</f>
        <v>5 Крыльцо общага\K07156189_22_20251111T094126Z.jpg</v>
      </c>
    </row>
    <row r="22" spans="1:13" x14ac:dyDescent="0.25">
      <c r="A22" t="s">
        <v>14</v>
      </c>
      <c r="B22" s="4">
        <v>45972</v>
      </c>
      <c r="C22" s="6">
        <v>0.41627314814814814</v>
      </c>
      <c r="D22" s="2" t="s">
        <v>438</v>
      </c>
      <c r="E22" t="s">
        <v>67</v>
      </c>
      <c r="F22" t="s">
        <v>440</v>
      </c>
      <c r="I22" t="s">
        <v>363</v>
      </c>
      <c r="J22" t="s">
        <v>306</v>
      </c>
      <c r="K22" t="s">
        <v>364</v>
      </c>
      <c r="L22" t="s">
        <v>365</v>
      </c>
      <c r="M22" s="3" t="str">
        <f>HYPERLINK(Таблица3[[#This Row],[RelativePath]])</f>
        <v>5 Крыльцо общага\K07156189_22_20251111T095926Z.jpg</v>
      </c>
    </row>
    <row r="23" spans="1:13" x14ac:dyDescent="0.25">
      <c r="A23" t="s">
        <v>14</v>
      </c>
      <c r="B23" s="4">
        <v>45972</v>
      </c>
      <c r="C23" s="6">
        <v>0.4226273148148148</v>
      </c>
      <c r="D23" s="2" t="s">
        <v>438</v>
      </c>
      <c r="E23" t="s">
        <v>67</v>
      </c>
      <c r="F23" t="s">
        <v>440</v>
      </c>
      <c r="I23" t="s">
        <v>366</v>
      </c>
      <c r="J23" t="s">
        <v>306</v>
      </c>
      <c r="K23" t="s">
        <v>367</v>
      </c>
      <c r="L23" t="s">
        <v>368</v>
      </c>
      <c r="M23" s="3" t="str">
        <f>HYPERLINK(Таблица3[[#This Row],[RelativePath]])</f>
        <v>5 Крыльцо общага\K07156189_22_20251111T100835Z.jpg</v>
      </c>
    </row>
    <row r="24" spans="1:13" x14ac:dyDescent="0.25">
      <c r="A24" t="s">
        <v>14</v>
      </c>
      <c r="B24" s="4">
        <v>45972</v>
      </c>
      <c r="C24" s="6">
        <v>0.42736111111111114</v>
      </c>
      <c r="D24" s="2" t="s">
        <v>438</v>
      </c>
      <c r="E24" t="s">
        <v>67</v>
      </c>
      <c r="F24" t="s">
        <v>440</v>
      </c>
      <c r="I24" t="s">
        <v>369</v>
      </c>
      <c r="J24" t="s">
        <v>306</v>
      </c>
      <c r="K24" t="s">
        <v>370</v>
      </c>
      <c r="L24" t="s">
        <v>371</v>
      </c>
      <c r="M24" s="3" t="str">
        <f>HYPERLINK(Таблица3[[#This Row],[RelativePath]])</f>
        <v>5 Крыльцо общага\K07156189_22_20251111T101524Z.jpg</v>
      </c>
    </row>
    <row r="25" spans="1:13" x14ac:dyDescent="0.25">
      <c r="A25" t="s">
        <v>14</v>
      </c>
      <c r="B25" s="4">
        <v>45972</v>
      </c>
      <c r="C25" s="6">
        <v>0.41136574074074073</v>
      </c>
      <c r="D25" s="2" t="s">
        <v>438</v>
      </c>
      <c r="E25" t="s">
        <v>67</v>
      </c>
      <c r="F25" t="s">
        <v>440</v>
      </c>
      <c r="I25" t="s">
        <v>357</v>
      </c>
      <c r="J25" t="s">
        <v>306</v>
      </c>
      <c r="K25" t="s">
        <v>358</v>
      </c>
      <c r="L25" t="s">
        <v>359</v>
      </c>
      <c r="M25" s="3" t="str">
        <f>HYPERLINK(Таблица3[[#This Row],[RelativePath]])</f>
        <v>5 Крыльцо общага\K07156189_22_20251111T095222Z.jpg</v>
      </c>
    </row>
    <row r="26" spans="1:13" x14ac:dyDescent="0.25">
      <c r="A26" t="s">
        <v>14</v>
      </c>
      <c r="B26" s="4">
        <v>45972</v>
      </c>
      <c r="C26" s="6">
        <v>0.41312500000000002</v>
      </c>
      <c r="D26" s="2" t="s">
        <v>438</v>
      </c>
      <c r="E26" t="s">
        <v>67</v>
      </c>
      <c r="F26" t="s">
        <v>440</v>
      </c>
      <c r="I26" t="s">
        <v>360</v>
      </c>
      <c r="J26" t="s">
        <v>306</v>
      </c>
      <c r="K26" t="s">
        <v>361</v>
      </c>
      <c r="L26" t="s">
        <v>362</v>
      </c>
      <c r="M26" s="3" t="str">
        <f>HYPERLINK(Таблица3[[#This Row],[RelativePath]])</f>
        <v>5 Крыльцо общага\K07156189_22_20251111T095454Z.jpg</v>
      </c>
    </row>
    <row r="27" spans="1:13" x14ac:dyDescent="0.25">
      <c r="A27" t="s">
        <v>16</v>
      </c>
      <c r="B27" s="4">
        <v>45974</v>
      </c>
      <c r="C27" s="6">
        <v>0.38524305555555555</v>
      </c>
      <c r="D27" s="2" t="s">
        <v>438</v>
      </c>
      <c r="E27" t="s">
        <v>70</v>
      </c>
      <c r="F27" t="s">
        <v>58</v>
      </c>
      <c r="H27" t="s">
        <v>1583</v>
      </c>
      <c r="I27" t="s">
        <v>1485</v>
      </c>
      <c r="J27" t="s">
        <v>1271</v>
      </c>
      <c r="K27" t="s">
        <v>1486</v>
      </c>
      <c r="L27" t="s">
        <v>1487</v>
      </c>
      <c r="M27" s="3" t="str">
        <f>HYPERLINK(Таблица3[[#This Row],[RelativePath]])</f>
        <v>10 Сушилка навес\E33149364_3_20251113T091445Z.jpg</v>
      </c>
    </row>
    <row r="28" spans="1:13" x14ac:dyDescent="0.25">
      <c r="A28" t="s">
        <v>16</v>
      </c>
      <c r="B28" s="4">
        <v>45974</v>
      </c>
      <c r="C28" s="6">
        <v>0.38702546296296297</v>
      </c>
      <c r="D28" s="2" t="s">
        <v>438</v>
      </c>
      <c r="E28" t="s">
        <v>70</v>
      </c>
      <c r="F28" t="s">
        <v>58</v>
      </c>
      <c r="H28" t="s">
        <v>1583</v>
      </c>
      <c r="I28" t="s">
        <v>1488</v>
      </c>
      <c r="J28" t="s">
        <v>1271</v>
      </c>
      <c r="K28" t="s">
        <v>1489</v>
      </c>
      <c r="L28" t="s">
        <v>1490</v>
      </c>
      <c r="M28" s="3" t="str">
        <f>HYPERLINK(Таблица3[[#This Row],[RelativePath]])</f>
        <v>10 Сушилка навес\E33149364_3_20251113T091719Z.jpg</v>
      </c>
    </row>
    <row r="29" spans="1:13" x14ac:dyDescent="0.25">
      <c r="A29" t="s">
        <v>18</v>
      </c>
      <c r="B29" s="4">
        <v>45976</v>
      </c>
      <c r="C29" s="6">
        <v>0.63587962962962963</v>
      </c>
      <c r="D29" s="2" t="s">
        <v>261</v>
      </c>
      <c r="E29" t="s">
        <v>56</v>
      </c>
      <c r="F29" t="s">
        <v>200</v>
      </c>
      <c r="I29" t="s">
        <v>1234</v>
      </c>
      <c r="J29" t="s">
        <v>264</v>
      </c>
      <c r="K29" t="s">
        <v>1235</v>
      </c>
      <c r="L29" t="s">
        <v>1236</v>
      </c>
      <c r="M29" s="3" t="str">
        <f>HYPERLINK(Таблица3[[#This Row],[RelativePath]])</f>
        <v>4 Крыльцо офиса\K07156189_21_20251115T151540Z.jpg</v>
      </c>
    </row>
    <row r="30" spans="1:13" x14ac:dyDescent="0.25">
      <c r="A30" t="s">
        <v>14</v>
      </c>
      <c r="B30" s="4">
        <v>45979</v>
      </c>
      <c r="C30" s="6">
        <v>0.43355324074074075</v>
      </c>
      <c r="D30" s="2" t="s">
        <v>1579</v>
      </c>
      <c r="E30" t="s">
        <v>2875</v>
      </c>
      <c r="F30" t="s">
        <v>58</v>
      </c>
      <c r="H30" t="s">
        <v>2912</v>
      </c>
      <c r="I30" t="s">
        <v>2654</v>
      </c>
      <c r="J30" t="s">
        <v>1271</v>
      </c>
      <c r="K30" t="s">
        <v>2655</v>
      </c>
      <c r="L30" t="s">
        <v>2501</v>
      </c>
      <c r="M30" s="3" t="str">
        <f>HYPERLINK(Таблица3[[#This Row],[RelativePath]])</f>
        <v>10 Сушилка навес\E33149364_3_20251118T102419Z.jpg</v>
      </c>
    </row>
    <row r="31" spans="1:13" x14ac:dyDescent="0.25">
      <c r="A31" t="s">
        <v>14</v>
      </c>
      <c r="B31" s="4">
        <v>45979</v>
      </c>
      <c r="C31" s="6">
        <v>0.43384259259259261</v>
      </c>
      <c r="D31" s="2" t="s">
        <v>1579</v>
      </c>
      <c r="E31" t="s">
        <v>2875</v>
      </c>
      <c r="F31" t="s">
        <v>58</v>
      </c>
      <c r="H31" t="s">
        <v>2912</v>
      </c>
      <c r="I31" t="s">
        <v>2656</v>
      </c>
      <c r="J31" t="s">
        <v>1271</v>
      </c>
      <c r="K31" t="s">
        <v>2657</v>
      </c>
      <c r="L31" t="s">
        <v>2658</v>
      </c>
      <c r="M31" s="3" t="str">
        <f>HYPERLINK(Таблица3[[#This Row],[RelativePath]])</f>
        <v>10 Сушилка навес\E33149364_3_20251118T102444Z.jpg</v>
      </c>
    </row>
    <row r="32" spans="1:13" x14ac:dyDescent="0.25">
      <c r="A32" t="s">
        <v>14</v>
      </c>
      <c r="B32" s="4">
        <v>45979</v>
      </c>
      <c r="C32" s="6">
        <v>0.43287037037037035</v>
      </c>
      <c r="D32" s="2" t="s">
        <v>438</v>
      </c>
      <c r="E32" t="s">
        <v>2875</v>
      </c>
      <c r="F32" t="s">
        <v>58</v>
      </c>
      <c r="H32" t="s">
        <v>2912</v>
      </c>
      <c r="I32" t="s">
        <v>2652</v>
      </c>
      <c r="J32" t="s">
        <v>1271</v>
      </c>
      <c r="K32" t="s">
        <v>2653</v>
      </c>
      <c r="L32" t="s">
        <v>2489</v>
      </c>
      <c r="M32" s="3" t="str">
        <f>HYPERLINK(Таблица3[[#This Row],[RelativePath]])</f>
        <v>10 Сушилка навес\E33149364_3_20251118T102320Z.jpg</v>
      </c>
    </row>
    <row r="33" spans="1:13" x14ac:dyDescent="0.25">
      <c r="A33" t="s">
        <v>14</v>
      </c>
      <c r="B33" s="4">
        <v>45979</v>
      </c>
      <c r="C33" s="6">
        <v>0.38895833333333335</v>
      </c>
      <c r="D33" s="2" t="s">
        <v>1579</v>
      </c>
      <c r="E33" t="s">
        <v>70</v>
      </c>
      <c r="F33" t="s">
        <v>2907</v>
      </c>
      <c r="H33" t="s">
        <v>2911</v>
      </c>
      <c r="I33" t="s">
        <v>2634</v>
      </c>
      <c r="J33" t="s">
        <v>1271</v>
      </c>
      <c r="K33" t="s">
        <v>2635</v>
      </c>
      <c r="L33" t="s">
        <v>2636</v>
      </c>
      <c r="M33" s="3" t="str">
        <f>HYPERLINK(Таблица3[[#This Row],[RelativePath]])</f>
        <v>10 Сушилка навес\E33149364_3_20251118T092006Z.jpg</v>
      </c>
    </row>
    <row r="34" spans="1:13" x14ac:dyDescent="0.25">
      <c r="A34" t="s">
        <v>14</v>
      </c>
      <c r="B34" s="4">
        <v>45979</v>
      </c>
      <c r="C34" s="6">
        <v>0.43306712962962962</v>
      </c>
      <c r="D34" s="2" t="s">
        <v>1579</v>
      </c>
      <c r="E34" t="s">
        <v>2875</v>
      </c>
      <c r="F34" t="s">
        <v>58</v>
      </c>
      <c r="H34" t="s">
        <v>2912</v>
      </c>
      <c r="I34" t="s">
        <v>2490</v>
      </c>
      <c r="J34" t="s">
        <v>1591</v>
      </c>
      <c r="K34" t="s">
        <v>2491</v>
      </c>
      <c r="L34" t="s">
        <v>2492</v>
      </c>
      <c r="M34" s="3" t="str">
        <f>HYPERLINK(Таблица3[[#This Row],[RelativePath]])</f>
        <v>11 С ангара на базу\E33149364_4_20251118T102337Z.jpg</v>
      </c>
    </row>
    <row r="35" spans="1:13" x14ac:dyDescent="0.25">
      <c r="A35" t="s">
        <v>14</v>
      </c>
      <c r="B35" s="4">
        <v>45979</v>
      </c>
      <c r="C35" s="6">
        <v>0.43386574074074075</v>
      </c>
      <c r="D35" s="2" t="s">
        <v>1579</v>
      </c>
      <c r="E35" t="s">
        <v>2875</v>
      </c>
      <c r="F35" t="s">
        <v>58</v>
      </c>
      <c r="H35" t="s">
        <v>2912</v>
      </c>
      <c r="I35" t="s">
        <v>2505</v>
      </c>
      <c r="J35" t="s">
        <v>1591</v>
      </c>
      <c r="K35" t="s">
        <v>2506</v>
      </c>
      <c r="L35" t="s">
        <v>2507</v>
      </c>
      <c r="M35" s="3" t="str">
        <f>HYPERLINK(Таблица3[[#This Row],[RelativePath]])</f>
        <v>11 С ангара на базу\E33149364_4_20251118T102446Z.jpg</v>
      </c>
    </row>
    <row r="36" spans="1:13" x14ac:dyDescent="0.25">
      <c r="A36" t="s">
        <v>14</v>
      </c>
      <c r="B36" s="4">
        <v>45979</v>
      </c>
      <c r="C36" s="6">
        <v>0.43373842592592593</v>
      </c>
      <c r="D36" s="2" t="s">
        <v>1579</v>
      </c>
      <c r="E36" t="s">
        <v>2875</v>
      </c>
      <c r="F36" t="s">
        <v>58</v>
      </c>
      <c r="H36" t="s">
        <v>2912</v>
      </c>
      <c r="I36" t="s">
        <v>2502</v>
      </c>
      <c r="J36" t="s">
        <v>1591</v>
      </c>
      <c r="K36" t="s">
        <v>2503</v>
      </c>
      <c r="L36" t="s">
        <v>2504</v>
      </c>
      <c r="M36" s="3" t="str">
        <f>HYPERLINK(Таблица3[[#This Row],[RelativePath]])</f>
        <v>11 С ангара на базу\E33149364_4_20251118T102435Z.jpg</v>
      </c>
    </row>
    <row r="37" spans="1:13" x14ac:dyDescent="0.25">
      <c r="A37" t="s">
        <v>14</v>
      </c>
      <c r="B37" s="4">
        <v>45979</v>
      </c>
      <c r="C37" s="6">
        <v>0.4332523148148148</v>
      </c>
      <c r="D37" s="2" t="s">
        <v>1579</v>
      </c>
      <c r="E37" t="s">
        <v>2875</v>
      </c>
      <c r="F37" t="s">
        <v>58</v>
      </c>
      <c r="H37" t="s">
        <v>2912</v>
      </c>
      <c r="I37" t="s">
        <v>2493</v>
      </c>
      <c r="J37" t="s">
        <v>1591</v>
      </c>
      <c r="K37" t="s">
        <v>2494</v>
      </c>
      <c r="L37" t="s">
        <v>2495</v>
      </c>
      <c r="M37" s="3" t="str">
        <f>HYPERLINK(Таблица3[[#This Row],[RelativePath]])</f>
        <v>11 С ангара на базу\E33149364_4_20251118T102353Z.jpg</v>
      </c>
    </row>
    <row r="38" spans="1:13" x14ac:dyDescent="0.25">
      <c r="A38" t="s">
        <v>14</v>
      </c>
      <c r="B38" s="4">
        <v>45979</v>
      </c>
      <c r="C38" s="6">
        <v>0.43341435185185184</v>
      </c>
      <c r="D38" s="2" t="s">
        <v>1579</v>
      </c>
      <c r="E38" t="s">
        <v>2875</v>
      </c>
      <c r="F38" t="s">
        <v>58</v>
      </c>
      <c r="H38" t="s">
        <v>2912</v>
      </c>
      <c r="I38" t="s">
        <v>2496</v>
      </c>
      <c r="J38" t="s">
        <v>1591</v>
      </c>
      <c r="K38" t="s">
        <v>2497</v>
      </c>
      <c r="L38" t="s">
        <v>2498</v>
      </c>
      <c r="M38" s="3" t="str">
        <f>HYPERLINK(Таблица3[[#This Row],[RelativePath]])</f>
        <v>11 С ангара на базу\E33149364_4_20251118T102407Z.jpg</v>
      </c>
    </row>
    <row r="39" spans="1:13" x14ac:dyDescent="0.25">
      <c r="A39" t="s">
        <v>14</v>
      </c>
      <c r="B39" s="4">
        <v>45979</v>
      </c>
      <c r="C39" s="6">
        <v>0.38112268518518516</v>
      </c>
      <c r="D39" s="2" t="s">
        <v>1579</v>
      </c>
      <c r="E39" t="s">
        <v>70</v>
      </c>
      <c r="F39" t="s">
        <v>58</v>
      </c>
      <c r="H39" t="s">
        <v>2911</v>
      </c>
      <c r="I39" t="s">
        <v>2619</v>
      </c>
      <c r="J39" t="s">
        <v>1271</v>
      </c>
      <c r="K39" t="s">
        <v>2620</v>
      </c>
      <c r="L39" t="s">
        <v>2621</v>
      </c>
      <c r="M39" s="3" t="str">
        <f>HYPERLINK(Таблица3[[#This Row],[RelativePath]])</f>
        <v>10 Сушилка навес\E33149364_3_20251118T090849Z.jpg</v>
      </c>
    </row>
    <row r="40" spans="1:13" x14ac:dyDescent="0.25">
      <c r="A40" t="s">
        <v>14</v>
      </c>
      <c r="B40" s="4">
        <v>45979</v>
      </c>
      <c r="C40" s="6">
        <v>0.58296296296296302</v>
      </c>
      <c r="D40" s="2" t="s">
        <v>261</v>
      </c>
      <c r="E40" t="s">
        <v>2882</v>
      </c>
      <c r="F40" t="s">
        <v>58</v>
      </c>
      <c r="H40" t="s">
        <v>2883</v>
      </c>
      <c r="I40" t="s">
        <v>2031</v>
      </c>
      <c r="J40" t="s">
        <v>204</v>
      </c>
      <c r="K40" t="s">
        <v>2032</v>
      </c>
      <c r="L40" t="s">
        <v>2033</v>
      </c>
      <c r="M40" s="3" t="str">
        <f>HYPERLINK(Таблица3[[#This Row],[RelativePath]])</f>
        <v>3 Въезд на базу\E33149364_8_20251118T135928Z.jpg</v>
      </c>
    </row>
    <row r="41" spans="1:13" x14ac:dyDescent="0.25">
      <c r="A41" t="s">
        <v>14</v>
      </c>
      <c r="B41" s="4">
        <v>45979</v>
      </c>
      <c r="C41" s="6">
        <v>0.38093749999999998</v>
      </c>
      <c r="D41" s="2" t="s">
        <v>438</v>
      </c>
      <c r="E41" t="s">
        <v>70</v>
      </c>
      <c r="F41" t="s">
        <v>58</v>
      </c>
      <c r="H41" t="s">
        <v>2911</v>
      </c>
      <c r="I41" t="s">
        <v>2613</v>
      </c>
      <c r="J41" t="s">
        <v>1271</v>
      </c>
      <c r="K41" t="s">
        <v>2614</v>
      </c>
      <c r="L41" t="s">
        <v>2615</v>
      </c>
      <c r="M41" s="3" t="str">
        <f>HYPERLINK(Таблица3[[#This Row],[RelativePath]])</f>
        <v>10 Сушилка навес\E33149364_3_20251118T090833Z.jpg</v>
      </c>
    </row>
    <row r="42" spans="1:13" x14ac:dyDescent="0.25">
      <c r="A42" t="s">
        <v>14</v>
      </c>
      <c r="B42" s="4">
        <v>45979</v>
      </c>
      <c r="C42" s="6">
        <v>0.38103009259259257</v>
      </c>
      <c r="D42" s="2" t="s">
        <v>1579</v>
      </c>
      <c r="E42" t="s">
        <v>70</v>
      </c>
      <c r="F42" t="s">
        <v>58</v>
      </c>
      <c r="H42" t="s">
        <v>2911</v>
      </c>
      <c r="I42" t="s">
        <v>2616</v>
      </c>
      <c r="J42" t="s">
        <v>1271</v>
      </c>
      <c r="K42" t="s">
        <v>2617</v>
      </c>
      <c r="L42" t="s">
        <v>2618</v>
      </c>
      <c r="M42" s="3" t="str">
        <f>HYPERLINK(Таблица3[[#This Row],[RelativePath]])</f>
        <v>10 Сушилка навес\E33149364_3_20251118T090841Z.jpg</v>
      </c>
    </row>
    <row r="43" spans="1:13" x14ac:dyDescent="0.25">
      <c r="A43" t="s">
        <v>14</v>
      </c>
      <c r="B43" s="4">
        <v>45979</v>
      </c>
      <c r="C43" s="6">
        <v>0.38765046296296296</v>
      </c>
      <c r="D43" s="2" t="s">
        <v>1579</v>
      </c>
      <c r="E43" t="s">
        <v>70</v>
      </c>
      <c r="F43" t="s">
        <v>2905</v>
      </c>
      <c r="H43" t="s">
        <v>2911</v>
      </c>
      <c r="I43" t="s">
        <v>2628</v>
      </c>
      <c r="J43" t="s">
        <v>1271</v>
      </c>
      <c r="K43" t="s">
        <v>2629</v>
      </c>
      <c r="L43" t="s">
        <v>2630</v>
      </c>
      <c r="M43" s="3" t="str">
        <f>HYPERLINK(Таблица3[[#This Row],[RelativePath]])</f>
        <v>10 Сушилка навес\E33149364_3_20251118T091813Z.jpg</v>
      </c>
    </row>
    <row r="44" spans="1:13" x14ac:dyDescent="0.25">
      <c r="A44" t="s">
        <v>14</v>
      </c>
      <c r="B44" s="4">
        <v>45979</v>
      </c>
      <c r="C44" s="6">
        <v>0.38149305555555557</v>
      </c>
      <c r="D44" s="2" t="s">
        <v>1579</v>
      </c>
      <c r="E44" t="s">
        <v>70</v>
      </c>
      <c r="F44" t="s">
        <v>58</v>
      </c>
      <c r="H44" t="s">
        <v>2911</v>
      </c>
      <c r="I44" t="s">
        <v>2622</v>
      </c>
      <c r="J44" t="s">
        <v>1271</v>
      </c>
      <c r="K44" t="s">
        <v>2623</v>
      </c>
      <c r="L44" t="s">
        <v>2624</v>
      </c>
      <c r="M44" s="3" t="str">
        <f>HYPERLINK(Таблица3[[#This Row],[RelativePath]])</f>
        <v>10 Сушилка навес\E33149364_3_20251118T090921Z.jpg</v>
      </c>
    </row>
    <row r="45" spans="1:13" x14ac:dyDescent="0.25">
      <c r="A45" t="s">
        <v>14</v>
      </c>
      <c r="B45" s="4">
        <v>45979</v>
      </c>
      <c r="C45" s="6">
        <v>0.38665509259259262</v>
      </c>
      <c r="D45" s="2" t="s">
        <v>1579</v>
      </c>
      <c r="E45" t="s">
        <v>70</v>
      </c>
      <c r="F45" t="s">
        <v>58</v>
      </c>
      <c r="H45" t="s">
        <v>2911</v>
      </c>
      <c r="I45" t="s">
        <v>2625</v>
      </c>
      <c r="J45" t="s">
        <v>1271</v>
      </c>
      <c r="K45" t="s">
        <v>2626</v>
      </c>
      <c r="L45" t="s">
        <v>2627</v>
      </c>
      <c r="M45" s="3" t="str">
        <f>HYPERLINK(Таблица3[[#This Row],[RelativePath]])</f>
        <v>10 Сушилка навес\E33149364_3_20251118T091647Z.jpg</v>
      </c>
    </row>
    <row r="46" spans="1:13" x14ac:dyDescent="0.25">
      <c r="A46" t="s">
        <v>14</v>
      </c>
      <c r="B46" s="4">
        <v>45979</v>
      </c>
      <c r="C46" s="6">
        <v>0.3881134259259259</v>
      </c>
      <c r="D46" s="2" t="s">
        <v>1579</v>
      </c>
      <c r="E46" t="s">
        <v>70</v>
      </c>
      <c r="F46" t="s">
        <v>2906</v>
      </c>
      <c r="H46" t="s">
        <v>2911</v>
      </c>
      <c r="I46" t="s">
        <v>2631</v>
      </c>
      <c r="J46" t="s">
        <v>1271</v>
      </c>
      <c r="K46" t="s">
        <v>2632</v>
      </c>
      <c r="L46" t="s">
        <v>2633</v>
      </c>
      <c r="M46" s="3" t="str">
        <f>HYPERLINK(Таблица3[[#This Row],[RelativePath]])</f>
        <v>10 Сушилка навес\E33149364_3_20251118T091853Z.jpg</v>
      </c>
    </row>
    <row r="47" spans="1:13" x14ac:dyDescent="0.25">
      <c r="A47" t="s">
        <v>15</v>
      </c>
      <c r="B47" s="4">
        <v>45980</v>
      </c>
      <c r="C47" s="6">
        <v>0.47888888888888886</v>
      </c>
      <c r="D47" s="2" t="s">
        <v>1579</v>
      </c>
      <c r="E47" t="s">
        <v>70</v>
      </c>
      <c r="F47" t="s">
        <v>2917</v>
      </c>
      <c r="H47" t="s">
        <v>2912</v>
      </c>
      <c r="I47" t="s">
        <v>2734</v>
      </c>
      <c r="J47" t="s">
        <v>1271</v>
      </c>
      <c r="K47" t="s">
        <v>2735</v>
      </c>
      <c r="L47" t="s">
        <v>2736</v>
      </c>
      <c r="M47" s="3" t="str">
        <f>HYPERLINK(Таблица3[[#This Row],[RelativePath]])</f>
        <v>10 Сушилка навес\E33149364_3_20251119T112936Z.jpg</v>
      </c>
    </row>
    <row r="48" spans="1:13" x14ac:dyDescent="0.25">
      <c r="A48" t="s">
        <v>15</v>
      </c>
      <c r="B48" s="4">
        <v>45980</v>
      </c>
      <c r="C48" s="6">
        <v>0.47864583333333333</v>
      </c>
      <c r="D48" s="2" t="s">
        <v>1579</v>
      </c>
      <c r="E48" t="s">
        <v>70</v>
      </c>
      <c r="F48" t="s">
        <v>58</v>
      </c>
      <c r="H48" t="s">
        <v>2912</v>
      </c>
      <c r="I48" t="s">
        <v>2731</v>
      </c>
      <c r="J48" t="s">
        <v>1271</v>
      </c>
      <c r="K48" t="s">
        <v>2732</v>
      </c>
      <c r="L48" t="s">
        <v>2733</v>
      </c>
      <c r="M48" s="3" t="str">
        <f>HYPERLINK(Таблица3[[#This Row],[RelativePath]])</f>
        <v>10 Сушилка навес\E33149364_3_20251119T112915Z.jpg</v>
      </c>
    </row>
    <row r="49" spans="1:13" x14ac:dyDescent="0.25">
      <c r="A49" t="s">
        <v>15</v>
      </c>
      <c r="B49" s="4">
        <v>45980</v>
      </c>
      <c r="C49" s="6">
        <v>0.47585648148148146</v>
      </c>
      <c r="D49" s="2" t="s">
        <v>1579</v>
      </c>
      <c r="E49" t="s">
        <v>70</v>
      </c>
      <c r="F49" t="s">
        <v>58</v>
      </c>
      <c r="H49" t="s">
        <v>2918</v>
      </c>
      <c r="I49" t="s">
        <v>2725</v>
      </c>
      <c r="J49" t="s">
        <v>1271</v>
      </c>
      <c r="K49" t="s">
        <v>2726</v>
      </c>
      <c r="L49" t="s">
        <v>2727</v>
      </c>
      <c r="M49" s="3" t="str">
        <f>HYPERLINK(Таблица3[[#This Row],[RelativePath]])</f>
        <v>10 Сушилка навес\E33149364_3_20251119T112514Z.jpg</v>
      </c>
    </row>
    <row r="50" spans="1:13" x14ac:dyDescent="0.25">
      <c r="A50" t="s">
        <v>15</v>
      </c>
      <c r="B50" s="4">
        <v>45980</v>
      </c>
      <c r="C50" s="6">
        <v>0.47793981481481479</v>
      </c>
      <c r="D50" s="2" t="s">
        <v>1579</v>
      </c>
      <c r="E50" t="s">
        <v>70</v>
      </c>
      <c r="F50" t="s">
        <v>58</v>
      </c>
      <c r="H50" t="s">
        <v>2918</v>
      </c>
      <c r="I50" t="s">
        <v>2728</v>
      </c>
      <c r="J50" t="s">
        <v>1271</v>
      </c>
      <c r="K50" t="s">
        <v>2729</v>
      </c>
      <c r="L50" t="s">
        <v>2730</v>
      </c>
      <c r="M50" s="3" t="str">
        <f>HYPERLINK(Таблица3[[#This Row],[RelativePath]])</f>
        <v>10 Сушилка навес\E33149364_3_20251119T112814Z.jpg</v>
      </c>
    </row>
    <row r="51" spans="1:13" x14ac:dyDescent="0.25">
      <c r="A51" t="s">
        <v>15</v>
      </c>
      <c r="B51" s="4">
        <v>45980</v>
      </c>
      <c r="C51" s="6">
        <v>0.47957175925925927</v>
      </c>
      <c r="D51" s="2" t="s">
        <v>1579</v>
      </c>
      <c r="E51" t="s">
        <v>70</v>
      </c>
      <c r="F51" t="s">
        <v>2917</v>
      </c>
      <c r="H51" t="s">
        <v>2912</v>
      </c>
      <c r="I51" t="s">
        <v>2746</v>
      </c>
      <c r="J51" t="s">
        <v>1271</v>
      </c>
      <c r="K51" t="s">
        <v>2747</v>
      </c>
      <c r="L51" t="s">
        <v>2748</v>
      </c>
      <c r="M51" s="3" t="str">
        <f>HYPERLINK(Таблица3[[#This Row],[RelativePath]])</f>
        <v>10 Сушилка навес\E33149364_3_20251119T113035Z.jpg</v>
      </c>
    </row>
    <row r="52" spans="1:13" x14ac:dyDescent="0.25">
      <c r="A52" t="s">
        <v>15</v>
      </c>
      <c r="B52" s="4">
        <v>45980</v>
      </c>
      <c r="C52" s="6">
        <v>0.47385416666666669</v>
      </c>
      <c r="D52" s="2" t="s">
        <v>1579</v>
      </c>
      <c r="E52" t="s">
        <v>70</v>
      </c>
      <c r="F52" t="s">
        <v>58</v>
      </c>
      <c r="H52" t="s">
        <v>2918</v>
      </c>
      <c r="I52" t="s">
        <v>2716</v>
      </c>
      <c r="J52" t="s">
        <v>1271</v>
      </c>
      <c r="K52" t="s">
        <v>2717</v>
      </c>
      <c r="L52" t="s">
        <v>2718</v>
      </c>
      <c r="M52" s="3" t="str">
        <f>HYPERLINK(Таблица3[[#This Row],[RelativePath]])</f>
        <v>10 Сушилка навес\E33149364_3_20251119T112221Z.jpg</v>
      </c>
    </row>
    <row r="53" spans="1:13" x14ac:dyDescent="0.25">
      <c r="A53" t="s">
        <v>15</v>
      </c>
      <c r="B53" s="4">
        <v>45980</v>
      </c>
      <c r="C53" s="6">
        <v>0.47950231481481481</v>
      </c>
      <c r="D53" s="2" t="s">
        <v>1579</v>
      </c>
      <c r="E53" t="s">
        <v>70</v>
      </c>
      <c r="F53" t="s">
        <v>2917</v>
      </c>
      <c r="H53" t="s">
        <v>2912</v>
      </c>
      <c r="I53" t="s">
        <v>2743</v>
      </c>
      <c r="J53" t="s">
        <v>1271</v>
      </c>
      <c r="K53" t="s">
        <v>2744</v>
      </c>
      <c r="L53" t="s">
        <v>2745</v>
      </c>
      <c r="M53" s="3" t="str">
        <f>HYPERLINK(Таблица3[[#This Row],[RelativePath]])</f>
        <v>10 Сушилка навес\E33149364_3_20251119T113029Z.jpg</v>
      </c>
    </row>
    <row r="54" spans="1:13" x14ac:dyDescent="0.25">
      <c r="A54" t="s">
        <v>15</v>
      </c>
      <c r="B54" s="4">
        <v>45980</v>
      </c>
      <c r="C54" s="6">
        <v>0.4790625</v>
      </c>
      <c r="D54" s="2" t="s">
        <v>1579</v>
      </c>
      <c r="E54" t="s">
        <v>70</v>
      </c>
      <c r="F54" t="s">
        <v>2917</v>
      </c>
      <c r="H54" t="s">
        <v>2912</v>
      </c>
      <c r="I54" t="s">
        <v>2737</v>
      </c>
      <c r="J54" t="s">
        <v>1271</v>
      </c>
      <c r="K54" t="s">
        <v>2738</v>
      </c>
      <c r="L54" t="s">
        <v>2739</v>
      </c>
      <c r="M54" s="3" t="str">
        <f>HYPERLINK(Таблица3[[#This Row],[RelativePath]])</f>
        <v>10 Сушилка навес\E33149364_3_20251119T112951Z.jpg</v>
      </c>
    </row>
    <row r="55" spans="1:13" x14ac:dyDescent="0.25">
      <c r="A55" t="s">
        <v>15</v>
      </c>
      <c r="B55" s="4">
        <v>45980</v>
      </c>
      <c r="C55" s="6">
        <v>0.47940972222222222</v>
      </c>
      <c r="D55" s="2" t="s">
        <v>1579</v>
      </c>
      <c r="E55" t="s">
        <v>70</v>
      </c>
      <c r="F55" t="s">
        <v>2917</v>
      </c>
      <c r="H55" t="s">
        <v>2912</v>
      </c>
      <c r="I55" t="s">
        <v>2740</v>
      </c>
      <c r="J55" t="s">
        <v>1271</v>
      </c>
      <c r="K55" t="s">
        <v>2741</v>
      </c>
      <c r="L55" t="s">
        <v>2742</v>
      </c>
      <c r="M55" s="3" t="str">
        <f>HYPERLINK(Таблица3[[#This Row],[RelativePath]])</f>
        <v>10 Сушилка навес\E33149364_3_20251119T113021Z.jpg</v>
      </c>
    </row>
    <row r="56" spans="1:13" x14ac:dyDescent="0.25">
      <c r="A56" t="s">
        <v>15</v>
      </c>
      <c r="B56" s="4">
        <v>45980</v>
      </c>
      <c r="C56" s="6">
        <v>0.46491898148148147</v>
      </c>
      <c r="D56" s="2" t="s">
        <v>1579</v>
      </c>
      <c r="E56" t="s">
        <v>70</v>
      </c>
      <c r="F56" t="s">
        <v>58</v>
      </c>
      <c r="H56" t="s">
        <v>2911</v>
      </c>
      <c r="I56" t="s">
        <v>2695</v>
      </c>
      <c r="J56" t="s">
        <v>1271</v>
      </c>
      <c r="K56" t="s">
        <v>2696</v>
      </c>
      <c r="L56" t="s">
        <v>2697</v>
      </c>
      <c r="M56" s="3" t="str">
        <f>HYPERLINK(Таблица3[[#This Row],[RelativePath]])</f>
        <v>10 Сушилка навес\E33149364_3_20251119T110929Z.jpg</v>
      </c>
    </row>
    <row r="57" spans="1:13" x14ac:dyDescent="0.25">
      <c r="A57" t="s">
        <v>15</v>
      </c>
      <c r="B57" s="4">
        <v>45980</v>
      </c>
      <c r="C57" s="6">
        <v>0.46659722222222222</v>
      </c>
      <c r="D57" s="2" t="s">
        <v>1579</v>
      </c>
      <c r="E57" t="s">
        <v>70</v>
      </c>
      <c r="F57" t="s">
        <v>58</v>
      </c>
      <c r="H57" t="s">
        <v>2911</v>
      </c>
      <c r="I57" t="s">
        <v>2698</v>
      </c>
      <c r="J57" t="s">
        <v>1271</v>
      </c>
      <c r="K57" t="s">
        <v>2699</v>
      </c>
      <c r="L57" t="s">
        <v>2700</v>
      </c>
      <c r="M57" s="3" t="str">
        <f>HYPERLINK(Таблица3[[#This Row],[RelativePath]])</f>
        <v>10 Сушилка навес\E33149364_3_20251119T111154Z.jpg</v>
      </c>
    </row>
    <row r="58" spans="1:13" x14ac:dyDescent="0.25">
      <c r="A58" t="s">
        <v>15</v>
      </c>
      <c r="B58" s="4">
        <v>45980</v>
      </c>
      <c r="C58" s="6">
        <v>0.46673611111111113</v>
      </c>
      <c r="D58" s="2" t="s">
        <v>1579</v>
      </c>
      <c r="E58" t="s">
        <v>70</v>
      </c>
      <c r="F58" t="s">
        <v>58</v>
      </c>
      <c r="H58" t="s">
        <v>2911</v>
      </c>
      <c r="I58" t="s">
        <v>2701</v>
      </c>
      <c r="J58" t="s">
        <v>1271</v>
      </c>
      <c r="K58" t="s">
        <v>2702</v>
      </c>
      <c r="L58" t="s">
        <v>2703</v>
      </c>
      <c r="M58" s="3" t="str">
        <f>HYPERLINK(Таблица3[[#This Row],[RelativePath]])</f>
        <v>10 Сушилка навес\E33149364_3_20251119T111206Z.jpg</v>
      </c>
    </row>
    <row r="59" spans="1:13" x14ac:dyDescent="0.25">
      <c r="A59" t="s">
        <v>15</v>
      </c>
      <c r="B59" s="4">
        <v>45980</v>
      </c>
      <c r="C59" s="6">
        <v>0.46177083333333335</v>
      </c>
      <c r="D59" s="2" t="s">
        <v>438</v>
      </c>
      <c r="E59" t="s">
        <v>70</v>
      </c>
      <c r="F59" t="s">
        <v>58</v>
      </c>
      <c r="H59" t="s">
        <v>2911</v>
      </c>
      <c r="I59" t="s">
        <v>2686</v>
      </c>
      <c r="J59" t="s">
        <v>1271</v>
      </c>
      <c r="K59" t="s">
        <v>2687</v>
      </c>
      <c r="L59" t="s">
        <v>2688</v>
      </c>
      <c r="M59" s="3" t="str">
        <f>HYPERLINK(Таблица3[[#This Row],[RelativePath]])</f>
        <v>10 Сушилка навес\E33149364_3_20251119T110457Z.jpg</v>
      </c>
    </row>
    <row r="60" spans="1:13" x14ac:dyDescent="0.25">
      <c r="A60" t="s">
        <v>15</v>
      </c>
      <c r="B60" s="4">
        <v>45980</v>
      </c>
      <c r="C60" s="6">
        <v>0.46206018518518521</v>
      </c>
      <c r="D60" s="2" t="s">
        <v>1579</v>
      </c>
      <c r="E60" t="s">
        <v>70</v>
      </c>
      <c r="F60" t="s">
        <v>58</v>
      </c>
      <c r="H60" t="s">
        <v>2911</v>
      </c>
      <c r="I60" t="s">
        <v>2689</v>
      </c>
      <c r="J60" t="s">
        <v>1271</v>
      </c>
      <c r="K60" t="s">
        <v>2690</v>
      </c>
      <c r="L60" t="s">
        <v>2691</v>
      </c>
      <c r="M60" s="3" t="str">
        <f>HYPERLINK(Таблица3[[#This Row],[RelativePath]])</f>
        <v>10 Сушилка навес\E33149364_3_20251119T110522Z.jpg</v>
      </c>
    </row>
    <row r="61" spans="1:13" x14ac:dyDescent="0.25">
      <c r="A61" t="s">
        <v>15</v>
      </c>
      <c r="B61" s="4">
        <v>45980</v>
      </c>
      <c r="C61" s="6">
        <v>0.46342592592592591</v>
      </c>
      <c r="D61" s="2" t="s">
        <v>1579</v>
      </c>
      <c r="E61" t="s">
        <v>70</v>
      </c>
      <c r="F61" t="s">
        <v>58</v>
      </c>
      <c r="H61" t="s">
        <v>2911</v>
      </c>
      <c r="I61" t="s">
        <v>2692</v>
      </c>
      <c r="J61" t="s">
        <v>1271</v>
      </c>
      <c r="K61" t="s">
        <v>2693</v>
      </c>
      <c r="L61" t="s">
        <v>2694</v>
      </c>
      <c r="M61" s="3" t="str">
        <f>HYPERLINK(Таблица3[[#This Row],[RelativePath]])</f>
        <v>10 Сушилка навес\E33149364_3_20251119T110720Z.jpg</v>
      </c>
    </row>
    <row r="62" spans="1:13" x14ac:dyDescent="0.25">
      <c r="A62" t="s">
        <v>15</v>
      </c>
      <c r="B62" s="4">
        <v>45980</v>
      </c>
      <c r="C62" s="6">
        <v>0.47151620370370373</v>
      </c>
      <c r="D62" s="2" t="s">
        <v>1579</v>
      </c>
      <c r="E62" t="s">
        <v>70</v>
      </c>
      <c r="F62" t="s">
        <v>58</v>
      </c>
      <c r="H62" t="s">
        <v>2911</v>
      </c>
      <c r="I62" t="s">
        <v>2713</v>
      </c>
      <c r="J62" t="s">
        <v>1271</v>
      </c>
      <c r="K62" t="s">
        <v>2714</v>
      </c>
      <c r="L62" t="s">
        <v>2715</v>
      </c>
      <c r="M62" s="3" t="str">
        <f>HYPERLINK(Таблица3[[#This Row],[RelativePath]])</f>
        <v>10 Сушилка навес\E33149364_3_20251119T111859Z.jpg</v>
      </c>
    </row>
    <row r="63" spans="1:13" x14ac:dyDescent="0.25">
      <c r="A63" t="s">
        <v>15</v>
      </c>
      <c r="B63" s="4">
        <v>45980</v>
      </c>
      <c r="C63" s="6">
        <v>0.47458333333333336</v>
      </c>
      <c r="D63" s="2" t="s">
        <v>1579</v>
      </c>
      <c r="E63" t="s">
        <v>70</v>
      </c>
      <c r="F63" t="s">
        <v>2917</v>
      </c>
      <c r="H63" t="s">
        <v>2911</v>
      </c>
      <c r="I63" t="s">
        <v>2719</v>
      </c>
      <c r="J63" t="s">
        <v>1271</v>
      </c>
      <c r="K63" t="s">
        <v>2720</v>
      </c>
      <c r="L63" t="s">
        <v>2721</v>
      </c>
      <c r="M63" s="3" t="str">
        <f>HYPERLINK(Таблица3[[#This Row],[RelativePath]])</f>
        <v>10 Сушилка навес\E33149364_3_20251119T112324Z.jpg</v>
      </c>
    </row>
    <row r="64" spans="1:13" x14ac:dyDescent="0.25">
      <c r="A64" t="s">
        <v>15</v>
      </c>
      <c r="B64" s="4">
        <v>45980</v>
      </c>
      <c r="C64" s="6">
        <v>0.47570601851851851</v>
      </c>
      <c r="D64" s="2" t="s">
        <v>1579</v>
      </c>
      <c r="E64" t="s">
        <v>70</v>
      </c>
      <c r="F64" t="s">
        <v>58</v>
      </c>
      <c r="H64" t="s">
        <v>2918</v>
      </c>
      <c r="I64" t="s">
        <v>2722</v>
      </c>
      <c r="J64" t="s">
        <v>1271</v>
      </c>
      <c r="K64" t="s">
        <v>2723</v>
      </c>
      <c r="L64" t="s">
        <v>2724</v>
      </c>
      <c r="M64" s="3" t="str">
        <f>HYPERLINK(Таблица3[[#This Row],[RelativePath]])</f>
        <v>10 Сушилка навес\E33149364_3_20251119T112501Z.jpg</v>
      </c>
    </row>
    <row r="65" spans="1:13" x14ac:dyDescent="0.25">
      <c r="A65" t="s">
        <v>15</v>
      </c>
      <c r="B65" s="4">
        <v>45980</v>
      </c>
      <c r="C65" s="6">
        <v>0.46688657407407408</v>
      </c>
      <c r="D65" s="2" t="s">
        <v>1579</v>
      </c>
      <c r="E65" t="s">
        <v>70</v>
      </c>
      <c r="F65" t="s">
        <v>58</v>
      </c>
      <c r="H65" t="s">
        <v>2911</v>
      </c>
      <c r="I65" t="s">
        <v>2704</v>
      </c>
      <c r="J65" t="s">
        <v>1271</v>
      </c>
      <c r="K65" t="s">
        <v>2705</v>
      </c>
      <c r="L65" t="s">
        <v>2706</v>
      </c>
      <c r="M65" s="3" t="str">
        <f>HYPERLINK(Таблица3[[#This Row],[RelativePath]])</f>
        <v>10 Сушилка навес\E33149364_3_20251119T111219Z.jpg</v>
      </c>
    </row>
    <row r="66" spans="1:13" x14ac:dyDescent="0.25">
      <c r="A66" t="s">
        <v>15</v>
      </c>
      <c r="B66" s="4">
        <v>45980</v>
      </c>
      <c r="C66" s="6">
        <v>0.46755787037037039</v>
      </c>
      <c r="D66" s="2" t="s">
        <v>1579</v>
      </c>
      <c r="E66" t="s">
        <v>70</v>
      </c>
      <c r="F66" t="s">
        <v>58</v>
      </c>
      <c r="H66" t="s">
        <v>2911</v>
      </c>
      <c r="I66" t="s">
        <v>2707</v>
      </c>
      <c r="J66" t="s">
        <v>1271</v>
      </c>
      <c r="K66" t="s">
        <v>2708</v>
      </c>
      <c r="L66" t="s">
        <v>2709</v>
      </c>
      <c r="M66" s="3" t="str">
        <f>HYPERLINK(Таблица3[[#This Row],[RelativePath]])</f>
        <v>10 Сушилка навес\E33149364_3_20251119T111317Z.jpg</v>
      </c>
    </row>
    <row r="67" spans="1:13" x14ac:dyDescent="0.25">
      <c r="A67" t="s">
        <v>15</v>
      </c>
      <c r="B67" s="4">
        <v>45980</v>
      </c>
      <c r="C67" s="6">
        <v>0.46975694444444444</v>
      </c>
      <c r="D67" s="2" t="s">
        <v>1579</v>
      </c>
      <c r="E67" t="s">
        <v>70</v>
      </c>
      <c r="F67" t="s">
        <v>58</v>
      </c>
      <c r="H67" t="s">
        <v>2911</v>
      </c>
      <c r="I67" t="s">
        <v>2710</v>
      </c>
      <c r="J67" t="s">
        <v>1271</v>
      </c>
      <c r="K67" t="s">
        <v>2711</v>
      </c>
      <c r="L67" t="s">
        <v>2712</v>
      </c>
      <c r="M67" s="3" t="str">
        <f>HYPERLINK(Таблица3[[#This Row],[RelativePath]])</f>
        <v>10 Сушилка навес\E33149364_3_20251119T111627Z.jpg</v>
      </c>
    </row>
    <row r="68" spans="1:13" x14ac:dyDescent="0.25">
      <c r="A68" t="s">
        <v>17</v>
      </c>
      <c r="B68" s="4">
        <v>45982</v>
      </c>
      <c r="C68" s="6">
        <v>0.44034722222222222</v>
      </c>
      <c r="D68" s="2" t="s">
        <v>261</v>
      </c>
      <c r="E68" t="s">
        <v>2882</v>
      </c>
      <c r="F68" t="s">
        <v>2884</v>
      </c>
      <c r="H68" t="s">
        <v>2885</v>
      </c>
      <c r="I68" t="s">
        <v>2040</v>
      </c>
      <c r="J68" t="s">
        <v>204</v>
      </c>
      <c r="K68" t="s">
        <v>2041</v>
      </c>
      <c r="L68" t="s">
        <v>2042</v>
      </c>
      <c r="M68" s="3" t="str">
        <f>HYPERLINK(Таблица3[[#This Row],[RelativePath]])</f>
        <v>3 Въезд на базу\E33149364_8_20251121T103406Z.jpg</v>
      </c>
    </row>
    <row r="69" spans="1:13" x14ac:dyDescent="0.25">
      <c r="A69" t="s">
        <v>14</v>
      </c>
      <c r="B69" s="4">
        <v>45986</v>
      </c>
      <c r="C69" s="6">
        <v>0.62989583333333332</v>
      </c>
      <c r="D69" s="2" t="s">
        <v>261</v>
      </c>
      <c r="E69" t="s">
        <v>70</v>
      </c>
      <c r="F69" t="s">
        <v>58</v>
      </c>
      <c r="H69" t="s">
        <v>2891</v>
      </c>
      <c r="I69" t="s">
        <v>3881</v>
      </c>
      <c r="J69" t="s">
        <v>2940</v>
      </c>
      <c r="K69" t="s">
        <v>3882</v>
      </c>
      <c r="L69" t="s">
        <v>3883</v>
      </c>
      <c r="M69" s="3" t="str">
        <f>HYPERLINK(Таблица3[[#This Row],[RelativePath]])</f>
        <v>10 Сушилка навес\E33149364_3_20251125T150703Z.jpg</v>
      </c>
    </row>
    <row r="70" spans="1:13" x14ac:dyDescent="0.25">
      <c r="A70" t="s">
        <v>14</v>
      </c>
      <c r="B70" s="4">
        <v>45986</v>
      </c>
      <c r="C70" s="6">
        <v>0.62843749999999998</v>
      </c>
      <c r="D70" s="2" t="s">
        <v>261</v>
      </c>
      <c r="E70" t="s">
        <v>70</v>
      </c>
      <c r="F70" t="s">
        <v>58</v>
      </c>
      <c r="H70" t="s">
        <v>2891</v>
      </c>
      <c r="I70" t="s">
        <v>3872</v>
      </c>
      <c r="J70" t="s">
        <v>2940</v>
      </c>
      <c r="K70" t="s">
        <v>3873</v>
      </c>
      <c r="L70" t="s">
        <v>3874</v>
      </c>
      <c r="M70" s="3" t="str">
        <f>HYPERLINK(Таблица3[[#This Row],[RelativePath]])</f>
        <v>10 Сушилка навес\E33149364_3_20251125T150457Z.jpg</v>
      </c>
    </row>
    <row r="71" spans="1:13" x14ac:dyDescent="0.25">
      <c r="A71" t="s">
        <v>14</v>
      </c>
      <c r="B71" s="4">
        <v>45986</v>
      </c>
      <c r="C71" s="6">
        <v>0.62826388888888884</v>
      </c>
      <c r="D71" s="2" t="s">
        <v>261</v>
      </c>
      <c r="E71" t="s">
        <v>70</v>
      </c>
      <c r="F71" t="s">
        <v>58</v>
      </c>
      <c r="H71" t="s">
        <v>1583</v>
      </c>
      <c r="I71" t="s">
        <v>3869</v>
      </c>
      <c r="J71" t="s">
        <v>2940</v>
      </c>
      <c r="K71" t="s">
        <v>3870</v>
      </c>
      <c r="L71" t="s">
        <v>3871</v>
      </c>
      <c r="M71" s="3" t="str">
        <f>HYPERLINK(Таблица3[[#This Row],[RelativePath]])</f>
        <v>10 Сушилка навес\E33149364_3_20251125T150442Z.jpg</v>
      </c>
    </row>
    <row r="72" spans="1:13" x14ac:dyDescent="0.25">
      <c r="A72" t="s">
        <v>14</v>
      </c>
      <c r="B72" s="4">
        <v>45986</v>
      </c>
      <c r="C72" s="6">
        <v>0.62981481481481483</v>
      </c>
      <c r="D72" s="2" t="s">
        <v>261</v>
      </c>
      <c r="E72" t="s">
        <v>70</v>
      </c>
      <c r="F72" t="s">
        <v>58</v>
      </c>
      <c r="H72" t="s">
        <v>2891</v>
      </c>
      <c r="I72" t="s">
        <v>3878</v>
      </c>
      <c r="J72" t="s">
        <v>2940</v>
      </c>
      <c r="K72" t="s">
        <v>3879</v>
      </c>
      <c r="L72" t="s">
        <v>3880</v>
      </c>
      <c r="M72" s="3" t="str">
        <f>HYPERLINK(Таблица3[[#This Row],[RelativePath]])</f>
        <v>10 Сушилка навес\E33149364_3_20251125T150656Z.jpg</v>
      </c>
    </row>
    <row r="73" spans="1:13" x14ac:dyDescent="0.25">
      <c r="A73" t="s">
        <v>14</v>
      </c>
      <c r="B73" s="4">
        <v>45986</v>
      </c>
      <c r="C73" s="6">
        <v>0.62910879629629635</v>
      </c>
      <c r="D73" s="2" t="s">
        <v>261</v>
      </c>
      <c r="E73" t="s">
        <v>70</v>
      </c>
      <c r="F73" t="s">
        <v>58</v>
      </c>
      <c r="H73" t="s">
        <v>2891</v>
      </c>
      <c r="I73" t="s">
        <v>3875</v>
      </c>
      <c r="J73" t="s">
        <v>2940</v>
      </c>
      <c r="K73" t="s">
        <v>3876</v>
      </c>
      <c r="L73" t="s">
        <v>3877</v>
      </c>
      <c r="M73" s="3" t="str">
        <f>HYPERLINK(Таблица3[[#This Row],[RelativePath]])</f>
        <v>10 Сушилка навес\E33149364_3_20251125T150555Z.jpg</v>
      </c>
    </row>
    <row r="74" spans="1:13" x14ac:dyDescent="0.25">
      <c r="A74" t="s">
        <v>14</v>
      </c>
      <c r="B74" s="4">
        <v>45986</v>
      </c>
      <c r="C74" s="6">
        <v>0.6300810185185185</v>
      </c>
      <c r="D74" s="2" t="s">
        <v>261</v>
      </c>
      <c r="E74" t="s">
        <v>70</v>
      </c>
      <c r="F74" t="s">
        <v>58</v>
      </c>
      <c r="H74" t="s">
        <v>2891</v>
      </c>
      <c r="I74" t="s">
        <v>3884</v>
      </c>
      <c r="J74" t="s">
        <v>2940</v>
      </c>
      <c r="K74" t="s">
        <v>3885</v>
      </c>
      <c r="L74" t="s">
        <v>3886</v>
      </c>
      <c r="M74" s="3" t="str">
        <f>HYPERLINK(Таблица3[[#This Row],[RelativePath]])</f>
        <v>10 Сушилка навес\E33149364_3_20251125T150719Z.jpg</v>
      </c>
    </row>
    <row r="75" spans="1:13" x14ac:dyDescent="0.25">
      <c r="A75" t="s">
        <v>14</v>
      </c>
      <c r="B75" s="4">
        <v>45986</v>
      </c>
      <c r="C75" s="6">
        <v>0.63023148148148145</v>
      </c>
      <c r="D75" s="2" t="s">
        <v>261</v>
      </c>
      <c r="E75" t="s">
        <v>70</v>
      </c>
      <c r="F75" t="s">
        <v>58</v>
      </c>
      <c r="H75" t="s">
        <v>2891</v>
      </c>
      <c r="I75" t="s">
        <v>3887</v>
      </c>
      <c r="J75" t="s">
        <v>2940</v>
      </c>
      <c r="K75" t="s">
        <v>3888</v>
      </c>
      <c r="L75" t="s">
        <v>3889</v>
      </c>
      <c r="M75" s="3" t="str">
        <f>HYPERLINK(Таблица3[[#This Row],[RelativePath]])</f>
        <v>10 Сушилка навес\E33149364_3_20251125T150732Z.jpg</v>
      </c>
    </row>
    <row r="76" spans="1:13" x14ac:dyDescent="0.25">
      <c r="A76" t="s">
        <v>14</v>
      </c>
      <c r="B76" s="4">
        <v>45986</v>
      </c>
      <c r="C76" s="6">
        <v>0.6305439814814815</v>
      </c>
      <c r="D76" s="2" t="s">
        <v>261</v>
      </c>
      <c r="E76" t="s">
        <v>70</v>
      </c>
      <c r="F76" t="s">
        <v>58</v>
      </c>
      <c r="H76" t="s">
        <v>2891</v>
      </c>
      <c r="I76" t="s">
        <v>3890</v>
      </c>
      <c r="J76" t="s">
        <v>2940</v>
      </c>
      <c r="K76" t="s">
        <v>3891</v>
      </c>
      <c r="L76" t="s">
        <v>3892</v>
      </c>
      <c r="M76" s="3" t="str">
        <f>HYPERLINK(Таблица3[[#This Row],[RelativePath]])</f>
        <v>10 Сушилка навес\E33149364_3_20251125T150759Z.jpg</v>
      </c>
    </row>
    <row r="77" spans="1:13" x14ac:dyDescent="0.25">
      <c r="A77" t="s">
        <v>14</v>
      </c>
      <c r="B77" s="4">
        <v>45986</v>
      </c>
      <c r="C77" s="6">
        <v>0.6318287037037037</v>
      </c>
      <c r="D77" s="2" t="s">
        <v>261</v>
      </c>
      <c r="E77" t="s">
        <v>70</v>
      </c>
      <c r="F77" t="s">
        <v>4174</v>
      </c>
      <c r="H77" t="s">
        <v>1581</v>
      </c>
      <c r="I77" t="s">
        <v>3896</v>
      </c>
      <c r="J77" t="s">
        <v>2940</v>
      </c>
      <c r="K77" t="s">
        <v>3897</v>
      </c>
      <c r="L77" t="s">
        <v>3898</v>
      </c>
      <c r="M77" s="3" t="str">
        <f>HYPERLINK(Таблица3[[#This Row],[RelativePath]])</f>
        <v>10 Сушилка навес\E33149364_3_20251125T150950Z.jpg</v>
      </c>
    </row>
    <row r="78" spans="1:13" x14ac:dyDescent="0.25">
      <c r="A78" t="s">
        <v>15</v>
      </c>
      <c r="B78" s="4">
        <v>45987</v>
      </c>
      <c r="C78" s="6">
        <v>0.44269675925925928</v>
      </c>
      <c r="D78" s="2" t="s">
        <v>261</v>
      </c>
      <c r="E78" t="s">
        <v>4133</v>
      </c>
      <c r="F78" t="s">
        <v>58</v>
      </c>
      <c r="H78" t="s">
        <v>2891</v>
      </c>
      <c r="I78" t="s">
        <v>3921</v>
      </c>
      <c r="J78" t="s">
        <v>2940</v>
      </c>
      <c r="K78" t="s">
        <v>3922</v>
      </c>
      <c r="L78" t="s">
        <v>3923</v>
      </c>
      <c r="M78" s="3" t="str">
        <f>HYPERLINK(Таблица3[[#This Row],[RelativePath]])</f>
        <v>10 Сушилка навес\E33149364_3_20251126T103729Z.jpg</v>
      </c>
    </row>
    <row r="79" spans="1:13" x14ac:dyDescent="0.25">
      <c r="A79" t="s">
        <v>15</v>
      </c>
      <c r="B79" s="4">
        <v>45987</v>
      </c>
      <c r="C79" s="6">
        <v>0.44207175925925923</v>
      </c>
      <c r="D79" s="2" t="s">
        <v>261</v>
      </c>
      <c r="E79" t="s">
        <v>4133</v>
      </c>
      <c r="F79" t="s">
        <v>58</v>
      </c>
      <c r="H79" t="s">
        <v>1583</v>
      </c>
      <c r="I79" t="s">
        <v>3906</v>
      </c>
      <c r="J79" t="s">
        <v>2940</v>
      </c>
      <c r="K79" t="s">
        <v>3907</v>
      </c>
      <c r="L79" t="s">
        <v>3908</v>
      </c>
      <c r="M79" s="3" t="str">
        <f>HYPERLINK(Таблица3[[#This Row],[RelativePath]])</f>
        <v>10 Сушилка навес\E33149364_3_20251126T103635Z.jpg</v>
      </c>
    </row>
    <row r="80" spans="1:13" x14ac:dyDescent="0.25">
      <c r="A80" t="s">
        <v>15</v>
      </c>
      <c r="B80" s="4">
        <v>45987</v>
      </c>
      <c r="C80" s="6">
        <v>0.44216435185185188</v>
      </c>
      <c r="D80" s="2" t="s">
        <v>261</v>
      </c>
      <c r="E80" t="s">
        <v>4133</v>
      </c>
      <c r="F80" t="s">
        <v>58</v>
      </c>
      <c r="H80" t="s">
        <v>2891</v>
      </c>
      <c r="I80" t="s">
        <v>3909</v>
      </c>
      <c r="J80" t="s">
        <v>2940</v>
      </c>
      <c r="K80" t="s">
        <v>3910</v>
      </c>
      <c r="L80" t="s">
        <v>3911</v>
      </c>
      <c r="M80" s="3" t="str">
        <f>HYPERLINK(Таблица3[[#This Row],[RelativePath]])</f>
        <v>10 Сушилка навес\E33149364_3_20251126T103643Z.jpg</v>
      </c>
    </row>
    <row r="81" spans="1:13" x14ac:dyDescent="0.25">
      <c r="A81" t="s">
        <v>15</v>
      </c>
      <c r="B81" s="4">
        <v>45987</v>
      </c>
      <c r="C81" s="6">
        <v>0.44284722222222223</v>
      </c>
      <c r="D81" s="2" t="s">
        <v>261</v>
      </c>
      <c r="E81" t="s">
        <v>4133</v>
      </c>
      <c r="F81" t="s">
        <v>58</v>
      </c>
      <c r="H81" t="s">
        <v>2891</v>
      </c>
      <c r="I81" t="s">
        <v>3924</v>
      </c>
      <c r="J81" t="s">
        <v>2940</v>
      </c>
      <c r="K81" t="s">
        <v>3925</v>
      </c>
      <c r="L81" t="s">
        <v>3926</v>
      </c>
      <c r="M81" s="3" t="str">
        <f>HYPERLINK(Таблица3[[#This Row],[RelativePath]])</f>
        <v>10 Сушилка навес\E33149364_3_20251126T103742Z.jpg</v>
      </c>
    </row>
    <row r="82" spans="1:13" x14ac:dyDescent="0.25">
      <c r="A82" t="s">
        <v>15</v>
      </c>
      <c r="B82" s="4">
        <v>45987</v>
      </c>
      <c r="C82" s="6">
        <v>0.45056712962962964</v>
      </c>
      <c r="D82" s="2" t="s">
        <v>261</v>
      </c>
      <c r="E82" t="s">
        <v>4133</v>
      </c>
      <c r="F82" t="s">
        <v>58</v>
      </c>
      <c r="H82" t="s">
        <v>2891</v>
      </c>
      <c r="I82" t="s">
        <v>3954</v>
      </c>
      <c r="J82" t="s">
        <v>2940</v>
      </c>
      <c r="K82" t="s">
        <v>3955</v>
      </c>
      <c r="L82" t="s">
        <v>3956</v>
      </c>
      <c r="M82" s="3" t="str">
        <f>HYPERLINK(Таблица3[[#This Row],[RelativePath]])</f>
        <v>10 Сушилка навес\E33149364_3_20251126T104849Z.jpg</v>
      </c>
    </row>
    <row r="83" spans="1:13" x14ac:dyDescent="0.25">
      <c r="A83" t="s">
        <v>15</v>
      </c>
      <c r="B83" s="4">
        <v>45987</v>
      </c>
      <c r="C83" s="6">
        <v>0.44848379629629631</v>
      </c>
      <c r="D83" s="2" t="s">
        <v>261</v>
      </c>
      <c r="E83" t="s">
        <v>4133</v>
      </c>
      <c r="F83" t="s">
        <v>58</v>
      </c>
      <c r="H83" t="s">
        <v>2891</v>
      </c>
      <c r="I83" t="s">
        <v>4038</v>
      </c>
      <c r="J83" t="s">
        <v>2941</v>
      </c>
      <c r="K83" t="s">
        <v>4039</v>
      </c>
      <c r="L83" t="s">
        <v>4040</v>
      </c>
      <c r="M83" s="3" t="str">
        <f>HYPERLINK(Таблица3[[#This Row],[RelativePath]])</f>
        <v>11 С ангара на базу\E33149364_4_20251126T104549Z.jpg</v>
      </c>
    </row>
    <row r="84" spans="1:13" x14ac:dyDescent="0.25">
      <c r="A84" t="s">
        <v>15</v>
      </c>
      <c r="B84" s="4">
        <v>45987</v>
      </c>
      <c r="C84" s="6">
        <v>0.44864583333333335</v>
      </c>
      <c r="D84" s="2" t="s">
        <v>261</v>
      </c>
      <c r="E84" t="s">
        <v>4133</v>
      </c>
      <c r="F84" t="s">
        <v>58</v>
      </c>
      <c r="H84" t="s">
        <v>2891</v>
      </c>
      <c r="I84" t="s">
        <v>4041</v>
      </c>
      <c r="J84" t="s">
        <v>2941</v>
      </c>
      <c r="K84" t="s">
        <v>4042</v>
      </c>
      <c r="L84" t="s">
        <v>4043</v>
      </c>
      <c r="M84" s="3" t="str">
        <f>HYPERLINK(Таблица3[[#This Row],[RelativePath]])</f>
        <v>11 С ангара на базу\E33149364_4_20251126T104603Z.jpg</v>
      </c>
    </row>
    <row r="85" spans="1:13" x14ac:dyDescent="0.25">
      <c r="A85" t="s">
        <v>15</v>
      </c>
      <c r="B85" s="4">
        <v>45987</v>
      </c>
      <c r="C85" s="6">
        <v>0.44947916666666665</v>
      </c>
      <c r="D85" s="2" t="s">
        <v>261</v>
      </c>
      <c r="E85" t="s">
        <v>4133</v>
      </c>
      <c r="F85" t="s">
        <v>58</v>
      </c>
      <c r="H85" t="s">
        <v>2891</v>
      </c>
      <c r="I85" t="s">
        <v>4044</v>
      </c>
      <c r="J85" t="s">
        <v>2941</v>
      </c>
      <c r="K85" t="s">
        <v>4045</v>
      </c>
      <c r="L85" t="s">
        <v>4046</v>
      </c>
      <c r="M85" s="3" t="str">
        <f>HYPERLINK(Таблица3[[#This Row],[RelativePath]])</f>
        <v>11 С ангара на базу\E33149364_4_20251126T104715Z.jpg</v>
      </c>
    </row>
    <row r="86" spans="1:13" x14ac:dyDescent="0.25">
      <c r="A86" t="s">
        <v>15</v>
      </c>
      <c r="B86" s="4">
        <v>45987</v>
      </c>
      <c r="C86" s="6">
        <v>0.44723379629629628</v>
      </c>
      <c r="D86" s="2" t="s">
        <v>261</v>
      </c>
      <c r="E86" t="s">
        <v>4133</v>
      </c>
      <c r="F86" t="s">
        <v>58</v>
      </c>
      <c r="I86" t="s">
        <v>4035</v>
      </c>
      <c r="J86" t="s">
        <v>2941</v>
      </c>
      <c r="K86" t="s">
        <v>4036</v>
      </c>
      <c r="L86" t="s">
        <v>4037</v>
      </c>
      <c r="M86" s="3" t="str">
        <f>HYPERLINK(Таблица3[[#This Row],[RelativePath]])</f>
        <v>11 С ангара на базу\E33149364_4_20251126T104401Z.jpg</v>
      </c>
    </row>
    <row r="87" spans="1:13" x14ac:dyDescent="0.25">
      <c r="A87" t="s">
        <v>15</v>
      </c>
      <c r="B87" s="4">
        <v>45987</v>
      </c>
      <c r="C87" s="6">
        <v>0.44473379629629628</v>
      </c>
      <c r="D87" s="2" t="s">
        <v>261</v>
      </c>
      <c r="E87" t="s">
        <v>4133</v>
      </c>
      <c r="F87" t="s">
        <v>58</v>
      </c>
      <c r="H87" t="s">
        <v>2891</v>
      </c>
      <c r="I87" t="s">
        <v>3933</v>
      </c>
      <c r="J87" t="s">
        <v>2940</v>
      </c>
      <c r="K87" t="s">
        <v>3934</v>
      </c>
      <c r="L87" t="s">
        <v>3935</v>
      </c>
      <c r="M87" s="3" t="str">
        <f>HYPERLINK(Таблица3[[#This Row],[RelativePath]])</f>
        <v>10 Сушилка навес\E33149364_3_20251126T104025Z.jpg</v>
      </c>
    </row>
    <row r="88" spans="1:13" x14ac:dyDescent="0.25">
      <c r="A88" t="s">
        <v>15</v>
      </c>
      <c r="B88" s="4">
        <v>45987</v>
      </c>
      <c r="C88" s="6">
        <v>0.44495370370370368</v>
      </c>
      <c r="D88" s="2" t="s">
        <v>261</v>
      </c>
      <c r="E88" t="s">
        <v>4133</v>
      </c>
      <c r="F88" t="s">
        <v>58</v>
      </c>
      <c r="H88" t="s">
        <v>2891</v>
      </c>
      <c r="I88" t="s">
        <v>3936</v>
      </c>
      <c r="J88" t="s">
        <v>2940</v>
      </c>
      <c r="K88" t="s">
        <v>3937</v>
      </c>
      <c r="L88" t="s">
        <v>3938</v>
      </c>
      <c r="M88" s="3" t="str">
        <f>HYPERLINK(Таблица3[[#This Row],[RelativePath]])</f>
        <v>10 Сушилка навес\E33149364_3_20251126T104044Z.jpg</v>
      </c>
    </row>
    <row r="89" spans="1:13" x14ac:dyDescent="0.25">
      <c r="A89" t="s">
        <v>15</v>
      </c>
      <c r="B89" s="4">
        <v>45987</v>
      </c>
      <c r="C89" s="6">
        <v>0.4478125</v>
      </c>
      <c r="D89" s="2" t="s">
        <v>261</v>
      </c>
      <c r="E89" t="s">
        <v>4133</v>
      </c>
      <c r="F89" t="s">
        <v>58</v>
      </c>
      <c r="H89" t="s">
        <v>2891</v>
      </c>
      <c r="I89" t="s">
        <v>3951</v>
      </c>
      <c r="J89" t="s">
        <v>2940</v>
      </c>
      <c r="K89" t="s">
        <v>3952</v>
      </c>
      <c r="L89" t="s">
        <v>3953</v>
      </c>
      <c r="M89" s="3" t="str">
        <f>HYPERLINK(Таблица3[[#This Row],[RelativePath]])</f>
        <v>10 Сушилка навес\E33149364_3_20251126T104451Z.jpg</v>
      </c>
    </row>
    <row r="90" spans="1:13" x14ac:dyDescent="0.25">
      <c r="A90" t="s">
        <v>15</v>
      </c>
      <c r="B90" s="4">
        <v>45987</v>
      </c>
      <c r="C90" s="6">
        <v>0.44372685185185184</v>
      </c>
      <c r="D90" s="2" t="s">
        <v>261</v>
      </c>
      <c r="E90" t="s">
        <v>4133</v>
      </c>
      <c r="F90" t="s">
        <v>58</v>
      </c>
      <c r="I90" t="s">
        <v>3930</v>
      </c>
      <c r="J90" t="s">
        <v>2940</v>
      </c>
      <c r="K90" t="s">
        <v>3931</v>
      </c>
      <c r="L90" t="s">
        <v>3932</v>
      </c>
      <c r="M90" s="3" t="str">
        <f>HYPERLINK(Таблица3[[#This Row],[RelativePath]])</f>
        <v>10 Сушилка навес\E33149364_3_20251126T103858Z.jpg</v>
      </c>
    </row>
    <row r="91" spans="1:13" x14ac:dyDescent="0.25">
      <c r="A91" t="s">
        <v>15</v>
      </c>
      <c r="B91" s="4">
        <v>45987</v>
      </c>
      <c r="C91" s="6">
        <v>0.44767361111111109</v>
      </c>
      <c r="D91" s="2" t="s">
        <v>261</v>
      </c>
      <c r="E91" t="s">
        <v>4133</v>
      </c>
      <c r="F91" t="s">
        <v>58</v>
      </c>
      <c r="H91" t="s">
        <v>2891</v>
      </c>
      <c r="I91" t="s">
        <v>3948</v>
      </c>
      <c r="J91" t="s">
        <v>2940</v>
      </c>
      <c r="K91" t="s">
        <v>3949</v>
      </c>
      <c r="L91" t="s">
        <v>3950</v>
      </c>
      <c r="M91" s="3" t="str">
        <f>HYPERLINK(Таблица3[[#This Row],[RelativePath]])</f>
        <v>10 Сушилка навес\E33149364_3_20251126T104439Z.jpg</v>
      </c>
    </row>
    <row r="92" spans="1:13" x14ac:dyDescent="0.25">
      <c r="A92" t="s">
        <v>15</v>
      </c>
      <c r="B92" s="4">
        <v>45987</v>
      </c>
      <c r="C92" s="6">
        <v>0.44255787037037037</v>
      </c>
      <c r="D92" s="2" t="s">
        <v>261</v>
      </c>
      <c r="E92" t="s">
        <v>4133</v>
      </c>
      <c r="F92" t="s">
        <v>58</v>
      </c>
      <c r="H92" t="s">
        <v>2891</v>
      </c>
      <c r="I92" t="s">
        <v>3918</v>
      </c>
      <c r="J92" t="s">
        <v>2940</v>
      </c>
      <c r="K92" t="s">
        <v>3919</v>
      </c>
      <c r="L92" t="s">
        <v>3920</v>
      </c>
      <c r="M92" s="3" t="str">
        <f>HYPERLINK(Таблица3[[#This Row],[RelativePath]])</f>
        <v>10 Сушилка навес\E33149364_3_20251126T103717Z.jpg</v>
      </c>
    </row>
    <row r="93" spans="1:13" x14ac:dyDescent="0.25">
      <c r="A93" t="s">
        <v>15</v>
      </c>
      <c r="B93" s="4">
        <v>45987</v>
      </c>
      <c r="C93" s="6">
        <v>0.44241898148148145</v>
      </c>
      <c r="D93" s="2" t="s">
        <v>261</v>
      </c>
      <c r="E93" t="s">
        <v>4133</v>
      </c>
      <c r="F93" t="s">
        <v>58</v>
      </c>
      <c r="H93" t="s">
        <v>2891</v>
      </c>
      <c r="I93" t="s">
        <v>3915</v>
      </c>
      <c r="J93" t="s">
        <v>2940</v>
      </c>
      <c r="K93" t="s">
        <v>3916</v>
      </c>
      <c r="L93" t="s">
        <v>3917</v>
      </c>
      <c r="M93" s="3" t="str">
        <f>HYPERLINK(Таблица3[[#This Row],[RelativePath]])</f>
        <v>10 Сушилка навес\E33149364_3_20251126T103705Z.jpg</v>
      </c>
    </row>
    <row r="94" spans="1:13" x14ac:dyDescent="0.25">
      <c r="A94" t="s">
        <v>15</v>
      </c>
      <c r="B94" s="4">
        <v>45987</v>
      </c>
      <c r="C94" s="6">
        <v>0.44226851851851851</v>
      </c>
      <c r="D94" s="2" t="s">
        <v>261</v>
      </c>
      <c r="E94" t="s">
        <v>4133</v>
      </c>
      <c r="F94" t="s">
        <v>58</v>
      </c>
      <c r="H94" t="s">
        <v>2891</v>
      </c>
      <c r="I94" t="s">
        <v>3912</v>
      </c>
      <c r="J94" t="s">
        <v>2940</v>
      </c>
      <c r="K94" t="s">
        <v>3913</v>
      </c>
      <c r="L94" t="s">
        <v>3914</v>
      </c>
      <c r="M94" s="3" t="str">
        <f>HYPERLINK(Таблица3[[#This Row],[RelativePath]])</f>
        <v>10 Сушилка навес\E33149364_3_20251126T103652Z.jpg</v>
      </c>
    </row>
    <row r="95" spans="1:13" x14ac:dyDescent="0.25">
      <c r="A95" t="s">
        <v>15</v>
      </c>
      <c r="B95" s="4">
        <v>45987</v>
      </c>
      <c r="C95" s="6">
        <v>0.4475925925925926</v>
      </c>
      <c r="D95" s="2" t="s">
        <v>261</v>
      </c>
      <c r="E95" t="s">
        <v>4133</v>
      </c>
      <c r="F95" t="s">
        <v>58</v>
      </c>
      <c r="I95" t="s">
        <v>3945</v>
      </c>
      <c r="J95" t="s">
        <v>2940</v>
      </c>
      <c r="K95" t="s">
        <v>3946</v>
      </c>
      <c r="L95" t="s">
        <v>3947</v>
      </c>
      <c r="M95" s="3" t="str">
        <f>HYPERLINK(Таблица3[[#This Row],[RelativePath]])</f>
        <v>10 Сушилка навес\E33149364_3_20251126T104432Z.jpg</v>
      </c>
    </row>
    <row r="96" spans="1:13" x14ac:dyDescent="0.25">
      <c r="A96" t="s">
        <v>18</v>
      </c>
      <c r="B96" s="4">
        <v>45990</v>
      </c>
      <c r="C96" s="6">
        <v>0.63124999999999998</v>
      </c>
      <c r="D96" s="2" t="s">
        <v>261</v>
      </c>
      <c r="E96" t="s">
        <v>4135</v>
      </c>
      <c r="F96" t="s">
        <v>4152</v>
      </c>
      <c r="H96" t="s">
        <v>2891</v>
      </c>
      <c r="I96" t="s">
        <v>3571</v>
      </c>
      <c r="J96" t="s">
        <v>2939</v>
      </c>
      <c r="K96" t="s">
        <v>3572</v>
      </c>
      <c r="L96" t="s">
        <v>3573</v>
      </c>
      <c r="M96" s="3" t="str">
        <f>HYPERLINK(Таблица3[[#This Row],[RelativePath]])</f>
        <v>7 Площадка 2 бетонщики\K07156189_18_20251129T150900Z.jpg</v>
      </c>
    </row>
    <row r="97" spans="1:13" x14ac:dyDescent="0.25">
      <c r="A97" t="s">
        <v>18</v>
      </c>
      <c r="B97" s="4">
        <v>45990</v>
      </c>
      <c r="C97" s="6">
        <v>0.62604166666666672</v>
      </c>
      <c r="D97" s="2" t="s">
        <v>261</v>
      </c>
      <c r="E97" t="s">
        <v>4135</v>
      </c>
      <c r="F97" t="s">
        <v>4152</v>
      </c>
      <c r="H97" t="s">
        <v>2891</v>
      </c>
      <c r="I97" t="s">
        <v>3568</v>
      </c>
      <c r="J97" t="s">
        <v>2939</v>
      </c>
      <c r="K97" t="s">
        <v>3569</v>
      </c>
      <c r="L97" t="s">
        <v>3570</v>
      </c>
      <c r="M97" s="3" t="str">
        <f>HYPERLINK(Таблица3[[#This Row],[RelativePath]])</f>
        <v>7 Площадка 2 бетонщики\K07156189_18_20251129T150130Z.jpg</v>
      </c>
    </row>
    <row r="98" spans="1:13" x14ac:dyDescent="0.25">
      <c r="A98" t="s">
        <v>18</v>
      </c>
      <c r="B98" s="4">
        <v>45990</v>
      </c>
      <c r="C98" s="6">
        <v>0.67753472222222222</v>
      </c>
      <c r="D98" s="2" t="s">
        <v>261</v>
      </c>
      <c r="E98" t="s">
        <v>4136</v>
      </c>
      <c r="F98" t="s">
        <v>4152</v>
      </c>
      <c r="H98" t="s">
        <v>2891</v>
      </c>
      <c r="I98" t="s">
        <v>3630</v>
      </c>
      <c r="J98" t="s">
        <v>2939</v>
      </c>
      <c r="K98" t="s">
        <v>3631</v>
      </c>
      <c r="L98" t="s">
        <v>3632</v>
      </c>
      <c r="M98" s="3" t="str">
        <f>HYPERLINK(Таблица3[[#This Row],[RelativePath]])</f>
        <v>7 Площадка 2 бетонщики\K07156189_18_20251129T161539Z.jpg</v>
      </c>
    </row>
    <row r="99" spans="1:13" x14ac:dyDescent="0.25">
      <c r="A99" t="s">
        <v>18</v>
      </c>
      <c r="B99" s="4">
        <v>45990</v>
      </c>
      <c r="C99" s="6">
        <v>0.65699074074074071</v>
      </c>
      <c r="D99" s="2" t="s">
        <v>261</v>
      </c>
      <c r="E99" t="s">
        <v>4136</v>
      </c>
      <c r="F99" t="s">
        <v>4152</v>
      </c>
      <c r="H99" t="s">
        <v>2891</v>
      </c>
      <c r="I99" t="s">
        <v>3600</v>
      </c>
      <c r="J99" t="s">
        <v>2939</v>
      </c>
      <c r="K99" t="s">
        <v>3601</v>
      </c>
      <c r="L99" t="s">
        <v>3602</v>
      </c>
      <c r="M99" s="3" t="str">
        <f>HYPERLINK(Таблица3[[#This Row],[RelativePath]])</f>
        <v>7 Площадка 2 бетонщики\K07156189_18_20251129T154604Z.jpg</v>
      </c>
    </row>
    <row r="100" spans="1:13" x14ac:dyDescent="0.25">
      <c r="A100" t="s">
        <v>18</v>
      </c>
      <c r="B100" s="4">
        <v>45990</v>
      </c>
      <c r="C100" s="6">
        <v>0.62410879629629634</v>
      </c>
      <c r="D100" s="2" t="s">
        <v>261</v>
      </c>
      <c r="E100" t="s">
        <v>4135</v>
      </c>
      <c r="F100" t="s">
        <v>4152</v>
      </c>
      <c r="H100" t="s">
        <v>2891</v>
      </c>
      <c r="I100" t="s">
        <v>3565</v>
      </c>
      <c r="J100" t="s">
        <v>2939</v>
      </c>
      <c r="K100" t="s">
        <v>3566</v>
      </c>
      <c r="L100" t="s">
        <v>3567</v>
      </c>
      <c r="M100" s="3" t="str">
        <f>HYPERLINK(Таблица3[[#This Row],[RelativePath]])</f>
        <v>7 Площадка 2 бетонщики\K07156189_18_20251129T145843Z.jpg</v>
      </c>
    </row>
    <row r="101" spans="1:13" x14ac:dyDescent="0.25">
      <c r="A101" t="s">
        <v>18</v>
      </c>
      <c r="B101" s="4">
        <v>45990</v>
      </c>
      <c r="C101" s="6">
        <v>0.61790509259259263</v>
      </c>
      <c r="D101" s="2" t="s">
        <v>261</v>
      </c>
      <c r="E101" t="s">
        <v>4135</v>
      </c>
      <c r="F101" t="s">
        <v>4152</v>
      </c>
      <c r="H101" t="s">
        <v>2891</v>
      </c>
      <c r="I101" t="s">
        <v>3556</v>
      </c>
      <c r="J101" t="s">
        <v>2939</v>
      </c>
      <c r="K101" t="s">
        <v>3557</v>
      </c>
      <c r="L101" t="s">
        <v>3558</v>
      </c>
      <c r="M101" s="3" t="str">
        <f>HYPERLINK(Таблица3[[#This Row],[RelativePath]])</f>
        <v>7 Площадка 2 бетонщики\K07156189_18_20251129T144947Z.jpg</v>
      </c>
    </row>
    <row r="102" spans="1:13" x14ac:dyDescent="0.25">
      <c r="A102" t="s">
        <v>18</v>
      </c>
      <c r="B102" s="4">
        <v>45990</v>
      </c>
      <c r="C102" s="6">
        <v>0.64386574074074077</v>
      </c>
      <c r="D102" s="2" t="s">
        <v>261</v>
      </c>
      <c r="E102" t="s">
        <v>4135</v>
      </c>
      <c r="F102" t="s">
        <v>87</v>
      </c>
      <c r="I102" t="s">
        <v>3586</v>
      </c>
      <c r="J102" t="s">
        <v>2939</v>
      </c>
      <c r="K102" t="s">
        <v>3587</v>
      </c>
      <c r="L102" t="s">
        <v>3588</v>
      </c>
      <c r="M102" s="3" t="str">
        <f>HYPERLINK(Таблица3[[#This Row],[RelativePath]])</f>
        <v>7 Площадка 2 бетонщики\K07156189_18_20251129T152710Z.jpg</v>
      </c>
    </row>
    <row r="103" spans="1:13" x14ac:dyDescent="0.25">
      <c r="A103" t="s">
        <v>18</v>
      </c>
      <c r="B103" s="4">
        <v>45990</v>
      </c>
      <c r="C103" s="6">
        <v>0.65312499999999996</v>
      </c>
      <c r="D103" s="2" t="s">
        <v>261</v>
      </c>
      <c r="E103" t="s">
        <v>4136</v>
      </c>
      <c r="F103" t="s">
        <v>4152</v>
      </c>
      <c r="I103" t="s">
        <v>3594</v>
      </c>
      <c r="J103" t="s">
        <v>2939</v>
      </c>
      <c r="K103" t="s">
        <v>3595</v>
      </c>
      <c r="L103" t="s">
        <v>3596</v>
      </c>
      <c r="M103" s="3" t="str">
        <f>HYPERLINK(Таблица3[[#This Row],[RelativePath]])</f>
        <v>7 Площадка 2 бетонщики\K07156189_18_20251129T154030Z.jpg</v>
      </c>
    </row>
    <row r="104" spans="1:13" x14ac:dyDescent="0.25">
      <c r="A104" t="s">
        <v>18</v>
      </c>
      <c r="B104" s="4">
        <v>45990</v>
      </c>
      <c r="C104" s="6">
        <v>0.65543981481481484</v>
      </c>
      <c r="D104" s="2" t="s">
        <v>261</v>
      </c>
      <c r="E104" t="s">
        <v>4136</v>
      </c>
      <c r="F104" t="s">
        <v>4152</v>
      </c>
      <c r="H104" t="s">
        <v>2891</v>
      </c>
      <c r="I104" t="s">
        <v>3597</v>
      </c>
      <c r="J104" t="s">
        <v>2939</v>
      </c>
      <c r="K104" t="s">
        <v>3598</v>
      </c>
      <c r="L104" t="s">
        <v>3599</v>
      </c>
      <c r="M104" s="3" t="str">
        <f>HYPERLINK(Таблица3[[#This Row],[RelativePath]])</f>
        <v>7 Площадка 2 бетонщики\K07156189_18_20251129T154350Z.jpg</v>
      </c>
    </row>
    <row r="105" spans="1:13" x14ac:dyDescent="0.25">
      <c r="A105" t="s">
        <v>18</v>
      </c>
      <c r="B105" s="4">
        <v>45990</v>
      </c>
      <c r="C105" s="6">
        <v>0.61982638888888886</v>
      </c>
      <c r="D105" s="2" t="s">
        <v>261</v>
      </c>
      <c r="E105" t="s">
        <v>4135</v>
      </c>
      <c r="F105" t="s">
        <v>4152</v>
      </c>
      <c r="H105" t="s">
        <v>2891</v>
      </c>
      <c r="I105" t="s">
        <v>3559</v>
      </c>
      <c r="J105" t="s">
        <v>2939</v>
      </c>
      <c r="K105" t="s">
        <v>3560</v>
      </c>
      <c r="L105" t="s">
        <v>3561</v>
      </c>
      <c r="M105" s="3" t="str">
        <f>HYPERLINK(Таблица3[[#This Row],[RelativePath]])</f>
        <v>7 Площадка 2 бетонщики\K07156189_18_20251129T145233Z.jpg</v>
      </c>
    </row>
    <row r="106" spans="1:13" x14ac:dyDescent="0.25">
      <c r="A106" t="s">
        <v>18</v>
      </c>
      <c r="B106" s="4">
        <v>45990</v>
      </c>
      <c r="C106" s="6">
        <v>0.6216666666666667</v>
      </c>
      <c r="D106" s="2" t="s">
        <v>261</v>
      </c>
      <c r="E106" t="s">
        <v>4135</v>
      </c>
      <c r="F106" t="s">
        <v>4152</v>
      </c>
      <c r="H106" t="s">
        <v>2891</v>
      </c>
      <c r="I106" t="s">
        <v>3562</v>
      </c>
      <c r="J106" t="s">
        <v>2939</v>
      </c>
      <c r="K106" t="s">
        <v>3563</v>
      </c>
      <c r="L106" t="s">
        <v>3564</v>
      </c>
      <c r="M106" s="3" t="str">
        <f>HYPERLINK(Таблица3[[#This Row],[RelativePath]])</f>
        <v>7 Площадка 2 бетонщики\K07156189_18_20251129T145512Z.jpg</v>
      </c>
    </row>
    <row r="107" spans="1:13" x14ac:dyDescent="0.25">
      <c r="A107" t="s">
        <v>18</v>
      </c>
      <c r="B107" s="4">
        <v>45990</v>
      </c>
      <c r="C107" s="6">
        <v>0.6338773148148148</v>
      </c>
      <c r="D107" s="2" t="s">
        <v>261</v>
      </c>
      <c r="E107" t="s">
        <v>4135</v>
      </c>
      <c r="F107" t="s">
        <v>4152</v>
      </c>
      <c r="H107" t="s">
        <v>2891</v>
      </c>
      <c r="I107" t="s">
        <v>3574</v>
      </c>
      <c r="J107" t="s">
        <v>2939</v>
      </c>
      <c r="K107" t="s">
        <v>3575</v>
      </c>
      <c r="L107" t="s">
        <v>3576</v>
      </c>
      <c r="M107" s="3" t="str">
        <f>HYPERLINK(Таблица3[[#This Row],[RelativePath]])</f>
        <v>7 Площадка 2 бетонщики\K07156189_18_20251129T151247Z.jpg</v>
      </c>
    </row>
    <row r="108" spans="1:13" x14ac:dyDescent="0.25">
      <c r="A108" t="s">
        <v>18</v>
      </c>
      <c r="B108" s="4">
        <v>45990</v>
      </c>
      <c r="C108" s="6">
        <v>0.67155092592592591</v>
      </c>
      <c r="D108" s="2" t="s">
        <v>261</v>
      </c>
      <c r="E108" t="s">
        <v>4136</v>
      </c>
      <c r="F108" t="s">
        <v>4152</v>
      </c>
      <c r="H108" t="s">
        <v>2891</v>
      </c>
      <c r="I108" t="s">
        <v>3618</v>
      </c>
      <c r="J108" t="s">
        <v>2939</v>
      </c>
      <c r="K108" t="s">
        <v>3619</v>
      </c>
      <c r="L108" t="s">
        <v>3620</v>
      </c>
      <c r="M108" s="3" t="str">
        <f>HYPERLINK(Таблица3[[#This Row],[RelativePath]])</f>
        <v>7 Площадка 2 бетонщики\K07156189_18_20251129T160702Z.jpg</v>
      </c>
    </row>
    <row r="109" spans="1:13" x14ac:dyDescent="0.25">
      <c r="A109" t="s">
        <v>18</v>
      </c>
      <c r="B109" s="4">
        <v>45990</v>
      </c>
      <c r="C109" s="6">
        <v>0.65927083333333336</v>
      </c>
      <c r="D109" s="2" t="s">
        <v>261</v>
      </c>
      <c r="E109" t="s">
        <v>4136</v>
      </c>
      <c r="F109" t="s">
        <v>4152</v>
      </c>
      <c r="H109" t="s">
        <v>2891</v>
      </c>
      <c r="I109" t="s">
        <v>3603</v>
      </c>
      <c r="J109" t="s">
        <v>2939</v>
      </c>
      <c r="K109" t="s">
        <v>3604</v>
      </c>
      <c r="L109" t="s">
        <v>3605</v>
      </c>
      <c r="M109" s="3" t="str">
        <f>HYPERLINK(Таблица3[[#This Row],[RelativePath]])</f>
        <v>7 Площадка 2 бетонщики\K07156189_18_20251129T154921Z.jpg</v>
      </c>
    </row>
    <row r="110" spans="1:13" x14ac:dyDescent="0.25">
      <c r="A110" t="s">
        <v>18</v>
      </c>
      <c r="B110" s="4">
        <v>45990</v>
      </c>
      <c r="C110" s="6">
        <v>0.66106481481481483</v>
      </c>
      <c r="D110" s="2" t="s">
        <v>261</v>
      </c>
      <c r="E110" t="s">
        <v>4136</v>
      </c>
      <c r="F110" t="s">
        <v>4152</v>
      </c>
      <c r="H110" t="s">
        <v>2891</v>
      </c>
      <c r="I110" t="s">
        <v>3606</v>
      </c>
      <c r="J110" t="s">
        <v>2939</v>
      </c>
      <c r="K110" t="s">
        <v>3607</v>
      </c>
      <c r="L110" t="s">
        <v>3608</v>
      </c>
      <c r="M110" s="3" t="str">
        <f>HYPERLINK(Таблица3[[#This Row],[RelativePath]])</f>
        <v>7 Площадка 2 бетонщики\K07156189_18_20251129T155156Z.jpg</v>
      </c>
    </row>
    <row r="111" spans="1:13" x14ac:dyDescent="0.25">
      <c r="A111" t="s">
        <v>18</v>
      </c>
      <c r="B111" s="4">
        <v>45990</v>
      </c>
      <c r="C111" s="6">
        <v>0.69054398148148144</v>
      </c>
      <c r="D111" s="2" t="s">
        <v>261</v>
      </c>
      <c r="E111" t="s">
        <v>4152</v>
      </c>
      <c r="H111" t="s">
        <v>2891</v>
      </c>
      <c r="I111" t="s">
        <v>3403</v>
      </c>
      <c r="J111" t="s">
        <v>2938</v>
      </c>
      <c r="K111" t="s">
        <v>3404</v>
      </c>
      <c r="L111" t="s">
        <v>3405</v>
      </c>
      <c r="M111" s="3" t="str">
        <f>HYPERLINK(Таблица3[[#This Row],[RelativePath]])</f>
        <v>6 Площадка 1 общага\826398429_1_20251129T163423Z.jpg</v>
      </c>
    </row>
    <row r="112" spans="1:13" x14ac:dyDescent="0.25">
      <c r="A112" t="s">
        <v>18</v>
      </c>
      <c r="B112" s="4">
        <v>45990</v>
      </c>
      <c r="C112" s="6">
        <v>0.66733796296296299</v>
      </c>
      <c r="D112" s="2" t="s">
        <v>261</v>
      </c>
      <c r="E112" t="s">
        <v>4136</v>
      </c>
      <c r="F112" t="s">
        <v>4152</v>
      </c>
      <c r="H112" t="s">
        <v>2891</v>
      </c>
      <c r="I112" t="s">
        <v>3612</v>
      </c>
      <c r="J112" t="s">
        <v>2939</v>
      </c>
      <c r="K112" t="s">
        <v>3613</v>
      </c>
      <c r="L112" t="s">
        <v>3614</v>
      </c>
      <c r="M112" s="3" t="str">
        <f>HYPERLINK(Таблица3[[#This Row],[RelativePath]])</f>
        <v>7 Площадка 2 бетонщики\K07156189_18_20251129T160058Z.jpg</v>
      </c>
    </row>
    <row r="113" spans="1:13" x14ac:dyDescent="0.25">
      <c r="A113" t="s">
        <v>18</v>
      </c>
      <c r="B113" s="4">
        <v>45990</v>
      </c>
      <c r="C113" s="6">
        <v>0.66971064814814818</v>
      </c>
      <c r="D113" s="2" t="s">
        <v>261</v>
      </c>
      <c r="E113" t="s">
        <v>4136</v>
      </c>
      <c r="F113" t="s">
        <v>4152</v>
      </c>
      <c r="H113" t="s">
        <v>2891</v>
      </c>
      <c r="I113" t="s">
        <v>3615</v>
      </c>
      <c r="J113" t="s">
        <v>2939</v>
      </c>
      <c r="K113" t="s">
        <v>3616</v>
      </c>
      <c r="L113" t="s">
        <v>3617</v>
      </c>
      <c r="M113" s="3" t="str">
        <f>HYPERLINK(Таблица3[[#This Row],[RelativePath]])</f>
        <v>7 Площадка 2 бетонщики\K07156189_18_20251129T160423Z.jpg</v>
      </c>
    </row>
    <row r="114" spans="1:13" x14ac:dyDescent="0.25">
      <c r="A114" t="s">
        <v>18</v>
      </c>
      <c r="B114" s="4">
        <v>45990</v>
      </c>
      <c r="C114" s="6">
        <v>0.66378472222222218</v>
      </c>
      <c r="D114" s="2" t="s">
        <v>261</v>
      </c>
      <c r="E114" t="s">
        <v>4136</v>
      </c>
      <c r="F114" t="s">
        <v>4152</v>
      </c>
      <c r="H114" t="s">
        <v>2891</v>
      </c>
      <c r="I114" t="s">
        <v>3609</v>
      </c>
      <c r="J114" t="s">
        <v>2939</v>
      </c>
      <c r="K114" t="s">
        <v>3610</v>
      </c>
      <c r="L114" t="s">
        <v>3611</v>
      </c>
      <c r="M114" s="3" t="str">
        <f>HYPERLINK(Таблица3[[#This Row],[RelativePath]])</f>
        <v>7 Площадка 2 бетонщики\K07156189_18_20251129T155551Z.jpg</v>
      </c>
    </row>
    <row r="115" spans="1:13" x14ac:dyDescent="0.25">
      <c r="A115" t="s">
        <v>18</v>
      </c>
      <c r="B115" s="4">
        <v>45990</v>
      </c>
      <c r="C115" s="6">
        <v>0.68376157407407412</v>
      </c>
      <c r="D115" s="2" t="s">
        <v>261</v>
      </c>
      <c r="E115" t="s">
        <v>4136</v>
      </c>
      <c r="F115" t="s">
        <v>4152</v>
      </c>
      <c r="H115" t="s">
        <v>2891</v>
      </c>
      <c r="I115" t="s">
        <v>3639</v>
      </c>
      <c r="J115" t="s">
        <v>2939</v>
      </c>
      <c r="K115" t="s">
        <v>3640</v>
      </c>
      <c r="L115" t="s">
        <v>3641</v>
      </c>
      <c r="M115" s="3" t="str">
        <f>HYPERLINK(Таблица3[[#This Row],[RelativePath]])</f>
        <v>7 Площадка 2 бетонщики\K07156189_18_20251129T162437Z.jpg</v>
      </c>
    </row>
    <row r="116" spans="1:13" x14ac:dyDescent="0.25">
      <c r="A116" t="s">
        <v>18</v>
      </c>
      <c r="B116" s="4">
        <v>45990</v>
      </c>
      <c r="C116" s="6">
        <v>0.67570601851851853</v>
      </c>
      <c r="D116" s="2" t="s">
        <v>261</v>
      </c>
      <c r="E116" t="s">
        <v>4136</v>
      </c>
      <c r="F116" t="s">
        <v>4152</v>
      </c>
      <c r="H116" t="s">
        <v>2891</v>
      </c>
      <c r="I116" t="s">
        <v>3624</v>
      </c>
      <c r="J116" t="s">
        <v>2939</v>
      </c>
      <c r="K116" t="s">
        <v>3625</v>
      </c>
      <c r="L116" t="s">
        <v>3626</v>
      </c>
      <c r="M116" s="3" t="str">
        <f>HYPERLINK(Таблица3[[#This Row],[RelativePath]])</f>
        <v>7 Площадка 2 бетонщики\K07156189_18_20251129T161301Z.jpg</v>
      </c>
    </row>
    <row r="117" spans="1:13" x14ac:dyDescent="0.25">
      <c r="A117" t="s">
        <v>18</v>
      </c>
      <c r="B117" s="4">
        <v>45990</v>
      </c>
      <c r="C117" s="6">
        <v>0.67623842592592598</v>
      </c>
      <c r="D117" s="2" t="s">
        <v>261</v>
      </c>
      <c r="E117" t="s">
        <v>4136</v>
      </c>
      <c r="F117" t="s">
        <v>4152</v>
      </c>
      <c r="H117" t="s">
        <v>2891</v>
      </c>
      <c r="I117" t="s">
        <v>3627</v>
      </c>
      <c r="J117" t="s">
        <v>2939</v>
      </c>
      <c r="K117" t="s">
        <v>3628</v>
      </c>
      <c r="L117" t="s">
        <v>3629</v>
      </c>
      <c r="M117" s="3" t="str">
        <f>HYPERLINK(Таблица3[[#This Row],[RelativePath]])</f>
        <v>7 Площадка 2 бетонщики\K07156189_18_20251129T161347Z.jpg</v>
      </c>
    </row>
    <row r="118" spans="1:13" x14ac:dyDescent="0.25">
      <c r="A118" t="s">
        <v>18</v>
      </c>
      <c r="B118" s="4">
        <v>45990</v>
      </c>
      <c r="C118" s="6">
        <v>0.67405092592592597</v>
      </c>
      <c r="D118" s="2" t="s">
        <v>261</v>
      </c>
      <c r="E118" t="s">
        <v>4136</v>
      </c>
      <c r="F118" t="s">
        <v>4152</v>
      </c>
      <c r="H118" t="s">
        <v>2891</v>
      </c>
      <c r="I118" t="s">
        <v>3621</v>
      </c>
      <c r="J118" t="s">
        <v>2939</v>
      </c>
      <c r="K118" t="s">
        <v>3622</v>
      </c>
      <c r="L118" t="s">
        <v>3623</v>
      </c>
      <c r="M118" s="3" t="str">
        <f>HYPERLINK(Таблица3[[#This Row],[RelativePath]])</f>
        <v>7 Площадка 2 бетонщики\K07156189_18_20251129T161038Z.jpg</v>
      </c>
    </row>
    <row r="119" spans="1:13" x14ac:dyDescent="0.25">
      <c r="A119" t="s">
        <v>18</v>
      </c>
      <c r="B119" s="4">
        <v>45990</v>
      </c>
      <c r="C119" s="6">
        <v>0.68038194444444444</v>
      </c>
      <c r="D119" s="2" t="s">
        <v>261</v>
      </c>
      <c r="E119" t="s">
        <v>4136</v>
      </c>
      <c r="F119" t="s">
        <v>4152</v>
      </c>
      <c r="H119" t="s">
        <v>2891</v>
      </c>
      <c r="I119" t="s">
        <v>3633</v>
      </c>
      <c r="J119" t="s">
        <v>2939</v>
      </c>
      <c r="K119" t="s">
        <v>3634</v>
      </c>
      <c r="L119" t="s">
        <v>3635</v>
      </c>
      <c r="M119" s="3" t="str">
        <f>HYPERLINK(Таблица3[[#This Row],[RelativePath]])</f>
        <v>7 Площадка 2 бетонщики\K07156189_18_20251129T161945Z.jpg</v>
      </c>
    </row>
    <row r="120" spans="1:13" x14ac:dyDescent="0.25">
      <c r="A120" t="s">
        <v>18</v>
      </c>
      <c r="B120" s="4">
        <v>45990</v>
      </c>
      <c r="C120" s="6">
        <v>0.68329861111111112</v>
      </c>
      <c r="D120" s="2" t="s">
        <v>261</v>
      </c>
      <c r="E120" t="s">
        <v>4136</v>
      </c>
      <c r="F120" t="s">
        <v>4152</v>
      </c>
      <c r="H120" t="s">
        <v>2891</v>
      </c>
      <c r="I120" t="s">
        <v>3636</v>
      </c>
      <c r="J120" t="s">
        <v>2939</v>
      </c>
      <c r="K120" t="s">
        <v>3637</v>
      </c>
      <c r="L120" t="s">
        <v>3638</v>
      </c>
      <c r="M120" s="3" t="str">
        <f>HYPERLINK(Таблица3[[#This Row],[RelativePath]])</f>
        <v>7 Площадка 2 бетонщики\K07156189_18_20251129T162357Z.jpg</v>
      </c>
    </row>
    <row r="121" spans="1:13" x14ac:dyDescent="0.25">
      <c r="A121" t="s">
        <v>18</v>
      </c>
      <c r="B121" s="4">
        <v>45990</v>
      </c>
      <c r="C121" s="6">
        <v>0.68625000000000003</v>
      </c>
      <c r="D121" s="2" t="s">
        <v>261</v>
      </c>
      <c r="E121" t="s">
        <v>4136</v>
      </c>
      <c r="F121" t="s">
        <v>4152</v>
      </c>
      <c r="H121" t="s">
        <v>2891</v>
      </c>
      <c r="I121" t="s">
        <v>3642</v>
      </c>
      <c r="J121" t="s">
        <v>2939</v>
      </c>
      <c r="K121" t="s">
        <v>3643</v>
      </c>
      <c r="L121" t="s">
        <v>3644</v>
      </c>
      <c r="M121" s="3" t="str">
        <f>HYPERLINK(Таблица3[[#This Row],[RelativePath]])</f>
        <v>7 Площадка 2 бетонщики\K07156189_18_20251129T162812Z.jpg</v>
      </c>
    </row>
    <row r="122" spans="1:13" x14ac:dyDescent="0.25">
      <c r="A122" t="s">
        <v>18</v>
      </c>
      <c r="B122" s="4">
        <v>45990</v>
      </c>
      <c r="C122" s="6">
        <v>0.68951388888888887</v>
      </c>
      <c r="D122" s="2" t="s">
        <v>261</v>
      </c>
      <c r="E122" t="s">
        <v>4136</v>
      </c>
      <c r="F122" t="s">
        <v>4152</v>
      </c>
      <c r="H122" t="s">
        <v>2891</v>
      </c>
      <c r="I122" t="s">
        <v>3645</v>
      </c>
      <c r="J122" t="s">
        <v>2939</v>
      </c>
      <c r="K122" t="s">
        <v>3646</v>
      </c>
      <c r="L122" t="s">
        <v>3647</v>
      </c>
      <c r="M122" s="3" t="str">
        <f>HYPERLINK(Таблица3[[#This Row],[RelativePath]])</f>
        <v>7 Площадка 2 бетонщики\K07156189_18_20251129T163254Z.jpg</v>
      </c>
    </row>
    <row r="123" spans="1:13" x14ac:dyDescent="0.25">
      <c r="A123" t="s">
        <v>18</v>
      </c>
      <c r="B123" s="4">
        <v>45990</v>
      </c>
      <c r="C123" s="6">
        <v>0.6917592592592593</v>
      </c>
      <c r="D123" s="2" t="s">
        <v>261</v>
      </c>
      <c r="E123" t="s">
        <v>4136</v>
      </c>
      <c r="F123" t="s">
        <v>4152</v>
      </c>
      <c r="H123" t="s">
        <v>2891</v>
      </c>
      <c r="I123" t="s">
        <v>3648</v>
      </c>
      <c r="J123" t="s">
        <v>2939</v>
      </c>
      <c r="K123" t="s">
        <v>3649</v>
      </c>
      <c r="L123" t="s">
        <v>3650</v>
      </c>
      <c r="M123" s="3" t="str">
        <f>HYPERLINK(Таблица3[[#This Row],[RelativePath]])</f>
        <v>7 Площадка 2 бетонщики\K07156189_18_20251129T163608Z.jpg</v>
      </c>
    </row>
    <row r="124" spans="1:13" x14ac:dyDescent="0.25">
      <c r="A124" t="s">
        <v>18</v>
      </c>
      <c r="B124" s="4">
        <v>45990</v>
      </c>
      <c r="C124" s="6">
        <v>0.58450231481481485</v>
      </c>
      <c r="D124" s="2" t="s">
        <v>261</v>
      </c>
      <c r="E124" t="s">
        <v>4158</v>
      </c>
      <c r="F124" t="s">
        <v>4152</v>
      </c>
      <c r="H124" t="s">
        <v>2891</v>
      </c>
      <c r="I124" t="s">
        <v>3547</v>
      </c>
      <c r="J124" t="s">
        <v>2939</v>
      </c>
      <c r="K124" t="s">
        <v>3548</v>
      </c>
      <c r="L124" t="s">
        <v>3549</v>
      </c>
      <c r="M124" s="3" t="str">
        <f>HYPERLINK(Таблица3[[#This Row],[RelativePath]])</f>
        <v>7 Площадка 2 бетонщики\K07156189_18_20251129T140141Z.jpg</v>
      </c>
    </row>
    <row r="125" spans="1:13" x14ac:dyDescent="0.25">
      <c r="A125" t="s">
        <v>18</v>
      </c>
      <c r="B125" s="4">
        <v>45990</v>
      </c>
      <c r="C125" s="6">
        <v>0.65773148148148153</v>
      </c>
      <c r="D125" s="2" t="s">
        <v>261</v>
      </c>
      <c r="E125" t="s">
        <v>4152</v>
      </c>
      <c r="H125" t="s">
        <v>2891</v>
      </c>
      <c r="I125" t="s">
        <v>3391</v>
      </c>
      <c r="J125" t="s">
        <v>2938</v>
      </c>
      <c r="K125" t="s">
        <v>3392</v>
      </c>
      <c r="L125" t="s">
        <v>3393</v>
      </c>
      <c r="M125" s="3" t="str">
        <f>HYPERLINK(Таблица3[[#This Row],[RelativePath]])</f>
        <v>6 Площадка 1 общага\826398429_1_20251129T154708Z.jpg</v>
      </c>
    </row>
    <row r="126" spans="1:13" x14ac:dyDescent="0.25">
      <c r="A126" t="s">
        <v>18</v>
      </c>
      <c r="B126" s="4">
        <v>45990</v>
      </c>
      <c r="C126" s="6">
        <v>0.69224537037037037</v>
      </c>
      <c r="D126" s="2" t="s">
        <v>261</v>
      </c>
      <c r="E126" t="s">
        <v>4136</v>
      </c>
      <c r="F126" t="s">
        <v>4152</v>
      </c>
      <c r="H126" t="s">
        <v>2891</v>
      </c>
      <c r="I126" t="s">
        <v>3651</v>
      </c>
      <c r="J126" t="s">
        <v>2939</v>
      </c>
      <c r="K126" t="s">
        <v>3652</v>
      </c>
      <c r="L126" t="s">
        <v>3653</v>
      </c>
      <c r="M126" s="3" t="str">
        <f>HYPERLINK(Таблица3[[#This Row],[RelativePath]])</f>
        <v>7 Площадка 2 бетонщики\K07156189_18_20251129T163650Z.jpg</v>
      </c>
    </row>
    <row r="127" spans="1:13" x14ac:dyDescent="0.25">
      <c r="A127" t="s">
        <v>18</v>
      </c>
      <c r="B127" s="4">
        <v>45990</v>
      </c>
      <c r="C127" s="6">
        <v>0.61375000000000002</v>
      </c>
      <c r="D127" s="2" t="s">
        <v>261</v>
      </c>
      <c r="E127" t="s">
        <v>4135</v>
      </c>
      <c r="F127" t="s">
        <v>4152</v>
      </c>
      <c r="I127" t="s">
        <v>3553</v>
      </c>
      <c r="J127" t="s">
        <v>2939</v>
      </c>
      <c r="K127" t="s">
        <v>3554</v>
      </c>
      <c r="L127" t="s">
        <v>3555</v>
      </c>
      <c r="M127" s="3" t="str">
        <f>HYPERLINK(Таблица3[[#This Row],[RelativePath]])</f>
        <v>7 Площадка 2 бетонщики\K07156189_18_20251129T144348Z.jpg</v>
      </c>
    </row>
    <row r="128" spans="1:13" x14ac:dyDescent="0.25">
      <c r="A128" t="s">
        <v>18</v>
      </c>
      <c r="B128" s="4">
        <v>45990</v>
      </c>
      <c r="C128" s="6">
        <v>0.57677083333333334</v>
      </c>
      <c r="D128" s="2" t="s">
        <v>261</v>
      </c>
      <c r="E128" t="s">
        <v>4158</v>
      </c>
      <c r="F128" t="s">
        <v>4152</v>
      </c>
      <c r="H128" t="s">
        <v>2891</v>
      </c>
      <c r="I128" t="s">
        <v>3535</v>
      </c>
      <c r="J128" t="s">
        <v>2939</v>
      </c>
      <c r="K128" t="s">
        <v>3536</v>
      </c>
      <c r="L128" t="s">
        <v>3537</v>
      </c>
      <c r="M128" s="3" t="str">
        <f>HYPERLINK(Таблица3[[#This Row],[RelativePath]])</f>
        <v>7 Площадка 2 бетонщики\K07156189_18_20251129T135033Z.jpg</v>
      </c>
    </row>
    <row r="129" spans="1:13" x14ac:dyDescent="0.25">
      <c r="A129" t="s">
        <v>18</v>
      </c>
      <c r="B129" s="4">
        <v>45990</v>
      </c>
      <c r="C129" s="6">
        <v>0.58212962962962966</v>
      </c>
      <c r="D129" s="2" t="s">
        <v>261</v>
      </c>
      <c r="E129" t="s">
        <v>4158</v>
      </c>
      <c r="F129" t="s">
        <v>4152</v>
      </c>
      <c r="H129" t="s">
        <v>2891</v>
      </c>
      <c r="I129" t="s">
        <v>3541</v>
      </c>
      <c r="J129" t="s">
        <v>2939</v>
      </c>
      <c r="K129" t="s">
        <v>3542</v>
      </c>
      <c r="L129" t="s">
        <v>3543</v>
      </c>
      <c r="M129" s="3" t="str">
        <f>HYPERLINK(Таблица3[[#This Row],[RelativePath]])</f>
        <v>7 Площадка 2 бетонщики\K07156189_18_20251129T135816Z.jpg</v>
      </c>
    </row>
    <row r="130" spans="1:13" x14ac:dyDescent="0.25">
      <c r="A130" t="s">
        <v>18</v>
      </c>
      <c r="B130" s="4">
        <v>45990</v>
      </c>
      <c r="C130" s="6">
        <v>0.57995370370370369</v>
      </c>
      <c r="D130" s="2" t="s">
        <v>261</v>
      </c>
      <c r="E130" t="s">
        <v>4158</v>
      </c>
      <c r="F130" t="s">
        <v>4152</v>
      </c>
      <c r="H130" t="s">
        <v>2891</v>
      </c>
      <c r="I130" t="s">
        <v>3538</v>
      </c>
      <c r="J130" t="s">
        <v>2939</v>
      </c>
      <c r="K130" t="s">
        <v>3539</v>
      </c>
      <c r="L130" t="s">
        <v>3540</v>
      </c>
      <c r="M130" s="3" t="str">
        <f>HYPERLINK(Таблица3[[#This Row],[RelativePath]])</f>
        <v>7 Площадка 2 бетонщики\K07156189_18_20251129T135508Z.jpg</v>
      </c>
    </row>
    <row r="131" spans="1:13" x14ac:dyDescent="0.25">
      <c r="A131" t="s">
        <v>18</v>
      </c>
      <c r="B131" s="4">
        <v>45990</v>
      </c>
      <c r="C131" s="6">
        <v>0.57168981481481485</v>
      </c>
      <c r="D131" s="2" t="s">
        <v>261</v>
      </c>
      <c r="E131" t="s">
        <v>4158</v>
      </c>
      <c r="F131" t="s">
        <v>4152</v>
      </c>
      <c r="H131" t="s">
        <v>2891</v>
      </c>
      <c r="I131" t="s">
        <v>3526</v>
      </c>
      <c r="J131" t="s">
        <v>2939</v>
      </c>
      <c r="K131" t="s">
        <v>3527</v>
      </c>
      <c r="L131" t="s">
        <v>3528</v>
      </c>
      <c r="M131" s="3" t="str">
        <f>HYPERLINK(Таблица3[[#This Row],[RelativePath]])</f>
        <v>7 Площадка 2 бетонщики\K07156189_18_20251129T134314Z.jpg</v>
      </c>
    </row>
    <row r="132" spans="1:13" x14ac:dyDescent="0.25">
      <c r="A132" t="s">
        <v>18</v>
      </c>
      <c r="B132" s="4">
        <v>45990</v>
      </c>
      <c r="C132" s="6">
        <v>0.58278935185185188</v>
      </c>
      <c r="D132" s="2" t="s">
        <v>261</v>
      </c>
      <c r="E132" t="s">
        <v>4158</v>
      </c>
      <c r="F132" t="s">
        <v>4152</v>
      </c>
      <c r="H132" t="s">
        <v>2891</v>
      </c>
      <c r="I132" t="s">
        <v>3544</v>
      </c>
      <c r="J132" t="s">
        <v>2939</v>
      </c>
      <c r="K132" t="s">
        <v>3545</v>
      </c>
      <c r="L132" t="s">
        <v>3546</v>
      </c>
      <c r="M132" s="3" t="str">
        <f>HYPERLINK(Таблица3[[#This Row],[RelativePath]])</f>
        <v>7 Площадка 2 бетонщики\K07156189_18_20251129T135913Z.jpg</v>
      </c>
    </row>
    <row r="133" spans="1:13" x14ac:dyDescent="0.25">
      <c r="A133" t="s">
        <v>18</v>
      </c>
      <c r="B133" s="4">
        <v>45990</v>
      </c>
      <c r="C133" s="6">
        <v>0.57449074074074069</v>
      </c>
      <c r="D133" s="2" t="s">
        <v>261</v>
      </c>
      <c r="E133" t="s">
        <v>4158</v>
      </c>
      <c r="F133" t="s">
        <v>4152</v>
      </c>
      <c r="H133" t="s">
        <v>2891</v>
      </c>
      <c r="I133" t="s">
        <v>3532</v>
      </c>
      <c r="J133" t="s">
        <v>2939</v>
      </c>
      <c r="K133" t="s">
        <v>3533</v>
      </c>
      <c r="L133" t="s">
        <v>3534</v>
      </c>
      <c r="M133" s="3" t="str">
        <f>HYPERLINK(Таблица3[[#This Row],[RelativePath]])</f>
        <v>7 Площадка 2 бетонщики\K07156189_18_20251129T134716Z.jpg</v>
      </c>
    </row>
    <row r="134" spans="1:13" x14ac:dyDescent="0.25">
      <c r="A134" t="s">
        <v>18</v>
      </c>
      <c r="B134" s="4">
        <v>45990</v>
      </c>
      <c r="C134" s="6">
        <v>0.57275462962962964</v>
      </c>
      <c r="D134" s="2" t="s">
        <v>261</v>
      </c>
      <c r="E134" t="s">
        <v>4158</v>
      </c>
      <c r="F134" t="s">
        <v>4152</v>
      </c>
      <c r="H134" t="s">
        <v>2891</v>
      </c>
      <c r="I134" t="s">
        <v>3529</v>
      </c>
      <c r="J134" t="s">
        <v>2939</v>
      </c>
      <c r="K134" t="s">
        <v>3530</v>
      </c>
      <c r="L134" t="s">
        <v>3531</v>
      </c>
      <c r="M134" s="3" t="str">
        <f>HYPERLINK(Таблица3[[#This Row],[RelativePath]])</f>
        <v>7 Площадка 2 бетонщики\K07156189_18_20251129T134446Z.jpg</v>
      </c>
    </row>
    <row r="135" spans="1:13" x14ac:dyDescent="0.25">
      <c r="A135" t="s">
        <v>18</v>
      </c>
      <c r="B135" s="4">
        <v>45990</v>
      </c>
      <c r="C135" s="6">
        <v>0.55314814814814817</v>
      </c>
      <c r="D135" s="2" t="s">
        <v>261</v>
      </c>
      <c r="E135" t="s">
        <v>4158</v>
      </c>
      <c r="F135" t="s">
        <v>4152</v>
      </c>
      <c r="H135" t="s">
        <v>2891</v>
      </c>
      <c r="I135" t="s">
        <v>3511</v>
      </c>
      <c r="J135" t="s">
        <v>2939</v>
      </c>
      <c r="K135" t="s">
        <v>3512</v>
      </c>
      <c r="L135" t="s">
        <v>3513</v>
      </c>
      <c r="M135" s="3" t="str">
        <f>HYPERLINK(Таблица3[[#This Row],[RelativePath]])</f>
        <v>7 Площадка 2 бетонщики\K07156189_18_20251129T131632Z.jpg</v>
      </c>
    </row>
    <row r="136" spans="1:13" x14ac:dyDescent="0.25">
      <c r="A136" t="s">
        <v>18</v>
      </c>
      <c r="B136" s="4">
        <v>45990</v>
      </c>
      <c r="C136" s="6">
        <v>0.55248842592592595</v>
      </c>
      <c r="D136" s="2" t="s">
        <v>261</v>
      </c>
      <c r="E136" t="s">
        <v>4158</v>
      </c>
      <c r="F136" t="s">
        <v>4152</v>
      </c>
      <c r="I136" t="s">
        <v>3508</v>
      </c>
      <c r="J136" t="s">
        <v>2939</v>
      </c>
      <c r="K136" t="s">
        <v>3509</v>
      </c>
      <c r="L136" t="s">
        <v>3510</v>
      </c>
      <c r="M136" s="3" t="str">
        <f>HYPERLINK(Таблица3[[#This Row],[RelativePath]])</f>
        <v>7 Площадка 2 бетонщики\K07156189_18_20251129T131535Z.jpg</v>
      </c>
    </row>
    <row r="137" spans="1:13" x14ac:dyDescent="0.25">
      <c r="A137" t="s">
        <v>18</v>
      </c>
      <c r="B137" s="4">
        <v>45990</v>
      </c>
      <c r="C137" s="6">
        <v>0.56846064814814812</v>
      </c>
      <c r="D137" s="2" t="s">
        <v>261</v>
      </c>
      <c r="E137" t="s">
        <v>4158</v>
      </c>
      <c r="F137" t="s">
        <v>4152</v>
      </c>
      <c r="H137" t="s">
        <v>2891</v>
      </c>
      <c r="I137" t="s">
        <v>3523</v>
      </c>
      <c r="J137" t="s">
        <v>2939</v>
      </c>
      <c r="K137" t="s">
        <v>3524</v>
      </c>
      <c r="L137" t="s">
        <v>3525</v>
      </c>
      <c r="M137" s="3" t="str">
        <f>HYPERLINK(Таблица3[[#This Row],[RelativePath]])</f>
        <v>7 Площадка 2 бетонщики\K07156189_18_20251129T133835Z.jpg</v>
      </c>
    </row>
    <row r="138" spans="1:13" x14ac:dyDescent="0.25">
      <c r="A138" t="s">
        <v>18</v>
      </c>
      <c r="B138" s="4">
        <v>45990</v>
      </c>
      <c r="C138" s="6">
        <v>0.55888888888888888</v>
      </c>
      <c r="D138" s="2" t="s">
        <v>261</v>
      </c>
      <c r="E138" t="s">
        <v>4158</v>
      </c>
      <c r="F138" t="s">
        <v>4152</v>
      </c>
      <c r="H138" t="s">
        <v>2891</v>
      </c>
      <c r="I138" t="s">
        <v>3514</v>
      </c>
      <c r="J138" t="s">
        <v>2939</v>
      </c>
      <c r="K138" t="s">
        <v>3515</v>
      </c>
      <c r="L138" t="s">
        <v>3516</v>
      </c>
      <c r="M138" s="3" t="str">
        <f>HYPERLINK(Таблица3[[#This Row],[RelativePath]])</f>
        <v>7 Площадка 2 бетонщики\K07156189_18_20251129T132448Z.jpg</v>
      </c>
    </row>
    <row r="139" spans="1:13" x14ac:dyDescent="0.25">
      <c r="A139" t="s">
        <v>18</v>
      </c>
      <c r="B139" s="4">
        <v>45990</v>
      </c>
      <c r="C139" s="6">
        <v>0.63736111111111116</v>
      </c>
      <c r="D139" s="2" t="s">
        <v>261</v>
      </c>
      <c r="E139" t="s">
        <v>4135</v>
      </c>
      <c r="F139" t="s">
        <v>4152</v>
      </c>
      <c r="H139" t="s">
        <v>2891</v>
      </c>
      <c r="I139" t="s">
        <v>3577</v>
      </c>
      <c r="J139" t="s">
        <v>2939</v>
      </c>
      <c r="K139" t="s">
        <v>3578</v>
      </c>
      <c r="L139" t="s">
        <v>3579</v>
      </c>
      <c r="M139" s="3" t="str">
        <f>HYPERLINK(Таблица3[[#This Row],[RelativePath]])</f>
        <v>7 Площадка 2 бетонщики\K07156189_18_20251129T151748Z.jpg</v>
      </c>
    </row>
    <row r="140" spans="1:13" x14ac:dyDescent="0.25">
      <c r="A140" t="s">
        <v>18</v>
      </c>
      <c r="B140" s="4">
        <v>45990</v>
      </c>
      <c r="C140" s="6">
        <v>0.63914351851851847</v>
      </c>
      <c r="D140" s="2" t="s">
        <v>261</v>
      </c>
      <c r="E140" t="s">
        <v>4135</v>
      </c>
      <c r="F140" t="s">
        <v>4152</v>
      </c>
      <c r="H140" t="s">
        <v>2891</v>
      </c>
      <c r="I140" t="s">
        <v>3580</v>
      </c>
      <c r="J140" t="s">
        <v>2939</v>
      </c>
      <c r="K140" t="s">
        <v>3581</v>
      </c>
      <c r="L140" t="s">
        <v>3582</v>
      </c>
      <c r="M140" s="3" t="str">
        <f>HYPERLINK(Таблица3[[#This Row],[RelativePath]])</f>
        <v>7 Площадка 2 бетонщики\K07156189_18_20251129T152022Z.jpg</v>
      </c>
    </row>
    <row r="141" spans="1:13" x14ac:dyDescent="0.25">
      <c r="A141" t="s">
        <v>18</v>
      </c>
      <c r="B141" s="4">
        <v>45990</v>
      </c>
      <c r="C141" s="6">
        <v>0.64195601851851847</v>
      </c>
      <c r="D141" s="2" t="s">
        <v>261</v>
      </c>
      <c r="E141" t="s">
        <v>4135</v>
      </c>
      <c r="F141" t="s">
        <v>4152</v>
      </c>
      <c r="H141" t="s">
        <v>2891</v>
      </c>
      <c r="I141" t="s">
        <v>3583</v>
      </c>
      <c r="J141" t="s">
        <v>2939</v>
      </c>
      <c r="K141" t="s">
        <v>3584</v>
      </c>
      <c r="L141" t="s">
        <v>3585</v>
      </c>
      <c r="M141" s="3" t="str">
        <f>HYPERLINK(Таблица3[[#This Row],[RelativePath]])</f>
        <v>7 Площадка 2 бетонщики\K07156189_18_20251129T152425Z.jpg</v>
      </c>
    </row>
    <row r="142" spans="1:13" x14ac:dyDescent="0.25">
      <c r="A142" t="s">
        <v>18</v>
      </c>
      <c r="B142" s="4">
        <v>45990</v>
      </c>
      <c r="C142" s="6">
        <v>0.67369212962962965</v>
      </c>
      <c r="D142" s="2" t="s">
        <v>261</v>
      </c>
      <c r="E142" t="s">
        <v>4152</v>
      </c>
      <c r="H142" t="s">
        <v>2891</v>
      </c>
      <c r="I142" t="s">
        <v>3397</v>
      </c>
      <c r="J142" t="s">
        <v>2938</v>
      </c>
      <c r="K142" t="s">
        <v>3398</v>
      </c>
      <c r="L142" t="s">
        <v>3399</v>
      </c>
      <c r="M142" s="3" t="str">
        <f>HYPERLINK(Таблица3[[#This Row],[RelativePath]])</f>
        <v>6 Площадка 1 общага\826398429_1_20251129T161007Z.jpg</v>
      </c>
    </row>
    <row r="143" spans="1:13" x14ac:dyDescent="0.25">
      <c r="A143" t="s">
        <v>18</v>
      </c>
      <c r="B143" s="4">
        <v>45990</v>
      </c>
      <c r="C143" s="6">
        <v>0.68300925925925926</v>
      </c>
      <c r="D143" s="2" t="s">
        <v>261</v>
      </c>
      <c r="E143" t="s">
        <v>4152</v>
      </c>
      <c r="H143" t="s">
        <v>2891</v>
      </c>
      <c r="I143" t="s">
        <v>3400</v>
      </c>
      <c r="J143" t="s">
        <v>2938</v>
      </c>
      <c r="K143" t="s">
        <v>3401</v>
      </c>
      <c r="L143" t="s">
        <v>3402</v>
      </c>
      <c r="M143" s="3" t="str">
        <f>HYPERLINK(Таблица3[[#This Row],[RelativePath]])</f>
        <v>6 Площадка 1 общага\826398429_1_20251129T162332Z.jpg</v>
      </c>
    </row>
    <row r="144" spans="1:13" x14ac:dyDescent="0.25">
      <c r="A144" t="s">
        <v>18</v>
      </c>
      <c r="B144" s="4">
        <v>45990</v>
      </c>
      <c r="C144" s="6">
        <v>0.67062500000000003</v>
      </c>
      <c r="D144" s="2" t="s">
        <v>261</v>
      </c>
      <c r="E144" t="s">
        <v>4152</v>
      </c>
      <c r="H144" t="s">
        <v>2891</v>
      </c>
      <c r="I144" t="s">
        <v>3394</v>
      </c>
      <c r="J144" t="s">
        <v>2938</v>
      </c>
      <c r="K144" t="s">
        <v>3395</v>
      </c>
      <c r="L144" t="s">
        <v>3396</v>
      </c>
      <c r="M144" s="3" t="str">
        <f>HYPERLINK(Таблица3[[#This Row],[RelativePath]])</f>
        <v>6 Площадка 1 общага\826398429_1_20251129T160542Z.jpg</v>
      </c>
    </row>
    <row r="145" spans="1:13" x14ac:dyDescent="0.25">
      <c r="A145" t="s">
        <v>18</v>
      </c>
      <c r="B145" s="4">
        <v>45990</v>
      </c>
      <c r="C145" s="6">
        <v>0.64961805555555552</v>
      </c>
      <c r="D145" s="2" t="s">
        <v>261</v>
      </c>
      <c r="E145" t="s">
        <v>2882</v>
      </c>
      <c r="F145" t="s">
        <v>53</v>
      </c>
      <c r="G145">
        <v>4</v>
      </c>
      <c r="I145" t="s">
        <v>3317</v>
      </c>
      <c r="J145" t="s">
        <v>2945</v>
      </c>
      <c r="K145" t="s">
        <v>3318</v>
      </c>
      <c r="L145" t="s">
        <v>3319</v>
      </c>
      <c r="M145" s="3" t="str">
        <f>HYPERLINK(Таблица3[[#This Row],[RelativePath]])</f>
        <v>3 Въезд на базу\E33149364_8_20251129T153527Z.jpg</v>
      </c>
    </row>
    <row r="146" spans="1:13" x14ac:dyDescent="0.25">
      <c r="A146" t="s">
        <v>18</v>
      </c>
      <c r="B146" s="4">
        <v>45990</v>
      </c>
      <c r="C146" s="6">
        <v>0.56593749999999998</v>
      </c>
      <c r="D146" s="2" t="s">
        <v>261</v>
      </c>
      <c r="E146" t="s">
        <v>4158</v>
      </c>
      <c r="F146" t="s">
        <v>4152</v>
      </c>
      <c r="H146" t="s">
        <v>2891</v>
      </c>
      <c r="I146" t="s">
        <v>3520</v>
      </c>
      <c r="J146" t="s">
        <v>2939</v>
      </c>
      <c r="K146" t="s">
        <v>3521</v>
      </c>
      <c r="L146" t="s">
        <v>3522</v>
      </c>
      <c r="M146" s="3" t="str">
        <f>HYPERLINK(Таблица3[[#This Row],[RelativePath]])</f>
        <v>7 Площадка 2 бетонщики\K07156189_18_20251129T133457Z.jpg</v>
      </c>
    </row>
    <row r="147" spans="1:13" x14ac:dyDescent="0.25">
      <c r="A147" t="s">
        <v>18</v>
      </c>
      <c r="B147" s="4">
        <v>45990</v>
      </c>
      <c r="C147" s="6">
        <v>0.5607523148148148</v>
      </c>
      <c r="D147" s="2" t="s">
        <v>261</v>
      </c>
      <c r="E147" t="s">
        <v>4158</v>
      </c>
      <c r="F147" t="s">
        <v>4152</v>
      </c>
      <c r="H147" t="s">
        <v>2891</v>
      </c>
      <c r="I147" t="s">
        <v>3517</v>
      </c>
      <c r="J147" t="s">
        <v>2939</v>
      </c>
      <c r="K147" t="s">
        <v>3518</v>
      </c>
      <c r="L147" t="s">
        <v>3519</v>
      </c>
      <c r="M147" s="3" t="str">
        <f>HYPERLINK(Таблица3[[#This Row],[RelativePath]])</f>
        <v>7 Площадка 2 бетонщики\K07156189_18_20251129T132729Z.jpg</v>
      </c>
    </row>
    <row r="148" spans="1:13" x14ac:dyDescent="0.25">
      <c r="A148" t="s">
        <v>18</v>
      </c>
      <c r="B148" s="4">
        <v>45990</v>
      </c>
      <c r="C148" s="6">
        <v>0.41766203703703703</v>
      </c>
      <c r="D148" s="2" t="s">
        <v>261</v>
      </c>
      <c r="E148" t="s">
        <v>4152</v>
      </c>
      <c r="I148" t="s">
        <v>3388</v>
      </c>
      <c r="J148" t="s">
        <v>2938</v>
      </c>
      <c r="K148" t="s">
        <v>3389</v>
      </c>
      <c r="L148" t="s">
        <v>3390</v>
      </c>
      <c r="M148" s="3" t="str">
        <f>HYPERLINK(Таблица3[[#This Row],[RelativePath]])</f>
        <v>6 Площадка 1 общага\826398429_1_20251129T100126Z.jpg</v>
      </c>
    </row>
    <row r="149" spans="1:13" x14ac:dyDescent="0.25">
      <c r="A149" t="s">
        <v>14</v>
      </c>
      <c r="B149" s="4">
        <v>45993</v>
      </c>
      <c r="C149" s="6">
        <v>0.35887731481481483</v>
      </c>
      <c r="D149" s="2" t="s">
        <v>261</v>
      </c>
      <c r="E149" t="s">
        <v>70</v>
      </c>
      <c r="F149" t="s">
        <v>5027</v>
      </c>
      <c r="H149" t="s">
        <v>5028</v>
      </c>
      <c r="I149" t="s">
        <v>4399</v>
      </c>
      <c r="J149" t="s">
        <v>2946</v>
      </c>
      <c r="K149" t="s">
        <v>4400</v>
      </c>
      <c r="L149" t="s">
        <v>4401</v>
      </c>
      <c r="M149" s="3" t="str">
        <f>HYPERLINK(Таблица3[[#This Row],[RelativePath]])</f>
        <v>4 Крыльцо офиса\K07156189_21_20251202T083647Z.jpg</v>
      </c>
    </row>
    <row r="150" spans="1:13" x14ac:dyDescent="0.25">
      <c r="A150" t="s">
        <v>16</v>
      </c>
      <c r="B150" s="4">
        <v>45995</v>
      </c>
      <c r="C150" s="6">
        <v>0.5186574074074074</v>
      </c>
      <c r="D150" s="2" t="s">
        <v>261</v>
      </c>
      <c r="E150" t="s">
        <v>2882</v>
      </c>
      <c r="F150" t="s">
        <v>53</v>
      </c>
      <c r="G150">
        <v>3</v>
      </c>
      <c r="I150" t="s">
        <v>5020</v>
      </c>
      <c r="J150" t="s">
        <v>2945</v>
      </c>
      <c r="K150" t="s">
        <v>5021</v>
      </c>
      <c r="L150" t="s">
        <v>5022</v>
      </c>
      <c r="M150" s="3" t="str">
        <f>HYPERLINK(Таблица3[[#This Row],[RelativePath]])</f>
        <v>3 Въезд на базу\E33149364_8_20251204T122652Z.jpg</v>
      </c>
    </row>
    <row r="151" spans="1:13" x14ac:dyDescent="0.25">
      <c r="A151" t="s">
        <v>16</v>
      </c>
      <c r="B151" s="4">
        <v>45995</v>
      </c>
      <c r="C151" s="6">
        <v>0.38034722222222223</v>
      </c>
      <c r="D151" s="2" t="s">
        <v>261</v>
      </c>
      <c r="E151" t="s">
        <v>70</v>
      </c>
      <c r="F151" t="s">
        <v>5027</v>
      </c>
      <c r="H151" t="s">
        <v>5029</v>
      </c>
      <c r="I151" t="s">
        <v>4408</v>
      </c>
      <c r="J151" t="s">
        <v>2946</v>
      </c>
      <c r="K151" t="s">
        <v>4409</v>
      </c>
      <c r="L151" t="s">
        <v>4410</v>
      </c>
      <c r="M151" s="3" t="str">
        <f>HYPERLINK(Таблица3[[#This Row],[RelativePath]])</f>
        <v>4 Крыльцо офиса\K07156189_21_20251204T090742Z.jpg</v>
      </c>
    </row>
    <row r="152" spans="1:13" x14ac:dyDescent="0.25">
      <c r="A152" t="s">
        <v>16</v>
      </c>
      <c r="B152" s="4">
        <v>45995</v>
      </c>
      <c r="C152" s="6">
        <v>0.38046296296296295</v>
      </c>
      <c r="D152" s="2" t="s">
        <v>261</v>
      </c>
      <c r="E152" t="s">
        <v>70</v>
      </c>
      <c r="F152" t="s">
        <v>5027</v>
      </c>
      <c r="H152" t="s">
        <v>2891</v>
      </c>
      <c r="I152" t="s">
        <v>4411</v>
      </c>
      <c r="J152" t="s">
        <v>2946</v>
      </c>
      <c r="K152" t="s">
        <v>4412</v>
      </c>
      <c r="L152" t="s">
        <v>4413</v>
      </c>
      <c r="M152" s="3" t="str">
        <f>HYPERLINK(Таблица3[[#This Row],[RelativePath]])</f>
        <v>4 Крыльцо офиса\K07156189_21_20251204T090752Z.jpg</v>
      </c>
    </row>
    <row r="153" spans="1:13" x14ac:dyDescent="0.25">
      <c r="A153" t="s">
        <v>16</v>
      </c>
      <c r="B153" s="4">
        <v>45995</v>
      </c>
      <c r="C153" s="6">
        <v>0.38062499999999999</v>
      </c>
      <c r="D153" s="2" t="s">
        <v>261</v>
      </c>
      <c r="E153" t="s">
        <v>70</v>
      </c>
      <c r="F153" t="s">
        <v>5027</v>
      </c>
      <c r="H153" t="s">
        <v>2891</v>
      </c>
      <c r="I153" t="s">
        <v>4414</v>
      </c>
      <c r="J153" t="s">
        <v>2946</v>
      </c>
      <c r="K153" t="s">
        <v>4415</v>
      </c>
      <c r="L153" t="s">
        <v>4416</v>
      </c>
      <c r="M153" s="3" t="str">
        <f>HYPERLINK(Таблица3[[#This Row],[RelativePath]])</f>
        <v>4 Крыльцо офиса\K07156189_21_20251204T090806Z.jpg</v>
      </c>
    </row>
    <row r="154" spans="1:13" x14ac:dyDescent="0.25">
      <c r="A154" t="s">
        <v>16</v>
      </c>
      <c r="B154" s="4">
        <v>45995</v>
      </c>
      <c r="C154" s="6">
        <v>0.38299768518518518</v>
      </c>
      <c r="D154" s="2" t="s">
        <v>261</v>
      </c>
      <c r="E154" t="s">
        <v>70</v>
      </c>
      <c r="F154" t="s">
        <v>5027</v>
      </c>
      <c r="H154" t="s">
        <v>5030</v>
      </c>
      <c r="I154" t="s">
        <v>4417</v>
      </c>
      <c r="J154" t="s">
        <v>2946</v>
      </c>
      <c r="K154" t="s">
        <v>4418</v>
      </c>
      <c r="L154" t="s">
        <v>4419</v>
      </c>
      <c r="M154" s="3" t="str">
        <f>HYPERLINK(Таблица3[[#This Row],[RelativePath]])</f>
        <v>4 Крыльцо офиса\K07156189_21_20251204T091131Z.jpg</v>
      </c>
    </row>
    <row r="155" spans="1:13" x14ac:dyDescent="0.25">
      <c r="A155" t="s">
        <v>22</v>
      </c>
      <c r="B155" s="4">
        <v>45998</v>
      </c>
      <c r="C155" s="6">
        <v>0.63689814814814816</v>
      </c>
      <c r="D155" s="2" t="s">
        <v>261</v>
      </c>
      <c r="E155" t="s">
        <v>5196</v>
      </c>
      <c r="F155" t="s">
        <v>5027</v>
      </c>
      <c r="H155" t="s">
        <v>2891</v>
      </c>
      <c r="I155" t="s">
        <v>5099</v>
      </c>
      <c r="J155" t="s">
        <v>2937</v>
      </c>
      <c r="K155" t="s">
        <v>5100</v>
      </c>
      <c r="L155" t="s">
        <v>5101</v>
      </c>
      <c r="M155" s="3" t="str">
        <f>HYPERLINK(Таблица3[[#This Row],[RelativePath]])</f>
        <v>5 Крыльцо общага\K07156189_22_20251207T151708Z.jpg</v>
      </c>
    </row>
    <row r="156" spans="1:13" x14ac:dyDescent="0.25">
      <c r="A156" t="s">
        <v>22</v>
      </c>
      <c r="B156" s="4">
        <v>45998</v>
      </c>
      <c r="C156" s="6">
        <v>0.62921296296296292</v>
      </c>
      <c r="D156" s="2" t="s">
        <v>261</v>
      </c>
      <c r="E156" t="s">
        <v>5196</v>
      </c>
      <c r="F156" t="s">
        <v>5027</v>
      </c>
      <c r="H156" t="s">
        <v>2891</v>
      </c>
      <c r="I156" t="s">
        <v>5096</v>
      </c>
      <c r="J156" t="s">
        <v>2937</v>
      </c>
      <c r="K156" t="s">
        <v>5097</v>
      </c>
      <c r="L156" t="s">
        <v>5098</v>
      </c>
      <c r="M156" s="3" t="str">
        <f>HYPERLINK(Таблица3[[#This Row],[RelativePath]])</f>
        <v>5 Крыльцо общага\K07156189_22_20251207T150604Z.jpg</v>
      </c>
    </row>
    <row r="157" spans="1:13" x14ac:dyDescent="0.25">
      <c r="A157" t="s">
        <v>22</v>
      </c>
      <c r="B157" s="4">
        <v>45998</v>
      </c>
      <c r="C157" s="6">
        <v>0.60648148148148151</v>
      </c>
      <c r="D157" s="2" t="s">
        <v>261</v>
      </c>
      <c r="E157" t="s">
        <v>5196</v>
      </c>
      <c r="F157" t="s">
        <v>4174</v>
      </c>
      <c r="H157" t="s">
        <v>2891</v>
      </c>
      <c r="I157" t="s">
        <v>5123</v>
      </c>
      <c r="J157" t="s">
        <v>2940</v>
      </c>
      <c r="K157" t="s">
        <v>5124</v>
      </c>
      <c r="L157" t="s">
        <v>5125</v>
      </c>
      <c r="M157" s="3" t="str">
        <f>HYPERLINK(Таблица3[[#This Row],[RelativePath]])</f>
        <v>10 Сушилка навес\E33149364_3_20251207T143320Z.jpg</v>
      </c>
    </row>
    <row r="158" spans="1:13" x14ac:dyDescent="0.25">
      <c r="A158" t="s">
        <v>22</v>
      </c>
      <c r="B158" s="4">
        <v>45998</v>
      </c>
      <c r="C158" s="6">
        <v>0.60039351851851852</v>
      </c>
      <c r="D158" s="2" t="s">
        <v>261</v>
      </c>
      <c r="E158" t="s">
        <v>5196</v>
      </c>
      <c r="F158" t="s">
        <v>4174</v>
      </c>
      <c r="I158" t="s">
        <v>5120</v>
      </c>
      <c r="J158" t="s">
        <v>2940</v>
      </c>
      <c r="K158" t="s">
        <v>5121</v>
      </c>
      <c r="L158" t="s">
        <v>5122</v>
      </c>
      <c r="M158" s="3" t="str">
        <f>HYPERLINK(Таблица3[[#This Row],[RelativePath]])</f>
        <v>10 Сушилка навес\E33149364_3_20251207T142434Z.jpg</v>
      </c>
    </row>
    <row r="159" spans="1:13" x14ac:dyDescent="0.25">
      <c r="A159" t="s">
        <v>22</v>
      </c>
      <c r="B159" s="4">
        <v>45998</v>
      </c>
      <c r="C159" s="6">
        <v>0.62070601851851848</v>
      </c>
      <c r="D159" s="2" t="s">
        <v>261</v>
      </c>
      <c r="E159" t="s">
        <v>5196</v>
      </c>
      <c r="F159" t="s">
        <v>5027</v>
      </c>
      <c r="H159" t="s">
        <v>2891</v>
      </c>
      <c r="I159" t="s">
        <v>5087</v>
      </c>
      <c r="J159" t="s">
        <v>2937</v>
      </c>
      <c r="K159" t="s">
        <v>5088</v>
      </c>
      <c r="L159" t="s">
        <v>5089</v>
      </c>
      <c r="M159" s="3" t="str">
        <f>HYPERLINK(Таблица3[[#This Row],[RelativePath]])</f>
        <v>5 Крыльцо общага\K07156189_22_20251207T145349Z.jpg</v>
      </c>
    </row>
    <row r="160" spans="1:13" x14ac:dyDescent="0.25">
      <c r="A160" t="s">
        <v>22</v>
      </c>
      <c r="B160" s="4">
        <v>45998</v>
      </c>
      <c r="C160" s="6">
        <v>0.61756944444444439</v>
      </c>
      <c r="D160" s="2" t="s">
        <v>261</v>
      </c>
      <c r="E160" t="s">
        <v>5196</v>
      </c>
      <c r="F160" t="s">
        <v>5027</v>
      </c>
      <c r="I160" t="s">
        <v>5084</v>
      </c>
      <c r="J160" t="s">
        <v>2937</v>
      </c>
      <c r="K160" t="s">
        <v>5085</v>
      </c>
      <c r="L160" t="s">
        <v>5086</v>
      </c>
      <c r="M160" s="3" t="str">
        <f>HYPERLINK(Таблица3[[#This Row],[RelativePath]])</f>
        <v>5 Крыльцо общага\K07156189_22_20251207T144918Z.jpg</v>
      </c>
    </row>
    <row r="161" spans="1:13" x14ac:dyDescent="0.25">
      <c r="A161" t="s">
        <v>22</v>
      </c>
      <c r="B161" s="4">
        <v>45998</v>
      </c>
      <c r="C161" s="6">
        <v>0.62668981481481478</v>
      </c>
      <c r="D161" s="2" t="s">
        <v>261</v>
      </c>
      <c r="E161" t="s">
        <v>5196</v>
      </c>
      <c r="F161" t="s">
        <v>5027</v>
      </c>
      <c r="H161" t="s">
        <v>2891</v>
      </c>
      <c r="I161" t="s">
        <v>5093</v>
      </c>
      <c r="J161" t="s">
        <v>2937</v>
      </c>
      <c r="K161" t="s">
        <v>5094</v>
      </c>
      <c r="L161" t="s">
        <v>5095</v>
      </c>
      <c r="M161" s="3" t="str">
        <f>HYPERLINK(Таблица3[[#This Row],[RelativePath]])</f>
        <v>5 Крыльцо общага\K07156189_22_20251207T150226Z.jpg</v>
      </c>
    </row>
    <row r="162" spans="1:13" x14ac:dyDescent="0.25">
      <c r="A162" t="s">
        <v>22</v>
      </c>
      <c r="B162" s="4">
        <v>45998</v>
      </c>
      <c r="C162" s="6">
        <v>0.62306712962962962</v>
      </c>
      <c r="D162" s="2" t="s">
        <v>261</v>
      </c>
      <c r="E162" t="s">
        <v>5196</v>
      </c>
      <c r="F162" t="s">
        <v>5027</v>
      </c>
      <c r="H162" t="s">
        <v>2891</v>
      </c>
      <c r="I162" t="s">
        <v>5090</v>
      </c>
      <c r="J162" t="s">
        <v>2937</v>
      </c>
      <c r="K162" t="s">
        <v>5091</v>
      </c>
      <c r="L162" t="s">
        <v>5092</v>
      </c>
      <c r="M162" s="3" t="str">
        <f>HYPERLINK(Таблица3[[#This Row],[RelativePath]])</f>
        <v>5 Крыльцо общага\K07156189_22_20251207T145713Z.jpg</v>
      </c>
    </row>
    <row r="163" spans="1:13" x14ac:dyDescent="0.25">
      <c r="A163" t="s">
        <v>18</v>
      </c>
      <c r="B163" s="4">
        <v>46004</v>
      </c>
      <c r="C163" s="6">
        <v>0.39291666666666669</v>
      </c>
      <c r="D163" s="2" t="s">
        <v>261</v>
      </c>
      <c r="E163" t="s">
        <v>6088</v>
      </c>
      <c r="F163" t="s">
        <v>6109</v>
      </c>
      <c r="H163" t="s">
        <v>2891</v>
      </c>
      <c r="I163" t="s">
        <v>6034</v>
      </c>
      <c r="J163" t="s">
        <v>5564</v>
      </c>
      <c r="K163" t="s">
        <v>6035</v>
      </c>
      <c r="L163" t="s">
        <v>6036</v>
      </c>
      <c r="M163" s="3" t="str">
        <f>HYPERLINK(Таблица3[[#This Row],[RelativePath]])</f>
        <v>11 С ангара на базу\E33149364_4_20251213T092548Z.jpg</v>
      </c>
    </row>
    <row r="164" spans="1:13" x14ac:dyDescent="0.25">
      <c r="A164" t="s">
        <v>18</v>
      </c>
      <c r="B164" s="4">
        <v>46004</v>
      </c>
      <c r="C164" s="6">
        <v>0.39643518518518517</v>
      </c>
      <c r="D164" s="2" t="s">
        <v>261</v>
      </c>
      <c r="E164" t="s">
        <v>6088</v>
      </c>
      <c r="F164" t="s">
        <v>6109</v>
      </c>
      <c r="H164" t="s">
        <v>2891</v>
      </c>
      <c r="I164" t="s">
        <v>6037</v>
      </c>
      <c r="J164" t="s">
        <v>5564</v>
      </c>
      <c r="K164" t="s">
        <v>6038</v>
      </c>
      <c r="L164" t="s">
        <v>6039</v>
      </c>
      <c r="M164" s="3" t="str">
        <f>HYPERLINK(Таблица3[[#This Row],[RelativePath]])</f>
        <v>11 С ангара на базу\E33149364_4_20251213T093052Z.jpg</v>
      </c>
    </row>
    <row r="165" spans="1:13" x14ac:dyDescent="0.25">
      <c r="A165" t="s">
        <v>18</v>
      </c>
      <c r="B165" s="4">
        <v>46004</v>
      </c>
      <c r="C165" s="6">
        <v>0.39685185185185184</v>
      </c>
      <c r="D165" s="2" t="s">
        <v>261</v>
      </c>
      <c r="E165" t="s">
        <v>6088</v>
      </c>
      <c r="F165" t="s">
        <v>6109</v>
      </c>
      <c r="H165" t="s">
        <v>2891</v>
      </c>
      <c r="I165" t="s">
        <v>6040</v>
      </c>
      <c r="J165" t="s">
        <v>5564</v>
      </c>
      <c r="K165" t="s">
        <v>6041</v>
      </c>
      <c r="L165" t="s">
        <v>6042</v>
      </c>
      <c r="M165" s="3" t="str">
        <f>HYPERLINK(Таблица3[[#This Row],[RelativePath]])</f>
        <v>11 С ангара на базу\E33149364_4_20251213T093128Z.jpg</v>
      </c>
    </row>
    <row r="166" spans="1:13" x14ac:dyDescent="0.25">
      <c r="A166" t="s">
        <v>18</v>
      </c>
      <c r="B166" s="4">
        <v>46004</v>
      </c>
      <c r="C166" s="6">
        <v>0.3972222222222222</v>
      </c>
      <c r="D166" s="2" t="s">
        <v>261</v>
      </c>
      <c r="E166" t="s">
        <v>6088</v>
      </c>
      <c r="F166" t="s">
        <v>6109</v>
      </c>
      <c r="H166" t="s">
        <v>2891</v>
      </c>
      <c r="I166" t="s">
        <v>6043</v>
      </c>
      <c r="J166" t="s">
        <v>5564</v>
      </c>
      <c r="K166" t="s">
        <v>6044</v>
      </c>
      <c r="L166" t="s">
        <v>6045</v>
      </c>
      <c r="M166" s="3" t="str">
        <f>HYPERLINK(Таблица3[[#This Row],[RelativePath]])</f>
        <v>11 С ангара на базу\E33149364_4_20251213T093200Z.jpg</v>
      </c>
    </row>
    <row r="167" spans="1:13" x14ac:dyDescent="0.25">
      <c r="A167" t="s">
        <v>18</v>
      </c>
      <c r="B167" s="4">
        <v>46004</v>
      </c>
      <c r="C167" s="6">
        <v>0.39961805555555557</v>
      </c>
      <c r="D167" s="2" t="s">
        <v>261</v>
      </c>
      <c r="E167" t="s">
        <v>6088</v>
      </c>
      <c r="F167" t="s">
        <v>6109</v>
      </c>
      <c r="H167" t="s">
        <v>2891</v>
      </c>
      <c r="I167" t="s">
        <v>6046</v>
      </c>
      <c r="J167" t="s">
        <v>5564</v>
      </c>
      <c r="K167" t="s">
        <v>6047</v>
      </c>
      <c r="L167" t="s">
        <v>6048</v>
      </c>
      <c r="M167" s="3" t="str">
        <f>HYPERLINK(Таблица3[[#This Row],[RelativePath]])</f>
        <v>11 С ангара на базу\E33149364_4_20251213T093527Z.jpg</v>
      </c>
    </row>
    <row r="168" spans="1:13" x14ac:dyDescent="0.25">
      <c r="A168" t="s">
        <v>18</v>
      </c>
      <c r="B168" s="4">
        <v>46004</v>
      </c>
      <c r="C168" s="6">
        <v>0.39997685185185183</v>
      </c>
      <c r="D168" s="2" t="s">
        <v>261</v>
      </c>
      <c r="E168" t="s">
        <v>6088</v>
      </c>
      <c r="F168" t="s">
        <v>6109</v>
      </c>
      <c r="H168" t="s">
        <v>2891</v>
      </c>
      <c r="I168" t="s">
        <v>6049</v>
      </c>
      <c r="J168" t="s">
        <v>5564</v>
      </c>
      <c r="K168" t="s">
        <v>6050</v>
      </c>
      <c r="L168" t="s">
        <v>6051</v>
      </c>
      <c r="M168" s="3" t="str">
        <f>HYPERLINK(Таблица3[[#This Row],[RelativePath]])</f>
        <v>11 С ангара на базу\E33149364_4_20251213T093558Z.jpg</v>
      </c>
    </row>
    <row r="169" spans="1:13" x14ac:dyDescent="0.25">
      <c r="A169" t="s">
        <v>18</v>
      </c>
      <c r="B169" s="4">
        <v>46004</v>
      </c>
      <c r="C169" s="6">
        <v>0.40167824074074077</v>
      </c>
      <c r="D169" s="2" t="s">
        <v>261</v>
      </c>
      <c r="E169" t="s">
        <v>6088</v>
      </c>
      <c r="F169" t="s">
        <v>6109</v>
      </c>
      <c r="H169" t="s">
        <v>2891</v>
      </c>
      <c r="I169" t="s">
        <v>6052</v>
      </c>
      <c r="J169" t="s">
        <v>5564</v>
      </c>
      <c r="K169" t="s">
        <v>6053</v>
      </c>
      <c r="L169" t="s">
        <v>6054</v>
      </c>
      <c r="M169" s="3" t="str">
        <f>HYPERLINK(Таблица3[[#This Row],[RelativePath]])</f>
        <v>11 С ангара на базу\E33149364_4_20251213T093825Z.jpg</v>
      </c>
    </row>
    <row r="170" spans="1:13" x14ac:dyDescent="0.25">
      <c r="A170" t="s">
        <v>18</v>
      </c>
      <c r="B170" s="4">
        <v>46004</v>
      </c>
      <c r="C170" s="6">
        <v>0.40229166666666666</v>
      </c>
      <c r="D170" s="2" t="s">
        <v>261</v>
      </c>
      <c r="E170" t="s">
        <v>6088</v>
      </c>
      <c r="F170" t="s">
        <v>6109</v>
      </c>
      <c r="H170" t="s">
        <v>2891</v>
      </c>
      <c r="I170" t="s">
        <v>6055</v>
      </c>
      <c r="J170" t="s">
        <v>5564</v>
      </c>
      <c r="K170" t="s">
        <v>6056</v>
      </c>
      <c r="L170" t="s">
        <v>6057</v>
      </c>
      <c r="M170" s="3" t="str">
        <f>HYPERLINK(Таблица3[[#This Row],[RelativePath]])</f>
        <v>11 С ангара на базу\E33149364_4_20251213T093918Z.jpg</v>
      </c>
    </row>
    <row r="171" spans="1:13" x14ac:dyDescent="0.25">
      <c r="A171" t="s">
        <v>13</v>
      </c>
      <c r="B171" s="4">
        <v>46006</v>
      </c>
      <c r="C171" s="6">
        <v>0.47672453703703704</v>
      </c>
      <c r="D171" s="2" t="s">
        <v>261</v>
      </c>
      <c r="E171" t="s">
        <v>6248</v>
      </c>
      <c r="F171" t="s">
        <v>58</v>
      </c>
      <c r="H171" t="s">
        <v>2891</v>
      </c>
      <c r="I171" t="s">
        <v>6371</v>
      </c>
      <c r="J171" t="s">
        <v>6311</v>
      </c>
      <c r="K171" t="s">
        <v>6372</v>
      </c>
      <c r="L171" t="s">
        <v>6373</v>
      </c>
      <c r="M171" s="3" t="str">
        <f>HYPERLINK(Таблица3[[#This Row],[RelativePath]])</f>
        <v>10 Сушилка навес\E33149364_3_20251215T112629Z.jpg</v>
      </c>
    </row>
    <row r="172" spans="1:13" x14ac:dyDescent="0.25">
      <c r="A172" t="s">
        <v>13</v>
      </c>
      <c r="B172" s="4">
        <v>46006</v>
      </c>
      <c r="C172" s="6">
        <v>0.47729166666666667</v>
      </c>
      <c r="D172" s="2" t="s">
        <v>261</v>
      </c>
      <c r="E172" t="s">
        <v>6248</v>
      </c>
      <c r="F172" t="s">
        <v>58</v>
      </c>
      <c r="H172" t="s">
        <v>2891</v>
      </c>
      <c r="I172" t="s">
        <v>6374</v>
      </c>
      <c r="J172" t="s">
        <v>6311</v>
      </c>
      <c r="K172" t="s">
        <v>6375</v>
      </c>
      <c r="L172" t="s">
        <v>6376</v>
      </c>
      <c r="M172" s="3" t="str">
        <f>HYPERLINK(Таблица3[[#This Row],[RelativePath]])</f>
        <v>10 Сушилка навес\E33149364_3_20251215T112718Z.jpg</v>
      </c>
    </row>
    <row r="173" spans="1:13" x14ac:dyDescent="0.25">
      <c r="A173" t="s">
        <v>13</v>
      </c>
      <c r="B173" s="4">
        <v>46006</v>
      </c>
      <c r="C173" s="6">
        <v>0.47780092592592593</v>
      </c>
      <c r="D173" s="2" t="s">
        <v>261</v>
      </c>
      <c r="E173" t="s">
        <v>6248</v>
      </c>
      <c r="F173" t="s">
        <v>58</v>
      </c>
      <c r="H173" t="s">
        <v>1583</v>
      </c>
      <c r="I173" t="s">
        <v>6377</v>
      </c>
      <c r="J173" t="s">
        <v>6311</v>
      </c>
      <c r="K173" t="s">
        <v>6378</v>
      </c>
      <c r="L173" t="s">
        <v>6379</v>
      </c>
      <c r="M173" s="3" t="str">
        <f>HYPERLINK(Таблица3[[#This Row],[RelativePath]])</f>
        <v>10 Сушилка навес\E33149364_3_20251215T112802Z.jpg</v>
      </c>
    </row>
    <row r="174" spans="1:13" x14ac:dyDescent="0.25">
      <c r="A174" t="s">
        <v>13</v>
      </c>
      <c r="B174" s="4">
        <v>46006</v>
      </c>
      <c r="C174" s="6">
        <v>0.47162037037037036</v>
      </c>
      <c r="D174" s="2" t="s">
        <v>261</v>
      </c>
      <c r="E174" t="s">
        <v>6248</v>
      </c>
      <c r="F174" t="s">
        <v>58</v>
      </c>
      <c r="H174" t="s">
        <v>2891</v>
      </c>
      <c r="I174" t="s">
        <v>6362</v>
      </c>
      <c r="J174" t="s">
        <v>6311</v>
      </c>
      <c r="K174" t="s">
        <v>6363</v>
      </c>
      <c r="L174" t="s">
        <v>6364</v>
      </c>
      <c r="M174" s="3" t="str">
        <f>HYPERLINK(Таблица3[[#This Row],[RelativePath]])</f>
        <v>10 Сушилка навес\E33149364_3_20251215T111908Z.jpg</v>
      </c>
    </row>
    <row r="175" spans="1:13" x14ac:dyDescent="0.25">
      <c r="A175" t="s">
        <v>13</v>
      </c>
      <c r="B175" s="4">
        <v>46006</v>
      </c>
      <c r="C175" s="6">
        <v>0.47537037037037039</v>
      </c>
      <c r="D175" s="2" t="s">
        <v>261</v>
      </c>
      <c r="E175" t="s">
        <v>6248</v>
      </c>
      <c r="F175" t="s">
        <v>58</v>
      </c>
      <c r="H175" t="s">
        <v>6445</v>
      </c>
      <c r="I175" t="s">
        <v>6365</v>
      </c>
      <c r="J175" t="s">
        <v>6311</v>
      </c>
      <c r="K175" t="s">
        <v>6366</v>
      </c>
      <c r="L175" t="s">
        <v>6367</v>
      </c>
      <c r="M175" s="3" t="str">
        <f>HYPERLINK(Таблица3[[#This Row],[RelativePath]])</f>
        <v>10 Сушилка навес\E33149364_3_20251215T112432Z.jpg</v>
      </c>
    </row>
    <row r="176" spans="1:13" x14ac:dyDescent="0.25">
      <c r="A176" t="s">
        <v>13</v>
      </c>
      <c r="B176" s="4">
        <v>46006</v>
      </c>
      <c r="C176" s="6">
        <v>0.47547453703703701</v>
      </c>
      <c r="D176" s="2" t="s">
        <v>261</v>
      </c>
      <c r="E176" t="s">
        <v>6248</v>
      </c>
      <c r="F176" t="s">
        <v>58</v>
      </c>
      <c r="H176" t="s">
        <v>2891</v>
      </c>
      <c r="I176" t="s">
        <v>6368</v>
      </c>
      <c r="J176" t="s">
        <v>6311</v>
      </c>
      <c r="K176" t="s">
        <v>6369</v>
      </c>
      <c r="L176" t="s">
        <v>6370</v>
      </c>
      <c r="M176" s="3" t="str">
        <f>HYPERLINK(Таблица3[[#This Row],[RelativePath]])</f>
        <v>10 Сушилка навес\E33149364_3_20251215T112441Z.jpg</v>
      </c>
    </row>
    <row r="177" spans="1:13" x14ac:dyDescent="0.25">
      <c r="A177" t="s">
        <v>13</v>
      </c>
      <c r="B177" s="4">
        <v>46006</v>
      </c>
      <c r="C177" s="6">
        <v>0.47806712962962961</v>
      </c>
      <c r="D177" s="2" t="s">
        <v>261</v>
      </c>
      <c r="E177" t="s">
        <v>6248</v>
      </c>
      <c r="F177" t="s">
        <v>58</v>
      </c>
      <c r="H177" t="s">
        <v>2891</v>
      </c>
      <c r="I177" t="s">
        <v>6380</v>
      </c>
      <c r="J177" t="s">
        <v>6311</v>
      </c>
      <c r="K177" t="s">
        <v>6381</v>
      </c>
      <c r="L177" t="s">
        <v>6382</v>
      </c>
      <c r="M177" s="3" t="str">
        <f>HYPERLINK(Таблица3[[#This Row],[RelativePath]])</f>
        <v>10 Сушилка навес\E33149364_3_20251215T112825Z.jpg</v>
      </c>
    </row>
    <row r="178" spans="1:13" x14ac:dyDescent="0.25">
      <c r="A178" t="s">
        <v>13</v>
      </c>
      <c r="B178" s="4">
        <v>46006</v>
      </c>
      <c r="C178" s="6">
        <v>0.4783101851851852</v>
      </c>
      <c r="D178" s="2" t="s">
        <v>261</v>
      </c>
      <c r="E178" t="s">
        <v>6248</v>
      </c>
      <c r="F178" t="s">
        <v>58</v>
      </c>
      <c r="H178" t="s">
        <v>2891</v>
      </c>
      <c r="I178" t="s">
        <v>6383</v>
      </c>
      <c r="J178" t="s">
        <v>6311</v>
      </c>
      <c r="K178" t="s">
        <v>6384</v>
      </c>
      <c r="L178" t="s">
        <v>6385</v>
      </c>
      <c r="M178" s="3" t="str">
        <f>HYPERLINK(Таблица3[[#This Row],[RelativePath]])</f>
        <v>10 Сушилка навес\E33149364_3_20251215T112846Z.jpg</v>
      </c>
    </row>
    <row r="179" spans="1:13" x14ac:dyDescent="0.25">
      <c r="A179" t="s">
        <v>13</v>
      </c>
      <c r="B179" s="4">
        <v>46006</v>
      </c>
      <c r="C179" s="6">
        <v>0.47834490740740743</v>
      </c>
      <c r="D179" s="2" t="s">
        <v>261</v>
      </c>
      <c r="E179" t="s">
        <v>6248</v>
      </c>
      <c r="F179" t="s">
        <v>58</v>
      </c>
      <c r="H179" t="s">
        <v>2891</v>
      </c>
      <c r="I179" t="s">
        <v>6386</v>
      </c>
      <c r="J179" t="s">
        <v>6311</v>
      </c>
      <c r="K179" t="s">
        <v>6387</v>
      </c>
      <c r="L179" t="s">
        <v>6388</v>
      </c>
      <c r="M179" s="3" t="str">
        <f>HYPERLINK(Таблица3[[#This Row],[RelativePath]])</f>
        <v>10 Сушилка навес\E33149364_3_20251215T112849Z.jpg</v>
      </c>
    </row>
    <row r="180" spans="1:13" x14ac:dyDescent="0.25">
      <c r="A180" t="s">
        <v>13</v>
      </c>
      <c r="B180" s="4">
        <v>46006</v>
      </c>
      <c r="C180" s="6">
        <v>0.61089120370370376</v>
      </c>
      <c r="D180" s="2" t="s">
        <v>261</v>
      </c>
      <c r="E180" t="s">
        <v>6446</v>
      </c>
      <c r="F180" t="s">
        <v>1071</v>
      </c>
      <c r="G180">
        <v>2</v>
      </c>
      <c r="I180" t="s">
        <v>6398</v>
      </c>
      <c r="J180" t="s">
        <v>6311</v>
      </c>
      <c r="K180" t="s">
        <v>6399</v>
      </c>
      <c r="L180" t="s">
        <v>6400</v>
      </c>
      <c r="M180" s="3" t="str">
        <f>HYPERLINK(Таблица3[[#This Row],[RelativePath]])</f>
        <v>10 Сушилка навес\E33149364_3_20251215T143941Z.jpg</v>
      </c>
    </row>
    <row r="181" spans="1:13" x14ac:dyDescent="0.25">
      <c r="A181" t="s">
        <v>13</v>
      </c>
      <c r="B181" s="4">
        <v>46006</v>
      </c>
      <c r="C181" s="6">
        <v>0.47047453703703701</v>
      </c>
      <c r="D181" s="2" t="s">
        <v>261</v>
      </c>
      <c r="E181" t="s">
        <v>6248</v>
      </c>
      <c r="F181" t="s">
        <v>58</v>
      </c>
      <c r="H181" t="s">
        <v>2891</v>
      </c>
      <c r="I181" t="s">
        <v>6359</v>
      </c>
      <c r="J181" t="s">
        <v>6311</v>
      </c>
      <c r="K181" t="s">
        <v>6360</v>
      </c>
      <c r="L181" t="s">
        <v>6361</v>
      </c>
      <c r="M181" s="3" t="str">
        <f>HYPERLINK(Таблица3[[#This Row],[RelativePath]])</f>
        <v>10 Сушилка навес\E33149364_3_20251215T111729Z.jpg</v>
      </c>
    </row>
    <row r="182" spans="1:13" x14ac:dyDescent="0.25">
      <c r="A182" t="s">
        <v>13</v>
      </c>
      <c r="B182" s="4">
        <v>46006</v>
      </c>
      <c r="C182" s="6">
        <v>0.46650462962962963</v>
      </c>
      <c r="D182" s="2" t="s">
        <v>261</v>
      </c>
      <c r="E182" t="s">
        <v>6248</v>
      </c>
      <c r="F182" t="s">
        <v>58</v>
      </c>
      <c r="H182" t="s">
        <v>2891</v>
      </c>
      <c r="I182" t="s">
        <v>6329</v>
      </c>
      <c r="J182" t="s">
        <v>6311</v>
      </c>
      <c r="K182" t="s">
        <v>6330</v>
      </c>
      <c r="L182" t="s">
        <v>6331</v>
      </c>
      <c r="M182" s="3" t="str">
        <f>HYPERLINK(Таблица3[[#This Row],[RelativePath]])</f>
        <v>10 Сушилка навес\E33149364_3_20251215T111146Z.jpg</v>
      </c>
    </row>
    <row r="183" spans="1:13" x14ac:dyDescent="0.25">
      <c r="A183" t="s">
        <v>13</v>
      </c>
      <c r="B183" s="4">
        <v>46006</v>
      </c>
      <c r="C183" s="6">
        <v>0.46740740740740738</v>
      </c>
      <c r="D183" s="2" t="s">
        <v>261</v>
      </c>
      <c r="E183" t="s">
        <v>6248</v>
      </c>
      <c r="F183" t="s">
        <v>58</v>
      </c>
      <c r="H183" t="s">
        <v>2891</v>
      </c>
      <c r="I183" t="s">
        <v>6332</v>
      </c>
      <c r="J183" t="s">
        <v>6311</v>
      </c>
      <c r="K183" t="s">
        <v>6333</v>
      </c>
      <c r="L183" t="s">
        <v>6334</v>
      </c>
      <c r="M183" s="3" t="str">
        <f>HYPERLINK(Таблица3[[#This Row],[RelativePath]])</f>
        <v>10 Сушилка навес\E33149364_3_20251215T111304Z.jpg</v>
      </c>
    </row>
    <row r="184" spans="1:13" x14ac:dyDescent="0.25">
      <c r="A184" t="s">
        <v>13</v>
      </c>
      <c r="B184" s="4">
        <v>46006</v>
      </c>
      <c r="C184" s="6">
        <v>0.46766203703703701</v>
      </c>
      <c r="D184" s="2" t="s">
        <v>261</v>
      </c>
      <c r="E184" t="s">
        <v>6248</v>
      </c>
      <c r="F184" t="s">
        <v>58</v>
      </c>
      <c r="H184" t="s">
        <v>2891</v>
      </c>
      <c r="I184" t="s">
        <v>6335</v>
      </c>
      <c r="J184" t="s">
        <v>6311</v>
      </c>
      <c r="K184" t="s">
        <v>6336</v>
      </c>
      <c r="L184" t="s">
        <v>6337</v>
      </c>
      <c r="M184" s="3" t="str">
        <f>HYPERLINK(Таблица3[[#This Row],[RelativePath]])</f>
        <v>10 Сушилка навес\E33149364_3_20251215T111326Z.jpg</v>
      </c>
    </row>
    <row r="185" spans="1:13" x14ac:dyDescent="0.25">
      <c r="A185" t="s">
        <v>13</v>
      </c>
      <c r="B185" s="4">
        <v>46006</v>
      </c>
      <c r="C185" s="6">
        <v>0.51274305555555555</v>
      </c>
      <c r="D185" s="2" t="s">
        <v>261</v>
      </c>
      <c r="E185" t="s">
        <v>70</v>
      </c>
      <c r="F185" t="s">
        <v>6259</v>
      </c>
      <c r="I185" t="s">
        <v>6230</v>
      </c>
      <c r="J185" t="s">
        <v>6229</v>
      </c>
      <c r="K185" t="s">
        <v>6231</v>
      </c>
      <c r="L185" t="s">
        <v>6232</v>
      </c>
      <c r="M185" s="3" t="str">
        <f>HYPERLINK(Таблица3[[#This Row],[RelativePath]])</f>
        <v>4 Крыльцо офиса\K07156189_21_20251215T121821Z.jpg</v>
      </c>
    </row>
    <row r="186" spans="1:13" x14ac:dyDescent="0.25">
      <c r="A186" t="s">
        <v>13</v>
      </c>
      <c r="B186" s="4">
        <v>46006</v>
      </c>
      <c r="C186" s="6">
        <v>0.46620370370370373</v>
      </c>
      <c r="D186" s="2" t="s">
        <v>261</v>
      </c>
      <c r="E186" t="s">
        <v>6248</v>
      </c>
      <c r="F186" t="s">
        <v>58</v>
      </c>
      <c r="H186" t="s">
        <v>1583</v>
      </c>
      <c r="I186" t="s">
        <v>6323</v>
      </c>
      <c r="J186" t="s">
        <v>6311</v>
      </c>
      <c r="K186" t="s">
        <v>6324</v>
      </c>
      <c r="L186" t="s">
        <v>6325</v>
      </c>
      <c r="M186" s="3" t="str">
        <f>HYPERLINK(Таблица3[[#This Row],[RelativePath]])</f>
        <v>10 Сушилка навес\E33149364_3_20251215T111120Z.jpg</v>
      </c>
    </row>
    <row r="187" spans="1:13" x14ac:dyDescent="0.25">
      <c r="A187" t="s">
        <v>13</v>
      </c>
      <c r="B187" s="4">
        <v>46006</v>
      </c>
      <c r="C187" s="6">
        <v>0.46644675925925927</v>
      </c>
      <c r="D187" s="2" t="s">
        <v>261</v>
      </c>
      <c r="E187" t="s">
        <v>6248</v>
      </c>
      <c r="F187" t="s">
        <v>58</v>
      </c>
      <c r="H187" t="s">
        <v>2891</v>
      </c>
      <c r="I187" t="s">
        <v>6326</v>
      </c>
      <c r="J187" t="s">
        <v>6311</v>
      </c>
      <c r="K187" t="s">
        <v>6327</v>
      </c>
      <c r="L187" t="s">
        <v>6328</v>
      </c>
      <c r="M187" s="3" t="str">
        <f>HYPERLINK(Таблица3[[#This Row],[RelativePath]])</f>
        <v>10 Сушилка навес\E33149364_3_20251215T111141Z.jpg</v>
      </c>
    </row>
    <row r="188" spans="1:13" x14ac:dyDescent="0.25">
      <c r="A188" t="s">
        <v>13</v>
      </c>
      <c r="B188" s="4">
        <v>46006</v>
      </c>
      <c r="C188" s="6">
        <v>0.46770833333333334</v>
      </c>
      <c r="D188" s="2" t="s">
        <v>261</v>
      </c>
      <c r="E188" t="s">
        <v>6248</v>
      </c>
      <c r="F188" t="s">
        <v>58</v>
      </c>
      <c r="H188" t="s">
        <v>2891</v>
      </c>
      <c r="I188" t="s">
        <v>6338</v>
      </c>
      <c r="J188" t="s">
        <v>6311</v>
      </c>
      <c r="K188" t="s">
        <v>6339</v>
      </c>
      <c r="L188" t="s">
        <v>6340</v>
      </c>
      <c r="M188" s="3" t="str">
        <f>HYPERLINK(Таблица3[[#This Row],[RelativePath]])</f>
        <v>10 Сушилка навес\E33149364_3_20251215T111330Z.jpg</v>
      </c>
    </row>
    <row r="189" spans="1:13" x14ac:dyDescent="0.25">
      <c r="A189" t="s">
        <v>13</v>
      </c>
      <c r="B189" s="4">
        <v>46006</v>
      </c>
      <c r="C189" s="6">
        <v>0.46927083333333336</v>
      </c>
      <c r="D189" s="2" t="s">
        <v>261</v>
      </c>
      <c r="E189" t="s">
        <v>6248</v>
      </c>
      <c r="F189" t="s">
        <v>58</v>
      </c>
      <c r="H189" t="s">
        <v>2891</v>
      </c>
      <c r="I189" t="s">
        <v>6350</v>
      </c>
      <c r="J189" t="s">
        <v>6311</v>
      </c>
      <c r="K189" t="s">
        <v>6351</v>
      </c>
      <c r="L189" t="s">
        <v>6352</v>
      </c>
      <c r="M189" s="3" t="str">
        <f>HYPERLINK(Таблица3[[#This Row],[RelativePath]])</f>
        <v>10 Сушилка навес\E33149364_3_20251215T111545Z.jpg</v>
      </c>
    </row>
    <row r="190" spans="1:13" x14ac:dyDescent="0.25">
      <c r="A190" t="s">
        <v>13</v>
      </c>
      <c r="B190" s="4">
        <v>46006</v>
      </c>
      <c r="C190" s="6">
        <v>0.47002314814814816</v>
      </c>
      <c r="D190" s="2" t="s">
        <v>261</v>
      </c>
      <c r="E190" t="s">
        <v>6248</v>
      </c>
      <c r="F190" t="s">
        <v>58</v>
      </c>
      <c r="H190" t="s">
        <v>2891</v>
      </c>
      <c r="I190" t="s">
        <v>6353</v>
      </c>
      <c r="J190" t="s">
        <v>6311</v>
      </c>
      <c r="K190" t="s">
        <v>6354</v>
      </c>
      <c r="L190" t="s">
        <v>6355</v>
      </c>
      <c r="M190" s="3" t="str">
        <f>HYPERLINK(Таблица3[[#This Row],[RelativePath]])</f>
        <v>10 Сушилка навес\E33149364_3_20251215T111650Z.jpg</v>
      </c>
    </row>
    <row r="191" spans="1:13" x14ac:dyDescent="0.25">
      <c r="A191" t="s">
        <v>13</v>
      </c>
      <c r="B191" s="4">
        <v>46006</v>
      </c>
      <c r="C191" s="6">
        <v>0.47033564814814816</v>
      </c>
      <c r="D191" s="2" t="s">
        <v>261</v>
      </c>
      <c r="E191" t="s">
        <v>6248</v>
      </c>
      <c r="F191" t="s">
        <v>58</v>
      </c>
      <c r="H191" t="s">
        <v>2891</v>
      </c>
      <c r="I191" t="s">
        <v>6356</v>
      </c>
      <c r="J191" t="s">
        <v>6311</v>
      </c>
      <c r="K191" t="s">
        <v>6357</v>
      </c>
      <c r="L191" t="s">
        <v>6358</v>
      </c>
      <c r="M191" s="3" t="str">
        <f>HYPERLINK(Таблица3[[#This Row],[RelativePath]])</f>
        <v>10 Сушилка навес\E33149364_3_20251215T111717Z.jpg</v>
      </c>
    </row>
    <row r="192" spans="1:13" x14ac:dyDescent="0.25">
      <c r="A192" t="s">
        <v>13</v>
      </c>
      <c r="B192" s="4">
        <v>46006</v>
      </c>
      <c r="C192" s="6">
        <v>0.46807870370370369</v>
      </c>
      <c r="D192" s="2" t="s">
        <v>261</v>
      </c>
      <c r="E192" t="s">
        <v>6248</v>
      </c>
      <c r="F192" t="s">
        <v>58</v>
      </c>
      <c r="H192" t="s">
        <v>2891</v>
      </c>
      <c r="I192" t="s">
        <v>6341</v>
      </c>
      <c r="J192" t="s">
        <v>6311</v>
      </c>
      <c r="K192" t="s">
        <v>6342</v>
      </c>
      <c r="L192" t="s">
        <v>6343</v>
      </c>
      <c r="M192" s="3" t="str">
        <f>HYPERLINK(Таблица3[[#This Row],[RelativePath]])</f>
        <v>10 Сушилка навес\E33149364_3_20251215T111402Z.jpg</v>
      </c>
    </row>
    <row r="193" spans="1:13" x14ac:dyDescent="0.25">
      <c r="A193" t="s">
        <v>13</v>
      </c>
      <c r="B193" s="4">
        <v>46006</v>
      </c>
      <c r="C193" s="6">
        <v>0.46834490740740742</v>
      </c>
      <c r="D193" s="2" t="s">
        <v>261</v>
      </c>
      <c r="E193" t="s">
        <v>6248</v>
      </c>
      <c r="F193" t="s">
        <v>58</v>
      </c>
      <c r="H193" t="s">
        <v>2891</v>
      </c>
      <c r="I193" t="s">
        <v>6344</v>
      </c>
      <c r="J193" t="s">
        <v>6311</v>
      </c>
      <c r="K193" t="s">
        <v>6345</v>
      </c>
      <c r="L193" t="s">
        <v>6346</v>
      </c>
      <c r="M193" s="3" t="str">
        <f>HYPERLINK(Таблица3[[#This Row],[RelativePath]])</f>
        <v>10 Сушилка навес\E33149364_3_20251215T111425Z.jpg</v>
      </c>
    </row>
    <row r="194" spans="1:13" x14ac:dyDescent="0.25">
      <c r="A194" t="s">
        <v>13</v>
      </c>
      <c r="B194" s="4">
        <v>46006</v>
      </c>
      <c r="C194" s="6">
        <v>0.4692013888888889</v>
      </c>
      <c r="D194" s="2" t="s">
        <v>261</v>
      </c>
      <c r="E194" t="s">
        <v>6248</v>
      </c>
      <c r="F194" t="s">
        <v>58</v>
      </c>
      <c r="H194" t="s">
        <v>2891</v>
      </c>
      <c r="I194" t="s">
        <v>6347</v>
      </c>
      <c r="J194" t="s">
        <v>6311</v>
      </c>
      <c r="K194" t="s">
        <v>6348</v>
      </c>
      <c r="L194" t="s">
        <v>6349</v>
      </c>
      <c r="M194" s="3" t="str">
        <f>HYPERLINK(Таблица3[[#This Row],[RelativePath]])</f>
        <v>10 Сушилка навес\E33149364_3_20251215T111539Z.jpg</v>
      </c>
    </row>
    <row r="195" spans="1:13" x14ac:dyDescent="0.25">
      <c r="A195" t="s">
        <v>14</v>
      </c>
      <c r="B195" s="4">
        <v>46007</v>
      </c>
      <c r="C195" s="6">
        <v>0.45142361111111112</v>
      </c>
      <c r="D195" s="2" t="s">
        <v>261</v>
      </c>
      <c r="E195" t="s">
        <v>6574</v>
      </c>
      <c r="F195" t="s">
        <v>6575</v>
      </c>
      <c r="I195" t="s">
        <v>6467</v>
      </c>
      <c r="J195" t="s">
        <v>6229</v>
      </c>
      <c r="K195" t="s">
        <v>6468</v>
      </c>
      <c r="L195" t="s">
        <v>6469</v>
      </c>
      <c r="M195" s="3" t="str">
        <f>HYPERLINK(Таблица3[[#This Row],[RelativePath]])</f>
        <v>4 Крыльцо офиса\K07156189_21_20251216T105003Z.jpg</v>
      </c>
    </row>
    <row r="196" spans="1:13" x14ac:dyDescent="0.25">
      <c r="A196" t="s">
        <v>16</v>
      </c>
      <c r="B196" s="4">
        <v>46016</v>
      </c>
      <c r="C196" s="6">
        <v>0.50045138888888885</v>
      </c>
      <c r="D196" s="2" t="s">
        <v>261</v>
      </c>
      <c r="E196" t="s">
        <v>70</v>
      </c>
      <c r="F196" t="s">
        <v>58</v>
      </c>
      <c r="H196" t="s">
        <v>1581</v>
      </c>
      <c r="I196" t="s">
        <v>7408</v>
      </c>
      <c r="J196" t="s">
        <v>6311</v>
      </c>
      <c r="K196" t="s">
        <v>7409</v>
      </c>
      <c r="L196" t="s">
        <v>7410</v>
      </c>
      <c r="M196" s="3" t="str">
        <f>HYPERLINK(Таблица3[[#This Row],[RelativePath]])</f>
        <v>10 Сушилка навес\E33149364_3_20251225T120039Z.jpg</v>
      </c>
    </row>
    <row r="197" spans="1:13" x14ac:dyDescent="0.25">
      <c r="A197" t="s">
        <v>16</v>
      </c>
      <c r="B197" s="4">
        <v>46016</v>
      </c>
      <c r="C197" s="6">
        <v>0.50079861111111112</v>
      </c>
      <c r="D197" s="2" t="s">
        <v>261</v>
      </c>
      <c r="E197" t="s">
        <v>70</v>
      </c>
      <c r="F197" t="s">
        <v>58</v>
      </c>
      <c r="H197" t="s">
        <v>2891</v>
      </c>
      <c r="I197" t="s">
        <v>7411</v>
      </c>
      <c r="J197" t="s">
        <v>6311</v>
      </c>
      <c r="K197" t="s">
        <v>7412</v>
      </c>
      <c r="L197" t="s">
        <v>7413</v>
      </c>
      <c r="M197" s="3" t="str">
        <f>HYPERLINK(Таблица3[[#This Row],[RelativePath]])</f>
        <v>10 Сушилка навес\E33149364_3_20251225T120109Z.jpg</v>
      </c>
    </row>
    <row r="198" spans="1:13" x14ac:dyDescent="0.25">
      <c r="A198" t="s">
        <v>16</v>
      </c>
      <c r="B198" s="4">
        <v>46016</v>
      </c>
      <c r="C198" s="6">
        <v>0.50168981481481478</v>
      </c>
      <c r="D198" s="2" t="s">
        <v>261</v>
      </c>
      <c r="E198" t="s">
        <v>70</v>
      </c>
      <c r="F198" t="s">
        <v>58</v>
      </c>
      <c r="H198" t="s">
        <v>2891</v>
      </c>
      <c r="I198" t="s">
        <v>7414</v>
      </c>
      <c r="J198" t="s">
        <v>6311</v>
      </c>
      <c r="K198" t="s">
        <v>7415</v>
      </c>
      <c r="L198" t="s">
        <v>7416</v>
      </c>
      <c r="M198" s="3" t="str">
        <f>HYPERLINK(Таблица3[[#This Row],[RelativePath]])</f>
        <v>10 Сушилка навес\E33149364_3_20251225T120226Z.jpg</v>
      </c>
    </row>
    <row r="199" spans="1:13" x14ac:dyDescent="0.25">
      <c r="A199" t="s">
        <v>16</v>
      </c>
      <c r="B199" s="4">
        <v>46016</v>
      </c>
      <c r="C199" s="6">
        <v>0.50189814814814815</v>
      </c>
      <c r="D199" s="2" t="s">
        <v>261</v>
      </c>
      <c r="E199" t="s">
        <v>70</v>
      </c>
      <c r="F199" t="s">
        <v>58</v>
      </c>
      <c r="H199" t="s">
        <v>2891</v>
      </c>
      <c r="I199" t="s">
        <v>7417</v>
      </c>
      <c r="J199" t="s">
        <v>6311</v>
      </c>
      <c r="K199" t="s">
        <v>7418</v>
      </c>
      <c r="L199" t="s">
        <v>7419</v>
      </c>
      <c r="M199" s="3" t="str">
        <f>HYPERLINK(Таблица3[[#This Row],[RelativePath]])</f>
        <v>10 Сушилка навес\E33149364_3_20251225T120244Z.jpg</v>
      </c>
    </row>
    <row r="200" spans="1:13" x14ac:dyDescent="0.25">
      <c r="A200" t="s">
        <v>16</v>
      </c>
      <c r="B200" s="4">
        <v>46016</v>
      </c>
      <c r="C200" s="6">
        <v>0.50423611111111111</v>
      </c>
      <c r="D200" s="2" t="s">
        <v>261</v>
      </c>
      <c r="E200" t="s">
        <v>70</v>
      </c>
      <c r="F200" t="s">
        <v>58</v>
      </c>
      <c r="H200" t="s">
        <v>2891</v>
      </c>
      <c r="I200" t="s">
        <v>7420</v>
      </c>
      <c r="J200" t="s">
        <v>6311</v>
      </c>
      <c r="K200" t="s">
        <v>7421</v>
      </c>
      <c r="L200" t="s">
        <v>7422</v>
      </c>
      <c r="M200" s="3" t="str">
        <f>HYPERLINK(Таблица3[[#This Row],[RelativePath]])</f>
        <v>10 Сушилка навес\E33149364_3_20251225T120606Z.jpg</v>
      </c>
    </row>
    <row r="201" spans="1:13" x14ac:dyDescent="0.25">
      <c r="A201" t="s">
        <v>17</v>
      </c>
      <c r="B201" s="4">
        <v>46017</v>
      </c>
      <c r="C201" s="6">
        <v>0.40710648148148149</v>
      </c>
      <c r="D201" s="2" t="s">
        <v>261</v>
      </c>
      <c r="E201" t="s">
        <v>2882</v>
      </c>
      <c r="F201" t="s">
        <v>7083</v>
      </c>
      <c r="I201" t="s">
        <v>7725</v>
      </c>
      <c r="J201" t="s">
        <v>2945</v>
      </c>
      <c r="K201" t="s">
        <v>7726</v>
      </c>
      <c r="L201" t="s">
        <v>7727</v>
      </c>
      <c r="M201" s="3" t="str">
        <f>HYPERLINK(Таблица3[[#This Row],[RelativePath]])</f>
        <v>3 Въезд на базу\E33149364_8_20251226T094614Z.jpg</v>
      </c>
    </row>
    <row r="202" spans="1:13" x14ac:dyDescent="0.25">
      <c r="A202" t="s">
        <v>17</v>
      </c>
      <c r="B202" s="4">
        <v>46017</v>
      </c>
      <c r="C202" s="6">
        <v>0.40766203703703702</v>
      </c>
      <c r="D202" s="2" t="s">
        <v>261</v>
      </c>
      <c r="E202" t="s">
        <v>2882</v>
      </c>
      <c r="F202" t="s">
        <v>7083</v>
      </c>
      <c r="H202" t="s">
        <v>2891</v>
      </c>
      <c r="I202" t="s">
        <v>7728</v>
      </c>
      <c r="J202" t="s">
        <v>2945</v>
      </c>
      <c r="K202" t="s">
        <v>7729</v>
      </c>
      <c r="L202" t="s">
        <v>7730</v>
      </c>
      <c r="M202" s="3" t="str">
        <f>HYPERLINK(Таблица3[[#This Row],[RelativePath]])</f>
        <v>3 Въезд на базу\E33149364_8_20251226T094702Z.jpg</v>
      </c>
    </row>
    <row r="203" spans="1:13" x14ac:dyDescent="0.25">
      <c r="A203" t="s">
        <v>17</v>
      </c>
      <c r="B203" s="4">
        <v>46017</v>
      </c>
      <c r="C203" s="6">
        <v>0.40768518518518521</v>
      </c>
      <c r="D203" s="2" t="s">
        <v>261</v>
      </c>
      <c r="E203" t="s">
        <v>2882</v>
      </c>
      <c r="F203" t="s">
        <v>7083</v>
      </c>
      <c r="H203" t="s">
        <v>2891</v>
      </c>
      <c r="I203" t="s">
        <v>7731</v>
      </c>
      <c r="J203" t="s">
        <v>2945</v>
      </c>
      <c r="K203" t="s">
        <v>7732</v>
      </c>
      <c r="L203" t="s">
        <v>7733</v>
      </c>
      <c r="M203" s="3" t="str">
        <f>HYPERLINK(Таблица3[[#This Row],[RelativePath]])</f>
        <v>3 Въезд на базу\E33149364_8_20251226T094704Z.jpg</v>
      </c>
    </row>
    <row r="204" spans="1:13" x14ac:dyDescent="0.25">
      <c r="A204" t="s">
        <v>13</v>
      </c>
      <c r="B204" s="4">
        <v>46020</v>
      </c>
      <c r="C204" s="6">
        <v>0.64688657407407413</v>
      </c>
      <c r="D204" s="2" t="s">
        <v>261</v>
      </c>
      <c r="E204" t="s">
        <v>8250</v>
      </c>
      <c r="F204" t="s">
        <v>1584</v>
      </c>
      <c r="I204" t="s">
        <v>8126</v>
      </c>
      <c r="J204" t="s">
        <v>6311</v>
      </c>
      <c r="K204" t="s">
        <v>8127</v>
      </c>
      <c r="L204" t="s">
        <v>8128</v>
      </c>
      <c r="M204" s="3" t="str">
        <f>HYPERLINK(Таблица3[[#This Row],[RelativePath]])</f>
        <v>10 Сушилка навес\E33149364_3_20251229T153131Z.jpg</v>
      </c>
    </row>
    <row r="205" spans="1:13" x14ac:dyDescent="0.25">
      <c r="A205" t="s">
        <v>14</v>
      </c>
      <c r="B205" s="4">
        <v>46035</v>
      </c>
      <c r="C205" s="6">
        <v>0.41230324074074076</v>
      </c>
      <c r="D205" s="2" t="s">
        <v>261</v>
      </c>
      <c r="E205" t="s">
        <v>9073</v>
      </c>
      <c r="F205" t="s">
        <v>9074</v>
      </c>
      <c r="H205" t="s">
        <v>2891</v>
      </c>
      <c r="I205" t="s">
        <v>8869</v>
      </c>
      <c r="J205" t="s">
        <v>8864</v>
      </c>
      <c r="K205" t="s">
        <v>8870</v>
      </c>
      <c r="L205" t="s">
        <v>8871</v>
      </c>
      <c r="M205" s="3" t="str">
        <f>HYPERLINK(Таблица3[[#This Row],[RelativePath]])</f>
        <v>3 Въезд на базу\E33149364_8_20260113T095343Z.jpg</v>
      </c>
    </row>
    <row r="206" spans="1:13" x14ac:dyDescent="0.25">
      <c r="A206" t="s">
        <v>14</v>
      </c>
      <c r="B206" s="4">
        <v>46035</v>
      </c>
      <c r="C206" s="6">
        <v>0.41223379629629631</v>
      </c>
      <c r="D206" s="2" t="s">
        <v>261</v>
      </c>
      <c r="E206" t="s">
        <v>9073</v>
      </c>
      <c r="F206" t="s">
        <v>9074</v>
      </c>
      <c r="I206" t="s">
        <v>8866</v>
      </c>
      <c r="J206" t="s">
        <v>8864</v>
      </c>
      <c r="K206" t="s">
        <v>8867</v>
      </c>
      <c r="L206" t="s">
        <v>8868</v>
      </c>
      <c r="M206" s="3" t="str">
        <f>HYPERLINK(Таблица3[[#This Row],[RelativePath]])</f>
        <v>3 Въезд на базу\E33149364_8_20260113T095337Z.jpg</v>
      </c>
    </row>
    <row r="207" spans="1:13" x14ac:dyDescent="0.25">
      <c r="A207" t="s">
        <v>17</v>
      </c>
      <c r="B207" s="4">
        <v>46038</v>
      </c>
      <c r="C207" s="6">
        <v>0.39223379629629629</v>
      </c>
      <c r="D207" s="2" t="s">
        <v>261</v>
      </c>
      <c r="E207" t="s">
        <v>9403</v>
      </c>
      <c r="F207" t="s">
        <v>2899</v>
      </c>
      <c r="I207" t="s">
        <v>9389</v>
      </c>
      <c r="J207" t="s">
        <v>2940</v>
      </c>
      <c r="K207" t="s">
        <v>9390</v>
      </c>
      <c r="L207" t="s">
        <v>9391</v>
      </c>
      <c r="M207" s="3" t="str">
        <f>HYPERLINK(Таблица3[[#This Row],[RelativePath]])</f>
        <v>10 Сушилка навес\E33149364_3_20260116T092449Z.jpg</v>
      </c>
    </row>
    <row r="208" spans="1:13" x14ac:dyDescent="0.25">
      <c r="A208" t="s">
        <v>17</v>
      </c>
      <c r="B208" s="4">
        <v>46045</v>
      </c>
      <c r="C208" s="6">
        <v>0.59203703703703703</v>
      </c>
      <c r="D208" s="2" t="s">
        <v>261</v>
      </c>
      <c r="E208" t="s">
        <v>8250</v>
      </c>
      <c r="F208" t="s">
        <v>58</v>
      </c>
      <c r="H208" t="s">
        <v>10317</v>
      </c>
      <c r="I208" t="s">
        <v>10268</v>
      </c>
      <c r="J208" t="s">
        <v>2940</v>
      </c>
      <c r="K208" t="s">
        <v>10269</v>
      </c>
      <c r="L208" t="s">
        <v>10270</v>
      </c>
      <c r="M208" s="3" t="str">
        <f>HYPERLINK(Таблица3[[#This Row],[RelativePath]])</f>
        <v>10 Сушилка навес\E33149364_3_20260123T141232Z.jpg</v>
      </c>
    </row>
    <row r="209" spans="1:13" x14ac:dyDescent="0.25">
      <c r="A209" t="s">
        <v>17</v>
      </c>
      <c r="B209" s="4">
        <v>46045</v>
      </c>
      <c r="C209" s="6">
        <v>0.450625</v>
      </c>
      <c r="D209" s="2" t="s">
        <v>261</v>
      </c>
      <c r="E209" t="s">
        <v>8250</v>
      </c>
      <c r="F209" t="s">
        <v>58</v>
      </c>
      <c r="I209" t="s">
        <v>10251</v>
      </c>
      <c r="J209" t="s">
        <v>2948</v>
      </c>
      <c r="K209" t="s">
        <v>10252</v>
      </c>
      <c r="L209" t="s">
        <v>10253</v>
      </c>
      <c r="M209" s="3" t="str">
        <f>HYPERLINK(Таблица3[[#This Row],[RelativePath]])</f>
        <v>9 Ангар пилорама\E33149364_1_20260123T104854Z.jpg</v>
      </c>
    </row>
    <row r="210" spans="1:13" x14ac:dyDescent="0.25">
      <c r="A210" t="s">
        <v>17</v>
      </c>
      <c r="B210" s="4">
        <v>46045</v>
      </c>
      <c r="C210" s="6">
        <v>0.45423611111111112</v>
      </c>
      <c r="D210" s="2" t="s">
        <v>261</v>
      </c>
      <c r="E210" t="s">
        <v>8250</v>
      </c>
      <c r="F210" t="s">
        <v>58</v>
      </c>
      <c r="H210" t="s">
        <v>2891</v>
      </c>
      <c r="I210" t="s">
        <v>10254</v>
      </c>
      <c r="J210" t="s">
        <v>2948</v>
      </c>
      <c r="K210" t="s">
        <v>10255</v>
      </c>
      <c r="L210" t="s">
        <v>10256</v>
      </c>
      <c r="M210" s="3" t="str">
        <f>HYPERLINK(Таблица3[[#This Row],[RelativePath]])</f>
        <v>9 Ангар пилорама\E33149364_1_20260123T105406Z.jpg</v>
      </c>
    </row>
    <row r="211" spans="1:13" x14ac:dyDescent="0.25">
      <c r="A211" t="s">
        <v>16</v>
      </c>
      <c r="B211" s="4">
        <v>46051</v>
      </c>
      <c r="C211" s="6">
        <v>0.47310185185185183</v>
      </c>
      <c r="D211" s="2" t="s">
        <v>261</v>
      </c>
      <c r="E211" t="s">
        <v>10752</v>
      </c>
      <c r="F211" t="s">
        <v>2884</v>
      </c>
      <c r="G211">
        <v>1</v>
      </c>
      <c r="I211" t="s">
        <v>10523</v>
      </c>
      <c r="J211" t="s">
        <v>2944</v>
      </c>
      <c r="K211" t="s">
        <v>10524</v>
      </c>
      <c r="L211" t="s">
        <v>10525</v>
      </c>
      <c r="M211" s="3" t="str">
        <f>HYPERLINK(Таблица3[[#This Row],[RelativePath]])</f>
        <v>2 Пилорама поката\E33149364_7_20260129T112116Z.jpg</v>
      </c>
    </row>
    <row r="212" spans="1:13" x14ac:dyDescent="0.25">
      <c r="A212" t="s">
        <v>16</v>
      </c>
      <c r="B212" s="4">
        <v>46051</v>
      </c>
      <c r="C212" s="6">
        <v>0.47327546296296297</v>
      </c>
      <c r="D212" s="2" t="s">
        <v>261</v>
      </c>
      <c r="E212" t="s">
        <v>10752</v>
      </c>
      <c r="F212" t="s">
        <v>2884</v>
      </c>
      <c r="G212">
        <v>1</v>
      </c>
      <c r="H212" t="s">
        <v>2891</v>
      </c>
      <c r="I212" t="s">
        <v>10526</v>
      </c>
      <c r="J212" t="s">
        <v>2944</v>
      </c>
      <c r="K212" t="s">
        <v>10527</v>
      </c>
      <c r="L212" t="s">
        <v>10528</v>
      </c>
      <c r="M212" s="3" t="str">
        <f>HYPERLINK(Таблица3[[#This Row],[RelativePath]])</f>
        <v>2 Пилорама поката\E33149364_7_20260129T112131Z.jpg</v>
      </c>
    </row>
    <row r="213" spans="1:13" x14ac:dyDescent="0.25">
      <c r="A213" t="s">
        <v>16</v>
      </c>
      <c r="B213" s="4">
        <v>46051</v>
      </c>
      <c r="C213" s="6">
        <v>0.47359953703703705</v>
      </c>
      <c r="D213" s="2" t="s">
        <v>261</v>
      </c>
      <c r="E213" t="s">
        <v>10752</v>
      </c>
      <c r="F213" t="s">
        <v>2884</v>
      </c>
      <c r="G213">
        <v>1</v>
      </c>
      <c r="H213" t="s">
        <v>2891</v>
      </c>
      <c r="I213" t="s">
        <v>10529</v>
      </c>
      <c r="J213" t="s">
        <v>2944</v>
      </c>
      <c r="K213" t="s">
        <v>10530</v>
      </c>
      <c r="L213" t="s">
        <v>10531</v>
      </c>
      <c r="M213" s="3" t="str">
        <f>HYPERLINK(Таблица3[[#This Row],[RelativePath]])</f>
        <v>2 Пилорама поката\E33149364_7_20260129T112159Z.jpg</v>
      </c>
    </row>
    <row r="214" spans="1:13" x14ac:dyDescent="0.25">
      <c r="A214" t="s">
        <v>16</v>
      </c>
      <c r="B214" s="4">
        <v>46051</v>
      </c>
      <c r="C214" s="6">
        <v>0.4737615740740741</v>
      </c>
      <c r="D214" s="2" t="s">
        <v>261</v>
      </c>
      <c r="E214" t="s">
        <v>10752</v>
      </c>
      <c r="F214" t="s">
        <v>2884</v>
      </c>
      <c r="G214">
        <v>1</v>
      </c>
      <c r="H214" t="s">
        <v>2891</v>
      </c>
      <c r="I214" t="s">
        <v>10532</v>
      </c>
      <c r="J214" t="s">
        <v>2944</v>
      </c>
      <c r="K214" t="s">
        <v>10533</v>
      </c>
      <c r="L214" t="s">
        <v>10534</v>
      </c>
      <c r="M214" s="3" t="str">
        <f>HYPERLINK(Таблица3[[#This Row],[RelativePath]])</f>
        <v>2 Пилорама поката\E33149364_7_20260129T112213Z.jpg</v>
      </c>
    </row>
    <row r="215" spans="1:13" x14ac:dyDescent="0.25">
      <c r="A215" t="s">
        <v>17</v>
      </c>
      <c r="B215" s="4">
        <v>46052</v>
      </c>
      <c r="C215" s="6">
        <v>0.38785879629629627</v>
      </c>
      <c r="D215" s="2" t="s">
        <v>261</v>
      </c>
      <c r="E215" t="s">
        <v>70</v>
      </c>
      <c r="F215" t="s">
        <v>5027</v>
      </c>
      <c r="I215" t="s">
        <v>10777</v>
      </c>
      <c r="J215" t="s">
        <v>2946</v>
      </c>
      <c r="K215" t="s">
        <v>10778</v>
      </c>
      <c r="L215" t="s">
        <v>10779</v>
      </c>
      <c r="M215" s="3" t="str">
        <f>HYPERLINK(Таблица3[[#This Row],[RelativePath]])</f>
        <v>4 Крыльцо офиса\K07156189_21_20260130T091831Z.jpg</v>
      </c>
    </row>
    <row r="216" spans="1:13" x14ac:dyDescent="0.25">
      <c r="A216" t="s">
        <v>17</v>
      </c>
      <c r="B216" s="4">
        <v>46052</v>
      </c>
      <c r="C216" s="6">
        <v>0.38319444444444445</v>
      </c>
      <c r="D216" s="2" t="s">
        <v>261</v>
      </c>
      <c r="E216" t="s">
        <v>70</v>
      </c>
      <c r="F216" t="s">
        <v>10873</v>
      </c>
      <c r="I216" t="s">
        <v>10825</v>
      </c>
      <c r="J216" t="s">
        <v>2940</v>
      </c>
      <c r="K216" t="s">
        <v>10826</v>
      </c>
      <c r="L216" t="s">
        <v>10827</v>
      </c>
      <c r="M216" s="3" t="str">
        <f>HYPERLINK(Таблица3[[#This Row],[RelativePath]])</f>
        <v>10 Сушилка навес\E33149364_3_20260130T091148Z.jpg</v>
      </c>
    </row>
    <row r="217" spans="1:13" x14ac:dyDescent="0.25">
      <c r="A217" t="s">
        <v>17</v>
      </c>
      <c r="B217" s="4">
        <v>46052</v>
      </c>
      <c r="C217" s="6">
        <v>0.3832638888888889</v>
      </c>
      <c r="D217" s="2" t="s">
        <v>261</v>
      </c>
      <c r="E217" t="s">
        <v>70</v>
      </c>
      <c r="F217" t="s">
        <v>10873</v>
      </c>
      <c r="H217" t="s">
        <v>2891</v>
      </c>
      <c r="I217" t="s">
        <v>10828</v>
      </c>
      <c r="J217" t="s">
        <v>2940</v>
      </c>
      <c r="K217" t="s">
        <v>10829</v>
      </c>
      <c r="L217" t="s">
        <v>10830</v>
      </c>
      <c r="M217" s="3" t="str">
        <f>HYPERLINK(Таблица3[[#This Row],[RelativePath]])</f>
        <v>10 Сушилка навес\E33149364_3_20260130T091154Z.jpg</v>
      </c>
    </row>
    <row r="218" spans="1:13" x14ac:dyDescent="0.25">
      <c r="A218" t="s">
        <v>17</v>
      </c>
      <c r="B218" s="4">
        <v>46052</v>
      </c>
      <c r="C218" s="6">
        <v>0.38341435185185185</v>
      </c>
      <c r="D218" s="2" t="s">
        <v>261</v>
      </c>
      <c r="E218" t="s">
        <v>70</v>
      </c>
      <c r="F218" t="s">
        <v>10873</v>
      </c>
      <c r="H218" t="s">
        <v>2891</v>
      </c>
      <c r="I218" t="s">
        <v>10831</v>
      </c>
      <c r="J218" t="s">
        <v>2940</v>
      </c>
      <c r="K218" t="s">
        <v>10832</v>
      </c>
      <c r="L218" t="s">
        <v>10833</v>
      </c>
      <c r="M218" s="3" t="str">
        <f>HYPERLINK(Таблица3[[#This Row],[RelativePath]])</f>
        <v>10 Сушилка навес\E33149364_3_20260130T091207Z.jpg</v>
      </c>
    </row>
    <row r="219" spans="1:13" x14ac:dyDescent="0.25">
      <c r="A219" t="s">
        <v>17</v>
      </c>
      <c r="B219" s="4">
        <v>46052</v>
      </c>
      <c r="C219" s="6">
        <v>0.38377314814814817</v>
      </c>
      <c r="D219" s="2" t="s">
        <v>261</v>
      </c>
      <c r="E219" t="s">
        <v>70</v>
      </c>
      <c r="F219" t="s">
        <v>10873</v>
      </c>
      <c r="H219" t="s">
        <v>2891</v>
      </c>
      <c r="I219" t="s">
        <v>10834</v>
      </c>
      <c r="J219" t="s">
        <v>2940</v>
      </c>
      <c r="K219" t="s">
        <v>10835</v>
      </c>
      <c r="L219" t="s">
        <v>10836</v>
      </c>
      <c r="M219" s="3" t="str">
        <f>HYPERLINK(Таблица3[[#This Row],[RelativePath]])</f>
        <v>10 Сушилка навес\E33149364_3_20260130T091238Z.jpg</v>
      </c>
    </row>
    <row r="220" spans="1:13" x14ac:dyDescent="0.25">
      <c r="A220" t="s">
        <v>18</v>
      </c>
      <c r="B220" s="4">
        <v>46053</v>
      </c>
      <c r="C220" s="6">
        <v>0.49326388888888889</v>
      </c>
      <c r="D220" s="2" t="s">
        <v>261</v>
      </c>
      <c r="E220" t="s">
        <v>10988</v>
      </c>
      <c r="F220" t="s">
        <v>7081</v>
      </c>
      <c r="G220">
        <v>1</v>
      </c>
      <c r="I220" t="s">
        <v>10940</v>
      </c>
      <c r="J220" t="s">
        <v>2940</v>
      </c>
      <c r="K220" t="s">
        <v>10941</v>
      </c>
      <c r="L220" t="s">
        <v>10942</v>
      </c>
      <c r="M220" s="3" t="str">
        <f>HYPERLINK(Таблица3[[#This Row],[RelativePath]])</f>
        <v>10 Сушилка навес\E33149364_3_20260131T115018Z.jpg</v>
      </c>
    </row>
    <row r="221" spans="1:13" x14ac:dyDescent="0.25">
      <c r="A221" t="s">
        <v>18</v>
      </c>
      <c r="B221" s="4">
        <v>46053</v>
      </c>
      <c r="C221" s="6">
        <v>0.49449074074074073</v>
      </c>
      <c r="D221" s="2" t="s">
        <v>261</v>
      </c>
      <c r="E221" t="s">
        <v>10988</v>
      </c>
      <c r="F221" t="s">
        <v>7081</v>
      </c>
      <c r="G221">
        <v>1</v>
      </c>
      <c r="I221" t="s">
        <v>10943</v>
      </c>
      <c r="J221" t="s">
        <v>2940</v>
      </c>
      <c r="K221" t="s">
        <v>10944</v>
      </c>
      <c r="L221" t="s">
        <v>10945</v>
      </c>
      <c r="M221" s="3" t="str">
        <f>HYPERLINK(Таблица3[[#This Row],[RelativePath]])</f>
        <v>10 Сушилка навес\E33149364_3_20260131T115204Z.jpg</v>
      </c>
    </row>
    <row r="222" spans="1:13" x14ac:dyDescent="0.25">
      <c r="A222" t="s">
        <v>18</v>
      </c>
      <c r="B222" s="4">
        <v>46053</v>
      </c>
      <c r="C222" s="6">
        <v>0.49556712962962962</v>
      </c>
      <c r="D222" s="2" t="s">
        <v>261</v>
      </c>
      <c r="E222" t="s">
        <v>10988</v>
      </c>
      <c r="F222" t="s">
        <v>7081</v>
      </c>
      <c r="G222">
        <v>1</v>
      </c>
      <c r="I222" t="s">
        <v>10946</v>
      </c>
      <c r="J222" t="s">
        <v>2940</v>
      </c>
      <c r="K222" t="s">
        <v>10947</v>
      </c>
      <c r="L222" t="s">
        <v>10948</v>
      </c>
      <c r="M222" s="3" t="str">
        <f>HYPERLINK(Таблица3[[#This Row],[RelativePath]])</f>
        <v>10 Сушилка навес\E33149364_3_20260131T115337Z.jpg</v>
      </c>
    </row>
    <row r="223" spans="1:13" x14ac:dyDescent="0.25">
      <c r="A223" t="s">
        <v>18</v>
      </c>
      <c r="B223" s="4">
        <v>46053</v>
      </c>
      <c r="C223" s="6">
        <v>0.49659722222222225</v>
      </c>
      <c r="D223" s="2" t="s">
        <v>261</v>
      </c>
      <c r="E223" t="s">
        <v>10988</v>
      </c>
      <c r="F223" t="s">
        <v>7081</v>
      </c>
      <c r="G223">
        <v>1</v>
      </c>
      <c r="I223" t="s">
        <v>10949</v>
      </c>
      <c r="J223" t="s">
        <v>2940</v>
      </c>
      <c r="K223" t="s">
        <v>10950</v>
      </c>
      <c r="L223" t="s">
        <v>10951</v>
      </c>
      <c r="M223" s="3" t="str">
        <f>HYPERLINK(Таблица3[[#This Row],[RelativePath]])</f>
        <v>10 Сушилка навес\E33149364_3_20260131T115506Z.jpg</v>
      </c>
    </row>
    <row r="224" spans="1:13" x14ac:dyDescent="0.25">
      <c r="A224" t="s">
        <v>18</v>
      </c>
      <c r="B224" s="4">
        <v>46053</v>
      </c>
      <c r="C224" s="6">
        <v>0.49760416666666668</v>
      </c>
      <c r="D224" s="2" t="s">
        <v>261</v>
      </c>
      <c r="E224" t="s">
        <v>10988</v>
      </c>
      <c r="F224" t="s">
        <v>7081</v>
      </c>
      <c r="G224">
        <v>1</v>
      </c>
      <c r="I224" t="s">
        <v>10952</v>
      </c>
      <c r="J224" t="s">
        <v>2940</v>
      </c>
      <c r="K224" t="s">
        <v>10953</v>
      </c>
      <c r="L224" t="s">
        <v>10954</v>
      </c>
      <c r="M224" s="3" t="str">
        <f>HYPERLINK(Таблица3[[#This Row],[RelativePath]])</f>
        <v>10 Сушилка навес\E33149364_3_20260131T115633Z.jpg</v>
      </c>
    </row>
    <row r="225" spans="1:13" x14ac:dyDescent="0.25">
      <c r="A225" t="s">
        <v>18</v>
      </c>
      <c r="B225" s="4">
        <v>46053</v>
      </c>
      <c r="C225" s="6">
        <v>0.49864583333333334</v>
      </c>
      <c r="D225" s="2" t="s">
        <v>261</v>
      </c>
      <c r="E225" t="s">
        <v>10988</v>
      </c>
      <c r="F225" t="s">
        <v>7081</v>
      </c>
      <c r="G225">
        <v>1</v>
      </c>
      <c r="I225" t="s">
        <v>10955</v>
      </c>
      <c r="J225" t="s">
        <v>2940</v>
      </c>
      <c r="K225" t="s">
        <v>10956</v>
      </c>
      <c r="L225" t="s">
        <v>10957</v>
      </c>
      <c r="M225" s="3" t="str">
        <f>HYPERLINK(Таблица3[[#This Row],[RelativePath]])</f>
        <v>10 Сушилка навес\E33149364_3_20260131T115803Z.jpg</v>
      </c>
    </row>
    <row r="226" spans="1:13" x14ac:dyDescent="0.25">
      <c r="A226" t="s">
        <v>18</v>
      </c>
      <c r="B226" s="4">
        <v>46053</v>
      </c>
      <c r="C226" s="6">
        <v>0.49983796296296296</v>
      </c>
      <c r="D226" s="2" t="s">
        <v>261</v>
      </c>
      <c r="E226" t="s">
        <v>10988</v>
      </c>
      <c r="F226" t="s">
        <v>7081</v>
      </c>
      <c r="G226">
        <v>1</v>
      </c>
      <c r="I226" t="s">
        <v>10958</v>
      </c>
      <c r="J226" t="s">
        <v>2940</v>
      </c>
      <c r="K226" t="s">
        <v>10959</v>
      </c>
      <c r="L226" t="s">
        <v>10960</v>
      </c>
      <c r="M226" s="3" t="str">
        <f>HYPERLINK(Таблица3[[#This Row],[RelativePath]])</f>
        <v>10 Сушилка навес\E33149364_3_20260131T115946Z.jpg</v>
      </c>
    </row>
    <row r="227" spans="1:13" x14ac:dyDescent="0.25">
      <c r="A227" t="s">
        <v>18</v>
      </c>
      <c r="B227" s="4">
        <v>46053</v>
      </c>
      <c r="C227" s="6">
        <v>0.50087962962962962</v>
      </c>
      <c r="D227" s="2" t="s">
        <v>261</v>
      </c>
      <c r="E227" t="s">
        <v>10988</v>
      </c>
      <c r="F227" t="s">
        <v>7081</v>
      </c>
      <c r="G227">
        <v>1</v>
      </c>
      <c r="I227" t="s">
        <v>10961</v>
      </c>
      <c r="J227" t="s">
        <v>2940</v>
      </c>
      <c r="K227" t="s">
        <v>10962</v>
      </c>
      <c r="L227" t="s">
        <v>10963</v>
      </c>
      <c r="M227" s="3" t="str">
        <f>HYPERLINK(Таблица3[[#This Row],[RelativePath]])</f>
        <v>10 Сушилка навес\E33149364_3_20260131T120116Z.jpg</v>
      </c>
    </row>
    <row r="228" spans="1:13" x14ac:dyDescent="0.25">
      <c r="A228" t="s">
        <v>18</v>
      </c>
      <c r="B228" s="4">
        <v>46053</v>
      </c>
      <c r="C228" s="6">
        <v>0.50236111111111115</v>
      </c>
      <c r="D228" s="2" t="s">
        <v>261</v>
      </c>
      <c r="E228" t="s">
        <v>10988</v>
      </c>
      <c r="F228" t="s">
        <v>7081</v>
      </c>
      <c r="G228">
        <v>1</v>
      </c>
      <c r="I228" t="s">
        <v>10964</v>
      </c>
      <c r="J228" t="s">
        <v>2940</v>
      </c>
      <c r="K228" t="s">
        <v>10965</v>
      </c>
      <c r="L228" t="s">
        <v>10966</v>
      </c>
      <c r="M228" s="3" t="str">
        <f>HYPERLINK(Таблица3[[#This Row],[RelativePath]])</f>
        <v>10 Сушилка навес\E33149364_3_20260131T120324Z.jpg</v>
      </c>
    </row>
    <row r="229" spans="1:13" x14ac:dyDescent="0.25">
      <c r="A229" t="s">
        <v>18</v>
      </c>
      <c r="B229" s="4">
        <v>46053</v>
      </c>
      <c r="C229" s="6">
        <v>0.50332175925925926</v>
      </c>
      <c r="D229" s="2" t="s">
        <v>261</v>
      </c>
      <c r="E229" t="s">
        <v>10988</v>
      </c>
      <c r="F229" t="s">
        <v>7081</v>
      </c>
      <c r="G229">
        <v>1</v>
      </c>
      <c r="I229" t="s">
        <v>10967</v>
      </c>
      <c r="J229" t="s">
        <v>2940</v>
      </c>
      <c r="K229" t="s">
        <v>10968</v>
      </c>
      <c r="L229" t="s">
        <v>10969</v>
      </c>
      <c r="M229" s="3" t="str">
        <f>HYPERLINK(Таблица3[[#This Row],[RelativePath]])</f>
        <v>10 Сушилка навес\E33149364_3_20260131T120447Z.jpg</v>
      </c>
    </row>
    <row r="230" spans="1:13" x14ac:dyDescent="0.25">
      <c r="A230" t="s">
        <v>18</v>
      </c>
      <c r="B230" s="4">
        <v>46053</v>
      </c>
      <c r="C230" s="6">
        <v>0.50494212962962959</v>
      </c>
      <c r="D230" s="2" t="s">
        <v>261</v>
      </c>
      <c r="E230" t="s">
        <v>10988</v>
      </c>
      <c r="F230" t="s">
        <v>7081</v>
      </c>
      <c r="G230">
        <v>1</v>
      </c>
      <c r="I230" t="s">
        <v>10970</v>
      </c>
      <c r="J230" t="s">
        <v>2940</v>
      </c>
      <c r="K230" t="s">
        <v>10971</v>
      </c>
      <c r="L230" t="s">
        <v>10972</v>
      </c>
      <c r="M230" s="3" t="str">
        <f>HYPERLINK(Таблица3[[#This Row],[RelativePath]])</f>
        <v>10 Сушилка навес\E33149364_3_20260131T120707Z.jpg</v>
      </c>
    </row>
    <row r="231" spans="1:13" x14ac:dyDescent="0.25">
      <c r="A231" t="s">
        <v>14</v>
      </c>
      <c r="B231" s="4">
        <v>46056</v>
      </c>
      <c r="C231" s="6">
        <v>0.79167824074074078</v>
      </c>
      <c r="D231" s="2" t="s">
        <v>261</v>
      </c>
      <c r="E231" t="s">
        <v>6111</v>
      </c>
      <c r="F231" t="s">
        <v>11274</v>
      </c>
      <c r="I231" t="s">
        <v>11051</v>
      </c>
      <c r="J231" t="s">
        <v>2946</v>
      </c>
      <c r="K231" t="s">
        <v>11052</v>
      </c>
      <c r="L231" t="s">
        <v>11053</v>
      </c>
      <c r="M231" s="3" t="str">
        <f>HYPERLINK(Таблица3[[#This Row],[RelativePath]])</f>
        <v>4 Крыльцо офиса\K07156189_21_20260203T190001Z.jpg</v>
      </c>
    </row>
    <row r="232" spans="1:13" x14ac:dyDescent="0.25">
      <c r="A232" t="s">
        <v>14</v>
      </c>
      <c r="B232" s="4">
        <v>46056</v>
      </c>
      <c r="C232" s="6">
        <v>0.79401620370370374</v>
      </c>
      <c r="D232" s="2" t="s">
        <v>261</v>
      </c>
      <c r="E232" t="s">
        <v>6111</v>
      </c>
      <c r="F232" t="s">
        <v>11274</v>
      </c>
      <c r="I232" t="s">
        <v>11054</v>
      </c>
      <c r="J232" t="s">
        <v>2946</v>
      </c>
      <c r="K232" t="s">
        <v>11055</v>
      </c>
      <c r="L232" t="s">
        <v>11056</v>
      </c>
      <c r="M232" s="3" t="str">
        <f>HYPERLINK(Таблица3[[#This Row],[RelativePath]])</f>
        <v>4 Крыльцо офиса\K07156189_21_20260203T190323Z.jpg</v>
      </c>
    </row>
    <row r="233" spans="1:13" x14ac:dyDescent="0.25">
      <c r="A233" t="s">
        <v>16</v>
      </c>
      <c r="B233" s="4">
        <v>46058</v>
      </c>
      <c r="C233" s="6">
        <v>0.54972222222222222</v>
      </c>
      <c r="D233" s="2" t="s">
        <v>261</v>
      </c>
      <c r="E233" t="s">
        <v>70</v>
      </c>
      <c r="F233" t="s">
        <v>11489</v>
      </c>
      <c r="G233">
        <v>2</v>
      </c>
      <c r="I233" t="s">
        <v>11437</v>
      </c>
      <c r="J233" t="s">
        <v>2945</v>
      </c>
      <c r="K233" t="s">
        <v>11438</v>
      </c>
      <c r="L233" t="s">
        <v>11439</v>
      </c>
      <c r="M233" s="3" t="str">
        <f>HYPERLINK(Таблица3[[#This Row],[RelativePath]])</f>
        <v>3 Въезд на базу\E33149364_8_20260205T131136Z.jpg</v>
      </c>
    </row>
    <row r="234" spans="1:13" x14ac:dyDescent="0.25">
      <c r="A234" t="s">
        <v>16</v>
      </c>
      <c r="B234" s="4">
        <v>46072</v>
      </c>
      <c r="C234" s="6">
        <v>0.60603009259259255</v>
      </c>
      <c r="D234" s="2" t="s">
        <v>261</v>
      </c>
      <c r="E234" t="s">
        <v>12343</v>
      </c>
      <c r="F234" t="s">
        <v>504</v>
      </c>
      <c r="H234" t="s">
        <v>12346</v>
      </c>
      <c r="I234" t="s">
        <v>12268</v>
      </c>
      <c r="J234" t="s">
        <v>2943</v>
      </c>
      <c r="K234" t="s">
        <v>12269</v>
      </c>
      <c r="L234" t="s">
        <v>12270</v>
      </c>
      <c r="M234" s="3" t="str">
        <f>HYPERLINK(Таблица3[[#This Row],[RelativePath]])</f>
        <v>13 Склад хол\K07156189_23_20260219T143241Z.jpg</v>
      </c>
    </row>
    <row r="235" spans="1:13" x14ac:dyDescent="0.25">
      <c r="A235" t="s">
        <v>16</v>
      </c>
      <c r="B235" s="4">
        <v>46072</v>
      </c>
      <c r="C235" s="6">
        <v>0.60628472222222218</v>
      </c>
      <c r="D235" s="2" t="s">
        <v>261</v>
      </c>
      <c r="E235" t="s">
        <v>12343</v>
      </c>
      <c r="F235" t="s">
        <v>504</v>
      </c>
      <c r="H235" t="s">
        <v>2891</v>
      </c>
      <c r="I235" t="s">
        <v>12271</v>
      </c>
      <c r="J235" t="s">
        <v>2943</v>
      </c>
      <c r="K235" t="s">
        <v>12272</v>
      </c>
      <c r="L235" t="s">
        <v>12273</v>
      </c>
      <c r="M235" s="3" t="str">
        <f>HYPERLINK(Таблица3[[#This Row],[RelativePath]])</f>
        <v>13 Склад хол\K07156189_23_20260219T143303Z.jpg</v>
      </c>
    </row>
    <row r="236" spans="1:13" x14ac:dyDescent="0.25">
      <c r="A236" t="s">
        <v>16</v>
      </c>
      <c r="B236" s="4">
        <v>46072</v>
      </c>
      <c r="C236" s="6">
        <v>0.60662037037037042</v>
      </c>
      <c r="D236" s="2" t="s">
        <v>261</v>
      </c>
      <c r="E236" t="s">
        <v>12343</v>
      </c>
      <c r="F236" t="s">
        <v>504</v>
      </c>
      <c r="H236" t="s">
        <v>12347</v>
      </c>
      <c r="I236" t="s">
        <v>12274</v>
      </c>
      <c r="J236" t="s">
        <v>2943</v>
      </c>
      <c r="K236" t="s">
        <v>12275</v>
      </c>
      <c r="L236" t="s">
        <v>12276</v>
      </c>
      <c r="M236" s="3" t="str">
        <f>HYPERLINK(Таблица3[[#This Row],[RelativePath]])</f>
        <v>13 Склад хол\K07156189_23_20260219T143332Z.jpg</v>
      </c>
    </row>
    <row r="237" spans="1:13" x14ac:dyDescent="0.25">
      <c r="A237" t="s">
        <v>13</v>
      </c>
      <c r="B237" s="4">
        <v>46076</v>
      </c>
      <c r="C237" s="6">
        <v>0.40337962962962964</v>
      </c>
      <c r="D237" s="2" t="s">
        <v>261</v>
      </c>
      <c r="E237" t="s">
        <v>12777</v>
      </c>
      <c r="F237" t="s">
        <v>621</v>
      </c>
      <c r="H237" t="s">
        <v>2891</v>
      </c>
      <c r="I237" t="s">
        <v>12710</v>
      </c>
      <c r="J237" t="s">
        <v>2938</v>
      </c>
      <c r="K237" t="s">
        <v>12711</v>
      </c>
      <c r="L237" t="s">
        <v>12712</v>
      </c>
      <c r="M237" s="3" t="str">
        <f>HYPERLINK(Таблица3[[#This Row],[RelativePath]])</f>
        <v>6 Площадка 1 общага\826398429_1_20260223T094052Z.jpg</v>
      </c>
    </row>
    <row r="238" spans="1:13" x14ac:dyDescent="0.25">
      <c r="A238" t="s">
        <v>13</v>
      </c>
      <c r="B238" s="4">
        <v>46076</v>
      </c>
      <c r="C238" s="6">
        <v>0.40519675925925924</v>
      </c>
      <c r="D238" s="2" t="s">
        <v>261</v>
      </c>
      <c r="E238" t="s">
        <v>12777</v>
      </c>
      <c r="F238" t="s">
        <v>621</v>
      </c>
      <c r="H238" t="s">
        <v>2891</v>
      </c>
      <c r="I238" t="s">
        <v>12713</v>
      </c>
      <c r="J238" t="s">
        <v>2938</v>
      </c>
      <c r="K238" t="s">
        <v>12714</v>
      </c>
      <c r="L238" t="s">
        <v>12715</v>
      </c>
      <c r="M238" s="3" t="str">
        <f>HYPERLINK(Таблица3[[#This Row],[RelativePath]])</f>
        <v>6 Площадка 1 общага\826398429_1_20260223T094329Z.jpg</v>
      </c>
    </row>
    <row r="239" spans="1:13" x14ac:dyDescent="0.25">
      <c r="A239" t="s">
        <v>13</v>
      </c>
      <c r="B239" s="4">
        <v>46076</v>
      </c>
      <c r="C239" s="6">
        <v>0.39706018518518521</v>
      </c>
      <c r="D239" s="2" t="s">
        <v>261</v>
      </c>
      <c r="E239" t="s">
        <v>12776</v>
      </c>
      <c r="F239" t="s">
        <v>621</v>
      </c>
      <c r="H239" t="s">
        <v>2891</v>
      </c>
      <c r="I239" t="s">
        <v>12704</v>
      </c>
      <c r="J239" t="s">
        <v>2938</v>
      </c>
      <c r="K239" t="s">
        <v>12705</v>
      </c>
      <c r="L239" t="s">
        <v>12706</v>
      </c>
      <c r="M239" s="3" t="str">
        <f>HYPERLINK(Таблица3[[#This Row],[RelativePath]])</f>
        <v>6 Площадка 1 общага\826398429_1_20260223T093146Z.jpg</v>
      </c>
    </row>
    <row r="240" spans="1:13" x14ac:dyDescent="0.25">
      <c r="A240" t="s">
        <v>13</v>
      </c>
      <c r="B240" s="4">
        <v>46076</v>
      </c>
      <c r="C240" s="6">
        <v>0.40009259259259261</v>
      </c>
      <c r="D240" s="2" t="s">
        <v>261</v>
      </c>
      <c r="E240" t="s">
        <v>12776</v>
      </c>
      <c r="F240" t="s">
        <v>621</v>
      </c>
      <c r="H240" t="s">
        <v>2891</v>
      </c>
      <c r="I240" t="s">
        <v>12707</v>
      </c>
      <c r="J240" t="s">
        <v>2938</v>
      </c>
      <c r="K240" t="s">
        <v>12708</v>
      </c>
      <c r="L240" t="s">
        <v>12709</v>
      </c>
      <c r="M240" s="3" t="str">
        <f>HYPERLINK(Таблица3[[#This Row],[RelativePath]])</f>
        <v>6 Площадка 1 общага\826398429_1_20260223T093608Z.jpg</v>
      </c>
    </row>
    <row r="241" spans="1:13" x14ac:dyDescent="0.25">
      <c r="A241" t="s">
        <v>13</v>
      </c>
      <c r="B241" s="4">
        <v>46076</v>
      </c>
      <c r="C241" s="6">
        <v>0.40694444444444444</v>
      </c>
      <c r="D241" s="2" t="s">
        <v>261</v>
      </c>
      <c r="E241" t="s">
        <v>12777</v>
      </c>
      <c r="F241" t="s">
        <v>621</v>
      </c>
      <c r="H241" t="s">
        <v>2891</v>
      </c>
      <c r="I241" t="s">
        <v>12716</v>
      </c>
      <c r="J241" t="s">
        <v>2938</v>
      </c>
      <c r="K241" t="s">
        <v>12717</v>
      </c>
      <c r="L241" t="s">
        <v>12718</v>
      </c>
      <c r="M241" s="3" t="str">
        <f>HYPERLINK(Таблица3[[#This Row],[RelativePath]])</f>
        <v>6 Площадка 1 общага\826398429_1_20260223T094600Z.jpg</v>
      </c>
    </row>
    <row r="242" spans="1:13" x14ac:dyDescent="0.25">
      <c r="A242" t="s">
        <v>13</v>
      </c>
      <c r="B242" s="4">
        <v>46076</v>
      </c>
      <c r="C242" s="6">
        <v>0.41336805555555556</v>
      </c>
      <c r="D242" s="2" t="s">
        <v>261</v>
      </c>
      <c r="E242" t="s">
        <v>12777</v>
      </c>
      <c r="F242" t="s">
        <v>621</v>
      </c>
      <c r="H242" t="s">
        <v>2891</v>
      </c>
      <c r="I242" t="s">
        <v>12725</v>
      </c>
      <c r="J242" t="s">
        <v>2938</v>
      </c>
      <c r="K242" t="s">
        <v>12726</v>
      </c>
      <c r="L242" t="s">
        <v>12727</v>
      </c>
      <c r="M242" s="3" t="str">
        <f>HYPERLINK(Таблица3[[#This Row],[RelativePath]])</f>
        <v>6 Площадка 1 общага\826398429_1_20260223T095515Z.jpg</v>
      </c>
    </row>
    <row r="243" spans="1:13" x14ac:dyDescent="0.25">
      <c r="A243" t="s">
        <v>13</v>
      </c>
      <c r="B243" s="4">
        <v>46076</v>
      </c>
      <c r="C243" s="6">
        <v>0.41523148148148148</v>
      </c>
      <c r="D243" s="2" t="s">
        <v>261</v>
      </c>
      <c r="E243" t="s">
        <v>12777</v>
      </c>
      <c r="F243" t="s">
        <v>621</v>
      </c>
      <c r="H243" t="s">
        <v>2891</v>
      </c>
      <c r="I243" t="s">
        <v>12728</v>
      </c>
      <c r="J243" t="s">
        <v>2938</v>
      </c>
      <c r="K243" t="s">
        <v>12729</v>
      </c>
      <c r="L243" t="s">
        <v>12730</v>
      </c>
      <c r="M243" s="3" t="str">
        <f>HYPERLINK(Таблица3[[#This Row],[RelativePath]])</f>
        <v>6 Площадка 1 общага\826398429_1_20260223T095756Z.jpg</v>
      </c>
    </row>
    <row r="244" spans="1:13" x14ac:dyDescent="0.25">
      <c r="A244" t="s">
        <v>13</v>
      </c>
      <c r="B244" s="4">
        <v>46076</v>
      </c>
      <c r="C244" s="6">
        <v>0.40980324074074076</v>
      </c>
      <c r="D244" s="2" t="s">
        <v>261</v>
      </c>
      <c r="E244" t="s">
        <v>12777</v>
      </c>
      <c r="F244" t="s">
        <v>621</v>
      </c>
      <c r="H244" t="s">
        <v>2891</v>
      </c>
      <c r="I244" t="s">
        <v>12719</v>
      </c>
      <c r="J244" t="s">
        <v>2938</v>
      </c>
      <c r="K244" t="s">
        <v>12720</v>
      </c>
      <c r="L244" t="s">
        <v>12721</v>
      </c>
      <c r="M244" s="3" t="str">
        <f>HYPERLINK(Таблица3[[#This Row],[RelativePath]])</f>
        <v>6 Площадка 1 общага\826398429_1_20260223T095007Z.jpg</v>
      </c>
    </row>
    <row r="245" spans="1:13" x14ac:dyDescent="0.25">
      <c r="A245" t="s">
        <v>13</v>
      </c>
      <c r="B245" s="4">
        <v>46076</v>
      </c>
      <c r="C245" s="6">
        <v>0.41170138888888891</v>
      </c>
      <c r="D245" s="2" t="s">
        <v>261</v>
      </c>
      <c r="E245" t="s">
        <v>12777</v>
      </c>
      <c r="F245" t="s">
        <v>621</v>
      </c>
      <c r="H245" t="s">
        <v>2891</v>
      </c>
      <c r="I245" t="s">
        <v>12722</v>
      </c>
      <c r="J245" t="s">
        <v>2938</v>
      </c>
      <c r="K245" t="s">
        <v>12723</v>
      </c>
      <c r="L245" t="s">
        <v>12724</v>
      </c>
      <c r="M245" s="3" t="str">
        <f>HYPERLINK(Таблица3[[#This Row],[RelativePath]])</f>
        <v>6 Площадка 1 общага\826398429_1_20260223T095251Z.jpg</v>
      </c>
    </row>
    <row r="246" spans="1:13" x14ac:dyDescent="0.25">
      <c r="A246" t="s">
        <v>13</v>
      </c>
      <c r="B246" s="4">
        <v>46076</v>
      </c>
      <c r="C246" s="6">
        <v>0.39396990740740739</v>
      </c>
      <c r="D246" s="2" t="s">
        <v>261</v>
      </c>
      <c r="E246" t="s">
        <v>12776</v>
      </c>
      <c r="F246" t="s">
        <v>621</v>
      </c>
      <c r="H246" t="s">
        <v>2891</v>
      </c>
      <c r="I246" t="s">
        <v>12701</v>
      </c>
      <c r="J246" t="s">
        <v>2938</v>
      </c>
      <c r="K246" t="s">
        <v>12702</v>
      </c>
      <c r="L246" t="s">
        <v>12703</v>
      </c>
      <c r="M246" s="3" t="str">
        <f>HYPERLINK(Таблица3[[#This Row],[RelativePath]])</f>
        <v>6 Площадка 1 общага\826398429_1_20260223T092719Z.jpg</v>
      </c>
    </row>
    <row r="247" spans="1:13" x14ac:dyDescent="0.25">
      <c r="A247" t="s">
        <v>13</v>
      </c>
      <c r="B247" s="4">
        <v>46076</v>
      </c>
      <c r="C247" s="6">
        <v>0.34070601851851851</v>
      </c>
      <c r="D247" s="2" t="s">
        <v>261</v>
      </c>
      <c r="I247" t="s">
        <v>12647</v>
      </c>
      <c r="J247" t="s">
        <v>12646</v>
      </c>
      <c r="K247" t="s">
        <v>12648</v>
      </c>
      <c r="L247" t="s">
        <v>12649</v>
      </c>
      <c r="M247" s="3" t="str">
        <f>HYPERLINK(Таблица3[[#This Row],[RelativePath]])</f>
        <v>5 Крыльцо общага\K07156189_22_20260223T081037Z.jpg</v>
      </c>
    </row>
    <row r="248" spans="1:13" x14ac:dyDescent="0.25">
      <c r="A248" t="s">
        <v>13</v>
      </c>
      <c r="B248" s="4">
        <v>46076</v>
      </c>
      <c r="C248" s="6">
        <v>0.35872685185185182</v>
      </c>
      <c r="D248" s="2" t="s">
        <v>261</v>
      </c>
      <c r="E248" t="s">
        <v>12776</v>
      </c>
      <c r="F248" t="s">
        <v>621</v>
      </c>
      <c r="I248" t="s">
        <v>12677</v>
      </c>
      <c r="J248" t="s">
        <v>2938</v>
      </c>
      <c r="K248" t="s">
        <v>12678</v>
      </c>
      <c r="L248" t="s">
        <v>12679</v>
      </c>
      <c r="M248" s="3" t="str">
        <f>HYPERLINK(Таблица3[[#This Row],[RelativePath]])</f>
        <v>6 Площадка 1 общага\826398429_1_20260223T083634Z.jpg</v>
      </c>
    </row>
    <row r="249" spans="1:13" x14ac:dyDescent="0.25">
      <c r="A249" t="s">
        <v>13</v>
      </c>
      <c r="B249" s="4">
        <v>46076</v>
      </c>
      <c r="C249" s="6">
        <v>0.34234953703703702</v>
      </c>
      <c r="D249" s="2" t="s">
        <v>261</v>
      </c>
      <c r="E249" t="s">
        <v>12776</v>
      </c>
      <c r="F249" t="s">
        <v>621</v>
      </c>
      <c r="H249" t="s">
        <v>2891</v>
      </c>
      <c r="I249" t="s">
        <v>12653</v>
      </c>
      <c r="J249" t="s">
        <v>2937</v>
      </c>
      <c r="K249" t="s">
        <v>12654</v>
      </c>
      <c r="L249" t="s">
        <v>12655</v>
      </c>
      <c r="M249" s="3" t="str">
        <f>HYPERLINK(Таблица3[[#This Row],[RelativePath]])</f>
        <v>5 Крыльцо общага\K07156189_22_20260223T081259Z.jpg</v>
      </c>
    </row>
    <row r="250" spans="1:13" x14ac:dyDescent="0.25">
      <c r="A250" t="s">
        <v>13</v>
      </c>
      <c r="B250" s="4">
        <v>46076</v>
      </c>
      <c r="C250" s="6">
        <v>0.34180555555555553</v>
      </c>
      <c r="D250" s="2" t="s">
        <v>261</v>
      </c>
      <c r="E250" t="s">
        <v>12776</v>
      </c>
      <c r="F250" t="s">
        <v>621</v>
      </c>
      <c r="H250" t="s">
        <v>2891</v>
      </c>
      <c r="I250" t="s">
        <v>12650</v>
      </c>
      <c r="J250" t="s">
        <v>2937</v>
      </c>
      <c r="K250" t="s">
        <v>12651</v>
      </c>
      <c r="L250" t="s">
        <v>12652</v>
      </c>
      <c r="M250" s="3" t="str">
        <f>HYPERLINK(Таблица3[[#This Row],[RelativePath]])</f>
        <v>5 Крыльцо общага\K07156189_22_20260223T081212Z.jpg</v>
      </c>
    </row>
    <row r="251" spans="1:13" x14ac:dyDescent="0.25">
      <c r="A251" t="s">
        <v>13</v>
      </c>
      <c r="B251" s="4">
        <v>46076</v>
      </c>
      <c r="C251" s="6">
        <v>0.36371527777777779</v>
      </c>
      <c r="D251" s="2" t="s">
        <v>261</v>
      </c>
      <c r="E251" t="s">
        <v>12776</v>
      </c>
      <c r="F251" t="s">
        <v>621</v>
      </c>
      <c r="H251" t="s">
        <v>2891</v>
      </c>
      <c r="I251" t="s">
        <v>12680</v>
      </c>
      <c r="J251" t="s">
        <v>2938</v>
      </c>
      <c r="K251" t="s">
        <v>12681</v>
      </c>
      <c r="L251" t="s">
        <v>12682</v>
      </c>
      <c r="M251" s="3" t="str">
        <f>HYPERLINK(Таблица3[[#This Row],[RelativePath]])</f>
        <v>6 Площадка 1 общага\826398429_1_20260223T084345Z.jpg</v>
      </c>
    </row>
    <row r="252" spans="1:13" x14ac:dyDescent="0.25">
      <c r="A252" t="s">
        <v>13</v>
      </c>
      <c r="B252" s="4">
        <v>46076</v>
      </c>
      <c r="C252" s="6">
        <v>0.39024305555555555</v>
      </c>
      <c r="D252" s="2" t="s">
        <v>261</v>
      </c>
      <c r="E252" t="s">
        <v>12776</v>
      </c>
      <c r="F252" t="s">
        <v>621</v>
      </c>
      <c r="H252" t="s">
        <v>2891</v>
      </c>
      <c r="I252" t="s">
        <v>12695</v>
      </c>
      <c r="J252" t="s">
        <v>2938</v>
      </c>
      <c r="K252" t="s">
        <v>12696</v>
      </c>
      <c r="L252" t="s">
        <v>12697</v>
      </c>
      <c r="M252" s="3" t="str">
        <f>HYPERLINK(Таблица3[[#This Row],[RelativePath]])</f>
        <v>6 Площадка 1 общага\826398429_1_20260223T092157Z.jpg</v>
      </c>
    </row>
    <row r="253" spans="1:13" x14ac:dyDescent="0.25">
      <c r="A253" t="s">
        <v>13</v>
      </c>
      <c r="B253" s="4">
        <v>46076</v>
      </c>
      <c r="C253" s="6">
        <v>0.39246527777777779</v>
      </c>
      <c r="D253" s="2" t="s">
        <v>261</v>
      </c>
      <c r="E253" t="s">
        <v>12776</v>
      </c>
      <c r="F253" t="s">
        <v>621</v>
      </c>
      <c r="H253" t="s">
        <v>2891</v>
      </c>
      <c r="I253" t="s">
        <v>12698</v>
      </c>
      <c r="J253" t="s">
        <v>2938</v>
      </c>
      <c r="K253" t="s">
        <v>12699</v>
      </c>
      <c r="L253" t="s">
        <v>12700</v>
      </c>
      <c r="M253" s="3" t="str">
        <f>HYPERLINK(Таблица3[[#This Row],[RelativePath]])</f>
        <v>6 Площадка 1 общага\826398429_1_20260223T092509Z.jpg</v>
      </c>
    </row>
    <row r="254" spans="1:13" x14ac:dyDescent="0.25">
      <c r="A254" t="s">
        <v>13</v>
      </c>
      <c r="B254" s="4">
        <v>46076</v>
      </c>
      <c r="C254" s="6">
        <v>0.37709490740740742</v>
      </c>
      <c r="D254" s="2" t="s">
        <v>261</v>
      </c>
      <c r="E254" t="s">
        <v>12777</v>
      </c>
      <c r="F254" t="s">
        <v>621</v>
      </c>
      <c r="I254" t="s">
        <v>12686</v>
      </c>
      <c r="J254" t="s">
        <v>2938</v>
      </c>
      <c r="K254" t="s">
        <v>12687</v>
      </c>
      <c r="L254" t="s">
        <v>12688</v>
      </c>
      <c r="M254" s="3" t="str">
        <f>HYPERLINK(Таблица3[[#This Row],[RelativePath]])</f>
        <v>6 Площадка 1 общага\826398429_1_20260223T090301Z.jpg</v>
      </c>
    </row>
    <row r="255" spans="1:13" x14ac:dyDescent="0.25">
      <c r="A255" t="s">
        <v>13</v>
      </c>
      <c r="B255" s="4">
        <v>46076</v>
      </c>
      <c r="C255" s="6">
        <v>0.37910879629629629</v>
      </c>
      <c r="D255" s="2" t="s">
        <v>261</v>
      </c>
      <c r="E255" t="s">
        <v>12777</v>
      </c>
      <c r="F255" t="s">
        <v>621</v>
      </c>
      <c r="H255" t="s">
        <v>2891</v>
      </c>
      <c r="I255" t="s">
        <v>12689</v>
      </c>
      <c r="J255" t="s">
        <v>2938</v>
      </c>
      <c r="K255" t="s">
        <v>12690</v>
      </c>
      <c r="L255" t="s">
        <v>12691</v>
      </c>
      <c r="M255" s="3" t="str">
        <f>HYPERLINK(Таблица3[[#This Row],[RelativePath]])</f>
        <v>6 Площадка 1 общага\826398429_1_20260223T090555Z.jpg</v>
      </c>
    </row>
  </sheetData>
  <phoneticPr fontId="2" type="noConversion"/>
  <conditionalFormatting sqref="E256:E277 D2:E255">
    <cfRule type="containsText" dxfId="150" priority="7" operator="containsText" text="Выезд с территории">
      <formula>NOT(ISERROR(SEARCH("Выезд с территории",D2)))</formula>
    </cfRule>
  </conditionalFormatting>
  <conditionalFormatting sqref="D2:D255">
    <cfRule type="containsText" dxfId="149" priority="6" operator="containsText" text="Въезд на второстепенную дорогу">
      <formula>NOT(ISERROR(SEARCH("Въезд на второстепенную дорогу",D2)))</formula>
    </cfRule>
  </conditionalFormatting>
  <conditionalFormatting sqref="D2:D255">
    <cfRule type="containsText" dxfId="148" priority="5" operator="containsText" text="Выезд со второстепенной дороги">
      <formula>NOT(ISERROR(SEARCH("Выезд со второстепенной дороги",D2)))</formula>
    </cfRule>
  </conditionalFormatting>
  <conditionalFormatting sqref="E2:E277">
    <cfRule type="containsText" dxfId="147" priority="2" operator="containsText" text="Газель базы">
      <formula>NOT(ISERROR(SEARCH("Газель базы",E2)))</formula>
    </cfRule>
    <cfRule type="containsText" dxfId="146" priority="3" operator="containsText" text="Погрузчик базы">
      <formula>NOT(ISERROR(SEARCH("Погрузчик базы",E2)))</formula>
    </cfRule>
  </conditionalFormatting>
  <conditionalFormatting sqref="E2:E277">
    <cfRule type="containsText" dxfId="145" priority="1" operator="containsText" text="Трактор базы">
      <formula>NOT(ISERROR(SEARCH("Трактор базы",E2)))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E091-B3AA-47FB-B6E2-23B6E4D1B839}">
  <sheetPr>
    <tabColor rgb="FFFF0000"/>
  </sheetPr>
  <dimension ref="A1:M165"/>
  <sheetViews>
    <sheetView zoomScale="80" zoomScaleNormal="80" workbookViewId="0">
      <selection sqref="A1:M157"/>
    </sheetView>
  </sheetViews>
  <sheetFormatPr defaultRowHeight="15" x14ac:dyDescent="0.25"/>
  <cols>
    <col min="1" max="1" width="10.140625" bestFit="1" customWidth="1"/>
    <col min="2" max="2" width="10.85546875" style="4" bestFit="1" customWidth="1"/>
    <col min="3" max="3" width="8.7109375" style="6" bestFit="1" customWidth="1"/>
    <col min="4" max="4" width="46.28515625" style="2" bestFit="1" customWidth="1"/>
    <col min="5" max="5" width="62" bestFit="1" customWidth="1"/>
    <col min="6" max="6" width="33.7109375" bestFit="1" customWidth="1"/>
    <col min="7" max="7" width="7.42578125" bestFit="1" customWidth="1"/>
    <col min="8" max="8" width="81.140625" bestFit="1" customWidth="1"/>
    <col min="9" max="9" width="40" hidden="1" customWidth="1"/>
    <col min="10" max="10" width="61.42578125" hidden="1" customWidth="1"/>
    <col min="11" max="11" width="58.85546875" hidden="1" customWidth="1"/>
    <col min="12" max="12" width="23.28515625" hidden="1" customWidth="1"/>
    <col min="13" max="13" width="59.140625" bestFit="1" customWidth="1"/>
  </cols>
  <sheetData>
    <row r="1" spans="1:13" x14ac:dyDescent="0.25">
      <c r="A1" t="s">
        <v>61</v>
      </c>
      <c r="B1" s="4" t="s">
        <v>0</v>
      </c>
      <c r="C1" s="6" t="s">
        <v>1</v>
      </c>
      <c r="D1" s="2" t="s">
        <v>2</v>
      </c>
      <c r="E1" t="s">
        <v>3</v>
      </c>
      <c r="F1" t="s">
        <v>52</v>
      </c>
      <c r="G1" t="s">
        <v>54</v>
      </c>
      <c r="H1" t="s">
        <v>57</v>
      </c>
      <c r="I1" t="s">
        <v>25</v>
      </c>
      <c r="J1" t="s">
        <v>24</v>
      </c>
      <c r="K1" t="s">
        <v>23</v>
      </c>
      <c r="L1" t="s">
        <v>43</v>
      </c>
      <c r="M1" t="s">
        <v>90</v>
      </c>
    </row>
    <row r="2" spans="1:13" x14ac:dyDescent="0.25">
      <c r="A2" t="s">
        <v>13</v>
      </c>
      <c r="B2" s="4">
        <v>45971</v>
      </c>
      <c r="C2" s="6">
        <v>0.51984953703703707</v>
      </c>
      <c r="D2" s="7" t="s">
        <v>62</v>
      </c>
      <c r="E2" t="s">
        <v>56</v>
      </c>
      <c r="F2" t="s">
        <v>53</v>
      </c>
      <c r="G2">
        <v>3</v>
      </c>
      <c r="I2" s="9" t="s">
        <v>29</v>
      </c>
      <c r="J2" s="9" t="s">
        <v>2936</v>
      </c>
      <c r="K2" t="s">
        <v>3064</v>
      </c>
      <c r="L2" t="s">
        <v>3065</v>
      </c>
      <c r="M2" s="3" t="str">
        <f>HYPERLINK(СторонТрансп[[#This Row],[RelativePath]])</f>
        <v>1 Ангар Склад 2 въезд\E33149364_6_20251110T122835Z.jpg</v>
      </c>
    </row>
    <row r="3" spans="1:13" x14ac:dyDescent="0.25">
      <c r="A3" t="s">
        <v>13</v>
      </c>
      <c r="B3" s="4">
        <v>45971</v>
      </c>
      <c r="C3" s="6">
        <v>0.5006018518518518</v>
      </c>
      <c r="D3" s="7" t="s">
        <v>91</v>
      </c>
      <c r="E3" t="s">
        <v>56</v>
      </c>
      <c r="F3" t="s">
        <v>51</v>
      </c>
      <c r="I3" s="9" t="s">
        <v>28</v>
      </c>
      <c r="J3" s="9" t="s">
        <v>2936</v>
      </c>
      <c r="K3" t="s">
        <v>3062</v>
      </c>
      <c r="L3" t="s">
        <v>3063</v>
      </c>
      <c r="M3" s="3" t="str">
        <f>HYPERLINK(СторонТрансп[[#This Row],[RelativePath]])</f>
        <v>1 Ангар Склад 2 въезд\E33149364_6_20251110T120052Z.jpg</v>
      </c>
    </row>
    <row r="4" spans="1:13" x14ac:dyDescent="0.25">
      <c r="A4" t="s">
        <v>13</v>
      </c>
      <c r="B4" s="4">
        <v>45971</v>
      </c>
      <c r="C4" s="6">
        <v>0.50054398148148149</v>
      </c>
      <c r="D4" s="7" t="s">
        <v>91</v>
      </c>
      <c r="E4" t="s">
        <v>56</v>
      </c>
      <c r="F4" t="s">
        <v>51</v>
      </c>
      <c r="I4" s="9" t="s">
        <v>27</v>
      </c>
      <c r="J4" s="9" t="s">
        <v>2936</v>
      </c>
      <c r="K4" t="s">
        <v>3060</v>
      </c>
      <c r="L4" t="s">
        <v>3061</v>
      </c>
      <c r="M4" s="3" t="str">
        <f>HYPERLINK(СторонТрансп[[#This Row],[RelativePath]])</f>
        <v>1 Ангар Склад 2 въезд\E33149364_6_20251110T120047Z.jpg</v>
      </c>
    </row>
    <row r="5" spans="1:13" x14ac:dyDescent="0.25">
      <c r="A5" t="s">
        <v>14</v>
      </c>
      <c r="B5" s="4">
        <v>45972</v>
      </c>
      <c r="C5" s="6">
        <v>0.44353009259259257</v>
      </c>
      <c r="D5" s="7" t="s">
        <v>444</v>
      </c>
      <c r="E5" t="s">
        <v>67</v>
      </c>
      <c r="F5" t="s">
        <v>440</v>
      </c>
      <c r="I5" s="9" t="s">
        <v>387</v>
      </c>
      <c r="J5" s="9" t="s">
        <v>2937</v>
      </c>
      <c r="K5" t="s">
        <v>388</v>
      </c>
      <c r="L5" t="s">
        <v>389</v>
      </c>
      <c r="M5" s="3" t="str">
        <f>HYPERLINK(СторонТрансп[[#This Row],[RelativePath]])</f>
        <v>5 Крыльцо общага\K07156189_22_20251111T103841Z.jpg</v>
      </c>
    </row>
    <row r="6" spans="1:13" x14ac:dyDescent="0.25">
      <c r="A6" t="s">
        <v>14</v>
      </c>
      <c r="B6" s="4">
        <v>45972</v>
      </c>
      <c r="C6" s="6">
        <v>0.45118055555555553</v>
      </c>
      <c r="D6" s="7" t="s">
        <v>89</v>
      </c>
      <c r="E6" t="s">
        <v>63</v>
      </c>
      <c r="F6" t="s">
        <v>51</v>
      </c>
      <c r="I6" s="9" t="s">
        <v>36</v>
      </c>
      <c r="J6" s="9" t="s">
        <v>2936</v>
      </c>
      <c r="K6" t="s">
        <v>3078</v>
      </c>
      <c r="L6" t="s">
        <v>3079</v>
      </c>
      <c r="M6" s="3" t="str">
        <f>HYPERLINK(СторонТрансп[[#This Row],[RelativePath]])</f>
        <v>1 Ангар Склад 2 въезд\E33149364_6_20251111T104942Z.jpg</v>
      </c>
    </row>
    <row r="7" spans="1:13" x14ac:dyDescent="0.25">
      <c r="A7" t="s">
        <v>14</v>
      </c>
      <c r="B7" s="4">
        <v>45972</v>
      </c>
      <c r="C7" s="6">
        <v>0.45136574074074076</v>
      </c>
      <c r="D7" s="7" t="s">
        <v>64</v>
      </c>
      <c r="E7" t="s">
        <v>63</v>
      </c>
      <c r="F7" t="s">
        <v>51</v>
      </c>
      <c r="I7" s="9" t="s">
        <v>37</v>
      </c>
      <c r="J7" s="9" t="s">
        <v>2936</v>
      </c>
      <c r="K7" t="s">
        <v>3080</v>
      </c>
      <c r="L7" t="s">
        <v>3081</v>
      </c>
      <c r="M7" s="3" t="str">
        <f>HYPERLINK(СторонТрансп[[#This Row],[RelativePath]])</f>
        <v>1 Ангар Склад 2 въезд\E33149364_6_20251111T104958Z.jpg</v>
      </c>
    </row>
    <row r="8" spans="1:13" x14ac:dyDescent="0.25">
      <c r="A8" t="s">
        <v>14</v>
      </c>
      <c r="B8" s="4">
        <v>45972</v>
      </c>
      <c r="C8" s="6">
        <v>0.48476851851851854</v>
      </c>
      <c r="D8" s="7" t="s">
        <v>62</v>
      </c>
      <c r="E8" t="s">
        <v>63</v>
      </c>
      <c r="F8" t="s">
        <v>58</v>
      </c>
      <c r="I8" s="9" t="s">
        <v>38</v>
      </c>
      <c r="J8" s="9" t="s">
        <v>2936</v>
      </c>
      <c r="K8" t="s">
        <v>3082</v>
      </c>
      <c r="L8" t="s">
        <v>3083</v>
      </c>
      <c r="M8" s="3" t="str">
        <f>HYPERLINK(СторонТрансп[[#This Row],[RelativePath]])</f>
        <v>1 Ангар Склад 2 въезд\E33149364_6_20251111T113804Z.jpg</v>
      </c>
    </row>
    <row r="9" spans="1:13" x14ac:dyDescent="0.25">
      <c r="A9" t="s">
        <v>14</v>
      </c>
      <c r="B9" s="4">
        <v>45972</v>
      </c>
      <c r="C9" s="6">
        <v>0.39128472222222221</v>
      </c>
      <c r="D9" s="7" t="s">
        <v>91</v>
      </c>
      <c r="E9" t="s">
        <v>67</v>
      </c>
      <c r="F9" t="s">
        <v>51</v>
      </c>
      <c r="I9" s="9" t="s">
        <v>33</v>
      </c>
      <c r="J9" s="9" t="s">
        <v>2936</v>
      </c>
      <c r="K9" t="s">
        <v>3072</v>
      </c>
      <c r="L9" t="s">
        <v>3073</v>
      </c>
      <c r="M9" s="3" t="str">
        <f>HYPERLINK(СторонТрансп[[#This Row],[RelativePath]])</f>
        <v>1 Ангар Склад 2 въезд\E33149364_6_20251111T092327Z.jpg</v>
      </c>
    </row>
    <row r="10" spans="1:13" x14ac:dyDescent="0.25">
      <c r="A10" t="s">
        <v>14</v>
      </c>
      <c r="B10" s="4">
        <v>45972</v>
      </c>
      <c r="C10" s="6">
        <v>0.44765046296296296</v>
      </c>
      <c r="D10" s="7" t="s">
        <v>62</v>
      </c>
      <c r="E10" t="s">
        <v>67</v>
      </c>
      <c r="F10" t="s">
        <v>440</v>
      </c>
      <c r="I10" s="9" t="s">
        <v>34</v>
      </c>
      <c r="J10" s="9" t="s">
        <v>2936</v>
      </c>
      <c r="K10" t="s">
        <v>3074</v>
      </c>
      <c r="L10" t="s">
        <v>3075</v>
      </c>
      <c r="M10" s="3" t="str">
        <f>HYPERLINK(СторонТрансп[[#This Row],[RelativePath]])</f>
        <v>1 Ангар Склад 2 въезд\E33149364_6_20251111T104437Z.jpg</v>
      </c>
    </row>
    <row r="11" spans="1:13" x14ac:dyDescent="0.25">
      <c r="A11" t="s">
        <v>14</v>
      </c>
      <c r="B11" s="4">
        <v>45972</v>
      </c>
      <c r="C11" s="6">
        <v>0.44944444444444442</v>
      </c>
      <c r="D11" s="7" t="s">
        <v>91</v>
      </c>
      <c r="E11" t="s">
        <v>63</v>
      </c>
      <c r="F11" t="s">
        <v>51</v>
      </c>
      <c r="I11" s="9" t="s">
        <v>35</v>
      </c>
      <c r="J11" s="9" t="s">
        <v>2936</v>
      </c>
      <c r="K11" t="s">
        <v>3076</v>
      </c>
      <c r="L11" t="s">
        <v>3077</v>
      </c>
      <c r="M11" s="3" t="str">
        <f>HYPERLINK(СторонТрансп[[#This Row],[RelativePath]])</f>
        <v>1 Ангар Склад 2 въезд\E33149364_6_20251111T104712Z.jpg</v>
      </c>
    </row>
    <row r="12" spans="1:13" x14ac:dyDescent="0.25">
      <c r="A12" t="s">
        <v>15</v>
      </c>
      <c r="B12" s="4">
        <v>45973</v>
      </c>
      <c r="C12" s="6">
        <v>0.71020833333333333</v>
      </c>
      <c r="D12" s="7" t="s">
        <v>62</v>
      </c>
      <c r="E12" t="s">
        <v>66</v>
      </c>
      <c r="F12" t="s">
        <v>69</v>
      </c>
      <c r="I12" s="9" t="s">
        <v>42</v>
      </c>
      <c r="J12" s="9" t="s">
        <v>2936</v>
      </c>
      <c r="K12" t="s">
        <v>3090</v>
      </c>
      <c r="L12" t="s">
        <v>3091</v>
      </c>
      <c r="M12" s="3" t="str">
        <f>HYPERLINK(СторонТрансп[[#This Row],[RelativePath]])</f>
        <v>1 Ангар Склад 2 въезд\E33149364_6_20251112T170242Z.jpg</v>
      </c>
    </row>
    <row r="13" spans="1:13" x14ac:dyDescent="0.25">
      <c r="A13" t="s">
        <v>15</v>
      </c>
      <c r="B13" s="4">
        <v>45973</v>
      </c>
      <c r="C13" s="6">
        <v>0.67682870370370374</v>
      </c>
      <c r="D13" s="7" t="s">
        <v>91</v>
      </c>
      <c r="E13" t="s">
        <v>66</v>
      </c>
      <c r="F13" t="s">
        <v>68</v>
      </c>
      <c r="I13" s="9" t="s">
        <v>41</v>
      </c>
      <c r="J13" s="9" t="s">
        <v>2936</v>
      </c>
      <c r="K13" t="s">
        <v>3088</v>
      </c>
      <c r="L13" t="s">
        <v>3089</v>
      </c>
      <c r="M13" s="3" t="str">
        <f>HYPERLINK(СторонТрансп[[#This Row],[RelativePath]])</f>
        <v>1 Ангар Склад 2 въезд\E33149364_6_20251112T161438Z.jpg</v>
      </c>
    </row>
    <row r="14" spans="1:13" x14ac:dyDescent="0.25">
      <c r="A14" t="s">
        <v>17</v>
      </c>
      <c r="B14" s="4">
        <v>45975</v>
      </c>
      <c r="C14" s="6">
        <v>0.56293981481481481</v>
      </c>
      <c r="D14" s="7" t="s">
        <v>62</v>
      </c>
      <c r="E14" t="s">
        <v>66</v>
      </c>
      <c r="F14" t="s">
        <v>51</v>
      </c>
      <c r="I14" s="9" t="s">
        <v>81</v>
      </c>
      <c r="J14" s="9" t="s">
        <v>2936</v>
      </c>
      <c r="K14" t="s">
        <v>3126</v>
      </c>
      <c r="L14" t="s">
        <v>3127</v>
      </c>
      <c r="M14" s="3" t="str">
        <f>HYPERLINK(СторонТрансп[[#This Row],[RelativePath]])</f>
        <v>1 Ангар Склад 2 въезд\E33149364_6_20251114T133038Z.jpg</v>
      </c>
    </row>
    <row r="15" spans="1:13" x14ac:dyDescent="0.25">
      <c r="A15" t="s">
        <v>17</v>
      </c>
      <c r="B15" s="4">
        <v>45975</v>
      </c>
      <c r="C15" s="6">
        <v>0.56123842592592588</v>
      </c>
      <c r="D15" s="7" t="s">
        <v>89</v>
      </c>
      <c r="E15" t="s">
        <v>66</v>
      </c>
      <c r="F15" t="s">
        <v>88</v>
      </c>
      <c r="G15">
        <v>1</v>
      </c>
      <c r="I15" s="9" t="s">
        <v>80</v>
      </c>
      <c r="J15" s="9" t="s">
        <v>2936</v>
      </c>
      <c r="K15" t="s">
        <v>3124</v>
      </c>
      <c r="L15" t="s">
        <v>3125</v>
      </c>
      <c r="M15" s="3" t="str">
        <f>HYPERLINK(СторонТрансп[[#This Row],[RelativePath]])</f>
        <v>1 Ангар Склад 2 въезд\E33149364_6_20251114T132811Z.jpg</v>
      </c>
    </row>
    <row r="16" spans="1:13" x14ac:dyDescent="0.25">
      <c r="A16" t="s">
        <v>17</v>
      </c>
      <c r="B16" s="4">
        <v>45975</v>
      </c>
      <c r="C16" s="6">
        <v>0.57406250000000003</v>
      </c>
      <c r="D16" s="7" t="s">
        <v>62</v>
      </c>
      <c r="E16" t="s">
        <v>66</v>
      </c>
      <c r="F16" t="s">
        <v>51</v>
      </c>
      <c r="I16" s="9" t="s">
        <v>83</v>
      </c>
      <c r="J16" s="9" t="s">
        <v>2936</v>
      </c>
      <c r="K16" t="s">
        <v>3130</v>
      </c>
      <c r="L16" t="s">
        <v>3131</v>
      </c>
      <c r="M16" s="3" t="str">
        <f>HYPERLINK(СторонТрансп[[#This Row],[RelativePath]])</f>
        <v>1 Ангар Склад 2 въезд\E33149364_6_20251114T134639Z.jpg</v>
      </c>
    </row>
    <row r="17" spans="1:13" x14ac:dyDescent="0.25">
      <c r="A17" t="s">
        <v>17</v>
      </c>
      <c r="B17" s="4">
        <v>45975</v>
      </c>
      <c r="C17" s="6">
        <v>0.57114583333333335</v>
      </c>
      <c r="D17" s="7" t="s">
        <v>89</v>
      </c>
      <c r="E17" t="s">
        <v>66</v>
      </c>
      <c r="F17" t="s">
        <v>88</v>
      </c>
      <c r="G17">
        <v>1</v>
      </c>
      <c r="I17" s="9" t="s">
        <v>82</v>
      </c>
      <c r="J17" s="9" t="s">
        <v>2936</v>
      </c>
      <c r="K17" t="s">
        <v>3128</v>
      </c>
      <c r="L17" t="s">
        <v>3129</v>
      </c>
      <c r="M17" s="3" t="str">
        <f>HYPERLINK(СторонТрансп[[#This Row],[RelativePath]])</f>
        <v>1 Ангар Склад 2 въезд\E33149364_6_20251114T134227Z.jpg</v>
      </c>
    </row>
    <row r="18" spans="1:13" x14ac:dyDescent="0.25">
      <c r="A18" t="s">
        <v>17</v>
      </c>
      <c r="B18" s="4">
        <v>45975</v>
      </c>
      <c r="C18" s="6">
        <v>0.54204861111111113</v>
      </c>
      <c r="D18" s="7" t="s">
        <v>62</v>
      </c>
      <c r="E18" t="s">
        <v>66</v>
      </c>
      <c r="F18" t="s">
        <v>51</v>
      </c>
      <c r="I18" s="9" t="s">
        <v>77</v>
      </c>
      <c r="J18" s="9" t="s">
        <v>2936</v>
      </c>
      <c r="K18" t="s">
        <v>3118</v>
      </c>
      <c r="L18" t="s">
        <v>3119</v>
      </c>
      <c r="M18" s="3" t="str">
        <f>HYPERLINK(СторонТрансп[[#This Row],[RelativePath]])</f>
        <v>1 Ангар Склад 2 въезд\E33149364_6_20251114T130033Z.jpg</v>
      </c>
    </row>
    <row r="19" spans="1:13" x14ac:dyDescent="0.25">
      <c r="A19" t="s">
        <v>17</v>
      </c>
      <c r="B19" s="4">
        <v>45975</v>
      </c>
      <c r="C19" s="6">
        <v>0.53960648148148149</v>
      </c>
      <c r="D19" s="7" t="s">
        <v>89</v>
      </c>
      <c r="E19" t="s">
        <v>66</v>
      </c>
      <c r="F19" t="s">
        <v>88</v>
      </c>
      <c r="G19">
        <v>1</v>
      </c>
      <c r="I19" s="9" t="s">
        <v>75</v>
      </c>
      <c r="J19" s="9" t="s">
        <v>2936</v>
      </c>
      <c r="K19" t="s">
        <v>3114</v>
      </c>
      <c r="L19" t="s">
        <v>3115</v>
      </c>
      <c r="M19" s="3" t="str">
        <f>HYPERLINK(СторонТрансп[[#This Row],[RelativePath]])</f>
        <v>1 Ангар Склад 2 въезд\E33149364_6_20251114T125702Z.jpg</v>
      </c>
    </row>
    <row r="20" spans="1:13" x14ac:dyDescent="0.25">
      <c r="A20" t="s">
        <v>17</v>
      </c>
      <c r="B20" s="4">
        <v>45975</v>
      </c>
      <c r="C20" s="6">
        <v>0.55299768518518522</v>
      </c>
      <c r="D20" s="7" t="s">
        <v>62</v>
      </c>
      <c r="E20" t="s">
        <v>66</v>
      </c>
      <c r="F20" t="s">
        <v>51</v>
      </c>
      <c r="I20" s="9" t="s">
        <v>79</v>
      </c>
      <c r="J20" s="9" t="s">
        <v>2936</v>
      </c>
      <c r="K20" t="s">
        <v>3122</v>
      </c>
      <c r="L20" t="s">
        <v>3123</v>
      </c>
      <c r="M20" s="3" t="str">
        <f>HYPERLINK(СторонТрансп[[#This Row],[RelativePath]])</f>
        <v>1 Ангар Склад 2 въезд\E33149364_6_20251114T131619Z.jpg</v>
      </c>
    </row>
    <row r="21" spans="1:13" x14ac:dyDescent="0.25">
      <c r="A21" t="s">
        <v>17</v>
      </c>
      <c r="B21" s="4">
        <v>45975</v>
      </c>
      <c r="C21" s="6">
        <v>0.55090277777777774</v>
      </c>
      <c r="D21" s="7" t="s">
        <v>89</v>
      </c>
      <c r="E21" t="s">
        <v>66</v>
      </c>
      <c r="F21" t="s">
        <v>88</v>
      </c>
      <c r="G21">
        <v>1</v>
      </c>
      <c r="I21" s="9" t="s">
        <v>78</v>
      </c>
      <c r="J21" s="9" t="s">
        <v>2936</v>
      </c>
      <c r="K21" t="s">
        <v>3120</v>
      </c>
      <c r="L21" t="s">
        <v>3121</v>
      </c>
      <c r="M21" s="3" t="str">
        <f>HYPERLINK(СторонТрансп[[#This Row],[RelativePath]])</f>
        <v>1 Ангар Склад 2 въезд\E33149364_6_20251114T131318Z.jpg</v>
      </c>
    </row>
    <row r="22" spans="1:13" x14ac:dyDescent="0.25">
      <c r="A22" t="s">
        <v>18</v>
      </c>
      <c r="B22" s="4">
        <v>45976</v>
      </c>
      <c r="C22" s="6">
        <v>0.62281249999999999</v>
      </c>
      <c r="D22" s="7" t="s">
        <v>91</v>
      </c>
      <c r="E22" t="s">
        <v>1965</v>
      </c>
      <c r="I22" s="9" t="s">
        <v>1084</v>
      </c>
      <c r="J22" s="9" t="s">
        <v>2936</v>
      </c>
      <c r="K22" t="s">
        <v>3142</v>
      </c>
      <c r="L22" t="s">
        <v>3143</v>
      </c>
      <c r="M22" s="3" t="str">
        <f>HYPERLINK(СторонТрансп[[#This Row],[RelativePath]])</f>
        <v>1 Ангар Склад 2 въезд\E33149364_6_20251115T145651Z.jpg</v>
      </c>
    </row>
    <row r="23" spans="1:13" x14ac:dyDescent="0.25">
      <c r="A23" t="s">
        <v>18</v>
      </c>
      <c r="B23" s="4">
        <v>45976</v>
      </c>
      <c r="C23" s="6">
        <v>0.64368055555555559</v>
      </c>
      <c r="D23" s="7" t="s">
        <v>62</v>
      </c>
      <c r="E23" t="s">
        <v>1965</v>
      </c>
      <c r="I23" s="9" t="s">
        <v>1086</v>
      </c>
      <c r="J23" s="9" t="s">
        <v>2936</v>
      </c>
      <c r="K23" t="s">
        <v>3146</v>
      </c>
      <c r="L23" t="s">
        <v>3147</v>
      </c>
      <c r="M23" s="3" t="str">
        <f>HYPERLINK(СторонТрансп[[#This Row],[RelativePath]])</f>
        <v>1 Ангар Склад 2 въезд\E33149364_6_20251115T152654Z.jpg</v>
      </c>
    </row>
    <row r="24" spans="1:13" x14ac:dyDescent="0.25">
      <c r="A24" t="s">
        <v>18</v>
      </c>
      <c r="B24" s="4">
        <v>45976</v>
      </c>
      <c r="C24" s="6">
        <v>0.63765046296296302</v>
      </c>
      <c r="D24" s="7" t="s">
        <v>62</v>
      </c>
      <c r="E24" t="s">
        <v>56</v>
      </c>
      <c r="F24" t="s">
        <v>200</v>
      </c>
      <c r="I24" s="9" t="s">
        <v>1966</v>
      </c>
      <c r="J24" s="9" t="s">
        <v>2936</v>
      </c>
      <c r="K24" t="s">
        <v>3148</v>
      </c>
      <c r="L24" t="s">
        <v>3149</v>
      </c>
      <c r="M24" s="3" t="str">
        <f>HYPERLINK(СторонТрансп[[#This Row],[RelativePath]])</f>
        <v>1 Ангар Склад 2 въезд\E33149364_6_20251115T151813Z.jpg</v>
      </c>
    </row>
    <row r="25" spans="1:13" x14ac:dyDescent="0.25">
      <c r="A25" t="s">
        <v>18</v>
      </c>
      <c r="B25" s="4">
        <v>45976</v>
      </c>
      <c r="C25" s="6">
        <v>0.43630787037037039</v>
      </c>
      <c r="D25" s="7" t="s">
        <v>91</v>
      </c>
      <c r="E25" t="s">
        <v>56</v>
      </c>
      <c r="F25" t="s">
        <v>1963</v>
      </c>
      <c r="I25" s="9" t="s">
        <v>1080</v>
      </c>
      <c r="J25" s="9" t="s">
        <v>2936</v>
      </c>
      <c r="K25" t="s">
        <v>3134</v>
      </c>
      <c r="L25" t="s">
        <v>3135</v>
      </c>
      <c r="M25" s="3" t="str">
        <f>HYPERLINK(СторонТрансп[[#This Row],[RelativePath]])</f>
        <v>1 Ангар Склад 2 въезд\E33149364_6_20251115T102817Z.jpg</v>
      </c>
    </row>
    <row r="26" spans="1:13" x14ac:dyDescent="0.25">
      <c r="A26" t="s">
        <v>18</v>
      </c>
      <c r="B26" s="4">
        <v>45976</v>
      </c>
      <c r="C26" s="6">
        <v>0.46813657407407405</v>
      </c>
      <c r="D26" s="7" t="s">
        <v>91</v>
      </c>
      <c r="E26" t="s">
        <v>1964</v>
      </c>
      <c r="I26" s="9" t="s">
        <v>1082</v>
      </c>
      <c r="J26" s="9" t="s">
        <v>2936</v>
      </c>
      <c r="K26" t="s">
        <v>3138</v>
      </c>
      <c r="L26" t="s">
        <v>3139</v>
      </c>
      <c r="M26" s="3" t="str">
        <f>HYPERLINK(СторонТрансп[[#This Row],[RelativePath]])</f>
        <v>1 Ангар Склад 2 въезд\E33149364_6_20251115T111407Z.jpg</v>
      </c>
    </row>
    <row r="27" spans="1:13" x14ac:dyDescent="0.25">
      <c r="A27" t="s">
        <v>18</v>
      </c>
      <c r="B27" s="4">
        <v>45976</v>
      </c>
      <c r="C27" s="6">
        <v>0.49760416666666668</v>
      </c>
      <c r="D27" s="7" t="s">
        <v>62</v>
      </c>
      <c r="E27" t="s">
        <v>1964</v>
      </c>
      <c r="I27" s="9" t="s">
        <v>1083</v>
      </c>
      <c r="J27" s="9" t="s">
        <v>2936</v>
      </c>
      <c r="K27" t="s">
        <v>3140</v>
      </c>
      <c r="L27" t="s">
        <v>3141</v>
      </c>
      <c r="M27" s="3" t="str">
        <f>HYPERLINK(СторонТрансп[[#This Row],[RelativePath]])</f>
        <v>1 Ангар Склад 2 въезд\E33149364_6_20251115T115633Z.jpg</v>
      </c>
    </row>
    <row r="28" spans="1:13" x14ac:dyDescent="0.25">
      <c r="A28" t="s">
        <v>14</v>
      </c>
      <c r="B28" s="4">
        <v>45979</v>
      </c>
      <c r="C28" s="6">
        <v>0.60865740740740737</v>
      </c>
      <c r="D28" s="7" t="s">
        <v>62</v>
      </c>
      <c r="E28" t="s">
        <v>2878</v>
      </c>
      <c r="F28" t="s">
        <v>58</v>
      </c>
      <c r="I28" s="9" t="s">
        <v>2017</v>
      </c>
      <c r="J28" s="9" t="s">
        <v>2936</v>
      </c>
      <c r="K28" t="s">
        <v>3160</v>
      </c>
      <c r="L28" t="s">
        <v>3161</v>
      </c>
      <c r="M28" s="3" t="str">
        <f>HYPERLINK(СторонТрансп[[#This Row],[RelativePath]])</f>
        <v>1 Ангар Склад 2 въезд\E33149364_6_20251118T143628Z.jpg</v>
      </c>
    </row>
    <row r="29" spans="1:13" x14ac:dyDescent="0.25">
      <c r="A29" t="s">
        <v>14</v>
      </c>
      <c r="B29" s="4">
        <v>45979</v>
      </c>
      <c r="C29" s="6">
        <v>0.43486111111111109</v>
      </c>
      <c r="D29" s="7" t="s">
        <v>62</v>
      </c>
      <c r="E29" t="s">
        <v>2875</v>
      </c>
      <c r="F29" t="s">
        <v>2877</v>
      </c>
      <c r="I29" s="9" t="s">
        <v>2016</v>
      </c>
      <c r="J29" s="9" t="s">
        <v>2936</v>
      </c>
      <c r="K29" t="s">
        <v>3158</v>
      </c>
      <c r="L29" t="s">
        <v>3159</v>
      </c>
      <c r="M29" s="3" t="str">
        <f>HYPERLINK(СторонТрансп[[#This Row],[RelativePath]])</f>
        <v>1 Ангар Склад 2 въезд\E33149364_6_20251118T102612Z.jpg</v>
      </c>
    </row>
    <row r="30" spans="1:13" x14ac:dyDescent="0.25">
      <c r="A30" t="s">
        <v>14</v>
      </c>
      <c r="B30" s="4">
        <v>45979</v>
      </c>
      <c r="C30" s="6">
        <v>0.43164351851851851</v>
      </c>
      <c r="D30" s="7" t="s">
        <v>64</v>
      </c>
      <c r="E30" t="s">
        <v>2875</v>
      </c>
      <c r="F30" t="s">
        <v>2876</v>
      </c>
      <c r="I30" s="9" t="s">
        <v>2015</v>
      </c>
      <c r="J30" s="9" t="s">
        <v>2936</v>
      </c>
      <c r="K30" t="s">
        <v>3156</v>
      </c>
      <c r="L30" t="s">
        <v>3157</v>
      </c>
      <c r="M30" s="3" t="str">
        <f>HYPERLINK(СторонТрансп[[#This Row],[RelativePath]])</f>
        <v>1 Ангар Склад 2 въезд\E33149364_6_20251118T102134Z.jpg</v>
      </c>
    </row>
    <row r="31" spans="1:13" x14ac:dyDescent="0.25">
      <c r="A31" t="s">
        <v>15</v>
      </c>
      <c r="B31" s="4">
        <v>45980</v>
      </c>
      <c r="C31" s="6">
        <v>0.49490740740740741</v>
      </c>
      <c r="D31" s="7" t="s">
        <v>62</v>
      </c>
      <c r="E31" t="s">
        <v>1965</v>
      </c>
      <c r="I31" s="9" t="s">
        <v>2021</v>
      </c>
      <c r="J31" s="9" t="s">
        <v>2936</v>
      </c>
      <c r="K31" t="s">
        <v>3168</v>
      </c>
      <c r="L31" t="s">
        <v>3169</v>
      </c>
      <c r="M31" s="3" t="str">
        <f>HYPERLINK(СторонТрансп[[#This Row],[RelativePath]])</f>
        <v>1 Ангар Склад 2 въезд\E33149364_6_20251119T115240Z.jpg</v>
      </c>
    </row>
    <row r="32" spans="1:13" x14ac:dyDescent="0.25">
      <c r="A32" t="s">
        <v>15</v>
      </c>
      <c r="B32" s="4">
        <v>45980</v>
      </c>
      <c r="C32" s="6">
        <v>0.49100694444444443</v>
      </c>
      <c r="D32" s="7" t="s">
        <v>91</v>
      </c>
      <c r="E32" t="s">
        <v>1965</v>
      </c>
      <c r="I32" s="9" t="s">
        <v>2020</v>
      </c>
      <c r="J32" s="9" t="s">
        <v>2936</v>
      </c>
      <c r="K32" t="s">
        <v>3166</v>
      </c>
      <c r="L32" t="s">
        <v>3167</v>
      </c>
      <c r="M32" s="3" t="str">
        <f>HYPERLINK(СторонТрансп[[#This Row],[RelativePath]])</f>
        <v>1 Ангар Склад 2 въезд\E33149364_6_20251119T114703Z.jpg</v>
      </c>
    </row>
    <row r="33" spans="1:13" x14ac:dyDescent="0.25">
      <c r="A33" t="s">
        <v>15</v>
      </c>
      <c r="B33" s="4">
        <v>45987</v>
      </c>
      <c r="C33" s="6">
        <v>0.45245370370370369</v>
      </c>
      <c r="D33" s="7" t="s">
        <v>91</v>
      </c>
      <c r="E33" t="s">
        <v>4133</v>
      </c>
      <c r="F33" t="s">
        <v>58</v>
      </c>
      <c r="I33" s="9" t="s">
        <v>3186</v>
      </c>
      <c r="J33" s="9" t="s">
        <v>2936</v>
      </c>
      <c r="K33" t="s">
        <v>3187</v>
      </c>
      <c r="L33" t="s">
        <v>3188</v>
      </c>
      <c r="M33" s="3" t="str">
        <f>HYPERLINK(СторонТрансп[[#This Row],[RelativePath]])</f>
        <v>1 Ангар Склад 2 въезд\E33149364_6_20251126T105132Z.jpg</v>
      </c>
    </row>
    <row r="34" spans="1:13" x14ac:dyDescent="0.25">
      <c r="A34" t="s">
        <v>15</v>
      </c>
      <c r="B34" s="4">
        <v>45987</v>
      </c>
      <c r="C34" s="6">
        <v>0.45469907407407406</v>
      </c>
      <c r="D34" s="7" t="s">
        <v>62</v>
      </c>
      <c r="E34" t="s">
        <v>4133</v>
      </c>
      <c r="F34" t="s">
        <v>58</v>
      </c>
      <c r="I34" s="9" t="s">
        <v>3189</v>
      </c>
      <c r="J34" s="9" t="s">
        <v>2936</v>
      </c>
      <c r="K34" t="s">
        <v>3190</v>
      </c>
      <c r="L34" t="s">
        <v>3191</v>
      </c>
      <c r="M34" s="3" t="str">
        <f>HYPERLINK(СторонТрансп[[#This Row],[RelativePath]])</f>
        <v>1 Ангар Склад 2 въезд\E33149364_6_20251126T105446Z.jpg</v>
      </c>
    </row>
    <row r="35" spans="1:13" x14ac:dyDescent="0.25">
      <c r="A35" t="s">
        <v>15</v>
      </c>
      <c r="B35" s="4">
        <v>45987</v>
      </c>
      <c r="C35" s="6">
        <v>0.43335648148148148</v>
      </c>
      <c r="D35" s="7" t="s">
        <v>4131</v>
      </c>
      <c r="E35" t="s">
        <v>4133</v>
      </c>
      <c r="F35" t="s">
        <v>51</v>
      </c>
      <c r="I35" s="9" t="s">
        <v>3180</v>
      </c>
      <c r="J35" s="9" t="s">
        <v>2936</v>
      </c>
      <c r="K35" t="s">
        <v>3181</v>
      </c>
      <c r="L35" t="s">
        <v>3182</v>
      </c>
      <c r="M35" s="3" t="str">
        <f>HYPERLINK(СторонТрансп[[#This Row],[RelativePath]])</f>
        <v>1 Ангар Склад 2 въезд\E33149364_6_20251126T102402Z.jpg</v>
      </c>
    </row>
    <row r="36" spans="1:13" x14ac:dyDescent="0.25">
      <c r="A36" t="s">
        <v>15</v>
      </c>
      <c r="B36" s="4">
        <v>45987</v>
      </c>
      <c r="C36" s="6">
        <v>0.45240740740740742</v>
      </c>
      <c r="D36" s="7" t="s">
        <v>85</v>
      </c>
      <c r="E36" t="s">
        <v>4133</v>
      </c>
      <c r="F36" t="s">
        <v>58</v>
      </c>
      <c r="I36" s="9" t="s">
        <v>3183</v>
      </c>
      <c r="J36" s="9" t="s">
        <v>2936</v>
      </c>
      <c r="K36" t="s">
        <v>3184</v>
      </c>
      <c r="L36" t="s">
        <v>3185</v>
      </c>
      <c r="M36" s="3" t="str">
        <f>HYPERLINK(СторонТрансп[[#This Row],[RelativePath]])</f>
        <v>1 Ангар Склад 2 въезд\E33149364_6_20251126T105128Z.jpg</v>
      </c>
    </row>
    <row r="37" spans="1:13" x14ac:dyDescent="0.25">
      <c r="A37" t="s">
        <v>16</v>
      </c>
      <c r="B37" s="4">
        <v>45988</v>
      </c>
      <c r="C37" s="6">
        <v>0.54246527777777775</v>
      </c>
      <c r="D37" s="7" t="s">
        <v>85</v>
      </c>
      <c r="E37" t="s">
        <v>4132</v>
      </c>
      <c r="I37" s="9" t="s">
        <v>3195</v>
      </c>
      <c r="J37" s="9" t="s">
        <v>2936</v>
      </c>
      <c r="K37" t="s">
        <v>3196</v>
      </c>
      <c r="L37" t="s">
        <v>3197</v>
      </c>
      <c r="M37" s="3" t="str">
        <f>HYPERLINK(СторонТрансп[[#This Row],[RelativePath]])</f>
        <v>1 Ангар Склад 2 въезд\E33149364_6_20251127T130109Z.jpg</v>
      </c>
    </row>
    <row r="38" spans="1:13" x14ac:dyDescent="0.25">
      <c r="A38" t="s">
        <v>16</v>
      </c>
      <c r="B38" s="4">
        <v>45988</v>
      </c>
      <c r="C38" s="6">
        <v>0.50150462962962961</v>
      </c>
      <c r="D38" s="7" t="s">
        <v>4131</v>
      </c>
      <c r="E38" t="s">
        <v>4132</v>
      </c>
      <c r="I38" s="9" t="s">
        <v>3192</v>
      </c>
      <c r="J38" s="9" t="s">
        <v>2936</v>
      </c>
      <c r="K38" t="s">
        <v>3193</v>
      </c>
      <c r="L38" t="s">
        <v>3194</v>
      </c>
      <c r="M38" s="3" t="str">
        <f>HYPERLINK(СторонТрансп[[#This Row],[RelativePath]])</f>
        <v>1 Ангар Склад 2 въезд\E33149364_6_20251127T120210Z.jpg</v>
      </c>
    </row>
    <row r="39" spans="1:13" x14ac:dyDescent="0.25">
      <c r="A39" t="s">
        <v>17</v>
      </c>
      <c r="B39" s="4">
        <v>45989</v>
      </c>
      <c r="C39" s="6">
        <v>0.50700231481481484</v>
      </c>
      <c r="D39" s="7" t="s">
        <v>85</v>
      </c>
      <c r="E39" t="s">
        <v>4134</v>
      </c>
      <c r="I39" s="9" t="s">
        <v>3201</v>
      </c>
      <c r="J39" s="9" t="s">
        <v>2936</v>
      </c>
      <c r="K39" t="s">
        <v>3202</v>
      </c>
      <c r="L39" t="s">
        <v>3203</v>
      </c>
      <c r="M39" s="3" t="str">
        <f>HYPERLINK(СторонТрансп[[#This Row],[RelativePath]])</f>
        <v>1 Ангар Склад 2 въезд\E33149364_6_20251128T121005Z.jpg</v>
      </c>
    </row>
    <row r="40" spans="1:13" x14ac:dyDescent="0.25">
      <c r="A40" t="s">
        <v>17</v>
      </c>
      <c r="B40" s="4">
        <v>45989</v>
      </c>
      <c r="C40" s="6">
        <v>0.45510416666666664</v>
      </c>
      <c r="D40" s="7" t="s">
        <v>64</v>
      </c>
      <c r="E40" t="s">
        <v>4134</v>
      </c>
      <c r="I40" s="9" t="s">
        <v>3198</v>
      </c>
      <c r="J40" s="9" t="s">
        <v>2936</v>
      </c>
      <c r="K40" t="s">
        <v>3199</v>
      </c>
      <c r="L40" t="s">
        <v>3200</v>
      </c>
      <c r="M40" s="3" t="str">
        <f>HYPERLINK(СторонТрансп[[#This Row],[RelativePath]])</f>
        <v>1 Ангар Склад 2 въезд\E33149364_6_20251128T105521Z.jpg</v>
      </c>
    </row>
    <row r="41" spans="1:13" x14ac:dyDescent="0.25">
      <c r="A41" t="s">
        <v>18</v>
      </c>
      <c r="B41" s="4">
        <v>45990</v>
      </c>
      <c r="C41" s="6">
        <v>0.70343750000000005</v>
      </c>
      <c r="D41" s="7" t="s">
        <v>91</v>
      </c>
      <c r="E41" t="s">
        <v>4135</v>
      </c>
      <c r="F41" t="s">
        <v>4137</v>
      </c>
      <c r="H41" t="s">
        <v>4138</v>
      </c>
      <c r="I41" s="9" t="s">
        <v>3210</v>
      </c>
      <c r="J41" s="9" t="s">
        <v>2936</v>
      </c>
      <c r="K41" t="s">
        <v>3211</v>
      </c>
      <c r="L41" t="s">
        <v>3212</v>
      </c>
      <c r="M41" s="3" t="str">
        <f>HYPERLINK(СторонТрансп[[#This Row],[RelativePath]])</f>
        <v>1 Ангар Склад 2 въезд\E33149364_6_20251129T165257Z.jpg</v>
      </c>
    </row>
    <row r="42" spans="1:13" x14ac:dyDescent="0.25">
      <c r="A42" t="s">
        <v>18</v>
      </c>
      <c r="B42" s="4">
        <v>45990</v>
      </c>
      <c r="C42" s="6">
        <v>0.73475694444444439</v>
      </c>
      <c r="D42" s="7" t="s">
        <v>62</v>
      </c>
      <c r="E42" t="s">
        <v>4135</v>
      </c>
      <c r="F42" t="s">
        <v>4137</v>
      </c>
      <c r="I42" s="9" t="s">
        <v>3213</v>
      </c>
      <c r="J42" s="9" t="s">
        <v>2936</v>
      </c>
      <c r="K42" t="s">
        <v>3214</v>
      </c>
      <c r="L42" t="s">
        <v>3215</v>
      </c>
      <c r="M42" s="3" t="str">
        <f>HYPERLINK(СторонТрансп[[#This Row],[RelativePath]])</f>
        <v>1 Ангар Склад 2 въезд\E33149364_6_20251129T173803Z.jpg</v>
      </c>
    </row>
    <row r="43" spans="1:13" x14ac:dyDescent="0.25">
      <c r="A43" t="s">
        <v>18</v>
      </c>
      <c r="B43" s="4">
        <v>45990</v>
      </c>
      <c r="C43" s="6">
        <v>0.53762731481481485</v>
      </c>
      <c r="D43" s="7" t="s">
        <v>91</v>
      </c>
      <c r="E43" t="s">
        <v>4135</v>
      </c>
      <c r="F43" t="s">
        <v>51</v>
      </c>
      <c r="I43" s="9" t="s">
        <v>3204</v>
      </c>
      <c r="J43" s="9" t="s">
        <v>2936</v>
      </c>
      <c r="K43" t="s">
        <v>3205</v>
      </c>
      <c r="L43" t="s">
        <v>3206</v>
      </c>
      <c r="M43" s="3" t="str">
        <f>HYPERLINK(СторонТрансп[[#This Row],[RelativePath]])</f>
        <v>1 Ангар Склад 2 въезд\E33149364_6_20251129T125411Z.jpg</v>
      </c>
    </row>
    <row r="44" spans="1:13" x14ac:dyDescent="0.25">
      <c r="A44" t="s">
        <v>18</v>
      </c>
      <c r="B44" s="4">
        <v>45990</v>
      </c>
      <c r="C44" s="6">
        <v>0.64861111111111114</v>
      </c>
      <c r="D44" s="7" t="s">
        <v>91</v>
      </c>
      <c r="E44" t="s">
        <v>4136</v>
      </c>
      <c r="F44" t="s">
        <v>51</v>
      </c>
      <c r="I44" s="9" t="s">
        <v>3207</v>
      </c>
      <c r="J44" s="9" t="s">
        <v>2936</v>
      </c>
      <c r="K44" t="s">
        <v>3208</v>
      </c>
      <c r="L44" t="s">
        <v>3209</v>
      </c>
      <c r="M44" s="3" t="str">
        <f>HYPERLINK(СторонТрансп[[#This Row],[RelativePath]])</f>
        <v>1 Ангар Склад 2 въезд\E33149364_6_20251129T153400Z.jpg</v>
      </c>
    </row>
    <row r="45" spans="1:13" x14ac:dyDescent="0.25">
      <c r="A45" t="s">
        <v>13</v>
      </c>
      <c r="B45" s="4">
        <v>45992</v>
      </c>
      <c r="C45" s="6">
        <v>0.87302083333333336</v>
      </c>
      <c r="D45" s="7" t="s">
        <v>62</v>
      </c>
      <c r="E45" t="s">
        <v>4135</v>
      </c>
      <c r="F45" t="s">
        <v>51</v>
      </c>
      <c r="H45" t="s">
        <v>5009</v>
      </c>
      <c r="I45" s="9" t="s">
        <v>4345</v>
      </c>
      <c r="J45" s="9" t="s">
        <v>2936</v>
      </c>
      <c r="K45" t="s">
        <v>4346</v>
      </c>
      <c r="L45" t="s">
        <v>4347</v>
      </c>
      <c r="M45" s="3" t="str">
        <f>HYPERLINK(СторонТрансп[[#This Row],[RelativePath]])</f>
        <v>1 Ангар Склад 2 въезд\E33149364_6_20251201T205709Z.jpg</v>
      </c>
    </row>
    <row r="46" spans="1:13" x14ac:dyDescent="0.25">
      <c r="A46" t="s">
        <v>13</v>
      </c>
      <c r="B46" s="4">
        <v>45992</v>
      </c>
      <c r="C46" s="6">
        <v>0.86784722222222221</v>
      </c>
      <c r="D46" s="7" t="s">
        <v>91</v>
      </c>
      <c r="E46" t="s">
        <v>4135</v>
      </c>
      <c r="F46" t="s">
        <v>1572</v>
      </c>
      <c r="H46" t="s">
        <v>5008</v>
      </c>
      <c r="I46" s="9" t="s">
        <v>4342</v>
      </c>
      <c r="J46" s="9" t="s">
        <v>2936</v>
      </c>
      <c r="K46" t="s">
        <v>4343</v>
      </c>
      <c r="L46" t="s">
        <v>4344</v>
      </c>
      <c r="M46" s="3" t="str">
        <f>HYPERLINK(СторонТрансп[[#This Row],[RelativePath]])</f>
        <v>1 Ангар Склад 2 въезд\E33149364_6_20251201T204942Z.jpg</v>
      </c>
    </row>
    <row r="47" spans="1:13" x14ac:dyDescent="0.25">
      <c r="A47" t="s">
        <v>22</v>
      </c>
      <c r="B47" s="4">
        <v>45998</v>
      </c>
      <c r="C47" s="6">
        <v>0.67327546296296292</v>
      </c>
      <c r="D47" s="7" t="s">
        <v>62</v>
      </c>
      <c r="E47" t="s">
        <v>5192</v>
      </c>
      <c r="F47" t="s">
        <v>5193</v>
      </c>
      <c r="H47" t="s">
        <v>5194</v>
      </c>
      <c r="I47" s="9" t="s">
        <v>5079</v>
      </c>
      <c r="J47" s="9" t="s">
        <v>2936</v>
      </c>
      <c r="K47" t="s">
        <v>5232</v>
      </c>
      <c r="L47" t="s">
        <v>5080</v>
      </c>
      <c r="M47" s="3" t="str">
        <f>HYPERLINK(СторонТрансп[[#This Row],[RelativePath]])</f>
        <v>1 Ангар Склад 2 въезд\E33149364_6_20251207T160931Z.jpg</v>
      </c>
    </row>
    <row r="48" spans="1:13" x14ac:dyDescent="0.25">
      <c r="A48" t="s">
        <v>22</v>
      </c>
      <c r="B48" s="4">
        <v>45998</v>
      </c>
      <c r="C48" s="6">
        <v>0.57973379629629629</v>
      </c>
      <c r="D48" s="7" t="s">
        <v>91</v>
      </c>
      <c r="E48" t="s">
        <v>5192</v>
      </c>
      <c r="F48" t="s">
        <v>51</v>
      </c>
      <c r="I48" s="9" t="s">
        <v>5077</v>
      </c>
      <c r="J48" s="9" t="s">
        <v>2936</v>
      </c>
      <c r="K48" t="s">
        <v>5231</v>
      </c>
      <c r="L48" t="s">
        <v>5078</v>
      </c>
      <c r="M48" s="3" t="str">
        <f>HYPERLINK(СторонТрансп[[#This Row],[RelativePath]])</f>
        <v>1 Ангар Склад 2 въезд\E33149364_6_20251207T135449Z.jpg</v>
      </c>
    </row>
    <row r="49" spans="1:13" x14ac:dyDescent="0.25">
      <c r="A49" t="s">
        <v>13</v>
      </c>
      <c r="B49" s="4">
        <v>45999</v>
      </c>
      <c r="C49" s="6">
        <v>0.66584490740740743</v>
      </c>
      <c r="D49" s="7" t="s">
        <v>85</v>
      </c>
      <c r="E49" t="s">
        <v>4134</v>
      </c>
      <c r="F49" t="s">
        <v>5010</v>
      </c>
      <c r="I49" s="9" t="s">
        <v>5207</v>
      </c>
      <c r="J49" s="9" t="s">
        <v>2936</v>
      </c>
      <c r="K49" t="s">
        <v>5234</v>
      </c>
      <c r="L49" t="s">
        <v>5208</v>
      </c>
      <c r="M49" s="3" t="str">
        <f>HYPERLINK(СторонТрансп[[#This Row],[RelativePath]])</f>
        <v>1 Ангар Склад 2 въезд\E33149364_6_20251208T155849Z.jpg</v>
      </c>
    </row>
    <row r="50" spans="1:13" x14ac:dyDescent="0.25">
      <c r="A50" t="s">
        <v>13</v>
      </c>
      <c r="B50" s="4">
        <v>45999</v>
      </c>
      <c r="C50" s="6">
        <v>0.59879629629629627</v>
      </c>
      <c r="D50" s="7" t="s">
        <v>64</v>
      </c>
      <c r="E50" t="s">
        <v>4134</v>
      </c>
      <c r="F50" t="s">
        <v>5010</v>
      </c>
      <c r="I50" s="9" t="s">
        <v>5205</v>
      </c>
      <c r="J50" s="9" t="s">
        <v>2936</v>
      </c>
      <c r="K50" t="s">
        <v>5233</v>
      </c>
      <c r="L50" t="s">
        <v>5206</v>
      </c>
      <c r="M50" s="3" t="str">
        <f>HYPERLINK(СторонТрансп[[#This Row],[RelativePath]])</f>
        <v>1 Ангар Склад 2 въезд\E33149364_6_20251208T142216Z.jpg</v>
      </c>
    </row>
    <row r="51" spans="1:13" x14ac:dyDescent="0.25">
      <c r="A51" t="s">
        <v>14</v>
      </c>
      <c r="B51" s="4">
        <v>46000</v>
      </c>
      <c r="C51" s="6">
        <v>0.51658564814814811</v>
      </c>
      <c r="D51" s="7" t="s">
        <v>2974</v>
      </c>
      <c r="E51" t="s">
        <v>5436</v>
      </c>
      <c r="F51" t="s">
        <v>51</v>
      </c>
      <c r="I51" s="9" t="s">
        <v>5421</v>
      </c>
      <c r="J51" s="9" t="s">
        <v>2936</v>
      </c>
      <c r="K51" t="s">
        <v>5422</v>
      </c>
      <c r="L51" t="s">
        <v>5423</v>
      </c>
      <c r="M51" s="3" t="str">
        <f>HYPERLINK(СторонТрансп[[#This Row],[RelativePath]])</f>
        <v>1 Ангар Склад 2 въезд\E33149364_6_20251209T122353Z.jpg</v>
      </c>
    </row>
    <row r="52" spans="1:13" x14ac:dyDescent="0.25">
      <c r="A52" t="s">
        <v>14</v>
      </c>
      <c r="B52" s="4">
        <v>46000</v>
      </c>
      <c r="C52" s="6">
        <v>0.6348611111111111</v>
      </c>
      <c r="D52" s="7" t="s">
        <v>64</v>
      </c>
      <c r="E52" t="s">
        <v>4134</v>
      </c>
      <c r="F52" t="s">
        <v>5010</v>
      </c>
      <c r="I52" s="9" t="s">
        <v>5424</v>
      </c>
      <c r="J52" s="9" t="s">
        <v>2936</v>
      </c>
      <c r="K52" t="s">
        <v>5425</v>
      </c>
      <c r="L52" t="s">
        <v>5426</v>
      </c>
      <c r="M52" s="3" t="str">
        <f>HYPERLINK(СторонТрансп[[#This Row],[RelativePath]])</f>
        <v>1 Ангар Склад 2 въезд\E33149364_6_20251209T151412Z.jpg</v>
      </c>
    </row>
    <row r="53" spans="1:13" x14ac:dyDescent="0.25">
      <c r="A53" t="s">
        <v>14</v>
      </c>
      <c r="B53" s="4">
        <v>46000</v>
      </c>
      <c r="C53" s="6">
        <v>0.69473379629629628</v>
      </c>
      <c r="D53" s="7" t="s">
        <v>85</v>
      </c>
      <c r="E53" t="s">
        <v>4134</v>
      </c>
      <c r="F53" t="s">
        <v>5010</v>
      </c>
      <c r="I53" s="9" t="s">
        <v>5427</v>
      </c>
      <c r="J53" s="9" t="s">
        <v>2936</v>
      </c>
      <c r="K53" t="s">
        <v>5428</v>
      </c>
      <c r="L53" t="s">
        <v>5429</v>
      </c>
      <c r="M53" s="3" t="str">
        <f>HYPERLINK(СторонТрансп[[#This Row],[RelativePath]])</f>
        <v>1 Ангар Склад 2 въезд\E33149364_6_20251209T164025Z.jpg</v>
      </c>
    </row>
    <row r="54" spans="1:13" x14ac:dyDescent="0.25">
      <c r="A54" t="s">
        <v>14</v>
      </c>
      <c r="B54" s="4">
        <v>46000</v>
      </c>
      <c r="C54" s="6">
        <v>0.42645833333333333</v>
      </c>
      <c r="D54" s="7" t="s">
        <v>64</v>
      </c>
      <c r="E54" t="s">
        <v>4134</v>
      </c>
      <c r="F54" t="s">
        <v>5010</v>
      </c>
      <c r="I54" s="9" t="s">
        <v>5412</v>
      </c>
      <c r="J54" s="9" t="s">
        <v>2936</v>
      </c>
      <c r="K54" t="s">
        <v>5413</v>
      </c>
      <c r="L54" t="s">
        <v>5414</v>
      </c>
      <c r="M54" s="3" t="str">
        <f>HYPERLINK(СторонТрансп[[#This Row],[RelativePath]])</f>
        <v>1 Ангар Склад 2 въезд\E33149364_6_20251209T101406Z.jpg</v>
      </c>
    </row>
    <row r="55" spans="1:13" x14ac:dyDescent="0.25">
      <c r="A55" t="s">
        <v>14</v>
      </c>
      <c r="B55" s="4">
        <v>46000</v>
      </c>
      <c r="C55" s="6">
        <v>0.47930555555555554</v>
      </c>
      <c r="D55" s="7" t="s">
        <v>85</v>
      </c>
      <c r="E55" t="s">
        <v>4134</v>
      </c>
      <c r="F55" t="s">
        <v>5010</v>
      </c>
      <c r="I55" s="9" t="s">
        <v>5415</v>
      </c>
      <c r="J55" s="9" t="s">
        <v>2936</v>
      </c>
      <c r="K55" t="s">
        <v>5416</v>
      </c>
      <c r="L55" t="s">
        <v>5417</v>
      </c>
      <c r="M55" s="3" t="str">
        <f>HYPERLINK(СторонТрансп[[#This Row],[RelativePath]])</f>
        <v>1 Ангар Склад 2 въезд\E33149364_6_20251209T113012Z.jpg</v>
      </c>
    </row>
    <row r="56" spans="1:13" x14ac:dyDescent="0.25">
      <c r="A56" t="s">
        <v>14</v>
      </c>
      <c r="B56" s="4">
        <v>46000</v>
      </c>
      <c r="C56" s="6">
        <v>0.510625</v>
      </c>
      <c r="D56" s="7" t="s">
        <v>91</v>
      </c>
      <c r="E56" t="s">
        <v>5436</v>
      </c>
      <c r="F56" t="s">
        <v>51</v>
      </c>
      <c r="I56" s="9" t="s">
        <v>5418</v>
      </c>
      <c r="J56" s="9" t="s">
        <v>2936</v>
      </c>
      <c r="K56" t="s">
        <v>5419</v>
      </c>
      <c r="L56" t="s">
        <v>5420</v>
      </c>
      <c r="M56" s="3" t="str">
        <f>HYPERLINK(СторонТрансп[[#This Row],[RelativePath]])</f>
        <v>1 Ангар Склад 2 въезд\E33149364_6_20251209T121518Z.jpg</v>
      </c>
    </row>
    <row r="57" spans="1:13" x14ac:dyDescent="0.25">
      <c r="A57" t="s">
        <v>15</v>
      </c>
      <c r="B57" s="4">
        <v>46001</v>
      </c>
      <c r="C57" s="6">
        <v>0.63895833333333329</v>
      </c>
      <c r="D57" s="7" t="s">
        <v>85</v>
      </c>
      <c r="E57" t="s">
        <v>4134</v>
      </c>
      <c r="F57" t="s">
        <v>5010</v>
      </c>
      <c r="I57" s="9" t="s">
        <v>5433</v>
      </c>
      <c r="J57" s="9" t="s">
        <v>2936</v>
      </c>
      <c r="K57" t="s">
        <v>5434</v>
      </c>
      <c r="L57" t="s">
        <v>5435</v>
      </c>
      <c r="M57" s="3" t="str">
        <f>HYPERLINK(СторонТрансп[[#This Row],[RelativePath]])</f>
        <v>1 Ангар Склад 2 въезд\E33149364_6_20251210T152006Z.jpg</v>
      </c>
    </row>
    <row r="58" spans="1:13" x14ac:dyDescent="0.25">
      <c r="A58" t="s">
        <v>15</v>
      </c>
      <c r="B58" s="4">
        <v>46001</v>
      </c>
      <c r="C58" s="6">
        <v>0.53234953703703702</v>
      </c>
      <c r="D58" s="7" t="s">
        <v>64</v>
      </c>
      <c r="E58" t="s">
        <v>4134</v>
      </c>
      <c r="F58" t="s">
        <v>5010</v>
      </c>
      <c r="I58" s="9" t="s">
        <v>5430</v>
      </c>
      <c r="J58" s="9" t="s">
        <v>2936</v>
      </c>
      <c r="K58" t="s">
        <v>5431</v>
      </c>
      <c r="L58" t="s">
        <v>5432</v>
      </c>
      <c r="M58" s="3" t="str">
        <f>HYPERLINK(СторонТрансп[[#This Row],[RelativePath]])</f>
        <v>1 Ангар Склад 2 въезд\E33149364_6_20251210T124635Z.jpg</v>
      </c>
    </row>
    <row r="59" spans="1:13" x14ac:dyDescent="0.25">
      <c r="A59" t="s">
        <v>18</v>
      </c>
      <c r="B59" s="4">
        <v>46004</v>
      </c>
      <c r="C59" s="6">
        <v>0.53726851851851853</v>
      </c>
      <c r="D59" s="7" t="s">
        <v>2974</v>
      </c>
      <c r="E59" t="s">
        <v>6086</v>
      </c>
      <c r="F59" t="s">
        <v>51</v>
      </c>
      <c r="I59" s="9" t="s">
        <v>5959</v>
      </c>
      <c r="J59" s="9" t="s">
        <v>2936</v>
      </c>
      <c r="K59" t="s">
        <v>5960</v>
      </c>
      <c r="L59" t="s">
        <v>5961</v>
      </c>
      <c r="M59" s="3" t="str">
        <f>HYPERLINK(СторонТрансп[[#This Row],[RelativePath]])</f>
        <v>1 Ангар Склад 2 въезд\E33149364_6_20251213T125340Z.jpg</v>
      </c>
    </row>
    <row r="60" spans="1:13" x14ac:dyDescent="0.25">
      <c r="A60" t="s">
        <v>18</v>
      </c>
      <c r="B60" s="4">
        <v>46004</v>
      </c>
      <c r="C60" s="6">
        <v>0.53954861111111108</v>
      </c>
      <c r="D60" s="7" t="s">
        <v>91</v>
      </c>
      <c r="E60" t="s">
        <v>6088</v>
      </c>
      <c r="F60" t="s">
        <v>58</v>
      </c>
      <c r="I60" s="9" t="s">
        <v>5962</v>
      </c>
      <c r="J60" s="9" t="s">
        <v>2936</v>
      </c>
      <c r="K60" t="s">
        <v>5963</v>
      </c>
      <c r="L60" t="s">
        <v>5964</v>
      </c>
      <c r="M60" s="3" t="str">
        <f>HYPERLINK(СторонТрансп[[#This Row],[RelativePath]])</f>
        <v>1 Ангар Склад 2 въезд\E33149364_6_20251213T125657Z.jpg</v>
      </c>
    </row>
    <row r="61" spans="1:13" x14ac:dyDescent="0.25">
      <c r="A61" t="s">
        <v>18</v>
      </c>
      <c r="B61" s="4">
        <v>46004</v>
      </c>
      <c r="C61" s="6">
        <v>0.56135416666666671</v>
      </c>
      <c r="D61" s="7" t="s">
        <v>62</v>
      </c>
      <c r="E61" t="s">
        <v>6088</v>
      </c>
      <c r="F61" t="s">
        <v>6089</v>
      </c>
      <c r="H61" t="s">
        <v>6090</v>
      </c>
      <c r="I61" s="9" t="s">
        <v>5965</v>
      </c>
      <c r="J61" s="9" t="s">
        <v>2936</v>
      </c>
      <c r="K61" t="s">
        <v>5966</v>
      </c>
      <c r="L61" t="s">
        <v>5967</v>
      </c>
      <c r="M61" s="3" t="str">
        <f>HYPERLINK(СторонТрансп[[#This Row],[RelativePath]])</f>
        <v>1 Ангар Склад 2 въезд\E33149364_6_20251213T132821Z.jpg</v>
      </c>
    </row>
    <row r="62" spans="1:13" x14ac:dyDescent="0.25">
      <c r="A62" t="s">
        <v>18</v>
      </c>
      <c r="B62" s="4">
        <v>46004</v>
      </c>
      <c r="C62" s="6">
        <v>0.53692129629629626</v>
      </c>
      <c r="D62" s="7" t="s">
        <v>62</v>
      </c>
      <c r="E62" t="s">
        <v>6087</v>
      </c>
      <c r="F62" t="s">
        <v>51</v>
      </c>
      <c r="I62" s="9" t="s">
        <v>5956</v>
      </c>
      <c r="J62" s="9" t="s">
        <v>2936</v>
      </c>
      <c r="K62" t="s">
        <v>5957</v>
      </c>
      <c r="L62" t="s">
        <v>5958</v>
      </c>
      <c r="M62" s="3" t="str">
        <f>HYPERLINK(СторонТрансп[[#This Row],[RelativePath]])</f>
        <v>1 Ангар Склад 2 въезд\E33149364_6_20251213T125310Z.jpg</v>
      </c>
    </row>
    <row r="63" spans="1:13" x14ac:dyDescent="0.25">
      <c r="A63" t="s">
        <v>18</v>
      </c>
      <c r="B63" s="4">
        <v>46004</v>
      </c>
      <c r="C63" s="6">
        <v>0.41039351851851852</v>
      </c>
      <c r="D63" s="7" t="s">
        <v>62</v>
      </c>
      <c r="E63" t="s">
        <v>6088</v>
      </c>
      <c r="F63" t="s">
        <v>58</v>
      </c>
      <c r="H63" t="s">
        <v>6085</v>
      </c>
      <c r="I63" s="9" t="s">
        <v>5947</v>
      </c>
      <c r="J63" s="9" t="s">
        <v>2936</v>
      </c>
      <c r="K63" t="s">
        <v>5948</v>
      </c>
      <c r="L63" t="s">
        <v>5949</v>
      </c>
      <c r="M63" s="3" t="str">
        <f>HYPERLINK(СторонТрансп[[#This Row],[RelativePath]])</f>
        <v>1 Ангар Склад 2 въезд\E33149364_6_20251213T095058Z.jpg</v>
      </c>
    </row>
    <row r="64" spans="1:13" x14ac:dyDescent="0.25">
      <c r="A64" t="s">
        <v>18</v>
      </c>
      <c r="B64" s="4">
        <v>46004</v>
      </c>
      <c r="C64" s="6">
        <v>0.52951388888888884</v>
      </c>
      <c r="D64" s="7" t="s">
        <v>91</v>
      </c>
      <c r="E64" t="s">
        <v>6087</v>
      </c>
      <c r="F64" t="s">
        <v>51</v>
      </c>
      <c r="I64" s="9" t="s">
        <v>5950</v>
      </c>
      <c r="J64" s="9" t="s">
        <v>2936</v>
      </c>
      <c r="K64" t="s">
        <v>5951</v>
      </c>
      <c r="L64" t="s">
        <v>5952</v>
      </c>
      <c r="M64" s="3" t="str">
        <f>HYPERLINK(СторонТрансп[[#This Row],[RelativePath]])</f>
        <v>1 Ангар Склад 2 въезд\E33149364_6_20251213T124230Z.jpg</v>
      </c>
    </row>
    <row r="65" spans="1:13" x14ac:dyDescent="0.25">
      <c r="A65" t="s">
        <v>18</v>
      </c>
      <c r="B65" s="4">
        <v>46004</v>
      </c>
      <c r="C65" s="6">
        <v>0.52979166666666666</v>
      </c>
      <c r="D65" s="7" t="s">
        <v>91</v>
      </c>
      <c r="E65" t="s">
        <v>6086</v>
      </c>
      <c r="F65" t="s">
        <v>51</v>
      </c>
      <c r="I65" s="9" t="s">
        <v>5953</v>
      </c>
      <c r="J65" s="9" t="s">
        <v>2936</v>
      </c>
      <c r="K65" t="s">
        <v>5954</v>
      </c>
      <c r="L65" t="s">
        <v>5955</v>
      </c>
      <c r="M65" s="3" t="str">
        <f>HYPERLINK(СторонТрансп[[#This Row],[RelativePath]])</f>
        <v>1 Ангар Склад 2 въезд\E33149364_6_20251213T124254Z.jpg</v>
      </c>
    </row>
    <row r="66" spans="1:13" x14ac:dyDescent="0.25">
      <c r="A66" t="s">
        <v>13</v>
      </c>
      <c r="B66" s="4">
        <v>46006</v>
      </c>
      <c r="C66" s="6">
        <v>0.48192129629629632</v>
      </c>
      <c r="D66" s="7" t="s">
        <v>85</v>
      </c>
      <c r="E66" t="s">
        <v>6248</v>
      </c>
      <c r="F66" t="s">
        <v>58</v>
      </c>
      <c r="H66" t="s">
        <v>2891</v>
      </c>
      <c r="I66" s="9" t="s">
        <v>6189</v>
      </c>
      <c r="J66" s="9" t="s">
        <v>2936</v>
      </c>
      <c r="K66" t="s">
        <v>6190</v>
      </c>
      <c r="L66" t="s">
        <v>6191</v>
      </c>
      <c r="M66" s="3" t="str">
        <f>HYPERLINK(СторонТрансп[[#This Row],[RelativePath]])</f>
        <v>1 Ангар Склад 2 въезд\E33149364_6_20251215T113358Z.jpg</v>
      </c>
    </row>
    <row r="67" spans="1:13" x14ac:dyDescent="0.25">
      <c r="A67" t="s">
        <v>13</v>
      </c>
      <c r="B67" s="4">
        <v>46006</v>
      </c>
      <c r="C67" s="6">
        <v>0.54327546296296292</v>
      </c>
      <c r="D67" s="7" t="s">
        <v>85</v>
      </c>
      <c r="E67" t="s">
        <v>4134</v>
      </c>
      <c r="F67" t="s">
        <v>5010</v>
      </c>
      <c r="I67" s="9" t="s">
        <v>6198</v>
      </c>
      <c r="J67" s="9" t="s">
        <v>2936</v>
      </c>
      <c r="K67" t="s">
        <v>6199</v>
      </c>
      <c r="L67" t="s">
        <v>6200</v>
      </c>
      <c r="M67" s="3" t="str">
        <f>HYPERLINK(СторонТрансп[[#This Row],[RelativePath]])</f>
        <v>1 Ангар Склад 2 въезд\E33149364_6_20251215T130219Z.jpg</v>
      </c>
    </row>
    <row r="68" spans="1:13" x14ac:dyDescent="0.25">
      <c r="A68" t="s">
        <v>13</v>
      </c>
      <c r="B68" s="4">
        <v>46006</v>
      </c>
      <c r="C68" s="6">
        <v>0.48171296296296295</v>
      </c>
      <c r="D68" s="7" t="s">
        <v>85</v>
      </c>
      <c r="E68" t="s">
        <v>6248</v>
      </c>
      <c r="F68" t="s">
        <v>58</v>
      </c>
      <c r="H68" t="s">
        <v>1583</v>
      </c>
      <c r="I68" s="9" t="s">
        <v>6186</v>
      </c>
      <c r="J68" s="9" t="s">
        <v>2936</v>
      </c>
      <c r="K68" t="s">
        <v>6187</v>
      </c>
      <c r="L68" t="s">
        <v>6188</v>
      </c>
      <c r="M68" s="3" t="str">
        <f>HYPERLINK(СторонТрансп[[#This Row],[RelativePath]])</f>
        <v>1 Ангар Склад 2 въезд\E33149364_6_20251215T113340Z.jpg</v>
      </c>
    </row>
    <row r="69" spans="1:13" x14ac:dyDescent="0.25">
      <c r="A69" t="s">
        <v>13</v>
      </c>
      <c r="B69" s="4">
        <v>46006</v>
      </c>
      <c r="C69" s="6">
        <v>0.43730324074074073</v>
      </c>
      <c r="D69" s="7" t="s">
        <v>64</v>
      </c>
      <c r="E69" t="s">
        <v>4134</v>
      </c>
      <c r="F69" t="s">
        <v>5010</v>
      </c>
      <c r="I69" s="9" t="s">
        <v>6183</v>
      </c>
      <c r="J69" s="9" t="s">
        <v>2936</v>
      </c>
      <c r="K69" t="s">
        <v>6184</v>
      </c>
      <c r="L69" t="s">
        <v>6185</v>
      </c>
      <c r="M69" s="3" t="str">
        <f>HYPERLINK(СторонТрансп[[#This Row],[RelativePath]])</f>
        <v>1 Ангар Склад 2 въезд\E33149364_6_20251215T102943Z.jpg</v>
      </c>
    </row>
    <row r="70" spans="1:13" x14ac:dyDescent="0.25">
      <c r="A70" t="s">
        <v>13</v>
      </c>
      <c r="B70" s="4">
        <v>46006</v>
      </c>
      <c r="C70" s="6">
        <v>0.46148148148148149</v>
      </c>
      <c r="D70" s="7" t="s">
        <v>91</v>
      </c>
      <c r="E70" t="s">
        <v>6248</v>
      </c>
      <c r="F70" t="s">
        <v>51</v>
      </c>
      <c r="I70" s="9" t="s">
        <v>6262</v>
      </c>
      <c r="J70" s="9" t="s">
        <v>2936</v>
      </c>
      <c r="K70" t="s">
        <v>6263</v>
      </c>
      <c r="L70" t="s">
        <v>6264</v>
      </c>
      <c r="M70" s="3" t="str">
        <f>HYPERLINK(СторонТрансп[[#This Row],[RelativePath]])</f>
        <v>1 Ангар Склад 2 въезд\E33149364_6_20251215T110432Z.jpg</v>
      </c>
    </row>
    <row r="71" spans="1:13" x14ac:dyDescent="0.25">
      <c r="A71" t="s">
        <v>14</v>
      </c>
      <c r="B71" s="4">
        <v>46007</v>
      </c>
      <c r="C71" s="6">
        <v>0.49627314814814816</v>
      </c>
      <c r="D71" s="7" t="s">
        <v>64</v>
      </c>
      <c r="E71" t="s">
        <v>4134</v>
      </c>
      <c r="F71" t="s">
        <v>5010</v>
      </c>
      <c r="I71" s="9" t="s">
        <v>6458</v>
      </c>
      <c r="J71" s="9" t="s">
        <v>2936</v>
      </c>
      <c r="K71" t="s">
        <v>6459</v>
      </c>
      <c r="L71" t="s">
        <v>6460</v>
      </c>
      <c r="M71" s="3" t="str">
        <f>HYPERLINK(СторонТрансп[[#This Row],[RelativePath]])</f>
        <v>1 Ангар Склад 2 въезд\E33149364_6_20251216T115438Z.jpg</v>
      </c>
    </row>
    <row r="72" spans="1:13" x14ac:dyDescent="0.25">
      <c r="A72" t="s">
        <v>14</v>
      </c>
      <c r="B72" s="4">
        <v>46007</v>
      </c>
      <c r="C72" s="6">
        <v>0.58416666666666661</v>
      </c>
      <c r="D72" s="7" t="s">
        <v>85</v>
      </c>
      <c r="E72" t="s">
        <v>4134</v>
      </c>
      <c r="F72" t="s">
        <v>5010</v>
      </c>
      <c r="I72" s="9" t="s">
        <v>6461</v>
      </c>
      <c r="J72" s="9" t="s">
        <v>2936</v>
      </c>
      <c r="K72" t="s">
        <v>6462</v>
      </c>
      <c r="L72" t="s">
        <v>6463</v>
      </c>
      <c r="M72" s="3" t="str">
        <f>HYPERLINK(СторонТрансп[[#This Row],[RelativePath]])</f>
        <v>1 Ангар Склад 2 въезд\E33149364_6_20251216T140112Z.jpg</v>
      </c>
    </row>
    <row r="73" spans="1:13" x14ac:dyDescent="0.25">
      <c r="A73" t="s">
        <v>14</v>
      </c>
      <c r="B73" s="4">
        <v>46007</v>
      </c>
      <c r="C73" s="6">
        <v>0.4475810185185185</v>
      </c>
      <c r="D73" s="7" t="s">
        <v>91</v>
      </c>
      <c r="E73" t="s">
        <v>6574</v>
      </c>
      <c r="F73" t="s">
        <v>51</v>
      </c>
      <c r="I73" s="9" t="s">
        <v>6452</v>
      </c>
      <c r="J73" s="9" t="s">
        <v>2936</v>
      </c>
      <c r="K73" t="s">
        <v>6453</v>
      </c>
      <c r="L73" t="s">
        <v>6454</v>
      </c>
      <c r="M73" s="3" t="str">
        <f>HYPERLINK(СторонТрансп[[#This Row],[RelativePath]])</f>
        <v>1 Ангар Склад 2 въезд\E33149364_6_20251216T104431Z.jpg</v>
      </c>
    </row>
    <row r="74" spans="1:13" x14ac:dyDescent="0.25">
      <c r="A74" t="s">
        <v>14</v>
      </c>
      <c r="B74" s="4">
        <v>46007</v>
      </c>
      <c r="C74" s="6">
        <v>0.46203703703703702</v>
      </c>
      <c r="D74" s="7" t="s">
        <v>62</v>
      </c>
      <c r="E74" t="s">
        <v>6574</v>
      </c>
      <c r="F74" t="s">
        <v>6575</v>
      </c>
      <c r="I74" s="9" t="s">
        <v>6455</v>
      </c>
      <c r="J74" s="9" t="s">
        <v>2936</v>
      </c>
      <c r="K74" t="s">
        <v>6456</v>
      </c>
      <c r="L74" t="s">
        <v>6457</v>
      </c>
      <c r="M74" s="3" t="str">
        <f>HYPERLINK(СторонТрансп[[#This Row],[RelativePath]])</f>
        <v>1 Ангар Склад 2 въезд\E33149364_6_20251216T110520Z.jpg</v>
      </c>
    </row>
    <row r="75" spans="1:13" x14ac:dyDescent="0.25">
      <c r="A75" t="s">
        <v>16</v>
      </c>
      <c r="B75" s="4">
        <v>46009</v>
      </c>
      <c r="C75" s="6">
        <v>0.61517361111111113</v>
      </c>
      <c r="D75" s="7" t="s">
        <v>85</v>
      </c>
      <c r="E75" t="s">
        <v>4134</v>
      </c>
      <c r="F75" t="s">
        <v>5010</v>
      </c>
      <c r="I75" s="9" t="s">
        <v>6595</v>
      </c>
      <c r="J75" s="9" t="s">
        <v>2936</v>
      </c>
      <c r="K75" t="s">
        <v>6596</v>
      </c>
      <c r="L75" t="s">
        <v>6597</v>
      </c>
      <c r="M75" s="3" t="str">
        <f>HYPERLINK(СторонТрансп[[#This Row],[RelativePath]])</f>
        <v>1 Ангар Склад 2 въезд\E33149364_6_20251218T144551Z.jpg</v>
      </c>
    </row>
    <row r="76" spans="1:13" x14ac:dyDescent="0.25">
      <c r="A76" t="s">
        <v>16</v>
      </c>
      <c r="B76" s="4">
        <v>46009</v>
      </c>
      <c r="C76" s="6">
        <v>0.51199074074074069</v>
      </c>
      <c r="D76" s="7" t="s">
        <v>64</v>
      </c>
      <c r="E76" t="s">
        <v>4134</v>
      </c>
      <c r="F76" t="s">
        <v>5010</v>
      </c>
      <c r="I76" s="9" t="s">
        <v>6583</v>
      </c>
      <c r="J76" s="9" t="s">
        <v>2936</v>
      </c>
      <c r="K76" t="s">
        <v>6584</v>
      </c>
      <c r="L76" t="s">
        <v>6585</v>
      </c>
      <c r="M76" s="3" t="str">
        <f>HYPERLINK(СторонТрансп[[#This Row],[RelativePath]])</f>
        <v>1 Ангар Склад 2 въезд\E33149364_6_20251218T121716Z.jpg</v>
      </c>
    </row>
    <row r="77" spans="1:13" x14ac:dyDescent="0.25">
      <c r="A77" t="s">
        <v>13</v>
      </c>
      <c r="B77" s="4">
        <v>46013</v>
      </c>
      <c r="C77" s="6">
        <v>0.55439814814814814</v>
      </c>
      <c r="D77" s="7" t="s">
        <v>85</v>
      </c>
      <c r="E77" t="s">
        <v>4134</v>
      </c>
      <c r="F77" t="s">
        <v>5010</v>
      </c>
      <c r="I77" s="9" t="s">
        <v>7158</v>
      </c>
      <c r="J77" s="9" t="s">
        <v>2936</v>
      </c>
      <c r="K77" t="s">
        <v>7159</v>
      </c>
      <c r="L77" t="s">
        <v>7160</v>
      </c>
      <c r="M77" s="3" t="str">
        <f>HYPERLINK(СторонТрансп[[#This Row],[RelativePath]])</f>
        <v>1 Ангар Склад 2 въезд\E33149364_6_20251222T131820Z.jpg</v>
      </c>
    </row>
    <row r="78" spans="1:13" x14ac:dyDescent="0.25">
      <c r="A78" t="s">
        <v>13</v>
      </c>
      <c r="B78" s="4">
        <v>46013</v>
      </c>
      <c r="C78" s="6">
        <v>0.46493055555555557</v>
      </c>
      <c r="D78" s="7" t="s">
        <v>64</v>
      </c>
      <c r="E78" t="s">
        <v>4134</v>
      </c>
      <c r="F78" t="s">
        <v>5010</v>
      </c>
      <c r="I78" s="9" t="s">
        <v>7155</v>
      </c>
      <c r="J78" s="9" t="s">
        <v>2936</v>
      </c>
      <c r="K78" t="s">
        <v>7156</v>
      </c>
      <c r="L78" t="s">
        <v>7157</v>
      </c>
      <c r="M78" s="3" t="str">
        <f>HYPERLINK(СторонТрансп[[#This Row],[RelativePath]])</f>
        <v>1 Ангар Склад 2 въезд\E33149364_6_20251222T110930Z.jpg</v>
      </c>
    </row>
    <row r="79" spans="1:13" x14ac:dyDescent="0.25">
      <c r="A79" t="s">
        <v>14</v>
      </c>
      <c r="B79" s="4">
        <v>46014</v>
      </c>
      <c r="C79" s="6">
        <v>0.81598379629629625</v>
      </c>
      <c r="D79" s="7" t="s">
        <v>62</v>
      </c>
      <c r="E79" t="s">
        <v>7320</v>
      </c>
      <c r="F79" t="s">
        <v>51</v>
      </c>
      <c r="I79" s="9" t="s">
        <v>7164</v>
      </c>
      <c r="J79" s="9" t="s">
        <v>2936</v>
      </c>
      <c r="K79" t="s">
        <v>7165</v>
      </c>
      <c r="L79" t="s">
        <v>7166</v>
      </c>
      <c r="M79" s="3" t="str">
        <f>HYPERLINK(СторонТрансп[[#This Row],[RelativePath]])</f>
        <v>1 Ангар Склад 2 въезд\E33149364_6_20251223T193501Z.jpg</v>
      </c>
    </row>
    <row r="80" spans="1:13" x14ac:dyDescent="0.25">
      <c r="A80" t="s">
        <v>14</v>
      </c>
      <c r="B80" s="4">
        <v>46014</v>
      </c>
      <c r="C80" s="6">
        <v>0.75899305555555552</v>
      </c>
      <c r="D80" s="7" t="s">
        <v>91</v>
      </c>
      <c r="E80" t="s">
        <v>7320</v>
      </c>
      <c r="F80" t="s">
        <v>60</v>
      </c>
      <c r="I80" s="9" t="s">
        <v>7161</v>
      </c>
      <c r="J80" s="9" t="s">
        <v>2936</v>
      </c>
      <c r="K80" t="s">
        <v>7162</v>
      </c>
      <c r="L80" t="s">
        <v>7163</v>
      </c>
      <c r="M80" s="3" t="str">
        <f>HYPERLINK(СторонТрансп[[#This Row],[RelativePath]])</f>
        <v>1 Ангар Склад 2 въезд\E33149364_6_20251223T181257Z.jpg</v>
      </c>
    </row>
    <row r="81" spans="1:13" x14ac:dyDescent="0.25">
      <c r="A81" t="s">
        <v>15</v>
      </c>
      <c r="B81" s="4">
        <v>46015</v>
      </c>
      <c r="C81" s="6">
        <v>0.88572916666666668</v>
      </c>
      <c r="D81" s="7" t="s">
        <v>91</v>
      </c>
      <c r="E81" t="s">
        <v>7612</v>
      </c>
      <c r="F81" t="s">
        <v>60</v>
      </c>
      <c r="I81" s="9" t="s">
        <v>7331</v>
      </c>
      <c r="J81" s="9" t="s">
        <v>2936</v>
      </c>
      <c r="K81" t="s">
        <v>7332</v>
      </c>
      <c r="L81" t="s">
        <v>7333</v>
      </c>
      <c r="M81" s="3" t="str">
        <f>HYPERLINK(СторонТрансп[[#This Row],[RelativePath]])</f>
        <v>1 Ангар Склад 2 въезд\E33149364_6_20251224T211527Z.jpg</v>
      </c>
    </row>
    <row r="82" spans="1:13" x14ac:dyDescent="0.25">
      <c r="A82" t="s">
        <v>16</v>
      </c>
      <c r="B82" s="4">
        <v>46016</v>
      </c>
      <c r="C82" s="6">
        <v>0.62315972222222227</v>
      </c>
      <c r="D82" s="7" t="s">
        <v>62</v>
      </c>
      <c r="E82" t="s">
        <v>4134</v>
      </c>
      <c r="F82" t="s">
        <v>4181</v>
      </c>
      <c r="I82" s="9" t="s">
        <v>7346</v>
      </c>
      <c r="J82" s="9" t="s">
        <v>2936</v>
      </c>
      <c r="K82" t="s">
        <v>7347</v>
      </c>
      <c r="L82" t="s">
        <v>7348</v>
      </c>
      <c r="M82" s="3" t="str">
        <f>HYPERLINK(СторонТрансп[[#This Row],[RelativePath]])</f>
        <v>1 Ангар Склад 2 въезд\E33149364_6_20251225T145721Z.jpg</v>
      </c>
    </row>
    <row r="83" spans="1:13" x14ac:dyDescent="0.25">
      <c r="A83" t="s">
        <v>16</v>
      </c>
      <c r="B83" s="4">
        <v>46016</v>
      </c>
      <c r="C83" s="6">
        <v>0.51089120370370367</v>
      </c>
      <c r="D83" s="7" t="s">
        <v>91</v>
      </c>
      <c r="E83" t="s">
        <v>4134</v>
      </c>
      <c r="F83" t="s">
        <v>51</v>
      </c>
      <c r="I83" s="9" t="s">
        <v>7340</v>
      </c>
      <c r="J83" s="9" t="s">
        <v>2936</v>
      </c>
      <c r="K83" t="s">
        <v>7341</v>
      </c>
      <c r="L83" t="s">
        <v>7342</v>
      </c>
      <c r="M83" s="3" t="str">
        <f>HYPERLINK(СторонТрансп[[#This Row],[RelativePath]])</f>
        <v>1 Ангар Склад 2 въезд\E33149364_6_20251225T121541Z.jpg</v>
      </c>
    </row>
    <row r="84" spans="1:13" x14ac:dyDescent="0.25">
      <c r="A84" t="s">
        <v>16</v>
      </c>
      <c r="B84" s="4">
        <v>46016</v>
      </c>
      <c r="C84" s="6">
        <v>0.49247685185185186</v>
      </c>
      <c r="D84" s="7" t="s">
        <v>62</v>
      </c>
      <c r="E84" t="s">
        <v>7612</v>
      </c>
      <c r="F84" t="s">
        <v>51</v>
      </c>
      <c r="I84" s="9" t="s">
        <v>7334</v>
      </c>
      <c r="J84" s="9" t="s">
        <v>2936</v>
      </c>
      <c r="K84" t="s">
        <v>7335</v>
      </c>
      <c r="L84" t="s">
        <v>7336</v>
      </c>
      <c r="M84" s="3" t="str">
        <f>HYPERLINK(СторонТрансп[[#This Row],[RelativePath]])</f>
        <v>1 Ангар Склад 2 въезд\E33149364_6_20251225T114910Z.jpg</v>
      </c>
    </row>
    <row r="85" spans="1:13" x14ac:dyDescent="0.25">
      <c r="A85" t="s">
        <v>17</v>
      </c>
      <c r="B85" s="4">
        <v>46017</v>
      </c>
      <c r="C85" s="6">
        <v>0.49219907407407409</v>
      </c>
      <c r="D85" s="7" t="s">
        <v>62</v>
      </c>
      <c r="E85" t="s">
        <v>4134</v>
      </c>
      <c r="F85" t="s">
        <v>5010</v>
      </c>
      <c r="I85" s="9" t="s">
        <v>7632</v>
      </c>
      <c r="J85" s="9" t="s">
        <v>2936</v>
      </c>
      <c r="K85" t="s">
        <v>7633</v>
      </c>
      <c r="L85" t="s">
        <v>7634</v>
      </c>
      <c r="M85" s="3" t="str">
        <f>HYPERLINK(СторонТрансп[[#This Row],[RelativePath]])</f>
        <v>1 Ангар Склад 2 въезд\E33149364_6_20251226T114846Z.jpg</v>
      </c>
    </row>
    <row r="86" spans="1:13" x14ac:dyDescent="0.25">
      <c r="A86" t="s">
        <v>17</v>
      </c>
      <c r="B86" s="4">
        <v>46017</v>
      </c>
      <c r="C86" s="6">
        <v>0.41902777777777778</v>
      </c>
      <c r="D86" s="7" t="s">
        <v>91</v>
      </c>
      <c r="E86" t="s">
        <v>4134</v>
      </c>
      <c r="F86" t="s">
        <v>5010</v>
      </c>
      <c r="I86" s="9" t="s">
        <v>7629</v>
      </c>
      <c r="J86" s="9" t="s">
        <v>2936</v>
      </c>
      <c r="K86" t="s">
        <v>7630</v>
      </c>
      <c r="L86" t="s">
        <v>7631</v>
      </c>
      <c r="M86" s="3" t="str">
        <f>HYPERLINK(СторонТрансп[[#This Row],[RelativePath]])</f>
        <v>1 Ангар Склад 2 въезд\E33149364_6_20251226T100324Z.jpg</v>
      </c>
    </row>
    <row r="87" spans="1:13" x14ac:dyDescent="0.25">
      <c r="A87" t="s">
        <v>18</v>
      </c>
      <c r="B87" s="4">
        <v>46018</v>
      </c>
      <c r="C87" s="6">
        <v>0.59091435185185182</v>
      </c>
      <c r="D87" s="7" t="s">
        <v>91</v>
      </c>
      <c r="E87" t="s">
        <v>6248</v>
      </c>
      <c r="F87" t="s">
        <v>5010</v>
      </c>
      <c r="I87" s="9" t="s">
        <v>7802</v>
      </c>
      <c r="J87" s="9" t="s">
        <v>2936</v>
      </c>
      <c r="K87" t="s">
        <v>7803</v>
      </c>
      <c r="L87" t="s">
        <v>7804</v>
      </c>
      <c r="M87" s="3" t="str">
        <f>HYPERLINK(СторонТрансп[[#This Row],[RelativePath]])</f>
        <v>1 Ангар Склад 2 въезд\E33149364_6_20251227T141055Z.jpg</v>
      </c>
    </row>
    <row r="88" spans="1:13" x14ac:dyDescent="0.25">
      <c r="A88" t="s">
        <v>18</v>
      </c>
      <c r="B88" s="4">
        <v>46018</v>
      </c>
      <c r="C88" s="6">
        <v>0.61064814814814816</v>
      </c>
      <c r="D88" s="7" t="s">
        <v>62</v>
      </c>
      <c r="E88" t="s">
        <v>6248</v>
      </c>
      <c r="F88" t="s">
        <v>5010</v>
      </c>
      <c r="I88" s="9" t="s">
        <v>7805</v>
      </c>
      <c r="J88" s="9" t="s">
        <v>2936</v>
      </c>
      <c r="K88" t="s">
        <v>7806</v>
      </c>
      <c r="L88" t="s">
        <v>7807</v>
      </c>
      <c r="M88" s="3" t="str">
        <f>HYPERLINK(СторонТрансп[[#This Row],[RelativePath]])</f>
        <v>1 Ангар Склад 2 въезд\E33149364_6_20251227T143920Z.jpg</v>
      </c>
    </row>
    <row r="89" spans="1:13" x14ac:dyDescent="0.25">
      <c r="A89" t="s">
        <v>18</v>
      </c>
      <c r="B89" s="4">
        <v>46018</v>
      </c>
      <c r="C89" s="6">
        <v>0.43266203703703704</v>
      </c>
      <c r="D89" s="7" t="s">
        <v>64</v>
      </c>
      <c r="E89" t="s">
        <v>4134</v>
      </c>
      <c r="F89" t="s">
        <v>5010</v>
      </c>
      <c r="I89" s="9" t="s">
        <v>7796</v>
      </c>
      <c r="J89" s="9" t="s">
        <v>2936</v>
      </c>
      <c r="K89" t="s">
        <v>7797</v>
      </c>
      <c r="L89" t="s">
        <v>7798</v>
      </c>
      <c r="M89" s="3" t="str">
        <f>HYPERLINK(СторонТрансп[[#This Row],[RelativePath]])</f>
        <v>1 Ангар Склад 2 въезд\E33149364_6_20251227T102302Z.jpg</v>
      </c>
    </row>
    <row r="90" spans="1:13" x14ac:dyDescent="0.25">
      <c r="A90" t="s">
        <v>18</v>
      </c>
      <c r="B90" s="4">
        <v>46018</v>
      </c>
      <c r="C90" s="6">
        <v>0.58099537037037041</v>
      </c>
      <c r="D90" s="7" t="s">
        <v>85</v>
      </c>
      <c r="E90" t="s">
        <v>4134</v>
      </c>
      <c r="F90" t="s">
        <v>5010</v>
      </c>
      <c r="I90" s="9" t="s">
        <v>7799</v>
      </c>
      <c r="J90" s="9" t="s">
        <v>2936</v>
      </c>
      <c r="K90" t="s">
        <v>7800</v>
      </c>
      <c r="L90" t="s">
        <v>7801</v>
      </c>
      <c r="M90" s="3" t="str">
        <f>HYPERLINK(СторонТрансп[[#This Row],[RelativePath]])</f>
        <v>1 Ангар Склад 2 въезд\E33149364_6_20251227T135638Z.jpg</v>
      </c>
    </row>
    <row r="91" spans="1:13" x14ac:dyDescent="0.25">
      <c r="A91" t="s">
        <v>22</v>
      </c>
      <c r="B91" s="4">
        <v>46019</v>
      </c>
      <c r="C91" s="6">
        <v>0.64039351851851856</v>
      </c>
      <c r="D91" s="7" t="s">
        <v>85</v>
      </c>
      <c r="E91" t="s">
        <v>4134</v>
      </c>
      <c r="F91" t="s">
        <v>5010</v>
      </c>
      <c r="I91" s="9" t="s">
        <v>7823</v>
      </c>
      <c r="J91" s="9" t="s">
        <v>2936</v>
      </c>
      <c r="K91" t="s">
        <v>7824</v>
      </c>
      <c r="L91" t="s">
        <v>7825</v>
      </c>
      <c r="M91" s="3" t="str">
        <f>HYPERLINK(СторонТрансп[[#This Row],[RelativePath]])</f>
        <v>1 Ангар Склад 2 въезд\E33149364_6_20251228T152210Z.jpg</v>
      </c>
    </row>
    <row r="92" spans="1:13" x14ac:dyDescent="0.25">
      <c r="A92" t="s">
        <v>22</v>
      </c>
      <c r="B92" s="4">
        <v>46019</v>
      </c>
      <c r="C92" s="6">
        <v>0.66840277777777779</v>
      </c>
      <c r="D92" s="7" t="s">
        <v>91</v>
      </c>
      <c r="E92" t="s">
        <v>7943</v>
      </c>
      <c r="I92" s="9" t="s">
        <v>7826</v>
      </c>
      <c r="J92" s="9" t="s">
        <v>2936</v>
      </c>
      <c r="K92" t="s">
        <v>7827</v>
      </c>
      <c r="L92" t="s">
        <v>7828</v>
      </c>
      <c r="M92" s="3" t="str">
        <f>HYPERLINK(СторонТрансп[[#This Row],[RelativePath]])</f>
        <v>1 Ангар Склад 2 въезд\E33149364_6_20251228T160230Z.jpg</v>
      </c>
    </row>
    <row r="93" spans="1:13" x14ac:dyDescent="0.25">
      <c r="A93" t="s">
        <v>22</v>
      </c>
      <c r="B93" s="4">
        <v>46019</v>
      </c>
      <c r="C93" s="6">
        <v>0.66979166666666667</v>
      </c>
      <c r="D93" s="7" t="s">
        <v>62</v>
      </c>
      <c r="E93" t="s">
        <v>7943</v>
      </c>
      <c r="I93" s="9" t="s">
        <v>7829</v>
      </c>
      <c r="J93" s="9" t="s">
        <v>2936</v>
      </c>
      <c r="K93" t="s">
        <v>7830</v>
      </c>
      <c r="L93" t="s">
        <v>7831</v>
      </c>
      <c r="M93" s="3" t="str">
        <f>HYPERLINK(СторонТрансп[[#This Row],[RelativePath]])</f>
        <v>1 Ангар Склад 2 въезд\E33149364_6_20251228T160430Z.jpg</v>
      </c>
    </row>
    <row r="94" spans="1:13" x14ac:dyDescent="0.25">
      <c r="A94" t="s">
        <v>22</v>
      </c>
      <c r="B94" s="4">
        <v>46019</v>
      </c>
      <c r="C94" s="6">
        <v>0.50267361111111108</v>
      </c>
      <c r="D94" s="7" t="s">
        <v>91</v>
      </c>
      <c r="E94" t="s">
        <v>4134</v>
      </c>
      <c r="F94" t="s">
        <v>5010</v>
      </c>
      <c r="I94" s="9" t="s">
        <v>7808</v>
      </c>
      <c r="J94" s="9" t="s">
        <v>2936</v>
      </c>
      <c r="K94" t="s">
        <v>7809</v>
      </c>
      <c r="L94" t="s">
        <v>7810</v>
      </c>
      <c r="M94" s="3" t="str">
        <f>HYPERLINK(СторонТрансп[[#This Row],[RelativePath]])</f>
        <v>1 Ангар Склад 2 въезд\E33149364_6_20251228T120351Z.jpg</v>
      </c>
    </row>
    <row r="95" spans="1:13" x14ac:dyDescent="0.25">
      <c r="A95" t="s">
        <v>22</v>
      </c>
      <c r="B95" s="4">
        <v>46019</v>
      </c>
      <c r="C95" s="6">
        <v>0.50665509259259256</v>
      </c>
      <c r="D95" s="7" t="s">
        <v>62</v>
      </c>
      <c r="E95" t="s">
        <v>4134</v>
      </c>
      <c r="F95" t="s">
        <v>5010</v>
      </c>
      <c r="I95" s="9" t="s">
        <v>7811</v>
      </c>
      <c r="J95" s="9" t="s">
        <v>2936</v>
      </c>
      <c r="K95" t="s">
        <v>7812</v>
      </c>
      <c r="L95" t="s">
        <v>7813</v>
      </c>
      <c r="M95" s="3" t="str">
        <f>HYPERLINK(СторонТрансп[[#This Row],[RelativePath]])</f>
        <v>1 Ангар Склад 2 въезд\E33149364_6_20251228T120935Z.jpg</v>
      </c>
    </row>
    <row r="96" spans="1:13" x14ac:dyDescent="0.25">
      <c r="A96" t="s">
        <v>22</v>
      </c>
      <c r="B96" s="4">
        <v>46019</v>
      </c>
      <c r="C96" s="6">
        <v>0.50702546296296291</v>
      </c>
      <c r="D96" s="7" t="s">
        <v>64</v>
      </c>
      <c r="E96" t="s">
        <v>4134</v>
      </c>
      <c r="F96" t="s">
        <v>5010</v>
      </c>
      <c r="I96" s="9" t="s">
        <v>7817</v>
      </c>
      <c r="J96" s="9" t="s">
        <v>2936</v>
      </c>
      <c r="K96" t="s">
        <v>7818</v>
      </c>
      <c r="L96" t="s">
        <v>7819</v>
      </c>
      <c r="M96" s="3" t="str">
        <f>HYPERLINK(СторонТрансп[[#This Row],[RelativePath]])</f>
        <v>1 Ангар Склад 2 въезд\E33149364_6_20251228T121007Z.jpg</v>
      </c>
    </row>
    <row r="97" spans="1:13" x14ac:dyDescent="0.25">
      <c r="A97" t="s">
        <v>18</v>
      </c>
      <c r="B97" s="4">
        <v>46025</v>
      </c>
      <c r="C97" s="6">
        <v>0.68744212962962958</v>
      </c>
      <c r="D97" s="7" t="s">
        <v>62</v>
      </c>
      <c r="E97" t="s">
        <v>8378</v>
      </c>
      <c r="I97" s="9" t="s">
        <v>8276</v>
      </c>
      <c r="J97" s="9" t="s">
        <v>2936</v>
      </c>
      <c r="K97" t="s">
        <v>8277</v>
      </c>
      <c r="L97" t="s">
        <v>8278</v>
      </c>
      <c r="M97" s="3" t="str">
        <f>HYPERLINK(СторонТрансп[[#This Row],[RelativePath]])</f>
        <v>1 Ангар Склад 2 въезд\E33149364_6_20260103T162955Z.jpg</v>
      </c>
    </row>
    <row r="98" spans="1:13" x14ac:dyDescent="0.25">
      <c r="A98" t="s">
        <v>18</v>
      </c>
      <c r="B98" s="4">
        <v>46025</v>
      </c>
      <c r="C98" s="6">
        <v>0.6738425925925926</v>
      </c>
      <c r="D98" s="7" t="s">
        <v>91</v>
      </c>
      <c r="E98" t="s">
        <v>8378</v>
      </c>
      <c r="I98" s="9" t="s">
        <v>8273</v>
      </c>
      <c r="J98" s="9" t="s">
        <v>2936</v>
      </c>
      <c r="K98" t="s">
        <v>8274</v>
      </c>
      <c r="L98" t="s">
        <v>8275</v>
      </c>
      <c r="M98" s="3" t="str">
        <f>HYPERLINK(СторонТрансп[[#This Row],[RelativePath]])</f>
        <v>1 Ангар Склад 2 въезд\E33149364_6_20260103T161020Z.jpg</v>
      </c>
    </row>
    <row r="99" spans="1:13" x14ac:dyDescent="0.25">
      <c r="A99" t="s">
        <v>14</v>
      </c>
      <c r="B99" s="4">
        <v>46028</v>
      </c>
      <c r="C99" s="6">
        <v>0.5905555555555555</v>
      </c>
      <c r="D99" s="7" t="s">
        <v>62</v>
      </c>
      <c r="E99" t="s">
        <v>8687</v>
      </c>
      <c r="I99" s="9" t="s">
        <v>8406</v>
      </c>
      <c r="J99" s="9" t="s">
        <v>2936</v>
      </c>
      <c r="K99" t="s">
        <v>8407</v>
      </c>
      <c r="L99" t="s">
        <v>8408</v>
      </c>
      <c r="M99" s="3" t="str">
        <f>HYPERLINK(СторонТрансп[[#This Row],[RelativePath]])</f>
        <v>1 Ангар Склад 2 въезд\E33149364_6_20260106T141024Z.jpg</v>
      </c>
    </row>
    <row r="100" spans="1:13" x14ac:dyDescent="0.25">
      <c r="A100" t="s">
        <v>14</v>
      </c>
      <c r="B100" s="4">
        <v>46028</v>
      </c>
      <c r="C100" s="6">
        <v>0.58434027777777775</v>
      </c>
      <c r="D100" s="7" t="s">
        <v>91</v>
      </c>
      <c r="E100" t="s">
        <v>8687</v>
      </c>
      <c r="I100" s="9" t="s">
        <v>8403</v>
      </c>
      <c r="J100" s="9" t="s">
        <v>2936</v>
      </c>
      <c r="K100" t="s">
        <v>8404</v>
      </c>
      <c r="L100" t="s">
        <v>8405</v>
      </c>
      <c r="M100" s="3" t="str">
        <f>HYPERLINK(СторонТрансп[[#This Row],[RelativePath]])</f>
        <v>1 Ангар Склад 2 въезд\E33149364_6_20260106T140127Z.jpg</v>
      </c>
    </row>
    <row r="101" spans="1:13" x14ac:dyDescent="0.25">
      <c r="A101" t="s">
        <v>16</v>
      </c>
      <c r="B101" s="4">
        <v>46030</v>
      </c>
      <c r="C101" s="6">
        <v>0.74912037037037038</v>
      </c>
      <c r="D101" s="7" t="s">
        <v>62</v>
      </c>
      <c r="E101" t="s">
        <v>8250</v>
      </c>
      <c r="I101" s="9" t="s">
        <v>8415</v>
      </c>
      <c r="J101" s="9" t="s">
        <v>2936</v>
      </c>
      <c r="K101" t="s">
        <v>8416</v>
      </c>
      <c r="L101" t="s">
        <v>8417</v>
      </c>
      <c r="M101" s="3" t="str">
        <f>HYPERLINK(СторонТрансп[[#This Row],[RelativePath]])</f>
        <v>1 Ангар Склад 2 въезд\E33149364_6_20260108T175844Z.jpg</v>
      </c>
    </row>
    <row r="102" spans="1:13" x14ac:dyDescent="0.25">
      <c r="A102" t="s">
        <v>16</v>
      </c>
      <c r="B102" s="4">
        <v>46030</v>
      </c>
      <c r="C102" s="6">
        <v>0.74810185185185185</v>
      </c>
      <c r="D102" s="7" t="s">
        <v>91</v>
      </c>
      <c r="E102" t="s">
        <v>8250</v>
      </c>
      <c r="I102" s="9" t="s">
        <v>8412</v>
      </c>
      <c r="J102" s="9" t="s">
        <v>2936</v>
      </c>
      <c r="K102" t="s">
        <v>8413</v>
      </c>
      <c r="L102" t="s">
        <v>8414</v>
      </c>
      <c r="M102" s="3" t="str">
        <f>HYPERLINK(СторонТрансп[[#This Row],[RelativePath]])</f>
        <v>1 Ангар Склад 2 въезд\E33149364_6_20260108T175716Z.jpg</v>
      </c>
    </row>
    <row r="103" spans="1:13" x14ac:dyDescent="0.25">
      <c r="A103" t="s">
        <v>17</v>
      </c>
      <c r="B103" s="4">
        <v>46031</v>
      </c>
      <c r="C103" s="6">
        <v>0.67459490740740746</v>
      </c>
      <c r="D103" s="7" t="s">
        <v>62</v>
      </c>
      <c r="E103" t="s">
        <v>8688</v>
      </c>
      <c r="I103" s="9" t="s">
        <v>8421</v>
      </c>
      <c r="J103" s="9" t="s">
        <v>2936</v>
      </c>
      <c r="K103" t="s">
        <v>8422</v>
      </c>
      <c r="L103" t="s">
        <v>8423</v>
      </c>
      <c r="M103" s="3" t="str">
        <f>HYPERLINK(СторонТрансп[[#This Row],[RelativePath]])</f>
        <v>1 Ангар Склад 2 въезд\E33149364_6_20260109T161125Z.jpg</v>
      </c>
    </row>
    <row r="104" spans="1:13" x14ac:dyDescent="0.25">
      <c r="A104" t="s">
        <v>17</v>
      </c>
      <c r="B104" s="4">
        <v>46031</v>
      </c>
      <c r="C104" s="6">
        <v>0.66922453703703699</v>
      </c>
      <c r="D104" s="7" t="s">
        <v>91</v>
      </c>
      <c r="E104" t="s">
        <v>8688</v>
      </c>
      <c r="I104" s="9" t="s">
        <v>8418</v>
      </c>
      <c r="J104" s="9" t="s">
        <v>2936</v>
      </c>
      <c r="K104" t="s">
        <v>8419</v>
      </c>
      <c r="L104" t="s">
        <v>8420</v>
      </c>
      <c r="M104" s="3" t="str">
        <f>HYPERLINK(СторонТрансп[[#This Row],[RelativePath]])</f>
        <v>1 Ангар Склад 2 въезд\E33149364_6_20260109T160341Z.jpg</v>
      </c>
    </row>
    <row r="105" spans="1:13" x14ac:dyDescent="0.25">
      <c r="A105" t="s">
        <v>18</v>
      </c>
      <c r="B105" s="4">
        <v>46032</v>
      </c>
      <c r="C105" s="6">
        <v>0.54745370370370372</v>
      </c>
      <c r="D105" s="7" t="s">
        <v>91</v>
      </c>
      <c r="E105" t="s">
        <v>8690</v>
      </c>
      <c r="I105" s="9" t="s">
        <v>8433</v>
      </c>
      <c r="J105" s="9" t="s">
        <v>2936</v>
      </c>
      <c r="K105" t="s">
        <v>8434</v>
      </c>
      <c r="L105" t="s">
        <v>8435</v>
      </c>
      <c r="M105" s="3" t="str">
        <f>HYPERLINK(СторонТрансп[[#This Row],[RelativePath]])</f>
        <v>1 Ангар Склад 2 въезд\E33149364_6_20260110T130820Z.jpg</v>
      </c>
    </row>
    <row r="106" spans="1:13" x14ac:dyDescent="0.25">
      <c r="A106" t="s">
        <v>18</v>
      </c>
      <c r="B106" s="4">
        <v>46032</v>
      </c>
      <c r="C106" s="6">
        <v>0.69012731481481482</v>
      </c>
      <c r="D106" s="7" t="s">
        <v>62</v>
      </c>
      <c r="E106" t="s">
        <v>8690</v>
      </c>
      <c r="I106" s="9" t="s">
        <v>8436</v>
      </c>
      <c r="J106" s="9" t="s">
        <v>2936</v>
      </c>
      <c r="K106" t="s">
        <v>8437</v>
      </c>
      <c r="L106" t="s">
        <v>8438</v>
      </c>
      <c r="M106" s="3" t="str">
        <f>HYPERLINK(СторонТрансп[[#This Row],[RelativePath]])</f>
        <v>1 Ангар Склад 2 въезд\E33149364_6_20260110T163347Z.jpg</v>
      </c>
    </row>
    <row r="107" spans="1:13" x14ac:dyDescent="0.25">
      <c r="A107" t="s">
        <v>18</v>
      </c>
      <c r="B107" s="4">
        <v>46032</v>
      </c>
      <c r="C107" s="6">
        <v>0.71297453703703706</v>
      </c>
      <c r="D107" s="7" t="s">
        <v>62</v>
      </c>
      <c r="E107" t="s">
        <v>8689</v>
      </c>
      <c r="I107" s="9" t="s">
        <v>8439</v>
      </c>
      <c r="J107" s="9" t="s">
        <v>2936</v>
      </c>
      <c r="K107" t="s">
        <v>8440</v>
      </c>
      <c r="L107" t="s">
        <v>8441</v>
      </c>
      <c r="M107" s="3" t="str">
        <f>HYPERLINK(СторонТрансп[[#This Row],[RelativePath]])</f>
        <v>1 Ангар Склад 2 въезд\E33149364_6_20260110T170641Z.jpg</v>
      </c>
    </row>
    <row r="108" spans="1:13" x14ac:dyDescent="0.25">
      <c r="A108" t="s">
        <v>18</v>
      </c>
      <c r="B108" s="4">
        <v>46032</v>
      </c>
      <c r="C108" s="6">
        <v>0.52962962962962967</v>
      </c>
      <c r="D108" s="7" t="s">
        <v>91</v>
      </c>
      <c r="E108" t="s">
        <v>8689</v>
      </c>
      <c r="I108" s="9" t="s">
        <v>8424</v>
      </c>
      <c r="J108" s="9" t="s">
        <v>2936</v>
      </c>
      <c r="K108" t="s">
        <v>8425</v>
      </c>
      <c r="L108" t="s">
        <v>8426</v>
      </c>
      <c r="M108" s="3" t="str">
        <f>HYPERLINK(СторонТрансп[[#This Row],[RelativePath]])</f>
        <v>1 Ангар Склад 2 въезд\E33149364_6_20260110T124240Z.jpg</v>
      </c>
    </row>
    <row r="109" spans="1:13" x14ac:dyDescent="0.25">
      <c r="A109" t="s">
        <v>18</v>
      </c>
      <c r="B109" s="4">
        <v>46032</v>
      </c>
      <c r="C109" s="6">
        <v>0.54556712962962961</v>
      </c>
      <c r="D109" s="7" t="s">
        <v>62</v>
      </c>
      <c r="E109" t="s">
        <v>8689</v>
      </c>
      <c r="I109" s="9" t="s">
        <v>8427</v>
      </c>
      <c r="J109" s="9" t="s">
        <v>2936</v>
      </c>
      <c r="K109" t="s">
        <v>8428</v>
      </c>
      <c r="L109" t="s">
        <v>8429</v>
      </c>
      <c r="M109" s="3" t="str">
        <f>HYPERLINK(СторонТрансп[[#This Row],[RelativePath]])</f>
        <v>1 Ангар Склад 2 въезд\E33149364_6_20260110T130537Z.jpg</v>
      </c>
    </row>
    <row r="110" spans="1:13" x14ac:dyDescent="0.25">
      <c r="A110" t="s">
        <v>18</v>
      </c>
      <c r="B110" s="4">
        <v>46032</v>
      </c>
      <c r="C110" s="6">
        <v>0.54728009259259258</v>
      </c>
      <c r="D110" s="7" t="s">
        <v>91</v>
      </c>
      <c r="E110" t="s">
        <v>8689</v>
      </c>
      <c r="I110" s="9" t="s">
        <v>8430</v>
      </c>
      <c r="J110" s="9" t="s">
        <v>2936</v>
      </c>
      <c r="K110" t="s">
        <v>8431</v>
      </c>
      <c r="L110" t="s">
        <v>8432</v>
      </c>
      <c r="M110" s="3" t="str">
        <f>HYPERLINK(СторонТрансп[[#This Row],[RelativePath]])</f>
        <v>1 Ангар Склад 2 въезд\E33149364_6_20260110T130805Z.jpg</v>
      </c>
    </row>
    <row r="111" spans="1:13" x14ac:dyDescent="0.25">
      <c r="A111" t="s">
        <v>22</v>
      </c>
      <c r="B111" s="4">
        <v>46033</v>
      </c>
      <c r="C111" s="6">
        <v>0.78712962962962962</v>
      </c>
      <c r="D111" s="7" t="s">
        <v>62</v>
      </c>
      <c r="E111" t="s">
        <v>8688</v>
      </c>
      <c r="I111" s="9" t="s">
        <v>8448</v>
      </c>
      <c r="J111" s="9" t="s">
        <v>2936</v>
      </c>
      <c r="K111" t="s">
        <v>8449</v>
      </c>
      <c r="L111" t="s">
        <v>8450</v>
      </c>
      <c r="M111" s="3" t="str">
        <f>HYPERLINK(СторонТрансп[[#This Row],[RelativePath]])</f>
        <v>1 Ангар Склад 2 въезд\E33149364_6_20260111T185328Z.jpg</v>
      </c>
    </row>
    <row r="112" spans="1:13" x14ac:dyDescent="0.25">
      <c r="A112" t="s">
        <v>22</v>
      </c>
      <c r="B112" s="4">
        <v>46033</v>
      </c>
      <c r="C112" s="6">
        <v>0.78604166666666664</v>
      </c>
      <c r="D112" s="7" t="s">
        <v>91</v>
      </c>
      <c r="E112" t="s">
        <v>8688</v>
      </c>
      <c r="I112" s="9" t="s">
        <v>8445</v>
      </c>
      <c r="J112" s="9" t="s">
        <v>2936</v>
      </c>
      <c r="K112" t="s">
        <v>8446</v>
      </c>
      <c r="L112" t="s">
        <v>8447</v>
      </c>
      <c r="M112" s="3" t="str">
        <f>HYPERLINK(СторонТрансп[[#This Row],[RelativePath]])</f>
        <v>1 Ангар Склад 2 въезд\E33149364_6_20260111T185154Z.jpg</v>
      </c>
    </row>
    <row r="113" spans="1:13" x14ac:dyDescent="0.25">
      <c r="A113" t="s">
        <v>14</v>
      </c>
      <c r="B113" s="4">
        <v>46035</v>
      </c>
      <c r="C113" s="6">
        <v>0.41261574074074076</v>
      </c>
      <c r="D113" s="7" t="s">
        <v>62</v>
      </c>
      <c r="E113" t="s">
        <v>9073</v>
      </c>
      <c r="F113" t="s">
        <v>9074</v>
      </c>
      <c r="I113" s="9" t="s">
        <v>8746</v>
      </c>
      <c r="J113" s="9" t="s">
        <v>2936</v>
      </c>
      <c r="K113" t="s">
        <v>8747</v>
      </c>
      <c r="L113" t="s">
        <v>8748</v>
      </c>
      <c r="M113" s="3" t="str">
        <f>HYPERLINK(СторонТрансп[[#This Row],[RelativePath]])</f>
        <v>1 Ангар Склад 2 въезд\E33149364_6_20260113T095410Z.jpg</v>
      </c>
    </row>
    <row r="114" spans="1:13" x14ac:dyDescent="0.25">
      <c r="A114" t="s">
        <v>14</v>
      </c>
      <c r="B114" s="4">
        <v>46035</v>
      </c>
      <c r="C114" s="6">
        <v>0.41101851851851851</v>
      </c>
      <c r="D114" s="7" t="s">
        <v>91</v>
      </c>
      <c r="E114" t="s">
        <v>9073</v>
      </c>
      <c r="F114" t="s">
        <v>51</v>
      </c>
      <c r="I114" s="9" t="s">
        <v>8743</v>
      </c>
      <c r="J114" s="9" t="s">
        <v>2936</v>
      </c>
      <c r="K114" t="s">
        <v>8744</v>
      </c>
      <c r="L114" t="s">
        <v>8745</v>
      </c>
      <c r="M114" s="3" t="str">
        <f>HYPERLINK(СторонТрансп[[#This Row],[RelativePath]])</f>
        <v>1 Ангар Склад 2 въезд\E33149364_6_20260113T095152Z.jpg</v>
      </c>
    </row>
    <row r="115" spans="1:13" x14ac:dyDescent="0.25">
      <c r="A115" t="s">
        <v>15</v>
      </c>
      <c r="B115" s="4">
        <v>46036</v>
      </c>
      <c r="C115" s="6">
        <v>0.70822916666666669</v>
      </c>
      <c r="D115" s="7" t="s">
        <v>62</v>
      </c>
      <c r="E115" t="s">
        <v>4134</v>
      </c>
      <c r="F115" t="s">
        <v>5010</v>
      </c>
      <c r="I115" s="9" t="s">
        <v>9131</v>
      </c>
      <c r="J115" s="9" t="s">
        <v>2936</v>
      </c>
      <c r="K115" t="s">
        <v>9132</v>
      </c>
      <c r="L115" t="s">
        <v>9133</v>
      </c>
      <c r="M115" s="3" t="str">
        <f>HYPERLINK(СторонТрансп[[#This Row],[RelativePath]])</f>
        <v>1 Ангар Склад 2 въезд\E33149364_6_20260114T165951Z.jpg</v>
      </c>
    </row>
    <row r="116" spans="1:13" x14ac:dyDescent="0.25">
      <c r="A116" t="s">
        <v>15</v>
      </c>
      <c r="B116" s="4">
        <v>46036</v>
      </c>
      <c r="C116" s="6">
        <v>0.4987152777777778</v>
      </c>
      <c r="D116" s="7" t="s">
        <v>91</v>
      </c>
      <c r="E116" t="s">
        <v>4134</v>
      </c>
      <c r="F116" t="s">
        <v>5010</v>
      </c>
      <c r="I116" s="9" t="s">
        <v>9128</v>
      </c>
      <c r="J116" s="9" t="s">
        <v>2936</v>
      </c>
      <c r="K116" t="s">
        <v>9129</v>
      </c>
      <c r="L116" t="s">
        <v>9130</v>
      </c>
      <c r="M116" s="3" t="str">
        <f>HYPERLINK(СторонТрансп[[#This Row],[RelativePath]])</f>
        <v>1 Ангар Склад 2 въезд\E33149364_6_20260114T115809Z.jpg</v>
      </c>
    </row>
    <row r="117" spans="1:13" x14ac:dyDescent="0.25">
      <c r="A117" t="s">
        <v>17</v>
      </c>
      <c r="B117" s="4">
        <v>46038</v>
      </c>
      <c r="C117" s="6">
        <v>0.41836805555555556</v>
      </c>
      <c r="D117" s="7" t="s">
        <v>62</v>
      </c>
      <c r="E117" t="s">
        <v>8250</v>
      </c>
      <c r="F117" t="s">
        <v>2899</v>
      </c>
      <c r="H117" t="s">
        <v>9221</v>
      </c>
      <c r="I117" s="9" t="s">
        <v>9137</v>
      </c>
      <c r="J117" s="9" t="s">
        <v>2936</v>
      </c>
      <c r="K117" t="s">
        <v>9138</v>
      </c>
      <c r="L117" t="s">
        <v>9139</v>
      </c>
      <c r="M117" s="3" t="str">
        <f>HYPERLINK(СторонТрансп[[#This Row],[RelativePath]])</f>
        <v>1 Ангар Склад 2 въезд\E33149364_6_20260116T100227Z.jpg</v>
      </c>
    </row>
    <row r="118" spans="1:13" x14ac:dyDescent="0.25">
      <c r="A118" t="s">
        <v>18</v>
      </c>
      <c r="B118" s="4">
        <v>46039</v>
      </c>
      <c r="C118" s="6">
        <v>0.63754629629629633</v>
      </c>
      <c r="D118" s="7" t="s">
        <v>91</v>
      </c>
      <c r="E118" t="s">
        <v>6574</v>
      </c>
      <c r="F118" t="s">
        <v>51</v>
      </c>
      <c r="I118" s="9" t="s">
        <v>9480</v>
      </c>
      <c r="J118" s="9" t="s">
        <v>2936</v>
      </c>
      <c r="K118" t="s">
        <v>9481</v>
      </c>
      <c r="L118" t="s">
        <v>9482</v>
      </c>
      <c r="M118" s="3" t="str">
        <f>HYPERLINK(СторонТрансп[[#This Row],[RelativePath]])</f>
        <v>1 Ангар Склад 2 въезд\E33149364_6_20260117T151804Z.jpg</v>
      </c>
    </row>
    <row r="119" spans="1:13" x14ac:dyDescent="0.25">
      <c r="A119" t="s">
        <v>18</v>
      </c>
      <c r="B119" s="4">
        <v>46039</v>
      </c>
      <c r="C119" s="6">
        <v>0.6466319444444445</v>
      </c>
      <c r="D119" s="7" t="s">
        <v>62</v>
      </c>
      <c r="E119" t="s">
        <v>9563</v>
      </c>
      <c r="I119" s="9" t="s">
        <v>9483</v>
      </c>
      <c r="J119" s="9" t="s">
        <v>2936</v>
      </c>
      <c r="K119" t="s">
        <v>9484</v>
      </c>
      <c r="L119" t="s">
        <v>9485</v>
      </c>
      <c r="M119" s="3" t="str">
        <f>HYPERLINK(СторонТрансп[[#This Row],[RelativePath]])</f>
        <v>1 Ангар Склад 2 въезд\E33149364_6_20260117T153109Z.jpg</v>
      </c>
    </row>
    <row r="120" spans="1:13" x14ac:dyDescent="0.25">
      <c r="A120" t="s">
        <v>18</v>
      </c>
      <c r="B120" s="4">
        <v>46039</v>
      </c>
      <c r="C120" s="6">
        <v>0.65831018518518514</v>
      </c>
      <c r="D120" s="7" t="s">
        <v>62</v>
      </c>
      <c r="E120" t="s">
        <v>6574</v>
      </c>
      <c r="F120" t="s">
        <v>9564</v>
      </c>
      <c r="I120" s="9" t="s">
        <v>9486</v>
      </c>
      <c r="J120" s="9" t="s">
        <v>2936</v>
      </c>
      <c r="K120" t="s">
        <v>9487</v>
      </c>
      <c r="L120" t="s">
        <v>9488</v>
      </c>
      <c r="M120" s="3" t="str">
        <f>HYPERLINK(СторонТрансп[[#This Row],[RelativePath]])</f>
        <v>1 Ангар Склад 2 въезд\E33149364_6_20260117T154758Z.jpg</v>
      </c>
    </row>
    <row r="121" spans="1:13" x14ac:dyDescent="0.25">
      <c r="A121" t="s">
        <v>18</v>
      </c>
      <c r="B121" s="4">
        <v>46039</v>
      </c>
      <c r="C121" s="6">
        <v>0.59502314814814816</v>
      </c>
      <c r="D121" s="7" t="s">
        <v>91</v>
      </c>
      <c r="E121" t="s">
        <v>6574</v>
      </c>
      <c r="F121" t="s">
        <v>51</v>
      </c>
      <c r="I121" s="9" t="s">
        <v>9471</v>
      </c>
      <c r="J121" s="9" t="s">
        <v>2936</v>
      </c>
      <c r="K121" t="s">
        <v>9472</v>
      </c>
      <c r="L121" t="s">
        <v>9473</v>
      </c>
      <c r="M121" s="3" t="str">
        <f>HYPERLINK(СторонТрансп[[#This Row],[RelativePath]])</f>
        <v>1 Ангар Склад 2 въезд\E33149364_6_20260117T141650Z.jpg</v>
      </c>
    </row>
    <row r="122" spans="1:13" x14ac:dyDescent="0.25">
      <c r="A122" t="s">
        <v>18</v>
      </c>
      <c r="B122" s="4">
        <v>46039</v>
      </c>
      <c r="C122" s="6">
        <v>0.61209490740740746</v>
      </c>
      <c r="D122" s="7" t="s">
        <v>62</v>
      </c>
      <c r="E122" t="s">
        <v>6574</v>
      </c>
      <c r="F122" t="s">
        <v>4181</v>
      </c>
      <c r="I122" s="9" t="s">
        <v>9474</v>
      </c>
      <c r="J122" s="9" t="s">
        <v>2936</v>
      </c>
      <c r="K122" t="s">
        <v>9475</v>
      </c>
      <c r="L122" t="s">
        <v>9476</v>
      </c>
      <c r="M122" s="3" t="str">
        <f>HYPERLINK(СторонТрансп[[#This Row],[RelativePath]])</f>
        <v>1 Ангар Склад 2 въезд\E33149364_6_20260117T144125Z.jpg</v>
      </c>
    </row>
    <row r="123" spans="1:13" x14ac:dyDescent="0.25">
      <c r="A123" t="s">
        <v>18</v>
      </c>
      <c r="B123" s="4">
        <v>46039</v>
      </c>
      <c r="C123" s="6">
        <v>0.61331018518518521</v>
      </c>
      <c r="D123" s="7" t="s">
        <v>91</v>
      </c>
      <c r="E123" t="s">
        <v>9563</v>
      </c>
      <c r="I123" s="9" t="s">
        <v>9477</v>
      </c>
      <c r="J123" s="9" t="s">
        <v>2936</v>
      </c>
      <c r="K123" t="s">
        <v>9478</v>
      </c>
      <c r="L123" t="s">
        <v>9479</v>
      </c>
      <c r="M123" s="3" t="str">
        <f>HYPERLINK(СторонТрансп[[#This Row],[RelativePath]])</f>
        <v>1 Ангар Склад 2 въезд\E33149364_6_20260117T144310Z.jpg</v>
      </c>
    </row>
    <row r="124" spans="1:13" x14ac:dyDescent="0.25">
      <c r="A124" t="s">
        <v>16</v>
      </c>
      <c r="B124" s="4">
        <v>46044</v>
      </c>
      <c r="C124" s="6">
        <v>0.93010416666666662</v>
      </c>
      <c r="D124" s="7" t="s">
        <v>91</v>
      </c>
      <c r="E124" t="s">
        <v>10039</v>
      </c>
      <c r="F124" t="s">
        <v>60</v>
      </c>
      <c r="I124" s="9" t="s">
        <v>10033</v>
      </c>
      <c r="J124" s="9" t="s">
        <v>2936</v>
      </c>
      <c r="K124" t="s">
        <v>10034</v>
      </c>
      <c r="L124" t="s">
        <v>10035</v>
      </c>
      <c r="M124" s="3" t="str">
        <f>HYPERLINK(СторонТрансп[[#This Row],[RelativePath]])</f>
        <v>1 Ангар Склад 2 въезд\E33149364_6_20260122T221921Z.jpg</v>
      </c>
    </row>
    <row r="125" spans="1:13" x14ac:dyDescent="0.25">
      <c r="A125" t="s">
        <v>16</v>
      </c>
      <c r="B125" s="4">
        <v>46044</v>
      </c>
      <c r="C125" s="6">
        <v>0.6736805555555555</v>
      </c>
      <c r="D125" s="7" t="s">
        <v>62</v>
      </c>
      <c r="E125" t="s">
        <v>4134</v>
      </c>
      <c r="F125" t="s">
        <v>5010</v>
      </c>
      <c r="I125" s="9" t="s">
        <v>9811</v>
      </c>
      <c r="J125" s="9" t="s">
        <v>2936</v>
      </c>
      <c r="K125" t="s">
        <v>9812</v>
      </c>
      <c r="L125" t="s">
        <v>9813</v>
      </c>
      <c r="M125" s="3" t="str">
        <f>HYPERLINK(СторонТрансп[[#This Row],[RelativePath]])</f>
        <v>1 Ангар Склад 2 въезд\E33149364_6_20260122T161006Z.jpg</v>
      </c>
    </row>
    <row r="126" spans="1:13" x14ac:dyDescent="0.25">
      <c r="A126" t="s">
        <v>16</v>
      </c>
      <c r="B126" s="4">
        <v>46044</v>
      </c>
      <c r="C126" s="6">
        <v>0.50423611111111111</v>
      </c>
      <c r="D126" s="7" t="s">
        <v>91</v>
      </c>
      <c r="E126" t="s">
        <v>4134</v>
      </c>
      <c r="F126" t="s">
        <v>5010</v>
      </c>
      <c r="I126" s="9" t="s">
        <v>9808</v>
      </c>
      <c r="J126" s="9" t="s">
        <v>2936</v>
      </c>
      <c r="K126" t="s">
        <v>9809</v>
      </c>
      <c r="L126" t="s">
        <v>9810</v>
      </c>
      <c r="M126" s="3" t="str">
        <f>HYPERLINK(СторонТрансп[[#This Row],[RelativePath]])</f>
        <v>1 Ангар Склад 2 въезд\E33149364_6_20260122T120606Z.jpg</v>
      </c>
    </row>
    <row r="127" spans="1:13" x14ac:dyDescent="0.25">
      <c r="A127" t="s">
        <v>17</v>
      </c>
      <c r="B127" s="4">
        <v>46045</v>
      </c>
      <c r="C127" s="6">
        <v>0.45699074074074075</v>
      </c>
      <c r="D127" s="7" t="s">
        <v>62</v>
      </c>
      <c r="E127" t="s">
        <v>10040</v>
      </c>
      <c r="F127" t="s">
        <v>10042</v>
      </c>
      <c r="G127">
        <v>1</v>
      </c>
      <c r="I127" s="9" t="s">
        <v>10024</v>
      </c>
      <c r="J127" s="9" t="s">
        <v>2936</v>
      </c>
      <c r="K127" t="s">
        <v>10025</v>
      </c>
      <c r="L127" t="s">
        <v>10026</v>
      </c>
      <c r="M127" s="3" t="str">
        <f>HYPERLINK(СторонТрансп[[#This Row],[RelativePath]])</f>
        <v>1 Ангар Склад 2 въезд\E33149364_6_20260123T105804Z.jpg</v>
      </c>
    </row>
    <row r="128" spans="1:13" x14ac:dyDescent="0.25">
      <c r="A128" t="s">
        <v>17</v>
      </c>
      <c r="B128" s="4">
        <v>46045</v>
      </c>
      <c r="C128" s="6">
        <v>0.51879629629629631</v>
      </c>
      <c r="D128" s="7" t="s">
        <v>62</v>
      </c>
      <c r="E128" t="s">
        <v>10041</v>
      </c>
      <c r="I128" s="9" t="s">
        <v>10027</v>
      </c>
      <c r="J128" s="9" t="s">
        <v>2936</v>
      </c>
      <c r="K128" t="s">
        <v>10028</v>
      </c>
      <c r="L128" t="s">
        <v>10029</v>
      </c>
      <c r="M128" s="3" t="str">
        <f>HYPERLINK(СторонТрансп[[#This Row],[RelativePath]])</f>
        <v>1 Ангар Склад 2 въезд\E33149364_6_20260123T122704Z.jpg</v>
      </c>
    </row>
    <row r="129" spans="1:13" x14ac:dyDescent="0.25">
      <c r="A129" t="s">
        <v>17</v>
      </c>
      <c r="B129" s="4">
        <v>46045</v>
      </c>
      <c r="C129" s="6">
        <v>0.59809027777777779</v>
      </c>
      <c r="D129" s="7" t="s">
        <v>62</v>
      </c>
      <c r="E129" t="s">
        <v>9402</v>
      </c>
      <c r="F129" t="s">
        <v>58</v>
      </c>
      <c r="H129" t="s">
        <v>9221</v>
      </c>
      <c r="I129" s="9" t="s">
        <v>10030</v>
      </c>
      <c r="J129" s="9" t="s">
        <v>2936</v>
      </c>
      <c r="K129" t="s">
        <v>10031</v>
      </c>
      <c r="L129" t="s">
        <v>10032</v>
      </c>
      <c r="M129" s="3" t="str">
        <f>HYPERLINK(СторонТрансп[[#This Row],[RelativePath]])</f>
        <v>1 Ангар Склад 2 въезд\E33149364_6_20260123T142115Z.jpg</v>
      </c>
    </row>
    <row r="130" spans="1:13" x14ac:dyDescent="0.25">
      <c r="A130" t="s">
        <v>17</v>
      </c>
      <c r="B130" s="4">
        <v>46045</v>
      </c>
      <c r="C130" s="6">
        <v>1.7141203703703704E-2</v>
      </c>
      <c r="D130" s="7" t="s">
        <v>62</v>
      </c>
      <c r="E130" t="s">
        <v>10039</v>
      </c>
      <c r="F130" t="s">
        <v>51</v>
      </c>
      <c r="I130" s="9" t="s">
        <v>10036</v>
      </c>
      <c r="J130" s="9" t="s">
        <v>2936</v>
      </c>
      <c r="K130" t="s">
        <v>10037</v>
      </c>
      <c r="L130" t="s">
        <v>10038</v>
      </c>
      <c r="M130" s="3" t="str">
        <f>HYPERLINK(СторонТрансп[[#This Row],[RelativePath]])</f>
        <v>1 Ангар Склад 2 въезд\E33149364_6_20260123T002441Z.jpg</v>
      </c>
    </row>
    <row r="131" spans="1:13" x14ac:dyDescent="0.25">
      <c r="A131" t="s">
        <v>17</v>
      </c>
      <c r="B131" s="4">
        <v>46045</v>
      </c>
      <c r="C131" s="6">
        <v>4.701388888888889E-2</v>
      </c>
      <c r="D131" s="7" t="s">
        <v>91</v>
      </c>
      <c r="E131" t="s">
        <v>10040</v>
      </c>
      <c r="F131" t="s">
        <v>60</v>
      </c>
      <c r="I131" s="9" t="s">
        <v>10018</v>
      </c>
      <c r="J131" s="9" t="s">
        <v>2936</v>
      </c>
      <c r="K131" t="s">
        <v>10019</v>
      </c>
      <c r="L131" t="s">
        <v>10020</v>
      </c>
      <c r="M131" s="3" t="str">
        <f>HYPERLINK(СторонТрансп[[#This Row],[RelativePath]])</f>
        <v>1 Ангар Склад 2 въезд\E33149364_6_20260123T010742Z.jpg</v>
      </c>
    </row>
    <row r="132" spans="1:13" x14ac:dyDescent="0.25">
      <c r="A132" t="s">
        <v>17</v>
      </c>
      <c r="B132" s="4">
        <v>46045</v>
      </c>
      <c r="C132" s="6">
        <v>0.44885416666666667</v>
      </c>
      <c r="D132" s="7" t="s">
        <v>91</v>
      </c>
      <c r="E132" t="s">
        <v>10041</v>
      </c>
      <c r="I132" s="9" t="s">
        <v>10021</v>
      </c>
      <c r="J132" s="9" t="s">
        <v>2936</v>
      </c>
      <c r="K132" t="s">
        <v>10022</v>
      </c>
      <c r="L132" t="s">
        <v>10023</v>
      </c>
      <c r="M132" s="3" t="str">
        <f>HYPERLINK(СторонТрансп[[#This Row],[RelativePath]])</f>
        <v>1 Ангар Склад 2 въезд\E33149364_6_20260123T104621Z.jpg</v>
      </c>
    </row>
    <row r="133" spans="1:13" x14ac:dyDescent="0.25">
      <c r="A133" t="s">
        <v>16</v>
      </c>
      <c r="B133" s="4">
        <v>46051</v>
      </c>
      <c r="C133" s="6">
        <v>0.4944560185185185</v>
      </c>
      <c r="D133" s="7" t="s">
        <v>62</v>
      </c>
      <c r="E133" t="s">
        <v>10752</v>
      </c>
      <c r="F133" t="s">
        <v>58</v>
      </c>
      <c r="G133">
        <v>4</v>
      </c>
      <c r="H133" t="s">
        <v>9221</v>
      </c>
      <c r="I133" s="9" t="s">
        <v>10589</v>
      </c>
      <c r="J133" s="9" t="s">
        <v>2936</v>
      </c>
      <c r="K133" t="s">
        <v>10590</v>
      </c>
      <c r="L133" t="s">
        <v>10591</v>
      </c>
      <c r="M133" s="3" t="str">
        <f>HYPERLINK(СторонТрансп[[#This Row],[RelativePath]])</f>
        <v>1 Ангар Склад 2 въезд\E33149364_6_20260129T115201Z.jpg</v>
      </c>
    </row>
    <row r="134" spans="1:13" x14ac:dyDescent="0.25">
      <c r="A134" t="s">
        <v>18</v>
      </c>
      <c r="B134" s="4">
        <v>46053</v>
      </c>
      <c r="C134" s="6">
        <v>0.7240509259259259</v>
      </c>
      <c r="D134" s="7" t="s">
        <v>91</v>
      </c>
      <c r="E134" t="s">
        <v>10989</v>
      </c>
      <c r="I134" s="9" t="s">
        <v>10882</v>
      </c>
      <c r="J134" s="9" t="s">
        <v>2936</v>
      </c>
      <c r="K134" t="s">
        <v>10883</v>
      </c>
      <c r="L134" t="s">
        <v>10884</v>
      </c>
      <c r="M134" s="3" t="str">
        <f>HYPERLINK(СторонТрансп[[#This Row],[RelativePath]])</f>
        <v>1 Ангар Склад 2 въезд\E33149364_6_20260131T172238Z.jpg</v>
      </c>
    </row>
    <row r="135" spans="1:13" x14ac:dyDescent="0.25">
      <c r="A135" t="s">
        <v>18</v>
      </c>
      <c r="B135" s="4">
        <v>46053</v>
      </c>
      <c r="C135" s="6">
        <v>0.5067476851851852</v>
      </c>
      <c r="D135" s="7" t="s">
        <v>62</v>
      </c>
      <c r="E135" t="s">
        <v>10988</v>
      </c>
      <c r="F135" t="s">
        <v>53</v>
      </c>
      <c r="G135">
        <v>11</v>
      </c>
      <c r="I135" s="9" t="s">
        <v>10879</v>
      </c>
      <c r="J135" s="9" t="s">
        <v>2936</v>
      </c>
      <c r="K135" t="s">
        <v>10880</v>
      </c>
      <c r="L135" t="s">
        <v>10881</v>
      </c>
      <c r="M135" s="3" t="str">
        <f>HYPERLINK(СторонТрансп[[#This Row],[RelativePath]])</f>
        <v>1 Ангар Склад 2 въезд\E33149364_6_20260131T120943Z.jpg</v>
      </c>
    </row>
    <row r="136" spans="1:13" x14ac:dyDescent="0.25">
      <c r="A136" t="s">
        <v>18</v>
      </c>
      <c r="B136" s="4">
        <v>46053</v>
      </c>
      <c r="C136" s="6">
        <v>0.48749999999999999</v>
      </c>
      <c r="D136" s="7" t="s">
        <v>91</v>
      </c>
      <c r="E136" t="s">
        <v>10988</v>
      </c>
      <c r="I136" s="9" t="s">
        <v>10876</v>
      </c>
      <c r="J136" s="9" t="s">
        <v>2936</v>
      </c>
      <c r="K136" t="s">
        <v>10877</v>
      </c>
      <c r="L136" t="s">
        <v>10878</v>
      </c>
      <c r="M136" s="3" t="str">
        <f>HYPERLINK(СторонТрансп[[#This Row],[RelativePath]])</f>
        <v>1 Ангар Склад 2 въезд\E33149364_6_20260131T114200Z.jpg</v>
      </c>
    </row>
    <row r="137" spans="1:13" x14ac:dyDescent="0.25">
      <c r="A137" t="s">
        <v>14</v>
      </c>
      <c r="B137" s="4">
        <v>46056</v>
      </c>
      <c r="C137" s="6">
        <v>0.56745370370370374</v>
      </c>
      <c r="D137" s="7" t="s">
        <v>62</v>
      </c>
      <c r="E137" t="s">
        <v>11273</v>
      </c>
      <c r="F137" t="s">
        <v>51</v>
      </c>
      <c r="I137" s="9" t="s">
        <v>11015</v>
      </c>
      <c r="J137" s="9" t="s">
        <v>2936</v>
      </c>
      <c r="K137" t="s">
        <v>11016</v>
      </c>
      <c r="L137" t="s">
        <v>11017</v>
      </c>
      <c r="M137" s="3" t="str">
        <f>HYPERLINK(СторонТрансп[[#This Row],[RelativePath]])</f>
        <v>1 Ангар Склад 2 въезд\E33149364_6_20260203T133708Z.jpg</v>
      </c>
    </row>
    <row r="138" spans="1:13" x14ac:dyDescent="0.25">
      <c r="A138" t="s">
        <v>14</v>
      </c>
      <c r="B138" s="4">
        <v>46056</v>
      </c>
      <c r="C138" s="6">
        <v>0.44545138888888891</v>
      </c>
      <c r="D138" s="7" t="s">
        <v>91</v>
      </c>
      <c r="E138" t="s">
        <v>11273</v>
      </c>
      <c r="F138" t="s">
        <v>60</v>
      </c>
      <c r="I138" s="9" t="s">
        <v>11012</v>
      </c>
      <c r="J138" s="9" t="s">
        <v>2936</v>
      </c>
      <c r="K138" t="s">
        <v>11013</v>
      </c>
      <c r="L138" t="s">
        <v>11014</v>
      </c>
      <c r="M138" s="3" t="str">
        <f>HYPERLINK(СторонТрансп[[#This Row],[RelativePath]])</f>
        <v>1 Ангар Склад 2 въезд\E33149364_6_20260203T104127Z.jpg</v>
      </c>
    </row>
    <row r="139" spans="1:13" x14ac:dyDescent="0.25">
      <c r="A139" t="s">
        <v>16</v>
      </c>
      <c r="B139" s="4">
        <v>46058</v>
      </c>
      <c r="C139" s="6">
        <v>0.69685185185185183</v>
      </c>
      <c r="D139" s="7" t="s">
        <v>62</v>
      </c>
      <c r="E139" t="s">
        <v>66</v>
      </c>
      <c r="F139" t="s">
        <v>51</v>
      </c>
      <c r="H139" t="s">
        <v>5074</v>
      </c>
      <c r="I139" s="9" t="s">
        <v>11327</v>
      </c>
      <c r="J139" s="9" t="s">
        <v>2936</v>
      </c>
      <c r="K139" t="s">
        <v>11328</v>
      </c>
      <c r="L139" t="s">
        <v>11329</v>
      </c>
      <c r="M139" s="3" t="str">
        <f>HYPERLINK(СторонТрансп[[#This Row],[RelativePath]])</f>
        <v>1 Ангар Склад 2 въезд\E33149364_6_20260205T164328Z.jpg</v>
      </c>
    </row>
    <row r="140" spans="1:13" x14ac:dyDescent="0.25">
      <c r="A140" t="s">
        <v>16</v>
      </c>
      <c r="B140" s="4">
        <v>46058</v>
      </c>
      <c r="C140" s="6">
        <v>0.69364583333333329</v>
      </c>
      <c r="D140" s="7" t="s">
        <v>91</v>
      </c>
      <c r="E140" t="s">
        <v>66</v>
      </c>
      <c r="F140" t="s">
        <v>51</v>
      </c>
      <c r="I140" s="9" t="s">
        <v>11324</v>
      </c>
      <c r="J140" s="9" t="s">
        <v>2936</v>
      </c>
      <c r="K140" t="s">
        <v>11325</v>
      </c>
      <c r="L140" t="s">
        <v>11326</v>
      </c>
      <c r="M140" s="3" t="str">
        <f>HYPERLINK(СторонТрансп[[#This Row],[RelativePath]])</f>
        <v>1 Ангар Склад 2 въезд\E33149364_6_20260205T163851Z.jpg</v>
      </c>
    </row>
    <row r="141" spans="1:13" x14ac:dyDescent="0.25">
      <c r="A141" t="s">
        <v>18</v>
      </c>
      <c r="B141" s="4">
        <v>46060</v>
      </c>
      <c r="C141" s="6">
        <v>0.69887731481481485</v>
      </c>
      <c r="D141" s="7" t="s">
        <v>62</v>
      </c>
      <c r="E141" t="s">
        <v>11622</v>
      </c>
      <c r="I141" s="9" t="s">
        <v>11535</v>
      </c>
      <c r="J141" s="9" t="s">
        <v>2936</v>
      </c>
      <c r="K141" t="s">
        <v>11536</v>
      </c>
      <c r="L141" t="s">
        <v>11537</v>
      </c>
      <c r="M141" s="3" t="str">
        <f>HYPERLINK(СторонТрансп[[#This Row],[RelativePath]])</f>
        <v>1 Ангар Склад 2 въезд\E33149364_6_20260207T164623Z.jpg</v>
      </c>
    </row>
    <row r="142" spans="1:13" x14ac:dyDescent="0.25">
      <c r="A142" t="s">
        <v>18</v>
      </c>
      <c r="B142" s="4">
        <v>46060</v>
      </c>
      <c r="C142" s="6">
        <v>0.66508101851851853</v>
      </c>
      <c r="D142" s="7" t="s">
        <v>91</v>
      </c>
      <c r="E142" t="s">
        <v>11622</v>
      </c>
      <c r="I142" s="9" t="s">
        <v>11532</v>
      </c>
      <c r="J142" s="9" t="s">
        <v>2936</v>
      </c>
      <c r="K142" t="s">
        <v>11533</v>
      </c>
      <c r="L142" t="s">
        <v>11534</v>
      </c>
      <c r="M142" s="3" t="str">
        <f>HYPERLINK(СторонТрансп[[#This Row],[RelativePath]])</f>
        <v>1 Ангар Склад 2 въезд\E33149364_6_20260207T155743Z.jpg</v>
      </c>
    </row>
    <row r="143" spans="1:13" x14ac:dyDescent="0.25">
      <c r="A143" t="s">
        <v>14</v>
      </c>
      <c r="B143" s="4">
        <v>46063</v>
      </c>
      <c r="C143" s="6">
        <v>0.37222222222222223</v>
      </c>
      <c r="D143" s="7" t="s">
        <v>62</v>
      </c>
      <c r="E143" t="s">
        <v>11808</v>
      </c>
      <c r="F143" t="s">
        <v>5010</v>
      </c>
      <c r="I143" s="9" t="s">
        <v>11732</v>
      </c>
      <c r="J143" s="9" t="s">
        <v>2946</v>
      </c>
      <c r="K143" t="s">
        <v>11733</v>
      </c>
      <c r="L143" t="s">
        <v>11734</v>
      </c>
      <c r="M143" s="3" t="str">
        <f>HYPERLINK(СторонТрансп[[#This Row],[RelativePath]])</f>
        <v>4 Крыльцо офиса\K07156189_21_20260210T085600Z.jpg</v>
      </c>
    </row>
    <row r="144" spans="1:13" x14ac:dyDescent="0.25">
      <c r="A144" t="s">
        <v>15</v>
      </c>
      <c r="B144" s="4">
        <v>46064</v>
      </c>
      <c r="C144" s="6">
        <v>0.58076388888888886</v>
      </c>
      <c r="D144" s="7" t="s">
        <v>62</v>
      </c>
      <c r="E144" t="s">
        <v>4134</v>
      </c>
      <c r="F144" t="s">
        <v>5010</v>
      </c>
      <c r="I144" s="9" t="s">
        <v>11738</v>
      </c>
      <c r="J144" s="9" t="s">
        <v>2946</v>
      </c>
      <c r="K144" t="s">
        <v>11739</v>
      </c>
      <c r="L144" t="s">
        <v>11740</v>
      </c>
      <c r="M144" s="3" t="str">
        <f>HYPERLINK(СторонТрансп[[#This Row],[RelativePath]])</f>
        <v>4 Крыльцо офиса\K07156189_21_20260211T135618Z.jpg</v>
      </c>
    </row>
    <row r="145" spans="1:13" x14ac:dyDescent="0.25">
      <c r="A145" t="s">
        <v>18</v>
      </c>
      <c r="B145" s="4">
        <v>46067</v>
      </c>
      <c r="C145" s="6">
        <v>0.90062500000000001</v>
      </c>
      <c r="D145" s="7" t="s">
        <v>62</v>
      </c>
      <c r="E145" t="s">
        <v>11864</v>
      </c>
      <c r="I145" s="9" t="s">
        <v>11842</v>
      </c>
      <c r="J145" s="9" t="s">
        <v>2946</v>
      </c>
      <c r="K145" t="s">
        <v>11843</v>
      </c>
      <c r="L145" t="s">
        <v>11844</v>
      </c>
      <c r="M145" s="3" t="str">
        <f>HYPERLINK(СторонТрансп[[#This Row],[RelativePath]])</f>
        <v>4 Крыльцо офиса\K07156189_21_20260214T213654Z.jpg</v>
      </c>
    </row>
    <row r="146" spans="1:13" x14ac:dyDescent="0.25">
      <c r="A146" t="s">
        <v>15</v>
      </c>
      <c r="B146" s="4">
        <v>46071</v>
      </c>
      <c r="C146" s="6">
        <v>0.39587962962962964</v>
      </c>
      <c r="D146" s="7" t="s">
        <v>62</v>
      </c>
      <c r="E146" t="s">
        <v>12227</v>
      </c>
      <c r="F146" t="s">
        <v>12228</v>
      </c>
      <c r="H146" t="s">
        <v>12229</v>
      </c>
      <c r="I146" s="9" t="s">
        <v>12052</v>
      </c>
      <c r="J146" s="9" t="s">
        <v>2937</v>
      </c>
      <c r="K146" t="s">
        <v>12053</v>
      </c>
      <c r="L146" t="s">
        <v>12054</v>
      </c>
      <c r="M146" s="3" t="str">
        <f>HYPERLINK(СторонТрансп[[#This Row],[RelativePath]])</f>
        <v>5 Крыльцо общага\K07156189_22_20260218T093004Z.jpg</v>
      </c>
    </row>
    <row r="147" spans="1:13" x14ac:dyDescent="0.25">
      <c r="A147" t="s">
        <v>15</v>
      </c>
      <c r="B147" s="4">
        <v>46071</v>
      </c>
      <c r="C147" s="6">
        <v>0.52504629629629629</v>
      </c>
      <c r="D147" s="7" t="s">
        <v>62</v>
      </c>
      <c r="E147" t="s">
        <v>12222</v>
      </c>
      <c r="I147" s="9" t="s">
        <v>12143</v>
      </c>
      <c r="J147" s="9" t="s">
        <v>2946</v>
      </c>
      <c r="K147" t="s">
        <v>12144</v>
      </c>
      <c r="L147" t="s">
        <v>12145</v>
      </c>
      <c r="M147" s="3" t="str">
        <f>HYPERLINK(СторонТрансп[[#This Row],[RelativePath]])</f>
        <v>4 Крыльцо офиса\K07156189_21_20260218T123604Z.jpg</v>
      </c>
    </row>
    <row r="148" spans="1:13" x14ac:dyDescent="0.25">
      <c r="A148" t="s">
        <v>15</v>
      </c>
      <c r="B148" s="4">
        <v>46071</v>
      </c>
      <c r="C148" s="6">
        <v>0.5130555555555556</v>
      </c>
      <c r="D148" s="7" t="s">
        <v>62</v>
      </c>
      <c r="E148" t="s">
        <v>4134</v>
      </c>
      <c r="I148" s="9" t="s">
        <v>12137</v>
      </c>
      <c r="J148" s="9" t="s">
        <v>2946</v>
      </c>
      <c r="K148" t="s">
        <v>12138</v>
      </c>
      <c r="L148" t="s">
        <v>12139</v>
      </c>
      <c r="M148" s="3" t="str">
        <f>HYPERLINK(СторонТрансп[[#This Row],[RelativePath]])</f>
        <v>4 Крыльцо офиса\K07156189_21_20260218T121848Z.jpg</v>
      </c>
    </row>
    <row r="149" spans="1:13" x14ac:dyDescent="0.25">
      <c r="A149" t="s">
        <v>16</v>
      </c>
      <c r="B149" s="4">
        <v>46072</v>
      </c>
      <c r="C149" s="6">
        <v>0.70650462962962968</v>
      </c>
      <c r="D149" s="7" t="s">
        <v>62</v>
      </c>
      <c r="E149" t="s">
        <v>12341</v>
      </c>
      <c r="H149" t="s">
        <v>12342</v>
      </c>
      <c r="I149" s="9" t="s">
        <v>12290</v>
      </c>
      <c r="J149" s="9" t="s">
        <v>2937</v>
      </c>
      <c r="K149" t="s">
        <v>12291</v>
      </c>
      <c r="L149" t="s">
        <v>12292</v>
      </c>
      <c r="M149" s="3" t="str">
        <f>HYPERLINK(СторонТрансп[[#This Row],[RelativePath]])</f>
        <v>5 Крыльцо общага\K07156189_22_20260219T165722Z.jpg</v>
      </c>
    </row>
    <row r="150" spans="1:13" x14ac:dyDescent="0.25">
      <c r="A150" t="s">
        <v>16</v>
      </c>
      <c r="B150" s="4">
        <v>46072</v>
      </c>
      <c r="C150" s="6">
        <v>0.60810185185185184</v>
      </c>
      <c r="D150" s="7" t="s">
        <v>62</v>
      </c>
      <c r="E150" t="s">
        <v>12343</v>
      </c>
      <c r="F150" t="s">
        <v>12447</v>
      </c>
      <c r="I150" s="9" t="s">
        <v>12308</v>
      </c>
      <c r="J150" s="9" t="s">
        <v>2946</v>
      </c>
      <c r="K150" t="s">
        <v>12309</v>
      </c>
      <c r="L150" t="s">
        <v>12310</v>
      </c>
      <c r="M150" s="3" t="str">
        <f>HYPERLINK(СторонТрансп[[#This Row],[RelativePath]])</f>
        <v>4 Крыльцо офиса\K07156189_21_20260219T143540Z.jpg</v>
      </c>
    </row>
    <row r="151" spans="1:13" x14ac:dyDescent="0.25">
      <c r="A151" t="s">
        <v>16</v>
      </c>
      <c r="B151" s="4">
        <v>46072</v>
      </c>
      <c r="C151" s="6">
        <v>0.58318287037037042</v>
      </c>
      <c r="D151" s="7" t="s">
        <v>62</v>
      </c>
      <c r="E151" t="s">
        <v>4134</v>
      </c>
      <c r="I151" s="9" t="s">
        <v>12302</v>
      </c>
      <c r="J151" s="9" t="s">
        <v>2946</v>
      </c>
      <c r="K151" t="s">
        <v>12303</v>
      </c>
      <c r="L151" t="s">
        <v>12304</v>
      </c>
      <c r="M151" s="3" t="str">
        <f>HYPERLINK(СторонТрансп[[#This Row],[RelativePath]])</f>
        <v>4 Крыльцо офиса\K07156189_21_20260219T135947Z.jpg</v>
      </c>
    </row>
    <row r="152" spans="1:13" x14ac:dyDescent="0.25">
      <c r="A152" t="s">
        <v>18</v>
      </c>
      <c r="B152" s="4">
        <v>46074</v>
      </c>
      <c r="C152" s="6">
        <v>0.62526620370370367</v>
      </c>
      <c r="D152" s="7" t="s">
        <v>62</v>
      </c>
      <c r="E152" t="s">
        <v>12627</v>
      </c>
      <c r="I152" s="9" t="s">
        <v>12473</v>
      </c>
      <c r="J152" s="9" t="s">
        <v>2946</v>
      </c>
      <c r="K152" t="s">
        <v>12474</v>
      </c>
      <c r="L152" t="s">
        <v>12475</v>
      </c>
      <c r="M152" s="3" t="str">
        <f>HYPERLINK(СторонТрансп[[#This Row],[RelativePath]])</f>
        <v>4 Крыльцо офиса\K07156189_21_20260221T150023Z.jpg</v>
      </c>
    </row>
    <row r="153" spans="1:13" x14ac:dyDescent="0.25">
      <c r="A153" t="s">
        <v>18</v>
      </c>
      <c r="B153" s="4">
        <v>46074</v>
      </c>
      <c r="C153" s="6">
        <v>0.47270833333333334</v>
      </c>
      <c r="D153" s="7" t="s">
        <v>62</v>
      </c>
      <c r="E153" t="s">
        <v>12341</v>
      </c>
      <c r="I153" s="9" t="s">
        <v>12467</v>
      </c>
      <c r="J153" s="9" t="s">
        <v>2946</v>
      </c>
      <c r="K153" t="s">
        <v>12468</v>
      </c>
      <c r="L153" t="s">
        <v>12469</v>
      </c>
      <c r="M153" s="3" t="str">
        <f>HYPERLINK(СторонТрансп[[#This Row],[RelativePath]])</f>
        <v>4 Крыльцо офиса\K07156189_21_20260221T112042Z.jpg</v>
      </c>
    </row>
    <row r="154" spans="1:13" x14ac:dyDescent="0.25">
      <c r="A154" t="s">
        <v>18</v>
      </c>
      <c r="B154" s="4">
        <v>46074</v>
      </c>
      <c r="C154" s="6">
        <v>0.36126157407407405</v>
      </c>
      <c r="D154" s="7" t="s">
        <v>62</v>
      </c>
      <c r="E154" t="s">
        <v>12626</v>
      </c>
      <c r="I154" s="9" t="s">
        <v>12461</v>
      </c>
      <c r="J154" s="9" t="s">
        <v>2946</v>
      </c>
      <c r="K154" t="s">
        <v>12462</v>
      </c>
      <c r="L154" t="s">
        <v>12463</v>
      </c>
      <c r="M154" s="3" t="str">
        <f>HYPERLINK(СторонТрансп[[#This Row],[RelativePath]])</f>
        <v>4 Крыльцо офиса\K07156189_21_20260221T084013Z.jpg</v>
      </c>
    </row>
    <row r="155" spans="1:13" x14ac:dyDescent="0.25">
      <c r="A155" t="s">
        <v>13</v>
      </c>
      <c r="B155" s="4">
        <v>46076</v>
      </c>
      <c r="C155" s="6">
        <v>0.44133101851851853</v>
      </c>
      <c r="D155" s="7" t="s">
        <v>62</v>
      </c>
      <c r="E155" t="s">
        <v>12776</v>
      </c>
      <c r="F155" t="s">
        <v>621</v>
      </c>
      <c r="I155" s="9" t="s">
        <v>12643</v>
      </c>
      <c r="J155" s="9" t="s">
        <v>2946</v>
      </c>
      <c r="K155" t="s">
        <v>12644</v>
      </c>
      <c r="L155" t="s">
        <v>12645</v>
      </c>
      <c r="M155" s="3" t="str">
        <f>HYPERLINK(СторонТрансп[[#This Row],[RelativePath]])</f>
        <v>4 Крыльцо офиса\K07156189_21_20260223T103531Z.jpg</v>
      </c>
    </row>
    <row r="156" spans="1:13" x14ac:dyDescent="0.25">
      <c r="A156" t="s">
        <v>13</v>
      </c>
      <c r="B156" s="4">
        <v>46076</v>
      </c>
      <c r="C156" s="6">
        <v>0.42350694444444442</v>
      </c>
      <c r="D156" s="7" t="s">
        <v>62</v>
      </c>
      <c r="E156" t="s">
        <v>12777</v>
      </c>
      <c r="F156" t="s">
        <v>621</v>
      </c>
      <c r="I156" s="9" t="s">
        <v>12640</v>
      </c>
      <c r="J156" s="9" t="s">
        <v>2946</v>
      </c>
      <c r="K156" t="s">
        <v>12641</v>
      </c>
      <c r="L156" t="s">
        <v>12642</v>
      </c>
      <c r="M156" s="3" t="str">
        <f>HYPERLINK(СторонТрансп[[#This Row],[RelativePath]])</f>
        <v>4 Крыльцо офиса\K07156189_21_20260223T100951Z.jpg</v>
      </c>
    </row>
    <row r="157" spans="1:13" x14ac:dyDescent="0.25">
      <c r="A157" t="s">
        <v>13</v>
      </c>
      <c r="B157" s="4">
        <v>46076</v>
      </c>
      <c r="C157" s="6">
        <v>0.42282407407407407</v>
      </c>
      <c r="D157" s="7" t="s">
        <v>62</v>
      </c>
      <c r="E157" t="s">
        <v>4132</v>
      </c>
      <c r="I157" s="9" t="s">
        <v>12637</v>
      </c>
      <c r="J157" s="9" t="s">
        <v>2946</v>
      </c>
      <c r="K157" t="s">
        <v>12638</v>
      </c>
      <c r="L157" t="s">
        <v>12639</v>
      </c>
      <c r="M157" s="3" t="str">
        <f>HYPERLINK(СторонТрансп[[#This Row],[RelativePath]])</f>
        <v>4 Крыльцо офиса\K07156189_21_20260223T100852Z.jpg</v>
      </c>
    </row>
    <row r="158" spans="1:13" x14ac:dyDescent="0.25">
      <c r="A158" t="s">
        <v>14</v>
      </c>
      <c r="B158" s="4">
        <v>46077</v>
      </c>
      <c r="C158" s="6">
        <v>0.42549768518518516</v>
      </c>
      <c r="D158" s="7" t="s">
        <v>62</v>
      </c>
      <c r="E158" t="s">
        <v>13421</v>
      </c>
      <c r="F158" t="s">
        <v>200</v>
      </c>
      <c r="I158" s="9" t="s">
        <v>12812</v>
      </c>
      <c r="J158" s="9" t="s">
        <v>2936</v>
      </c>
      <c r="K158" t="s">
        <v>12813</v>
      </c>
      <c r="L158" t="s">
        <v>12814</v>
      </c>
      <c r="M158" s="3" t="str">
        <f>HYPERLINK(СторонТрансп[[#This Row],[RelativePath]])</f>
        <v>1 Ангар Склад 2 въезд\GA3948333_4_20260224T101243Z.jpg</v>
      </c>
    </row>
    <row r="159" spans="1:13" x14ac:dyDescent="0.25">
      <c r="A159" t="s">
        <v>14</v>
      </c>
      <c r="B159" s="4">
        <v>46077</v>
      </c>
      <c r="C159" s="6">
        <v>0.9199074074074074</v>
      </c>
      <c r="D159" s="7" t="s">
        <v>91</v>
      </c>
      <c r="E159" t="s">
        <v>13422</v>
      </c>
      <c r="F159" t="s">
        <v>60</v>
      </c>
      <c r="I159" s="9" t="s">
        <v>12815</v>
      </c>
      <c r="J159" s="9" t="s">
        <v>2936</v>
      </c>
      <c r="K159" t="s">
        <v>12816</v>
      </c>
      <c r="L159" t="s">
        <v>12817</v>
      </c>
      <c r="M159" s="3" t="str">
        <f>HYPERLINK(СторонТрансп[[#This Row],[RelativePath]])</f>
        <v>1 Ангар Склад 2 въезд\GA3948333_4_20260224T220440Z.jpg</v>
      </c>
    </row>
    <row r="160" spans="1:13" x14ac:dyDescent="0.25">
      <c r="A160" t="s">
        <v>14</v>
      </c>
      <c r="B160" s="4">
        <v>46077</v>
      </c>
      <c r="C160" s="6">
        <v>0.38238425925925928</v>
      </c>
      <c r="D160" s="7" t="s">
        <v>91</v>
      </c>
      <c r="E160" t="s">
        <v>13421</v>
      </c>
      <c r="I160" s="9" t="s">
        <v>12806</v>
      </c>
      <c r="J160" s="9" t="s">
        <v>2936</v>
      </c>
      <c r="K160" t="s">
        <v>12807</v>
      </c>
      <c r="L160" t="s">
        <v>12808</v>
      </c>
      <c r="M160" s="3" t="str">
        <f>HYPERLINK(СторонТрансп[[#This Row],[RelativePath]])</f>
        <v>1 Ангар Склад 2 въезд\GA3948333_4_20260224T091038Z.jpg</v>
      </c>
    </row>
    <row r="161" spans="1:13" x14ac:dyDescent="0.25">
      <c r="A161" t="s">
        <v>14</v>
      </c>
      <c r="B161" s="4">
        <v>46077</v>
      </c>
      <c r="C161" s="6">
        <v>0.40115740740740741</v>
      </c>
      <c r="D161" s="7" t="s">
        <v>91</v>
      </c>
      <c r="E161" t="s">
        <v>13420</v>
      </c>
      <c r="F161" t="s">
        <v>5010</v>
      </c>
      <c r="H161" t="s">
        <v>13423</v>
      </c>
      <c r="I161" s="9" t="s">
        <v>12809</v>
      </c>
      <c r="J161" s="9" t="s">
        <v>2936</v>
      </c>
      <c r="K161" t="s">
        <v>12810</v>
      </c>
      <c r="L161" t="s">
        <v>12811</v>
      </c>
      <c r="M161" s="3" t="str">
        <f>HYPERLINK(СторонТрансп[[#This Row],[RelativePath]])</f>
        <v>1 Ангар Склад 2 въезд\GA3948333_4_20260224T093740Z.jpg</v>
      </c>
    </row>
    <row r="162" spans="1:13" x14ac:dyDescent="0.25">
      <c r="A162" t="s">
        <v>15</v>
      </c>
      <c r="B162" s="4">
        <v>46078</v>
      </c>
      <c r="C162" s="6">
        <v>0.51353009259259264</v>
      </c>
      <c r="D162" s="7" t="s">
        <v>62</v>
      </c>
      <c r="E162" t="s">
        <v>13420</v>
      </c>
      <c r="F162" t="s">
        <v>5010</v>
      </c>
      <c r="I162" s="9" t="s">
        <v>12824</v>
      </c>
      <c r="J162" s="9" t="s">
        <v>2936</v>
      </c>
      <c r="K162" t="s">
        <v>12825</v>
      </c>
      <c r="L162" t="s">
        <v>12826</v>
      </c>
      <c r="M162" s="3" t="str">
        <f>HYPERLINK(СторонТрансп[[#This Row],[RelativePath]])</f>
        <v>1 Ангар Склад 2 въезд\GA3948333_4_20260225T121929Z.jpg</v>
      </c>
    </row>
    <row r="163" spans="1:13" x14ac:dyDescent="0.25">
      <c r="A163" t="s">
        <v>15</v>
      </c>
      <c r="B163" s="4">
        <v>46078</v>
      </c>
      <c r="C163" s="6">
        <v>0.54078703703703701</v>
      </c>
      <c r="D163" s="7" t="s">
        <v>62</v>
      </c>
      <c r="E163" t="s">
        <v>13424</v>
      </c>
      <c r="F163" t="s">
        <v>58</v>
      </c>
      <c r="G163">
        <v>3</v>
      </c>
      <c r="H163" t="s">
        <v>9221</v>
      </c>
      <c r="I163" s="9" t="s">
        <v>12827</v>
      </c>
      <c r="J163" s="9" t="s">
        <v>2936</v>
      </c>
      <c r="K163" t="s">
        <v>12828</v>
      </c>
      <c r="L163" t="s">
        <v>12829</v>
      </c>
      <c r="M163" s="3" t="str">
        <f>HYPERLINK(СторонТрансп[[#This Row],[RelativePath]])</f>
        <v>1 Ангар Склад 2 въезд\GA3948333_4_20260225T125844Z.jpg</v>
      </c>
    </row>
    <row r="164" spans="1:13" x14ac:dyDescent="0.25">
      <c r="A164" t="s">
        <v>15</v>
      </c>
      <c r="B164" s="4">
        <v>46078</v>
      </c>
      <c r="C164" s="6">
        <v>0.41562500000000002</v>
      </c>
      <c r="D164" s="7" t="s">
        <v>91</v>
      </c>
      <c r="E164" t="s">
        <v>13420</v>
      </c>
      <c r="F164" t="s">
        <v>5010</v>
      </c>
      <c r="I164" s="9" t="s">
        <v>12818</v>
      </c>
      <c r="J164" s="9" t="s">
        <v>2936</v>
      </c>
      <c r="K164" t="s">
        <v>12819</v>
      </c>
      <c r="L164" t="s">
        <v>12820</v>
      </c>
      <c r="M164" s="3" t="str">
        <f>HYPERLINK(СторонТрансп[[#This Row],[RelativePath]])</f>
        <v>1 Ангар Склад 2 въезд\GA3948333_4_20260225T095830Z.jpg</v>
      </c>
    </row>
    <row r="165" spans="1:13" x14ac:dyDescent="0.25">
      <c r="A165" t="s">
        <v>15</v>
      </c>
      <c r="B165" s="4">
        <v>46078</v>
      </c>
      <c r="C165" s="6">
        <v>0.42684027777777778</v>
      </c>
      <c r="D165" s="7" t="s">
        <v>62</v>
      </c>
      <c r="E165" t="s">
        <v>13422</v>
      </c>
      <c r="F165" t="s">
        <v>51</v>
      </c>
      <c r="I165" s="9" t="s">
        <v>12821</v>
      </c>
      <c r="J165" s="9" t="s">
        <v>2936</v>
      </c>
      <c r="K165" t="s">
        <v>12822</v>
      </c>
      <c r="L165" t="s">
        <v>12823</v>
      </c>
      <c r="M165" s="3" t="str">
        <f>HYPERLINK(СторонТрансп[[#This Row],[RelativePath]])</f>
        <v>1 Ангар Склад 2 въезд\GA3948333_4_20260225T101439Z.jpg</v>
      </c>
    </row>
  </sheetData>
  <conditionalFormatting sqref="E166:E187 D2:E165">
    <cfRule type="containsText" dxfId="144" priority="6" operator="containsText" text="Выезд с территории">
      <formula>NOT(ISERROR(SEARCH("Выезд с территории",D2)))</formula>
    </cfRule>
  </conditionalFormatting>
  <conditionalFormatting sqref="D2:D165">
    <cfRule type="containsText" dxfId="143" priority="5" operator="containsText" text="Въезд на второстепенную дорогу">
      <formula>NOT(ISERROR(SEARCH("Въезд на второстепенную дорогу",D2)))</formula>
    </cfRule>
  </conditionalFormatting>
  <conditionalFormatting sqref="D2:D165">
    <cfRule type="containsText" dxfId="142" priority="4" operator="containsText" text="Выезд со второстепенной дороги">
      <formula>NOT(ISERROR(SEARCH("Выезд со второстепенной дороги",D2)))</formula>
    </cfRule>
  </conditionalFormatting>
  <conditionalFormatting sqref="E2:E187">
    <cfRule type="containsText" dxfId="141" priority="2" operator="containsText" text="Газель базы">
      <formula>NOT(ISERROR(SEARCH("Газель базы",E2)))</formula>
    </cfRule>
    <cfRule type="containsText" dxfId="140" priority="3" operator="containsText" text="Погрузчик базы">
      <formula>NOT(ISERROR(SEARCH("Погрузчик базы",E2)))</formula>
    </cfRule>
  </conditionalFormatting>
  <conditionalFormatting sqref="E2:E187">
    <cfRule type="containsText" dxfId="139" priority="1" operator="containsText" text="Трактор базы">
      <formula>NOT(ISERROR(SEARCH("Трактор базы",E2)))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99C6B4-71DF-4ACC-912C-E2CF27B451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1 Ангар Склад 2 въезд</vt:lpstr>
      <vt:lpstr>2 Пилорама поката</vt:lpstr>
      <vt:lpstr>3 Парковка офиса</vt:lpstr>
      <vt:lpstr>СпрСобытий</vt:lpstr>
      <vt:lpstr>4 Крыльцо офиса</vt:lpstr>
      <vt:lpstr>5 Крыльцо общага</vt:lpstr>
      <vt:lpstr>6 Площадка 1 общага</vt:lpstr>
      <vt:lpstr>7 Площадка 2 бетонщики</vt:lpstr>
      <vt:lpstr>8 Рейсмус</vt:lpstr>
      <vt:lpstr>9 Ангар пилорама</vt:lpstr>
      <vt:lpstr>10 Сушилка навес</vt:lpstr>
      <vt:lpstr>11 С ангара на базу</vt:lpstr>
      <vt:lpstr>12 Площадка 3 кран</vt:lpstr>
      <vt:lpstr>13 Склад хол</vt:lpstr>
      <vt:lpstr>14 На гаражи</vt:lpstr>
      <vt:lpstr>15 Вход столярка</vt:lpstr>
      <vt:lpstr>16 Столярка</vt:lpstr>
      <vt:lpstr>17 Площадка с навесом</vt:lpstr>
      <vt:lpstr>19 Хронометраж</vt:lpstr>
      <vt:lpstr>Загрузка</vt:lpstr>
      <vt:lpstr>Стороний транспорт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лол лл</dc:creator>
  <cp:lastModifiedBy>лол лл</cp:lastModifiedBy>
  <dcterms:created xsi:type="dcterms:W3CDTF">2015-06-05T18:19:34Z</dcterms:created>
  <dcterms:modified xsi:type="dcterms:W3CDTF">2026-02-27T00:18:43Z</dcterms:modified>
</cp:coreProperties>
</file>